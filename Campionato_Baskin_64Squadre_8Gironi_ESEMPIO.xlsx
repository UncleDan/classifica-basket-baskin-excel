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mpionato" sheetId="1" state="visible" r:id="rId3"/>
    <sheet name="Calendario A" sheetId="2" state="visible" r:id="rId4"/>
    <sheet name="Calendario B" sheetId="3" state="visible" r:id="rId5"/>
    <sheet name="Calendario C" sheetId="4" state="visible" r:id="rId6"/>
    <sheet name="Calendario D" sheetId="5" state="visible" r:id="rId7"/>
    <sheet name="Calendario E" sheetId="6" state="visible" r:id="rId8"/>
    <sheet name="Calendario F" sheetId="7" state="visible" r:id="rId9"/>
    <sheet name="Calendario G" sheetId="8" state="visible" r:id="rId10"/>
    <sheet name="Calendario H" sheetId="9" state="visible" r:id="rId11"/>
    <sheet name="Playoff" sheetId="10" state="visible" r:id="rId12"/>
    <sheet name="Classifica" sheetId="11" state="visible" r:id="rId13"/>
    <sheet name="Classifica Finale" sheetId="12" state="visible" r:id="rId14"/>
    <sheet name="DESIGNAZIONI" sheetId="13" state="visible" r:id="rId15"/>
    <sheet name="Arbitri" sheetId="14" state="visible" r:id="rId16"/>
    <sheet name="UdC" sheetId="15" state="visible" r:id="rId17"/>
    <sheet name="MEMO" sheetId="16" state="visible" r:id="rId18"/>
    <sheet name="Calendario.ics" sheetId="17" state="visible" r:id="rId19"/>
  </sheets>
  <definedNames>
    <definedName function="false" hidden="false" localSheetId="13" name="_xlnm.Print_Area" vbProcedure="false">Arbitri!$A$1:$O$104</definedName>
    <definedName function="false" hidden="false" localSheetId="13" name="_xlnm.Print_Titles" vbProcedure="false">Arbitri!$1:$4</definedName>
    <definedName function="false" hidden="false" localSheetId="1" name="_xlnm.Print_Area" vbProcedure="false">'Calendario A'!$A$1:$L$107</definedName>
    <definedName function="false" hidden="false" localSheetId="1" name="_xlnm.Print_Titles" vbProcedure="false">'Calendario A'!$1:$3</definedName>
    <definedName function="false" hidden="false" localSheetId="2" name="_xlnm.Print_Area" vbProcedure="false">'Calendario B'!$A$1:$L$107</definedName>
    <definedName function="false" hidden="false" localSheetId="2" name="_xlnm.Print_Titles" vbProcedure="false">'Calendario B'!$1:$3</definedName>
    <definedName function="false" hidden="false" localSheetId="3" name="_xlnm.Print_Area" vbProcedure="false">'Calendario C'!$A$1:$L$107</definedName>
    <definedName function="false" hidden="false" localSheetId="3" name="_xlnm.Print_Titles" vbProcedure="false">'Calendario C'!$1:$3</definedName>
    <definedName function="false" hidden="false" localSheetId="4" name="_xlnm.Print_Area" vbProcedure="false">'Calendario D'!$A$1:$L$107</definedName>
    <definedName function="false" hidden="false" localSheetId="4" name="_xlnm.Print_Titles" vbProcedure="false">'Calendario D'!$1:$3</definedName>
    <definedName function="false" hidden="false" localSheetId="5" name="_xlnm.Print_Area" vbProcedure="false">'Calendario E'!$A$1:$L$107</definedName>
    <definedName function="false" hidden="false" localSheetId="5" name="_xlnm.Print_Titles" vbProcedure="false">'Calendario E'!$1:$3</definedName>
    <definedName function="false" hidden="false" localSheetId="6" name="_xlnm.Print_Area" vbProcedure="false">'Calendario F'!$A$1:$L$107</definedName>
    <definedName function="false" hidden="false" localSheetId="6" name="_xlnm.Print_Titles" vbProcedure="false">'Calendario F'!$1:$3</definedName>
    <definedName function="false" hidden="false" localSheetId="7" name="_xlnm.Print_Area" vbProcedure="false">'Calendario G'!$A$1:$L$107</definedName>
    <definedName function="false" hidden="false" localSheetId="7" name="_xlnm.Print_Titles" vbProcedure="false">'Calendario G'!$1:$3</definedName>
    <definedName function="false" hidden="false" localSheetId="8" name="_xlnm.Print_Area" vbProcedure="false">'Calendario H'!$A$1:$L$107</definedName>
    <definedName function="false" hidden="false" localSheetId="8" name="_xlnm.Print_Titles" vbProcedure="false">'Calendario H'!$1:$3</definedName>
    <definedName function="false" hidden="false" localSheetId="16" name="_xlnm.Print_Area" vbProcedure="false">'Calendario.ics'!$A$1:$I$1</definedName>
    <definedName function="false" hidden="false" localSheetId="0" name="_xlnm.Print_Area" vbProcedure="false">Campionato!$A$1:$E$145</definedName>
    <definedName function="false" hidden="false" localSheetId="10" name="_xlnm.Print_Area" vbProcedure="false">Classifica!$A$1:$M$103</definedName>
    <definedName function="false" hidden="false" localSheetId="10" name="_xlnm.Print_Titles" vbProcedure="false">Classifica!$1:$3</definedName>
    <definedName function="false" hidden="false" localSheetId="11" name="_xlnm.Print_Area" vbProcedure="false">'Classifica Finale'!$A$1:$C$72</definedName>
    <definedName function="false" hidden="false" localSheetId="11" name="_xlnm.Print_Titles" vbProcedure="false">'Classifica Finale'!$1:$6</definedName>
    <definedName function="false" hidden="false" localSheetId="12" name="_xlnm.Print_Area" vbProcedure="false">DESIGNAZIONI!$A$1:$R$868</definedName>
    <definedName function="false" hidden="false" localSheetId="12" name="_xlnm.Print_Titles" vbProcedure="false">DESIGNAZIONI!$1:$3</definedName>
    <definedName function="false" hidden="false" localSheetId="15" name="_xlnm.Print_Area" vbProcedure="false">MEMO!$A$1:$A$18</definedName>
    <definedName function="false" hidden="false" localSheetId="9" name="_xlnm.Print_Area" vbProcedure="false">Playoff!$A$1:$L$67</definedName>
    <definedName function="false" hidden="false" localSheetId="9" name="_xlnm.Print_Titles" vbProcedure="false">Playoff!$1:$3</definedName>
    <definedName function="false" hidden="false" localSheetId="14" name="_xlnm.Print_Area" vbProcedure="false">UdC!$A$1:$O$104</definedName>
    <definedName function="false" hidden="false" localSheetId="14" name="_xlnm.Print_Titles" vbProcedure="false">UdC!$1:$4</definedName>
    <definedName function="false" hidden="false" name="ARBITRI" vbProcedure="false">Arbitri!$D$5:$D$104</definedName>
    <definedName function="false" hidden="false" name="areaCampiSquadre" vbProcedure="false">Campionato!$B$78:$D$142</definedName>
    <definedName function="false" hidden="false" name="areaCercaDatiPerPosizioneSquadre" vbProcedure="false">Campionato!$G$12:$W$75</definedName>
    <definedName function="false" hidden="false" name="areaCercaPuntiClassificaSquadra" vbProcedure="false">Campionato!$H$12:$J$75</definedName>
    <definedName function="false" hidden="false" name="areaCoefficienteSquadre" vbProcedure="false">Campionato!$I$12:$I$75</definedName>
    <definedName function="false" hidden="false" name="areaNomiSquadre" vbProcedure="false">Campionato!$B$12:$C$75</definedName>
    <definedName function="false" hidden="false" name="constLogo1" vbProcedure="false">Campionato!$D$2</definedName>
    <definedName function="false" hidden="false" name="constLogo2" vbProcedure="false">Campionato!$D$3</definedName>
    <definedName function="false" hidden="false" name="constNomeCampionato" vbProcedure="false">Campionato!$D$1</definedName>
    <definedName function="false" hidden="false" name="constPunteggioForfait" vbProcedure="false">Campionato!$D$9</definedName>
    <definedName function="false" hidden="false" name="constPuntiForfait" vbProcedure="false">Campionato!$D$8</definedName>
    <definedName function="false" hidden="false" name="constPuntiSconfitta" vbProcedure="false">Campionato!$D$7</definedName>
    <definedName function="false" hidden="false" name="constPuntiVittoria" vbProcedure="false">Campionato!$D$6</definedName>
    <definedName function="false" hidden="false" name="constSezioneCampionato" vbProcedure="false">Campionato!$D$4</definedName>
    <definedName function="false" hidden="false" name="constStagionaCampionato" vbProcedure="false">Campionato!$D$5</definedName>
    <definedName function="false" hidden="false" name="UDC" vbProcedure="false">UdC!$D$5:$D$104</definedName>
    <definedName function="false" hidden="false" localSheetId="1" name="areaDifferenzaPuntiACalendario" vbProcedure="false">'Calendario A'!$S$8:$S$110</definedName>
    <definedName function="false" hidden="false" localSheetId="1" name="areaDifferenzaPuntiBCalendario" vbProcedure="false">'Calendario A'!$Z$8:$Z$110</definedName>
    <definedName function="false" hidden="false" localSheetId="1" name="areaForfaitACalendario" vbProcedure="false">'Calendario A'!$O$8:$O$110</definedName>
    <definedName function="false" hidden="false" localSheetId="1" name="areaForfaitBCalendario" vbProcedure="false">'Calendario A'!$V$8:$V$110</definedName>
    <definedName function="false" hidden="false" localSheetId="1" name="areaPersaACalendario" vbProcedure="false">'Calendario A'!$P$8:$P$110</definedName>
    <definedName function="false" hidden="false" localSheetId="1" name="areaPersaBCalendario" vbProcedure="false">'Calendario A'!$W$8:$W$110</definedName>
    <definedName function="false" hidden="false" localSheetId="1" name="areaPuntiFattiACalendario" vbProcedure="false">'Calendario A'!$Q$8:$Q$110</definedName>
    <definedName function="false" hidden="false" localSheetId="1" name="areaPuntiFattiBCalendario" vbProcedure="false">'Calendario A'!$X$8:$X$110</definedName>
    <definedName function="false" hidden="false" localSheetId="1" name="areaPuntiSubitiACalendario" vbProcedure="false">'Calendario A'!$R$8:$R$110</definedName>
    <definedName function="false" hidden="false" localSheetId="1" name="areaPuntiSubitiBCalendario" vbProcedure="false">'Calendario A'!$Y$8:$Y$110</definedName>
    <definedName function="false" hidden="false" localSheetId="1" name="areaSquadraACalendario" vbProcedure="false">'Calendario A'!$M$8:$M$110</definedName>
    <definedName function="false" hidden="false" localSheetId="1" name="areaSquadraBCalendario" vbProcedure="false">'Calendario A'!$T$8:$T$110</definedName>
    <definedName function="false" hidden="false" localSheetId="1" name="areaVintaACalendario" vbProcedure="false">'Calendario A'!$N$8:$N$110</definedName>
    <definedName function="false" hidden="false" localSheetId="1" name="areaVintaBCalendario" vbProcedure="false">'Calendario A'!$U$8:$U$110</definedName>
    <definedName function="false" hidden="false" localSheetId="2" name="areaDifferenzaPuntiACalendario" vbProcedure="false">'Calendario B'!$S$8:$S$110</definedName>
    <definedName function="false" hidden="false" localSheetId="2" name="areaDifferenzaPuntiBCalendario" vbProcedure="false">'Calendario B'!$Z$8:$Z$110</definedName>
    <definedName function="false" hidden="false" localSheetId="2" name="areaForfaitACalendario" vbProcedure="false">'Calendario B'!$O$8:$O$110</definedName>
    <definedName function="false" hidden="false" localSheetId="2" name="areaForfaitBCalendario" vbProcedure="false">'Calendario B'!$V$8:$V$110</definedName>
    <definedName function="false" hidden="false" localSheetId="2" name="areaPersaACalendario" vbProcedure="false">'Calendario B'!$P$8:$P$110</definedName>
    <definedName function="false" hidden="false" localSheetId="2" name="areaPersaBCalendario" vbProcedure="false">'Calendario B'!$W$8:$W$110</definedName>
    <definedName function="false" hidden="false" localSheetId="2" name="areaPuntiFattiACalendario" vbProcedure="false">'Calendario B'!$Q$8:$Q$110</definedName>
    <definedName function="false" hidden="false" localSheetId="2" name="areaPuntiFattiBCalendario" vbProcedure="false">'Calendario B'!$X$8:$X$110</definedName>
    <definedName function="false" hidden="false" localSheetId="2" name="areaPuntiSubitiACalendario" vbProcedure="false">'Calendario B'!$R$8:$R$110</definedName>
    <definedName function="false" hidden="false" localSheetId="2" name="areaPuntiSubitiBCalendario" vbProcedure="false">'Calendario B'!$Y$8:$Y$110</definedName>
    <definedName function="false" hidden="false" localSheetId="2" name="areaSquadraACalendario" vbProcedure="false">'Calendario B'!$M$8:$M$110</definedName>
    <definedName function="false" hidden="false" localSheetId="2" name="areaSquadraBCalendario" vbProcedure="false">'Calendario B'!$T$8:$T$110</definedName>
    <definedName function="false" hidden="false" localSheetId="2" name="areaVintaACalendario" vbProcedure="false">'Calendario B'!$N$8:$N$110</definedName>
    <definedName function="false" hidden="false" localSheetId="2" name="areaVintaBCalendario" vbProcedure="false">'Calendario B'!$U$8:$U$110</definedName>
    <definedName function="false" hidden="false" localSheetId="3" name="areaDifferenzaPuntiACalendario" vbProcedure="false">'Calendario C'!$S$8:$S$110</definedName>
    <definedName function="false" hidden="false" localSheetId="3" name="areaDifferenzaPuntiBCalendario" vbProcedure="false">'Calendario C'!$Z$8:$Z$110</definedName>
    <definedName function="false" hidden="false" localSheetId="3" name="areaForfaitACalendario" vbProcedure="false">'Calendario C'!$O$8:$O$110</definedName>
    <definedName function="false" hidden="false" localSheetId="3" name="areaForfaitBCalendario" vbProcedure="false">'Calendario C'!$V$8:$V$110</definedName>
    <definedName function="false" hidden="false" localSheetId="3" name="areaPersaACalendario" vbProcedure="false">'Calendario C'!$P$8:$P$110</definedName>
    <definedName function="false" hidden="false" localSheetId="3" name="areaPersaBCalendario" vbProcedure="false">'Calendario C'!$W$8:$W$110</definedName>
    <definedName function="false" hidden="false" localSheetId="3" name="areaPuntiFattiACalendario" vbProcedure="false">'Calendario C'!$Q$8:$Q$110</definedName>
    <definedName function="false" hidden="false" localSheetId="3" name="areaPuntiFattiBCalendario" vbProcedure="false">'Calendario C'!$X$8:$X$110</definedName>
    <definedName function="false" hidden="false" localSheetId="3" name="areaPuntiSubitiACalendario" vbProcedure="false">'Calendario C'!$R$8:$R$110</definedName>
    <definedName function="false" hidden="false" localSheetId="3" name="areaPuntiSubitiBCalendario" vbProcedure="false">'Calendario C'!$Y$8:$Y$110</definedName>
    <definedName function="false" hidden="false" localSheetId="3" name="areaSquadraACalendario" vbProcedure="false">'Calendario C'!$M$8:$M$110</definedName>
    <definedName function="false" hidden="false" localSheetId="3" name="areaSquadraBCalendario" vbProcedure="false">'Calendario C'!$T$8:$T$110</definedName>
    <definedName function="false" hidden="false" localSheetId="3" name="areaVintaACalendario" vbProcedure="false">'Calendario C'!$N$8:$N$110</definedName>
    <definedName function="false" hidden="false" localSheetId="3" name="areaVintaBCalendario" vbProcedure="false">'Calendario C'!$U$8:$U$110</definedName>
    <definedName function="false" hidden="false" localSheetId="4" name="areaDifferenzaPuntiACalendario" vbProcedure="false">'Calendario D'!$S$8:$S$110</definedName>
    <definedName function="false" hidden="false" localSheetId="4" name="areaDifferenzaPuntiBCalendario" vbProcedure="false">'Calendario D'!$Z$8:$Z$110</definedName>
    <definedName function="false" hidden="false" localSheetId="4" name="areaForfaitACalendario" vbProcedure="false">'Calendario D'!$O$8:$O$110</definedName>
    <definedName function="false" hidden="false" localSheetId="4" name="areaForfaitBCalendario" vbProcedure="false">'Calendario D'!$V$8:$V$110</definedName>
    <definedName function="false" hidden="false" localSheetId="4" name="areaPersaACalendario" vbProcedure="false">'Calendario D'!$P$8:$P$110</definedName>
    <definedName function="false" hidden="false" localSheetId="4" name="areaPersaBCalendario" vbProcedure="false">'Calendario D'!$W$8:$W$110</definedName>
    <definedName function="false" hidden="false" localSheetId="4" name="areaPuntiFattiACalendario" vbProcedure="false">'Calendario D'!$Q$8:$Q$110</definedName>
    <definedName function="false" hidden="false" localSheetId="4" name="areaPuntiFattiBCalendario" vbProcedure="false">'Calendario D'!$X$8:$X$110</definedName>
    <definedName function="false" hidden="false" localSheetId="4" name="areaPuntiSubitiACalendario" vbProcedure="false">'Calendario D'!$R$8:$R$110</definedName>
    <definedName function="false" hidden="false" localSheetId="4" name="areaPuntiSubitiBCalendario" vbProcedure="false">'Calendario D'!$Y$8:$Y$110</definedName>
    <definedName function="false" hidden="false" localSheetId="4" name="areaSquadraACalendario" vbProcedure="false">'Calendario D'!$M$8:$M$110</definedName>
    <definedName function="false" hidden="false" localSheetId="4" name="areaSquadraBCalendario" vbProcedure="false">'Calendario D'!$T$8:$T$110</definedName>
    <definedName function="false" hidden="false" localSheetId="4" name="areaVintaACalendario" vbProcedure="false">'Calendario D'!$N$8:$N$110</definedName>
    <definedName function="false" hidden="false" localSheetId="4" name="areaVintaBCalendario" vbProcedure="false">'Calendario D'!$U$8:$U$110</definedName>
    <definedName function="false" hidden="false" localSheetId="5" name="areaDifferenzaPuntiACalendario" vbProcedure="false">'Calendario E'!$S$8:$S$110</definedName>
    <definedName function="false" hidden="false" localSheetId="5" name="areaDifferenzaPuntiBCalendario" vbProcedure="false">'Calendario E'!$Z$8:$Z$110</definedName>
    <definedName function="false" hidden="false" localSheetId="5" name="areaForfaitACalendario" vbProcedure="false">'Calendario E'!$O$8:$O$110</definedName>
    <definedName function="false" hidden="false" localSheetId="5" name="areaForfaitBCalendario" vbProcedure="false">'Calendario E'!$V$8:$V$110</definedName>
    <definedName function="false" hidden="false" localSheetId="5" name="areaPersaACalendario" vbProcedure="false">'Calendario E'!$P$8:$P$110</definedName>
    <definedName function="false" hidden="false" localSheetId="5" name="areaPersaBCalendario" vbProcedure="false">'Calendario E'!$W$8:$W$110</definedName>
    <definedName function="false" hidden="false" localSheetId="5" name="areaPuntiFattiACalendario" vbProcedure="false">'Calendario E'!$Q$8:$Q$110</definedName>
    <definedName function="false" hidden="false" localSheetId="5" name="areaPuntiFattiBCalendario" vbProcedure="false">'Calendario E'!$X$8:$X$110</definedName>
    <definedName function="false" hidden="false" localSheetId="5" name="areaPuntiSubitiACalendario" vbProcedure="false">'Calendario E'!$R$8:$R$110</definedName>
    <definedName function="false" hidden="false" localSheetId="5" name="areaPuntiSubitiBCalendario" vbProcedure="false">'Calendario E'!$Y$8:$Y$110</definedName>
    <definedName function="false" hidden="false" localSheetId="5" name="areaSquadraACalendario" vbProcedure="false">'Calendario E'!$M$8:$M$110</definedName>
    <definedName function="false" hidden="false" localSheetId="5" name="areaSquadraBCalendario" vbProcedure="false">'Calendario E'!$T$8:$T$110</definedName>
    <definedName function="false" hidden="false" localSheetId="5" name="areaVintaACalendario" vbProcedure="false">'Calendario E'!$N$8:$N$110</definedName>
    <definedName function="false" hidden="false" localSheetId="5" name="areaVintaBCalendario" vbProcedure="false">'Calendario E'!$U$8:$U$110</definedName>
    <definedName function="false" hidden="false" localSheetId="6" name="areaDifferenzaPuntiACalendario" vbProcedure="false">'Calendario F'!$S$8:$S$110</definedName>
    <definedName function="false" hidden="false" localSheetId="6" name="areaDifferenzaPuntiBCalendario" vbProcedure="false">'Calendario F'!$Z$8:$Z$110</definedName>
    <definedName function="false" hidden="false" localSheetId="6" name="areaForfaitACalendario" vbProcedure="false">'Calendario F'!$O$8:$O$110</definedName>
    <definedName function="false" hidden="false" localSheetId="6" name="areaForfaitBCalendario" vbProcedure="false">'Calendario F'!$V$8:$V$110</definedName>
    <definedName function="false" hidden="false" localSheetId="6" name="areaPersaACalendario" vbProcedure="false">'Calendario F'!$P$8:$P$110</definedName>
    <definedName function="false" hidden="false" localSheetId="6" name="areaPersaBCalendario" vbProcedure="false">'Calendario F'!$W$8:$W$110</definedName>
    <definedName function="false" hidden="false" localSheetId="6" name="areaPuntiFattiACalendario" vbProcedure="false">'Calendario F'!$Q$8:$Q$110</definedName>
    <definedName function="false" hidden="false" localSheetId="6" name="areaPuntiFattiBCalendario" vbProcedure="false">'Calendario F'!$X$8:$X$110</definedName>
    <definedName function="false" hidden="false" localSheetId="6" name="areaPuntiSubitiACalendario" vbProcedure="false">'Calendario F'!$R$8:$R$110</definedName>
    <definedName function="false" hidden="false" localSheetId="6" name="areaPuntiSubitiBCalendario" vbProcedure="false">'Calendario F'!$Y$8:$Y$110</definedName>
    <definedName function="false" hidden="false" localSheetId="6" name="areaSquadraACalendario" vbProcedure="false">'Calendario F'!$M$8:$M$110</definedName>
    <definedName function="false" hidden="false" localSheetId="6" name="areaSquadraBCalendario" vbProcedure="false">'Calendario F'!$T$8:$T$110</definedName>
    <definedName function="false" hidden="false" localSheetId="6" name="areaVintaACalendario" vbProcedure="false">'Calendario F'!$N$8:$N$110</definedName>
    <definedName function="false" hidden="false" localSheetId="6" name="areaVintaBCalendario" vbProcedure="false">'Calendario F'!$U$8:$U$110</definedName>
    <definedName function="false" hidden="false" localSheetId="7" name="areaDifferenzaPuntiACalendario" vbProcedure="false">'Calendario G'!$S$8:$S$110</definedName>
    <definedName function="false" hidden="false" localSheetId="7" name="areaDifferenzaPuntiBCalendario" vbProcedure="false">'Calendario G'!$Z$8:$Z$110</definedName>
    <definedName function="false" hidden="false" localSheetId="7" name="areaForfaitACalendario" vbProcedure="false">'Calendario G'!$O$8:$O$110</definedName>
    <definedName function="false" hidden="false" localSheetId="7" name="areaForfaitBCalendario" vbProcedure="false">'Calendario G'!$V$8:$V$110</definedName>
    <definedName function="false" hidden="false" localSheetId="7" name="areaPersaACalendario" vbProcedure="false">'Calendario G'!$P$8:$P$110</definedName>
    <definedName function="false" hidden="false" localSheetId="7" name="areaPersaBCalendario" vbProcedure="false">'Calendario G'!$W$8:$W$110</definedName>
    <definedName function="false" hidden="false" localSheetId="7" name="areaPuntiFattiACalendario" vbProcedure="false">'Calendario G'!$Q$8:$Q$110</definedName>
    <definedName function="false" hidden="false" localSheetId="7" name="areaPuntiFattiBCalendario" vbProcedure="false">'Calendario G'!$X$8:$X$110</definedName>
    <definedName function="false" hidden="false" localSheetId="7" name="areaPuntiSubitiACalendario" vbProcedure="false">'Calendario G'!$R$8:$R$110</definedName>
    <definedName function="false" hidden="false" localSheetId="7" name="areaPuntiSubitiBCalendario" vbProcedure="false">'Calendario G'!$Y$8:$Y$110</definedName>
    <definedName function="false" hidden="false" localSheetId="7" name="areaSquadraACalendario" vbProcedure="false">'Calendario G'!$M$8:$M$110</definedName>
    <definedName function="false" hidden="false" localSheetId="7" name="areaSquadraBCalendario" vbProcedure="false">'Calendario G'!$T$8:$T$110</definedName>
    <definedName function="false" hidden="false" localSheetId="7" name="areaVintaACalendario" vbProcedure="false">'Calendario G'!$N$8:$N$110</definedName>
    <definedName function="false" hidden="false" localSheetId="7" name="areaVintaBCalendario" vbProcedure="false">'Calendario G'!$U$8:$U$110</definedName>
    <definedName function="false" hidden="false" localSheetId="8" name="areaDifferenzaPuntiACalendario" vbProcedure="false">'Calendario H'!$S$8:$S$110</definedName>
    <definedName function="false" hidden="false" localSheetId="8" name="areaDifferenzaPuntiBCalendario" vbProcedure="false">'Calendario H'!$Z$8:$Z$110</definedName>
    <definedName function="false" hidden="false" localSheetId="8" name="areaForfaitACalendario" vbProcedure="false">'Calendario H'!$O$8:$O$110</definedName>
    <definedName function="false" hidden="false" localSheetId="8" name="areaForfaitBCalendario" vbProcedure="false">'Calendario H'!$V$8:$V$110</definedName>
    <definedName function="false" hidden="false" localSheetId="8" name="areaPersaACalendario" vbProcedure="false">'Calendario H'!$P$8:$P$110</definedName>
    <definedName function="false" hidden="false" localSheetId="8" name="areaPersaBCalendario" vbProcedure="false">'Calendario H'!$W$8:$W$110</definedName>
    <definedName function="false" hidden="false" localSheetId="8" name="areaPuntiFattiACalendario" vbProcedure="false">'Calendario H'!$Q$8:$Q$110</definedName>
    <definedName function="false" hidden="false" localSheetId="8" name="areaPuntiFattiBCalendario" vbProcedure="false">'Calendario H'!$X$8:$X$110</definedName>
    <definedName function="false" hidden="false" localSheetId="8" name="areaPuntiSubitiACalendario" vbProcedure="false">'Calendario H'!$R$8:$R$110</definedName>
    <definedName function="false" hidden="false" localSheetId="8" name="areaPuntiSubitiBCalendario" vbProcedure="false">'Calendario H'!$Y$8:$Y$110</definedName>
    <definedName function="false" hidden="false" localSheetId="8" name="areaSquadraACalendario" vbProcedure="false">'Calendario H'!$M$8:$M$110</definedName>
    <definedName function="false" hidden="false" localSheetId="8" name="areaSquadraBCalendario" vbProcedure="false">'Calendario H'!$T$8:$T$110</definedName>
    <definedName function="false" hidden="false" localSheetId="8" name="areaVintaACalendario" vbProcedure="false">'Calendario H'!$N$8:$N$110</definedName>
    <definedName function="false" hidden="false" localSheetId="8" name="areaVintaBCalendario" vbProcedure="false">'Calendario H'!$U$8:$U$110</definedName>
    <definedName function="false" hidden="false" localSheetId="9" name="areaDifferenzaPuntiACalendario" vbProcedure="false">Playoff!$S$8:$S$63</definedName>
    <definedName function="false" hidden="false" localSheetId="9" name="areaDifferenzaPuntiBCalendario" vbProcedure="false">Playoff!$Z$8:$Z$63</definedName>
    <definedName function="false" hidden="false" localSheetId="9" name="areaForfaitACalendario" vbProcedure="false">Playoff!$O$8:$O$63</definedName>
    <definedName function="false" hidden="false" localSheetId="9" name="areaForfaitBCalendario" vbProcedure="false">Playoff!$V$8:$V$63</definedName>
    <definedName function="false" hidden="false" localSheetId="9" name="areaPersaACalendario" vbProcedure="false">Playoff!$P$8:$P$63</definedName>
    <definedName function="false" hidden="false" localSheetId="9" name="areaPersaBCalendario" vbProcedure="false">Playoff!$W$8:$W$63</definedName>
    <definedName function="false" hidden="false" localSheetId="9" name="areaPuntiFattiACalendario" vbProcedure="false">Playoff!$Q$8:$Q$63</definedName>
    <definedName function="false" hidden="false" localSheetId="9" name="areaPuntiFattiBCalendario" vbProcedure="false">Playoff!$X$8:$X$63</definedName>
    <definedName function="false" hidden="false" localSheetId="9" name="areaPuntiSubitiACalendario" vbProcedure="false">Playoff!$R$8:$R$63</definedName>
    <definedName function="false" hidden="false" localSheetId="9" name="areaPuntiSubitiBCalendario" vbProcedure="false">Playoff!$Y$8:$Y$63</definedName>
    <definedName function="false" hidden="false" localSheetId="9" name="areaSquadraACalendario" vbProcedure="false">Playoff!$M$8:$M$63</definedName>
    <definedName function="false" hidden="false" localSheetId="9" name="areaSquadraBCalendario" vbProcedure="false">Playoff!$T$8:$T$63</definedName>
    <definedName function="false" hidden="false" localSheetId="9" name="areaVintaACalendario" vbProcedure="false">Playoff!$N$8:$N$63</definedName>
    <definedName function="false" hidden="false" localSheetId="9" name="areaVintaBCalendario" vbProcedure="false">Playoff!$U$8:$U$63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<sst xmlns="http://schemas.openxmlformats.org/spreadsheetml/2006/main" count="7287" uniqueCount="778">
  <si>
    <t xml:space="preserve">PARAMETRI</t>
  </si>
  <si>
    <t xml:space="preserve">Campionato</t>
  </si>
  <si>
    <t xml:space="preserve">Campionato Baskin Demo - ESEMPIO COMPILATO 64 Squadre</t>
  </si>
  <si>
    <t xml:space="preserve">Posizione</t>
  </si>
  <si>
    <t xml:space="preserve">Squadra</t>
  </si>
  <si>
    <t xml:space="preserve">Coefficiente</t>
  </si>
  <si>
    <t xml:space="preserve">Punti
Classifica</t>
  </si>
  <si>
    <t xml:space="preserve">Partite
Giocate</t>
  </si>
  <si>
    <t xml:space="preserve">Partite
Vinte</t>
  </si>
  <si>
    <t xml:space="preserve">Partite
Perse</t>
  </si>
  <si>
    <t xml:space="preserve">Partite
Forfait</t>
  </si>
  <si>
    <t xml:space="preserve">Punti
Fatti</t>
  </si>
  <si>
    <t xml:space="preserve">Punti
Subiti</t>
  </si>
  <si>
    <t xml:space="preserve">Differenza
Punti</t>
  </si>
  <si>
    <t xml:space="preserve">Media
Punti
Fatti</t>
  </si>
  <si>
    <t xml:space="preserve">Media
Punti
Subiti</t>
  </si>
  <si>
    <t xml:space="preserve">Media
Differenza
Punti</t>
  </si>
  <si>
    <t xml:space="preserve">Record
Scontri Diretti</t>
  </si>
  <si>
    <t xml:space="preserve">Quoziente Canestri
Scontri Diretti</t>
  </si>
  <si>
    <t xml:space="preserve">Quoziente Canestri
Totale</t>
  </si>
  <si>
    <t xml:space="preserve">Vittorie Scontri Diretti</t>
  </si>
  <si>
    <t xml:space="preserve">Sconfitte &amp; Forfait Scontri Diretti</t>
  </si>
  <si>
    <t xml:space="preserve">Punti Fatti Scontri Diretti</t>
  </si>
  <si>
    <t xml:space="preserve">Punti Subiti Scontri Diretti</t>
  </si>
  <si>
    <t xml:space="preserve">Link Logo 1</t>
  </si>
  <si>
    <t xml:space="preserve">Link Logo 2</t>
  </si>
  <si>
    <t xml:space="preserve">Gironi</t>
  </si>
  <si>
    <t xml:space="preserve">A-H</t>
  </si>
  <si>
    <t xml:space="preserve">Stagione</t>
  </si>
  <si>
    <t xml:space="preserve">2026/2027</t>
  </si>
  <si>
    <t xml:space="preserve">Punti vittoria</t>
  </si>
  <si>
    <t xml:space="preserve">Punti sconfitta</t>
  </si>
  <si>
    <t xml:space="preserve">Punti forfait</t>
  </si>
  <si>
    <t xml:space="preserve">Punteggio forfait (vincente-perdente, separati da "-")</t>
  </si>
  <si>
    <t xml:space="preserve">40-0</t>
  </si>
  <si>
    <t xml:space="preserve">SQUADRE</t>
  </si>
  <si>
    <t xml:space="preserve">#</t>
  </si>
  <si>
    <t xml:space="preserve">Eventuali Punti
di Penalizzazione</t>
  </si>
  <si>
    <t xml:space="preserve">Girone</t>
  </si>
  <si>
    <t xml:space="preserve">1^</t>
  </si>
  <si>
    <t xml:space="preserve">2^</t>
  </si>
  <si>
    <t xml:space="preserve">3^</t>
  </si>
  <si>
    <t xml:space="preserve">4^</t>
  </si>
  <si>
    <t xml:space="preserve">5^</t>
  </si>
  <si>
    <t xml:space="preserve">6^</t>
  </si>
  <si>
    <t xml:space="preserve">7^</t>
  </si>
  <si>
    <t xml:space="preserve">8^</t>
  </si>
  <si>
    <t xml:space="preserve">A01</t>
  </si>
  <si>
    <t xml:space="preserve">Anaconde Arrabbiate-Anacondeopoli AE</t>
  </si>
  <si>
    <t xml:space="preserve">A</t>
  </si>
  <si>
    <t xml:space="preserve">A02</t>
  </si>
  <si>
    <t xml:space="preserve">Bufali Belligeranti-Bufaliopoli BI</t>
  </si>
  <si>
    <t xml:space="preserve">A03</t>
  </si>
  <si>
    <t xml:space="preserve">Cobra Coraggiosi-Cobraopoli CA</t>
  </si>
  <si>
    <t xml:space="preserve">A04</t>
  </si>
  <si>
    <t xml:space="preserve">Delfini Dispettosi-Delfiniopoli DI</t>
  </si>
  <si>
    <t xml:space="preserve">A05</t>
  </si>
  <si>
    <t xml:space="preserve">Ermellini Eleganti-Ermelliniopoli EI</t>
  </si>
  <si>
    <t xml:space="preserve">A06</t>
  </si>
  <si>
    <t xml:space="preserve">Falchi Furiosi-Falchiopoli FI</t>
  </si>
  <si>
    <t xml:space="preserve">A07</t>
  </si>
  <si>
    <t xml:space="preserve">Gazzelle Gagliarde-Gazzelleopoli GE</t>
  </si>
  <si>
    <t xml:space="preserve">A08</t>
  </si>
  <si>
    <t xml:space="preserve">Ippopotami Iracondi-Ippopotamiopoli II</t>
  </si>
  <si>
    <t xml:space="preserve">B01</t>
  </si>
  <si>
    <t xml:space="preserve">Lupi Lucenti-Lupiopoli LI</t>
  </si>
  <si>
    <t xml:space="preserve">B</t>
  </si>
  <si>
    <t xml:space="preserve">B02</t>
  </si>
  <si>
    <t xml:space="preserve">Marmotte Maldestre-Marmotteopoli ME</t>
  </si>
  <si>
    <t xml:space="preserve">B03</t>
  </si>
  <si>
    <t xml:space="preserve">Narvali Nobili-Narvaliopoli NI</t>
  </si>
  <si>
    <t xml:space="preserve">B04</t>
  </si>
  <si>
    <t xml:space="preserve">Orsi Ostinati-Orsiopoli OI</t>
  </si>
  <si>
    <t xml:space="preserve">B05</t>
  </si>
  <si>
    <t xml:space="preserve">Pantere Pungenti-Pantereopoli PE</t>
  </si>
  <si>
    <t xml:space="preserve">B06</t>
  </si>
  <si>
    <t xml:space="preserve">Quaglie Quiete-Quaglieopoli QE</t>
  </si>
  <si>
    <t xml:space="preserve">B07</t>
  </si>
  <si>
    <t xml:space="preserve">Rinoceronti Ribelli-Rinocerontiopoli RI</t>
  </si>
  <si>
    <t xml:space="preserve">B08</t>
  </si>
  <si>
    <t xml:space="preserve">Salamandre Scaltre-Salamandreopoli SE</t>
  </si>
  <si>
    <t xml:space="preserve">C01</t>
  </si>
  <si>
    <t xml:space="preserve">Tigri Tenaci-Tigriopoli TI</t>
  </si>
  <si>
    <t xml:space="preserve">C</t>
  </si>
  <si>
    <t xml:space="preserve">C02</t>
  </si>
  <si>
    <t xml:space="preserve">Upupe Umoristiche-Upupeopoli UE</t>
  </si>
  <si>
    <t xml:space="preserve">C03</t>
  </si>
  <si>
    <t xml:space="preserve">Vipere Vivaci-Vipereopoli VE</t>
  </si>
  <si>
    <t xml:space="preserve">C04</t>
  </si>
  <si>
    <t xml:space="preserve">Zebre Zelanti-Zebreopoli ZE</t>
  </si>
  <si>
    <t xml:space="preserve">C05</t>
  </si>
  <si>
    <t xml:space="preserve">Albatri Astuti-Albatriopoli AI</t>
  </si>
  <si>
    <t xml:space="preserve">C06</t>
  </si>
  <si>
    <t xml:space="preserve">Bisonti Baldanzosi-Bisontiopoli BI</t>
  </si>
  <si>
    <t xml:space="preserve">C07</t>
  </si>
  <si>
    <t xml:space="preserve">Cinghiali Caparbi-Cinghialiopoli CI</t>
  </si>
  <si>
    <t xml:space="preserve">C08</t>
  </si>
  <si>
    <t xml:space="preserve">Dromedari Danzanti-Dromedariopoli DI</t>
  </si>
  <si>
    <t xml:space="preserve">D01</t>
  </si>
  <si>
    <t xml:space="preserve">Elefanti Esuberanti-Elefantiopoli EI</t>
  </si>
  <si>
    <t xml:space="preserve">D</t>
  </si>
  <si>
    <t xml:space="preserve">D02</t>
  </si>
  <si>
    <t xml:space="preserve">Fenicotteri Focosi-Fenicotteriopoli FI</t>
  </si>
  <si>
    <t xml:space="preserve">D03</t>
  </si>
  <si>
    <t xml:space="preserve">Ghepardi Guizzanti-Ghepardiopoli GI</t>
  </si>
  <si>
    <t xml:space="preserve">D04</t>
  </si>
  <si>
    <t xml:space="preserve">Iguane Impavide-Iguaneopoli IE</t>
  </si>
  <si>
    <t xml:space="preserve">D05</t>
  </si>
  <si>
    <t xml:space="preserve">Lontre Loquaci-Lontreopoli LE</t>
  </si>
  <si>
    <t xml:space="preserve">D06</t>
  </si>
  <si>
    <t xml:space="preserve">Manguste Mordaci-Mangusteopoli ME</t>
  </si>
  <si>
    <t xml:space="preserve">D07</t>
  </si>
  <si>
    <t xml:space="preserve">Nutrie Nervose-Nutrieopoli NE</t>
  </si>
  <si>
    <t xml:space="preserve">D08</t>
  </si>
  <si>
    <t xml:space="preserve">Otarie Ottimiste-Otarieopoli OE</t>
  </si>
  <si>
    <t xml:space="preserve">E01</t>
  </si>
  <si>
    <t xml:space="preserve">Pipistrelli Pensierosi-Pipistrelliopoli PI</t>
  </si>
  <si>
    <t xml:space="preserve">E</t>
  </si>
  <si>
    <t xml:space="preserve">E02</t>
  </si>
  <si>
    <t xml:space="preserve">Quetzal Quotidiani-Quetzalopoli QL</t>
  </si>
  <si>
    <t xml:space="preserve">E03</t>
  </si>
  <si>
    <t xml:space="preserve">Ricci Rissosi-Ricciopoli RI</t>
  </si>
  <si>
    <t xml:space="preserve">E04</t>
  </si>
  <si>
    <t xml:space="preserve">Scoiattoli Scattanti-Scoiattoliopoli SI</t>
  </si>
  <si>
    <t xml:space="preserve">E05</t>
  </si>
  <si>
    <t xml:space="preserve">Tassi Turbolenti-Tassiopoli TI</t>
  </si>
  <si>
    <t xml:space="preserve">E06</t>
  </si>
  <si>
    <t xml:space="preserve">Uistiti Ubiqui-Uistitiopoli UI</t>
  </si>
  <si>
    <t xml:space="preserve">E07</t>
  </si>
  <si>
    <t xml:space="preserve">Volpi Vorticose-Volpiopoli VI</t>
  </si>
  <si>
    <t xml:space="preserve">E08</t>
  </si>
  <si>
    <t xml:space="preserve">Zibetti Zuccherini-Zibettiopoli ZI</t>
  </si>
  <si>
    <t xml:space="preserve">F01</t>
  </si>
  <si>
    <t xml:space="preserve">Antilopi Ardite-Antilopiopoli AI</t>
  </si>
  <si>
    <t xml:space="preserve">F</t>
  </si>
  <si>
    <t xml:space="preserve">F02</t>
  </si>
  <si>
    <t xml:space="preserve">Balene Bizzarre-Baleneopoli BE</t>
  </si>
  <si>
    <t xml:space="preserve">F03</t>
  </si>
  <si>
    <t xml:space="preserve">Camaleonti Caotici-Camaleontiopoli CI</t>
  </si>
  <si>
    <t xml:space="preserve">F04</t>
  </si>
  <si>
    <t xml:space="preserve">Donnole Determinate-Donnoleopoli DE</t>
  </si>
  <si>
    <t xml:space="preserve">F05</t>
  </si>
  <si>
    <t xml:space="preserve">Emu Energici-Emuopoli EU</t>
  </si>
  <si>
    <t xml:space="preserve">F06</t>
  </si>
  <si>
    <t xml:space="preserve">Foche Frenetiche-Focheopoli FE</t>
  </si>
  <si>
    <t xml:space="preserve">F07</t>
  </si>
  <si>
    <t xml:space="preserve">Gufi Golosi-Gufiopoli GI</t>
  </si>
  <si>
    <t xml:space="preserve">F08</t>
  </si>
  <si>
    <t xml:space="preserve">Iene Ilari-Ieneopoli IE</t>
  </si>
  <si>
    <t xml:space="preserve">G01</t>
  </si>
  <si>
    <t xml:space="preserve">Koala Kolossali-Koalaopoli KA</t>
  </si>
  <si>
    <t xml:space="preserve">G</t>
  </si>
  <si>
    <t xml:space="preserve">G02</t>
  </si>
  <si>
    <t xml:space="preserve">Leopardi Leggiadri-Leopardiopoli LI</t>
  </si>
  <si>
    <t xml:space="preserve">G03</t>
  </si>
  <si>
    <t xml:space="preserve">Meduse Malandrine-Meduseopoli ME</t>
  </si>
  <si>
    <t xml:space="preserve">G04</t>
  </si>
  <si>
    <t xml:space="preserve">Nandu Nottambuli-Nanduopoli NU</t>
  </si>
  <si>
    <t xml:space="preserve">G05</t>
  </si>
  <si>
    <t xml:space="preserve">Orangotanghi Operosi-Orangotanghiopoli OI</t>
  </si>
  <si>
    <t xml:space="preserve">G06</t>
  </si>
  <si>
    <t xml:space="preserve">Pinguini Prodigiosi-Pinguiniopoli PI</t>
  </si>
  <si>
    <t xml:space="preserve">G07</t>
  </si>
  <si>
    <t xml:space="preserve">Renne Rocambolesche-Renneopoli RE</t>
  </si>
  <si>
    <t xml:space="preserve">G08</t>
  </si>
  <si>
    <t xml:space="preserve">Struzzi Strepitosi-Struzziopoli SI</t>
  </si>
  <si>
    <t xml:space="preserve">H01</t>
  </si>
  <si>
    <t xml:space="preserve">Tartarughe Testarde-Tartarugheopoli TE</t>
  </si>
  <si>
    <t xml:space="preserve">H</t>
  </si>
  <si>
    <t xml:space="preserve">H02</t>
  </si>
  <si>
    <t xml:space="preserve">Urubu Urlanti-Urubuopoli UU</t>
  </si>
  <si>
    <t xml:space="preserve">H03</t>
  </si>
  <si>
    <t xml:space="preserve">Visoni Vigorosi-Visoniopoli VI</t>
  </si>
  <si>
    <t xml:space="preserve">H04</t>
  </si>
  <si>
    <t xml:space="preserve">Zanzare Zampettanti-Zanzareopoli ZE</t>
  </si>
  <si>
    <t xml:space="preserve">H05</t>
  </si>
  <si>
    <t xml:space="preserve">Aquile Audaci-Aquileopoli AE</t>
  </si>
  <si>
    <t xml:space="preserve">H06</t>
  </si>
  <si>
    <t xml:space="preserve">Bradipi Brillanti-Bradipiopoli BI</t>
  </si>
  <si>
    <t xml:space="preserve">H07</t>
  </si>
  <si>
    <t xml:space="preserve">Castori Cocciuti-Castoriopoli CI</t>
  </si>
  <si>
    <t xml:space="preserve">H08</t>
  </si>
  <si>
    <t xml:space="preserve">Draghi Dinamici-Draghiopoli DI</t>
  </si>
  <si>
    <t xml:space="preserve">CAMPI</t>
  </si>
  <si>
    <t xml:space="preserve">Nome Campo</t>
  </si>
  <si>
    <t xml:space="preserve">Link Mappa Campo</t>
  </si>
  <si>
    <t xml:space="preserve">PalaAnaconde, Via dello Sport 1, Anacondeopoli AE</t>
  </si>
  <si>
    <t xml:space="preserve">https://maps.example.org/campo/a01</t>
  </si>
  <si>
    <t xml:space="preserve">PalaBufali, Via dello Sport 2, Bufaliopoli BI</t>
  </si>
  <si>
    <t xml:space="preserve">https://maps.example.org/campo/a02</t>
  </si>
  <si>
    <t xml:space="preserve">PalaCobra, Via dello Sport 3, Cobraopoli CA</t>
  </si>
  <si>
    <t xml:space="preserve">https://maps.example.org/campo/a03</t>
  </si>
  <si>
    <t xml:space="preserve">PalaDelfini, Via dello Sport 4, Delfiniopoli DI</t>
  </si>
  <si>
    <t xml:space="preserve">https://maps.example.org/campo/a04</t>
  </si>
  <si>
    <t xml:space="preserve">PalaErmellini, Via dello Sport 5, Ermelliniopoli EI</t>
  </si>
  <si>
    <t xml:space="preserve">https://maps.example.org/campo/a05</t>
  </si>
  <si>
    <t xml:space="preserve">PalaFalchi, Via dello Sport 6, Falchiopoli FI</t>
  </si>
  <si>
    <t xml:space="preserve">https://maps.example.org/campo/a06</t>
  </si>
  <si>
    <t xml:space="preserve">PalaGazzelle, Via dello Sport 7, Gazzelleopoli GE</t>
  </si>
  <si>
    <t xml:space="preserve">https://maps.example.org/campo/a07</t>
  </si>
  <si>
    <t xml:space="preserve">PalaIppopotami, Via dello Sport 8, Ippopotamiopoli II</t>
  </si>
  <si>
    <t xml:space="preserve">https://maps.example.org/campo/a08</t>
  </si>
  <si>
    <t xml:space="preserve">PalaLupi, Via dello Sport 9, Lupiopoli LI</t>
  </si>
  <si>
    <t xml:space="preserve">https://maps.example.org/campo/b01</t>
  </si>
  <si>
    <t xml:space="preserve">PalaMarmotte, Via dello Sport 10, Marmotteopoli ME</t>
  </si>
  <si>
    <t xml:space="preserve">https://maps.example.org/campo/b02</t>
  </si>
  <si>
    <t xml:space="preserve">PalaNarvali, Via dello Sport 11, Narvaliopoli NI</t>
  </si>
  <si>
    <t xml:space="preserve">https://maps.example.org/campo/b03</t>
  </si>
  <si>
    <t xml:space="preserve">PalaOrsi, Via dello Sport 12, Orsiopoli OI</t>
  </si>
  <si>
    <t xml:space="preserve">https://maps.example.org/campo/b04</t>
  </si>
  <si>
    <t xml:space="preserve">PalaPantere, Via dello Sport 13, Pantereopoli PE</t>
  </si>
  <si>
    <t xml:space="preserve">https://maps.example.org/campo/b05</t>
  </si>
  <si>
    <t xml:space="preserve">PalaQuaglie, Via dello Sport 14, Quaglieopoli QE</t>
  </si>
  <si>
    <t xml:space="preserve">https://maps.example.org/campo/b06</t>
  </si>
  <si>
    <t xml:space="preserve">PalaRinoceronti, Via dello Sport 15, Rinocerontiopoli RI</t>
  </si>
  <si>
    <t xml:space="preserve">https://maps.example.org/campo/b07</t>
  </si>
  <si>
    <t xml:space="preserve">PalaSalamandre, Via dello Sport 16, Salamandreopoli SE</t>
  </si>
  <si>
    <t xml:space="preserve">https://maps.example.org/campo/b08</t>
  </si>
  <si>
    <t xml:space="preserve">PalaTigri, Via dello Sport 17, Tigriopoli TI</t>
  </si>
  <si>
    <t xml:space="preserve">https://maps.example.org/campo/c01</t>
  </si>
  <si>
    <t xml:space="preserve">PalaUpupe, Via dello Sport 18, Upupeopoli UE</t>
  </si>
  <si>
    <t xml:space="preserve">https://maps.example.org/campo/c02</t>
  </si>
  <si>
    <t xml:space="preserve">PalaVipere, Via dello Sport 19, Vipereopoli VE</t>
  </si>
  <si>
    <t xml:space="preserve">https://maps.example.org/campo/c03</t>
  </si>
  <si>
    <t xml:space="preserve">PalaZebre, Via dello Sport 20, Zebreopoli ZE</t>
  </si>
  <si>
    <t xml:space="preserve">https://maps.example.org/campo/c04</t>
  </si>
  <si>
    <t xml:space="preserve">PalaAlbatri, Via dello Sport 1, Albatriopoli AI</t>
  </si>
  <si>
    <t xml:space="preserve">https://maps.example.org/campo/c05</t>
  </si>
  <si>
    <t xml:space="preserve">PalaBisonti, Via dello Sport 2, Bisontiopoli BI</t>
  </si>
  <si>
    <t xml:space="preserve">https://maps.example.org/campo/c06</t>
  </si>
  <si>
    <t xml:space="preserve">PalaCinghiali, Via dello Sport 3, Cinghialiopoli CI</t>
  </si>
  <si>
    <t xml:space="preserve">https://maps.example.org/campo/c07</t>
  </si>
  <si>
    <t xml:space="preserve">PalaDromedari, Via dello Sport 4, Dromedariopoli DI</t>
  </si>
  <si>
    <t xml:space="preserve">https://maps.example.org/campo/c08</t>
  </si>
  <si>
    <t xml:space="preserve">PalaElefanti, Via dello Sport 5, Elefantiopoli EI</t>
  </si>
  <si>
    <t xml:space="preserve">https://maps.example.org/campo/d01</t>
  </si>
  <si>
    <t xml:space="preserve">PalaFenicotteri, Via dello Sport 6, Fenicotteriopoli FI</t>
  </si>
  <si>
    <t xml:space="preserve">https://maps.example.org/campo/d02</t>
  </si>
  <si>
    <t xml:space="preserve">PalaGhepardi, Via dello Sport 7, Ghepardiopoli GI</t>
  </si>
  <si>
    <t xml:space="preserve">https://maps.example.org/campo/d03</t>
  </si>
  <si>
    <t xml:space="preserve">PalaIguane, Via dello Sport 8, Iguaneopoli IE</t>
  </si>
  <si>
    <t xml:space="preserve">https://maps.example.org/campo/d04</t>
  </si>
  <si>
    <t xml:space="preserve">PalaLontre, Via dello Sport 9, Lontreopoli LE</t>
  </si>
  <si>
    <t xml:space="preserve">https://maps.example.org/campo/d05</t>
  </si>
  <si>
    <t xml:space="preserve">PalaManguste, Via dello Sport 10, Mangusteopoli ME</t>
  </si>
  <si>
    <t xml:space="preserve">https://maps.example.org/campo/d06</t>
  </si>
  <si>
    <t xml:space="preserve">PalaNutrie, Via dello Sport 11, Nutrieopoli NE</t>
  </si>
  <si>
    <t xml:space="preserve">https://maps.example.org/campo/d07</t>
  </si>
  <si>
    <t xml:space="preserve">PalaOtarie, Via dello Sport 12, Otarieopoli OE</t>
  </si>
  <si>
    <t xml:space="preserve">https://maps.example.org/campo/d08</t>
  </si>
  <si>
    <t xml:space="preserve">PalaPipistrelli, Via dello Sport 13, Pipistrelliopoli PI</t>
  </si>
  <si>
    <t xml:space="preserve">https://maps.example.org/campo/e01</t>
  </si>
  <si>
    <t xml:space="preserve">PalaQuetzal, Via dello Sport 14, Quetzalopoli QL</t>
  </si>
  <si>
    <t xml:space="preserve">https://maps.example.org/campo/e02</t>
  </si>
  <si>
    <t xml:space="preserve">PalaRicci, Via dello Sport 15, Ricciopoli RI</t>
  </si>
  <si>
    <t xml:space="preserve">https://maps.example.org/campo/e03</t>
  </si>
  <si>
    <t xml:space="preserve">PalaScoiattoli, Via dello Sport 16, Scoiattoliopoli SI</t>
  </si>
  <si>
    <t xml:space="preserve">https://maps.example.org/campo/e04</t>
  </si>
  <si>
    <t xml:space="preserve">PalaTassi, Via dello Sport 17, Tassiopoli TI</t>
  </si>
  <si>
    <t xml:space="preserve">https://maps.example.org/campo/e05</t>
  </si>
  <si>
    <t xml:space="preserve">PalaUistiti, Via dello Sport 18, Uistitiopoli UI</t>
  </si>
  <si>
    <t xml:space="preserve">https://maps.example.org/campo/e06</t>
  </si>
  <si>
    <t xml:space="preserve">PalaVolpi, Via dello Sport 19, Volpiopoli VI</t>
  </si>
  <si>
    <t xml:space="preserve">https://maps.example.org/campo/e07</t>
  </si>
  <si>
    <t xml:space="preserve">PalaZibetti, Via dello Sport 20, Zibettiopoli ZI</t>
  </si>
  <si>
    <t xml:space="preserve">https://maps.example.org/campo/e08</t>
  </si>
  <si>
    <t xml:space="preserve">PalaAntilopi, Via dello Sport 1, Antilopiopoli AI</t>
  </si>
  <si>
    <t xml:space="preserve">https://maps.example.org/campo/f01</t>
  </si>
  <si>
    <t xml:space="preserve">PalaBalene, Via dello Sport 2, Baleneopoli BE</t>
  </si>
  <si>
    <t xml:space="preserve">https://maps.example.org/campo/f02</t>
  </si>
  <si>
    <t xml:space="preserve">PalaCamaleonti, Via dello Sport 3, Camaleontiopoli CI</t>
  </si>
  <si>
    <t xml:space="preserve">https://maps.example.org/campo/f03</t>
  </si>
  <si>
    <t xml:space="preserve">PalaDonnole, Via dello Sport 4, Donnoleopoli DE</t>
  </si>
  <si>
    <t xml:space="preserve">https://maps.example.org/campo/f04</t>
  </si>
  <si>
    <t xml:space="preserve">PalaEmu, Via dello Sport 5, Emuopoli EU</t>
  </si>
  <si>
    <t xml:space="preserve">https://maps.example.org/campo/f05</t>
  </si>
  <si>
    <t xml:space="preserve">PalaFoche, Via dello Sport 6, Focheopoli FE</t>
  </si>
  <si>
    <t xml:space="preserve">https://maps.example.org/campo/f06</t>
  </si>
  <si>
    <t xml:space="preserve">PalaGufi, Via dello Sport 7, Gufiopoli GI</t>
  </si>
  <si>
    <t xml:space="preserve">https://maps.example.org/campo/f07</t>
  </si>
  <si>
    <t xml:space="preserve">PalaIene, Via dello Sport 8, Ieneopoli IE</t>
  </si>
  <si>
    <t xml:space="preserve">https://maps.example.org/campo/f08</t>
  </si>
  <si>
    <t xml:space="preserve">PalaKoala, Via dello Sport 9, Koalaopoli KA</t>
  </si>
  <si>
    <t xml:space="preserve">https://maps.example.org/campo/g01</t>
  </si>
  <si>
    <t xml:space="preserve">PalaLeopardi, Via dello Sport 10, Leopardiopoli LI</t>
  </si>
  <si>
    <t xml:space="preserve">https://maps.example.org/campo/g02</t>
  </si>
  <si>
    <t xml:space="preserve">PalaMeduse, Via dello Sport 11, Meduseopoli ME</t>
  </si>
  <si>
    <t xml:space="preserve">https://maps.example.org/campo/g03</t>
  </si>
  <si>
    <t xml:space="preserve">PalaNandu, Via dello Sport 12, Nanduopoli NU</t>
  </si>
  <si>
    <t xml:space="preserve">https://maps.example.org/campo/g04</t>
  </si>
  <si>
    <t xml:space="preserve">PalaOrangotanghi, Via dello Sport 13, Orangotanghiopoli OI</t>
  </si>
  <si>
    <t xml:space="preserve">https://maps.example.org/campo/g05</t>
  </si>
  <si>
    <t xml:space="preserve">PalaPinguini, Via dello Sport 14, Pinguiniopoli PI</t>
  </si>
  <si>
    <t xml:space="preserve">https://maps.example.org/campo/g06</t>
  </si>
  <si>
    <t xml:space="preserve">PalaRenne, Via dello Sport 15, Renneopoli RE</t>
  </si>
  <si>
    <t xml:space="preserve">https://maps.example.org/campo/g07</t>
  </si>
  <si>
    <t xml:space="preserve">PalaStruzzi, Via dello Sport 16, Struzziopoli SI</t>
  </si>
  <si>
    <t xml:space="preserve">https://maps.example.org/campo/g08</t>
  </si>
  <si>
    <t xml:space="preserve">PalaTartarughe, Via dello Sport 17, Tartarugheopoli TE</t>
  </si>
  <si>
    <t xml:space="preserve">https://maps.example.org/campo/h01</t>
  </si>
  <si>
    <t xml:space="preserve">PalaUrubu, Via dello Sport 18, Urubuopoli UU</t>
  </si>
  <si>
    <t xml:space="preserve">https://maps.example.org/campo/h02</t>
  </si>
  <si>
    <t xml:space="preserve">PalaVisoni, Via dello Sport 19, Visoniopoli VI</t>
  </si>
  <si>
    <t xml:space="preserve">https://maps.example.org/campo/h03</t>
  </si>
  <si>
    <t xml:space="preserve">PalaZanzare, Via dello Sport 20, Zanzareopoli ZE</t>
  </si>
  <si>
    <t xml:space="preserve">https://maps.example.org/campo/h04</t>
  </si>
  <si>
    <t xml:space="preserve">PalaAquile, Via dello Sport 1, Aquileopoli AE</t>
  </si>
  <si>
    <t xml:space="preserve">https://maps.example.org/campo/h05</t>
  </si>
  <si>
    <t xml:space="preserve">PalaBradipi, Via dello Sport 2, Bradipiopoli BI</t>
  </si>
  <si>
    <t xml:space="preserve">https://maps.example.org/campo/h06</t>
  </si>
  <si>
    <t xml:space="preserve">PalaCastori, Via dello Sport 3, Castoriopoli CI</t>
  </si>
  <si>
    <t xml:space="preserve">https://maps.example.org/campo/h07</t>
  </si>
  <si>
    <t xml:space="preserve">PalaDraghi, Via dello Sport 4, Draghiopoli DI</t>
  </si>
  <si>
    <t xml:space="preserve">https://maps.example.org/campo/h08</t>
  </si>
  <si>
    <t xml:space="preserve">TBD</t>
  </si>
  <si>
    <t xml:space="preserve">DA DEFINIRE</t>
  </si>
  <si>
    <t xml:space="preserve">Sfondo verde: campo ancora da definire (codice TBD).</t>
  </si>
  <si>
    <t xml:space="preserve">Squadra A</t>
  </si>
  <si>
    <t xml:space="preserve">Vinta A</t>
  </si>
  <si>
    <t xml:space="preserve">Forfait A</t>
  </si>
  <si>
    <t xml:space="preserve">Persa A</t>
  </si>
  <si>
    <t xml:space="preserve">Punti Fatti A</t>
  </si>
  <si>
    <t xml:space="preserve">Punti Subiti A</t>
  </si>
  <si>
    <t xml:space="preserve">Differenza Punti A</t>
  </si>
  <si>
    <t xml:space="preserve">Squadra B</t>
  </si>
  <si>
    <t xml:space="preserve">Vinta B</t>
  </si>
  <si>
    <t xml:space="preserve">Forfait B</t>
  </si>
  <si>
    <t xml:space="preserve">Persa B</t>
  </si>
  <si>
    <t xml:space="preserve">Punti Fatti B</t>
  </si>
  <si>
    <t xml:space="preserve">Punti Subiti B</t>
  </si>
  <si>
    <t xml:space="preserve">Differenza Punti B</t>
  </si>
  <si>
    <t xml:space="preserve">Vincente</t>
  </si>
  <si>
    <t xml:space="preserve">Perdente</t>
  </si>
  <si>
    <t xml:space="preserve">1A</t>
  </si>
  <si>
    <t xml:space="preserve">Gara N.</t>
  </si>
  <si>
    <t xml:space="preserve">Giorno</t>
  </si>
  <si>
    <t xml:space="preserve">Data</t>
  </si>
  <si>
    <t xml:space="preserve">Ora</t>
  </si>
  <si>
    <t xml:space="preserve">Risultato</t>
  </si>
  <si>
    <t xml:space="preserve">-</t>
  </si>
  <si>
    <t xml:space="preserve">2A</t>
  </si>
  <si>
    <t xml:space="preserve">3A</t>
  </si>
  <si>
    <t xml:space="preserve">4A</t>
  </si>
  <si>
    <t xml:space="preserve">5A</t>
  </si>
  <si>
    <t xml:space="preserve">6A</t>
  </si>
  <si>
    <t xml:space="preserve">7A</t>
  </si>
  <si>
    <t xml:space="preserve">Ogni giornata e' un concentramento unico ospitato da una squadra del girone.</t>
  </si>
  <si>
    <t xml:space="preserve">1B</t>
  </si>
  <si>
    <t xml:space="preserve">2B</t>
  </si>
  <si>
    <t xml:space="preserve">3B</t>
  </si>
  <si>
    <t xml:space="preserve">4B</t>
  </si>
  <si>
    <t xml:space="preserve">5B</t>
  </si>
  <si>
    <t xml:space="preserve">6B</t>
  </si>
  <si>
    <t xml:space="preserve">7B</t>
  </si>
  <si>
    <t xml:space="preserve">1C</t>
  </si>
  <si>
    <t xml:space="preserve">2C</t>
  </si>
  <si>
    <t xml:space="preserve">3C</t>
  </si>
  <si>
    <t xml:space="preserve">4C</t>
  </si>
  <si>
    <t xml:space="preserve">5C</t>
  </si>
  <si>
    <t xml:space="preserve">6C</t>
  </si>
  <si>
    <t xml:space="preserve">7C</t>
  </si>
  <si>
    <t xml:space="preserve">1D</t>
  </si>
  <si>
    <t xml:space="preserve">2D</t>
  </si>
  <si>
    <t xml:space="preserve">3D</t>
  </si>
  <si>
    <t xml:space="preserve">4D</t>
  </si>
  <si>
    <t xml:space="preserve">5D</t>
  </si>
  <si>
    <t xml:space="preserve">6D</t>
  </si>
  <si>
    <t xml:space="preserve">7D</t>
  </si>
  <si>
    <t xml:space="preserve">1E</t>
  </si>
  <si>
    <t xml:space="preserve">2E</t>
  </si>
  <si>
    <t xml:space="preserve">3E</t>
  </si>
  <si>
    <t xml:space="preserve">4E</t>
  </si>
  <si>
    <t xml:space="preserve">5E</t>
  </si>
  <si>
    <t xml:space="preserve">6E</t>
  </si>
  <si>
    <t xml:space="preserve">7E</t>
  </si>
  <si>
    <t xml:space="preserve">1F</t>
  </si>
  <si>
    <t xml:space="preserve">2F</t>
  </si>
  <si>
    <t xml:space="preserve">3F</t>
  </si>
  <si>
    <t xml:space="preserve">4F</t>
  </si>
  <si>
    <t xml:space="preserve">5F</t>
  </si>
  <si>
    <t xml:space="preserve">6F</t>
  </si>
  <si>
    <t xml:space="preserve">7F</t>
  </si>
  <si>
    <t xml:space="preserve">1G</t>
  </si>
  <si>
    <t xml:space="preserve">2G</t>
  </si>
  <si>
    <t xml:space="preserve">3G</t>
  </si>
  <si>
    <t xml:space="preserve">4G</t>
  </si>
  <si>
    <t xml:space="preserve">5G</t>
  </si>
  <si>
    <t xml:space="preserve">6G</t>
  </si>
  <si>
    <t xml:space="preserve">7G</t>
  </si>
  <si>
    <t xml:space="preserve">1H</t>
  </si>
  <si>
    <t xml:space="preserve">2H</t>
  </si>
  <si>
    <t xml:space="preserve">3H</t>
  </si>
  <si>
    <t xml:space="preserve">4H</t>
  </si>
  <si>
    <t xml:space="preserve">5H</t>
  </si>
  <si>
    <t xml:space="preserve">6H</t>
  </si>
  <si>
    <t xml:space="preserve">7H</t>
  </si>
  <si>
    <t xml:space="preserve">PLAYOFF OTTAVI DI FINALE</t>
  </si>
  <si>
    <t xml:space="preserve">A1</t>
  </si>
  <si>
    <t xml:space="preserve">H2</t>
  </si>
  <si>
    <t xml:space="preserve">B1</t>
  </si>
  <si>
    <t xml:space="preserve">G2</t>
  </si>
  <si>
    <t xml:space="preserve">C1</t>
  </si>
  <si>
    <t xml:space="preserve">F2</t>
  </si>
  <si>
    <t xml:space="preserve">D1</t>
  </si>
  <si>
    <t xml:space="preserve">E2</t>
  </si>
  <si>
    <t xml:space="preserve">E1</t>
  </si>
  <si>
    <t xml:space="preserve">D2</t>
  </si>
  <si>
    <t xml:space="preserve">F1</t>
  </si>
  <si>
    <t xml:space="preserve">C2</t>
  </si>
  <si>
    <t xml:space="preserve">G1</t>
  </si>
  <si>
    <t xml:space="preserve">B2</t>
  </si>
  <si>
    <t xml:space="preserve">H1</t>
  </si>
  <si>
    <t xml:space="preserve">A2</t>
  </si>
  <si>
    <t xml:space="preserve">PLAYOFF QUARTI DI FINALE</t>
  </si>
  <si>
    <t xml:space="preserve">PLAYOFF SEMIFINALI</t>
  </si>
  <si>
    <t xml:space="preserve">PLAYOFF FINALI</t>
  </si>
  <si>
    <t xml:space="preserve">Ottavi: 1A-2H, 1B-2G, 1C-2F, 1D-2E, 1E-2D, 1F-2C, 1G-2B, 1H-2A.</t>
  </si>
  <si>
    <t xml:space="preserve">Quarti: V.O1-V.O8, V.O2-V.O7, V.O3-V.O6, V.O4-V.O5. Semifinali: V.Q1-V.Q4, V.Q2-V.Q3.</t>
  </si>
  <si>
    <t xml:space="preserve">Finali: perdenti semifinali = finale 3o-4o posto; vincenti = finale 1o-2o posto.</t>
  </si>
  <si>
    <t xml:space="preserve">P</t>
  </si>
  <si>
    <t xml:space="preserve">Classifica</t>
  </si>
  <si>
    <t xml:space="preserve">Pun</t>
  </si>
  <si>
    <t xml:space="preserve">Partite</t>
  </si>
  <si>
    <t xml:space="preserve">Punti</t>
  </si>
  <si>
    <t xml:space="preserve">Record
Sc.Diretti</t>
  </si>
  <si>
    <t xml:space="preserve">Quoziente
Sc.Diretti</t>
  </si>
  <si>
    <t xml:space="preserve">Quoziente
Totale</t>
  </si>
  <si>
    <t xml:space="preserve">V</t>
  </si>
  <si>
    <t xml:space="preserve">Fat</t>
  </si>
  <si>
    <t xml:space="preserve">Sub</t>
  </si>
  <si>
    <t xml:space="preserve">Dif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</si>
  <si>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</si>
  <si>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</si>
  <si>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</si>
  <si>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</si>
  <si>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</si>
  <si>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</si>
  <si>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</si>
  <si>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</si>
  <si>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</si>
  <si>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</si>
  <si>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</si>
  <si>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</si>
  <si>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</si>
  <si>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</si>
  <si>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</si>
  <si>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</si>
  <si>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</si>
  <si>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</si>
  <si>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</si>
  <si>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</si>
  <si>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</si>
  <si>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</si>
  <si>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</si>
  <si>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</si>
  <si>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</si>
  <si>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</si>
  <si>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</si>
  <si>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</si>
  <si>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</si>
  <si>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</si>
  <si>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</si>
  <si>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</si>
  <si>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</si>
  <si>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</si>
  <si>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</si>
  <si>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</si>
  <si>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</si>
  <si>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</si>
  <si>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</si>
  <si>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</si>
  <si>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</si>
  <si>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</si>
  <si>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</si>
  <si>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</si>
  <si>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</si>
  <si>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</si>
  <si>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</si>
  <si>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</si>
  <si>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Legenda: le prime due classificate di ogni girone accedono ai playoff (sfondo colorato).</t>
  </si>
  <si>
    <t xml:space="preserve">Pos.</t>
  </si>
  <si>
    <t xml:space="preserve">Traguardo</t>
  </si>
  <si>
    <t xml:space="preserve">Vincente finale 1o-2o posto</t>
  </si>
  <si>
    <t xml:space="preserve">Perdente finale 1o-2o posto</t>
  </si>
  <si>
    <t xml:space="preserve">Vincente finale 3o-4o posto</t>
  </si>
  <si>
    <t xml:space="preserve">Perdente finale 3o-4o posto</t>
  </si>
  <si>
    <t xml:space="preserve">Perdente quarti di finale</t>
  </si>
  <si>
    <t xml:space="preserve">Perdente ottavi di finale</t>
  </si>
  <si>
    <t xml:space="preserve">Girone A - 3a classificata</t>
  </si>
  <si>
    <t xml:space="preserve">Girone A - 4a classificata</t>
  </si>
  <si>
    <t xml:space="preserve">Girone A - 5a classificata</t>
  </si>
  <si>
    <t xml:space="preserve">Girone A - 6a classificata</t>
  </si>
  <si>
    <t xml:space="preserve">Girone A - 7a classificata</t>
  </si>
  <si>
    <t xml:space="preserve">Girone A - 8a classificata</t>
  </si>
  <si>
    <t xml:space="preserve">Girone B - 3a classificata</t>
  </si>
  <si>
    <t xml:space="preserve">Girone B - 4a classificata</t>
  </si>
  <si>
    <t xml:space="preserve">Girone B - 5a classificata</t>
  </si>
  <si>
    <t xml:space="preserve">Girone B - 6a classificata</t>
  </si>
  <si>
    <t xml:space="preserve">Girone B - 7a classificata</t>
  </si>
  <si>
    <t xml:space="preserve">Girone B - 8a classificata</t>
  </si>
  <si>
    <t xml:space="preserve">Girone C - 3a classificata</t>
  </si>
  <si>
    <t xml:space="preserve">Girone C - 4a classificata</t>
  </si>
  <si>
    <t xml:space="preserve">Girone C - 5a classificata</t>
  </si>
  <si>
    <t xml:space="preserve">Girone C - 6a classificata</t>
  </si>
  <si>
    <t xml:space="preserve">Girone C - 7a classificata</t>
  </si>
  <si>
    <t xml:space="preserve">Girone C - 8a classificata</t>
  </si>
  <si>
    <t xml:space="preserve">Girone D - 3a classificata</t>
  </si>
  <si>
    <t xml:space="preserve">Girone D - 4a classificata</t>
  </si>
  <si>
    <t xml:space="preserve">Girone D - 5a classificata</t>
  </si>
  <si>
    <t xml:space="preserve">Girone D - 6a classificata</t>
  </si>
  <si>
    <t xml:space="preserve">Girone D - 7a classificata</t>
  </si>
  <si>
    <t xml:space="preserve">Girone D - 8a classificata</t>
  </si>
  <si>
    <t xml:space="preserve">Girone E - 3a classificata</t>
  </si>
  <si>
    <t xml:space="preserve">Girone E - 4a classificata</t>
  </si>
  <si>
    <t xml:space="preserve">Girone E - 5a classificata</t>
  </si>
  <si>
    <t xml:space="preserve">Girone E - 6a classificata</t>
  </si>
  <si>
    <t xml:space="preserve">Girone E - 7a classificata</t>
  </si>
  <si>
    <t xml:space="preserve">Girone E - 8a classificata</t>
  </si>
  <si>
    <t xml:space="preserve">Girone F - 3a classificata</t>
  </si>
  <si>
    <t xml:space="preserve">Girone F - 4a classificata</t>
  </si>
  <si>
    <t xml:space="preserve">Girone F - 5a classificata</t>
  </si>
  <si>
    <t xml:space="preserve">Girone F - 6a classificata</t>
  </si>
  <si>
    <t xml:space="preserve">Girone F - 7a classificata</t>
  </si>
  <si>
    <t xml:space="preserve">Girone F - 8a classificata</t>
  </si>
  <si>
    <t xml:space="preserve">Girone G - 3a classificata</t>
  </si>
  <si>
    <t xml:space="preserve">Girone G - 4a classificata</t>
  </si>
  <si>
    <t xml:space="preserve">Girone G - 5a classificata</t>
  </si>
  <si>
    <t xml:space="preserve">Girone G - 6a classificata</t>
  </si>
  <si>
    <t xml:space="preserve">Girone G - 7a classificata</t>
  </si>
  <si>
    <t xml:space="preserve">Girone G - 8a classificata</t>
  </si>
  <si>
    <t xml:space="preserve">Girone H - 3a classificata</t>
  </si>
  <si>
    <t xml:space="preserve">Girone H - 4a classificata</t>
  </si>
  <si>
    <t xml:space="preserve">Girone H - 5a classificata</t>
  </si>
  <si>
    <t xml:space="preserve">Girone H - 6a classificata</t>
  </si>
  <si>
    <t xml:space="preserve">Girone H - 7a classificata</t>
  </si>
  <si>
    <t xml:space="preserve">Girone H - 8a classificata</t>
  </si>
  <si>
    <t xml:space="preserve">Le posizioni dalla 17a in poi seguono l'ordine dei rispettivi gironi (nessuno spareggio).</t>
  </si>
  <si>
    <t xml:space="preserve">ARBITRI</t>
  </si>
  <si>
    <t xml:space="preserve">UFFICIALI DI CAMPO</t>
  </si>
  <si>
    <t xml:space="preserve">1o Arbitro</t>
  </si>
  <si>
    <t xml:space="preserve">2o Arbitro</t>
  </si>
  <si>
    <t xml:space="preserve">3o Arbitro/Tirocinante</t>
  </si>
  <si>
    <t xml:space="preserve">Referto</t>
  </si>
  <si>
    <t xml:space="preserve">Cronometro</t>
  </si>
  <si>
    <t xml:space="preserve">Foglio Tiri</t>
  </si>
  <si>
    <t xml:space="preserve">Designazioni da compilare. Elenchi a discesa dai fogli 'Arbitri' e 'UdC'.</t>
  </si>
  <si>
    <t xml:space="preserve">Formattazione condizionale attiva su tutte le 240 gare predisposte: evidenzia in rosa la stessa persona designata due volte nella stessa gara.</t>
  </si>
  <si>
    <t xml:space="preserve">COGNOME Nome</t>
  </si>
  <si>
    <t xml:space="preserve">Indisponibilita' / note</t>
  </si>
  <si>
    <t xml:space="preserve">Tot.</t>
  </si>
  <si>
    <t xml:space="preserve">3o Arb./Tiroc.</t>
  </si>
  <si>
    <t xml:space="preserve">ACERO Aurelio [A]</t>
  </si>
  <si>
    <t xml:space="preserve">ACERO Berta [AA]</t>
  </si>
  <si>
    <t xml:space="preserve">ACERO Celeste [AAt]</t>
  </si>
  <si>
    <t xml:space="preserve">ACERO Dario [Aest]</t>
  </si>
  <si>
    <t xml:space="preserve">ACERO Ennio [AA]</t>
  </si>
  <si>
    <t xml:space="preserve">BETULLA Aurelio [AA]</t>
  </si>
  <si>
    <t xml:space="preserve">BETULLA Berta [AAt]</t>
  </si>
  <si>
    <t xml:space="preserve">BETULLA Celeste [Aest]</t>
  </si>
  <si>
    <t xml:space="preserve">BETULLA Dario [AA]</t>
  </si>
  <si>
    <t xml:space="preserve">BETULLA Ennio [A]</t>
  </si>
  <si>
    <t xml:space="preserve">CEDRO Aurelio [AAt]</t>
  </si>
  <si>
    <t xml:space="preserve">CEDRO Berta [Aest]</t>
  </si>
  <si>
    <t xml:space="preserve">CEDRO Celeste [AA]</t>
  </si>
  <si>
    <t xml:space="preserve">CEDRO Dario [A]</t>
  </si>
  <si>
    <t xml:space="preserve">CEDRO Ennio [AA]</t>
  </si>
  <si>
    <t xml:space="preserve">DOUGLASIA Aurelio [Aest]</t>
  </si>
  <si>
    <t xml:space="preserve">DOUGLASIA Berta [AA]</t>
  </si>
  <si>
    <t xml:space="preserve">DOUGLASIA Celeste [A]</t>
  </si>
  <si>
    <t xml:space="preserve">DOUGLASIA Dario [AA]</t>
  </si>
  <si>
    <t xml:space="preserve">DOUGLASIA Ennio [AAt]</t>
  </si>
  <si>
    <t xml:space="preserve">EBANO Aurelio [AA]</t>
  </si>
  <si>
    <t xml:space="preserve">EBANO Berta [A]</t>
  </si>
  <si>
    <t xml:space="preserve">EBANO Celeste [AA]</t>
  </si>
  <si>
    <t xml:space="preserve">EBANO Dario [AAt]</t>
  </si>
  <si>
    <t xml:space="preserve">EBANO Ennio [Aest]</t>
  </si>
  <si>
    <t xml:space="preserve">FAGGIO Aurelio [A]</t>
  </si>
  <si>
    <t xml:space="preserve">FAGGIO Berta [AA]</t>
  </si>
  <si>
    <t xml:space="preserve">FAGGIO Celeste [AAt]</t>
  </si>
  <si>
    <t xml:space="preserve">FAGGIO Dario [Aest]</t>
  </si>
  <si>
    <t xml:space="preserve">FAGGIO Ennio [AA]</t>
  </si>
  <si>
    <t xml:space="preserve">GINEPRO Aurelio [AA]</t>
  </si>
  <si>
    <t xml:space="preserve">GINEPRO Berta [AAt]</t>
  </si>
  <si>
    <t xml:space="preserve">GINEPRO Celeste [Aest]</t>
  </si>
  <si>
    <t xml:space="preserve">GINEPRO Dario [AA]</t>
  </si>
  <si>
    <t xml:space="preserve">GINEPRO Ennio [A]</t>
  </si>
  <si>
    <t xml:space="preserve">IPPOCASTANO Aurelio [AAt]</t>
  </si>
  <si>
    <t xml:space="preserve">IPPOCASTANO Berta [Aest]</t>
  </si>
  <si>
    <t xml:space="preserve">IPPOCASTANO Celeste [AA]</t>
  </si>
  <si>
    <t xml:space="preserve">IPPOCASTANO Dario [A]</t>
  </si>
  <si>
    <t xml:space="preserve">IPPOCASTANO Ennio [AA]</t>
  </si>
  <si>
    <t xml:space="preserve">LARICE Aurelio [Aest]</t>
  </si>
  <si>
    <t xml:space="preserve">LARICE Berta [AA]</t>
  </si>
  <si>
    <t xml:space="preserve">LARICE Celeste [A]</t>
  </si>
  <si>
    <t xml:space="preserve">LARICE Dario [AA]</t>
  </si>
  <si>
    <t xml:space="preserve">LARICE Ennio [AAt]</t>
  </si>
  <si>
    <t xml:space="preserve">MAGNOLIA Aurelio [AA]</t>
  </si>
  <si>
    <t xml:space="preserve">MAGNOLIA Berta [A]</t>
  </si>
  <si>
    <t xml:space="preserve">MAGNOLIA Celeste [AA]</t>
  </si>
  <si>
    <t xml:space="preserve">MAGNOLIA Dario [AAt]</t>
  </si>
  <si>
    <t xml:space="preserve">MAGNOLIA Ennio [Aest]</t>
  </si>
  <si>
    <t xml:space="preserve">NOCCIOLO Aurelio [A]</t>
  </si>
  <si>
    <t xml:space="preserve">NOCCIOLO Berta [AA]</t>
  </si>
  <si>
    <t xml:space="preserve">NOCCIOLO Celeste [AAt]</t>
  </si>
  <si>
    <t xml:space="preserve">NOCCIOLO Dario [Aest]</t>
  </si>
  <si>
    <t xml:space="preserve">NOCCIOLO Ennio [AA]</t>
  </si>
  <si>
    <t xml:space="preserve">OLMO Aurelio [AA]</t>
  </si>
  <si>
    <t xml:space="preserve">OLMO Berta [AAt]</t>
  </si>
  <si>
    <t xml:space="preserve">OLMO Celeste [Aest]</t>
  </si>
  <si>
    <t xml:space="preserve">OLMO Dario [AA]</t>
  </si>
  <si>
    <t xml:space="preserve">OLMO Ennio [A]</t>
  </si>
  <si>
    <t xml:space="preserve">PIOPPO Aurelio [AAt]</t>
  </si>
  <si>
    <t xml:space="preserve">PIOPPO Berta [Aest]</t>
  </si>
  <si>
    <t xml:space="preserve">PIOPPO Celeste [AA]</t>
  </si>
  <si>
    <t xml:space="preserve">PIOPPO Dario [A]</t>
  </si>
  <si>
    <t xml:space="preserve">PIOPPO Ennio [AA]</t>
  </si>
  <si>
    <t xml:space="preserve">PLATANO Aurelio [Aest]</t>
  </si>
  <si>
    <t xml:space="preserve">PLATANO Berta [AA]</t>
  </si>
  <si>
    <t xml:space="preserve">PLATANO Celeste [A]</t>
  </si>
  <si>
    <t xml:space="preserve">PLATANO Dario [AA]</t>
  </si>
  <si>
    <t xml:space="preserve">PLATANO Ennio [AAt]</t>
  </si>
  <si>
    <t xml:space="preserve">ROVERE Aurelio [AA]</t>
  </si>
  <si>
    <t xml:space="preserve">ROVERE Berta [A]</t>
  </si>
  <si>
    <t xml:space="preserve">ROVERE Celeste [AA]</t>
  </si>
  <si>
    <t xml:space="preserve">ROVERE Dario [AAt]</t>
  </si>
  <si>
    <t xml:space="preserve">ROVERE Ennio [Aest]</t>
  </si>
  <si>
    <t xml:space="preserve">SALICE Aurelio [A]</t>
  </si>
  <si>
    <t xml:space="preserve">SALICE Berta [AA]</t>
  </si>
  <si>
    <t xml:space="preserve">SALICE Celeste [AAt]</t>
  </si>
  <si>
    <t xml:space="preserve">SALICE Dario [Aest]</t>
  </si>
  <si>
    <t xml:space="preserve">SALICE Ennio [AA]</t>
  </si>
  <si>
    <t xml:space="preserve">TIGLIO Aurelio [AA]</t>
  </si>
  <si>
    <t xml:space="preserve">TIGLIO Berta [AAt]</t>
  </si>
  <si>
    <t xml:space="preserve">TIGLIO Celeste [Aest]</t>
  </si>
  <si>
    <t xml:space="preserve">TIGLIO Dario [AA]</t>
  </si>
  <si>
    <t xml:space="preserve">TIGLIO Ennio [A]</t>
  </si>
  <si>
    <t xml:space="preserve">ULIVO Aurelio [AAt]</t>
  </si>
  <si>
    <t xml:space="preserve">ULIVO Berta [Aest]</t>
  </si>
  <si>
    <t xml:space="preserve">ULIVO Celeste [AA]</t>
  </si>
  <si>
    <t xml:space="preserve">ULIVO Dario [A]</t>
  </si>
  <si>
    <t xml:space="preserve">ULIVO Ennio [AA]</t>
  </si>
  <si>
    <t xml:space="preserve">VISCHIO Aurelio [Aest]</t>
  </si>
  <si>
    <t xml:space="preserve">VISCHIO Berta [AA]</t>
  </si>
  <si>
    <t xml:space="preserve">VISCHIO Celeste [A]</t>
  </si>
  <si>
    <t xml:space="preserve">VISCHIO Dario [AA]</t>
  </si>
  <si>
    <t xml:space="preserve">VISCHIO Ennio [AAt]</t>
  </si>
  <si>
    <t xml:space="preserve">ZELKOVA Aurelio [AA]</t>
  </si>
  <si>
    <t xml:space="preserve">ZELKOVA Berta [A]</t>
  </si>
  <si>
    <t xml:space="preserve">ZELKOVA Celeste [AA]</t>
  </si>
  <si>
    <t xml:space="preserve">ZELKOVA Dario [AAt]</t>
  </si>
  <si>
    <t xml:space="preserve">ZELKOVA Ennio [Aest]</t>
  </si>
  <si>
    <t xml:space="preserve">AMARANTO Fiorenzo</t>
  </si>
  <si>
    <t xml:space="preserve">AMARANTO Gelso</t>
  </si>
  <si>
    <t xml:space="preserve">AMARANTO Ilario</t>
  </si>
  <si>
    <t xml:space="preserve">AMARANTO Lidia</t>
  </si>
  <si>
    <t xml:space="preserve">AMARANTO Nadir</t>
  </si>
  <si>
    <t xml:space="preserve">BLU Fiorenzo</t>
  </si>
  <si>
    <t xml:space="preserve">BLU Gelso</t>
  </si>
  <si>
    <t xml:space="preserve">BLU Ilario</t>
  </si>
  <si>
    <t xml:space="preserve">BLU Lidia</t>
  </si>
  <si>
    <t xml:space="preserve">BLU Nadir</t>
  </si>
  <si>
    <t xml:space="preserve">CARMINIO Fiorenzo</t>
  </si>
  <si>
    <t xml:space="preserve">CARMINIO Gelso</t>
  </si>
  <si>
    <t xml:space="preserve">CARMINIO Ilario</t>
  </si>
  <si>
    <t xml:space="preserve">CARMINIO Lidia</t>
  </si>
  <si>
    <t xml:space="preserve">CARMINIO Nadir</t>
  </si>
  <si>
    <t xml:space="preserve">DENIM Fiorenzo</t>
  </si>
  <si>
    <t xml:space="preserve">DENIM Gelso</t>
  </si>
  <si>
    <t xml:space="preserve">DENIM Ilario</t>
  </si>
  <si>
    <t xml:space="preserve">DENIM Lidia</t>
  </si>
  <si>
    <t xml:space="preserve">DENIM Nadir</t>
  </si>
  <si>
    <t xml:space="preserve">ECRU Fiorenzo</t>
  </si>
  <si>
    <t xml:space="preserve">ECRU Gelso</t>
  </si>
  <si>
    <t xml:space="preserve">ECRU Ilario</t>
  </si>
  <si>
    <t xml:space="preserve">ECRU Lidia</t>
  </si>
  <si>
    <t xml:space="preserve">ECRU Nadir</t>
  </si>
  <si>
    <t xml:space="preserve">FUCSIA Fiorenzo</t>
  </si>
  <si>
    <t xml:space="preserve">FUCSIA Gelso</t>
  </si>
  <si>
    <t xml:space="preserve">FUCSIA Ilario</t>
  </si>
  <si>
    <t xml:space="preserve">FUCSIA Lidia</t>
  </si>
  <si>
    <t xml:space="preserve">FUCSIA Nadir</t>
  </si>
  <si>
    <t xml:space="preserve">GIADA Fiorenzo</t>
  </si>
  <si>
    <t xml:space="preserve">GIADA Gelso</t>
  </si>
  <si>
    <t xml:space="preserve">GIADA Ilario</t>
  </si>
  <si>
    <t xml:space="preserve">GIADA Lidia</t>
  </si>
  <si>
    <t xml:space="preserve">GIADA Nadir</t>
  </si>
  <si>
    <t xml:space="preserve">INDACO Fiorenzo</t>
  </si>
  <si>
    <t xml:space="preserve">INDACO Gelso</t>
  </si>
  <si>
    <t xml:space="preserve">INDACO Ilario</t>
  </si>
  <si>
    <t xml:space="preserve">INDACO Lidia</t>
  </si>
  <si>
    <t xml:space="preserve">INDACO Nadir</t>
  </si>
  <si>
    <t xml:space="preserve">LAVANDA Fiorenzo</t>
  </si>
  <si>
    <t xml:space="preserve">LAVANDA Gelso</t>
  </si>
  <si>
    <t xml:space="preserve">LAVANDA Ilario</t>
  </si>
  <si>
    <t xml:space="preserve">LAVANDA Lidia</t>
  </si>
  <si>
    <t xml:space="preserve">LAVANDA Nadir</t>
  </si>
  <si>
    <t xml:space="preserve">MAGENTA Fiorenzo</t>
  </si>
  <si>
    <t xml:space="preserve">MAGENTA Gelso</t>
  </si>
  <si>
    <t xml:space="preserve">MAGENTA Ilario</t>
  </si>
  <si>
    <t xml:space="preserve">MAGENTA Lidia</t>
  </si>
  <si>
    <t xml:space="preserve">MAGENTA Nadir</t>
  </si>
  <si>
    <t xml:space="preserve">NOCCIOLA Fiorenzo</t>
  </si>
  <si>
    <t xml:space="preserve">NOCCIOLA Gelso</t>
  </si>
  <si>
    <t xml:space="preserve">NOCCIOLA Ilario</t>
  </si>
  <si>
    <t xml:space="preserve">NOCCIOLA Lidia</t>
  </si>
  <si>
    <t xml:space="preserve">NOCCIOLA Nadir</t>
  </si>
  <si>
    <t xml:space="preserve">OCRA Fiorenzo</t>
  </si>
  <si>
    <t xml:space="preserve">OCRA Gelso</t>
  </si>
  <si>
    <t xml:space="preserve">OCRA Ilario</t>
  </si>
  <si>
    <t xml:space="preserve">OCRA Lidia</t>
  </si>
  <si>
    <t xml:space="preserve">OCRA Nadir</t>
  </si>
  <si>
    <t xml:space="preserve">PORPORA Fiorenzo</t>
  </si>
  <si>
    <t xml:space="preserve">PORPORA Gelso</t>
  </si>
  <si>
    <t xml:space="preserve">PORPORA Ilario</t>
  </si>
  <si>
    <t xml:space="preserve">PORPORA Lidia</t>
  </si>
  <si>
    <t xml:space="preserve">PORPORA Nadir</t>
  </si>
  <si>
    <t xml:space="preserve">QUARZO Fiorenzo</t>
  </si>
  <si>
    <t xml:space="preserve">QUARZO Gelso</t>
  </si>
  <si>
    <t xml:space="preserve">QUARZO Ilario</t>
  </si>
  <si>
    <t xml:space="preserve">QUARZO Lidia</t>
  </si>
  <si>
    <t xml:space="preserve">QUARZO Nadir</t>
  </si>
  <si>
    <t xml:space="preserve">RUBINO Fiorenzo</t>
  </si>
  <si>
    <t xml:space="preserve">RUBINO Gelso</t>
  </si>
  <si>
    <t xml:space="preserve">RUBINO Ilario</t>
  </si>
  <si>
    <t xml:space="preserve">RUBINO Lidia</t>
  </si>
  <si>
    <t xml:space="preserve">RUBINO Nadir</t>
  </si>
  <si>
    <t xml:space="preserve">SENAPE Fiorenzo</t>
  </si>
  <si>
    <t xml:space="preserve">SENAPE Gelso</t>
  </si>
  <si>
    <t xml:space="preserve">SENAPE Ilario</t>
  </si>
  <si>
    <t xml:space="preserve">SENAPE Lidia</t>
  </si>
  <si>
    <t xml:space="preserve">SENAPE Nadir</t>
  </si>
  <si>
    <t xml:space="preserve">TURCHESE Fiorenzo</t>
  </si>
  <si>
    <t xml:space="preserve">TURCHESE Gelso</t>
  </si>
  <si>
    <t xml:space="preserve">TURCHESE Ilario</t>
  </si>
  <si>
    <t xml:space="preserve">TURCHESE Lidia</t>
  </si>
  <si>
    <t xml:space="preserve">TURCHESE Nadir</t>
  </si>
  <si>
    <t xml:space="preserve">ULTRAMARINO Fiorenzo</t>
  </si>
  <si>
    <t xml:space="preserve">ULTRAMARINO Gelso</t>
  </si>
  <si>
    <t xml:space="preserve">ULTRAMARINO Ilario</t>
  </si>
  <si>
    <t xml:space="preserve">ULTRAMARINO Lidia</t>
  </si>
  <si>
    <t xml:space="preserve">ULTRAMARINO Nadir</t>
  </si>
  <si>
    <t xml:space="preserve">VERDERAME Fiorenzo</t>
  </si>
  <si>
    <t xml:space="preserve">VERDERAME Gelso</t>
  </si>
  <si>
    <t xml:space="preserve">VERDERAME Ilario</t>
  </si>
  <si>
    <t xml:space="preserve">VERDERAME Lidia</t>
  </si>
  <si>
    <t xml:space="preserve">VERDERAME Nadir</t>
  </si>
  <si>
    <t xml:space="preserve">ZAFFERANO Fiorenzo</t>
  </si>
  <si>
    <t xml:space="preserve">ZAFFERANO Gelso</t>
  </si>
  <si>
    <t xml:space="preserve">ZAFFERANO Ilario</t>
  </si>
  <si>
    <t xml:space="preserve">ZAFFERANO Lidia</t>
  </si>
  <si>
    <t xml:space="preserve">ZAFFERANO Nadir</t>
  </si>
  <si>
    <t xml:space="preserve">MEMO - FILE DI ESEMPIO</t>
  </si>
  <si>
    <t xml:space="preserve">* File di ESEMPIO: tutti i 240 risultati (224 di girone + 16 di playoff) sono compilati e simulati.</t>
  </si>
  <si>
    <t xml:space="preserve">* Le classifiche, gli accoppiamenti playoff e la classifica finale derivano interamente da quei risultati.</t>
  </si>
  <si>
    <t xml:space="preserve">* Il foglio DESIGNAZIONI e' volutamente vuoto: convalide a elenco e formattazione condizionale restano attive.</t>
  </si>
  <si>
    <t xml:space="preserve">* Modello dimostrativo: tutti i nomi di squadra, campo, arbitro e ufficiale di campo sono di fantasia.</t>
  </si>
  <si>
    <t xml:space="preserve">* Capienza del modello: fino a 64 squadre distribuite su un massimo di 8 gironi (A-H) da 8 squadre ciascuno.</t>
  </si>
  <si>
    <t xml:space="preserve">* Le squadre sono raggruppate per girone in blocchi fissi di 8 righe: A = righe 12-19, B = 20-27, ... H = 68-75.</t>
  </si>
  <si>
    <t xml:space="preserve">* Ogni girone ha il proprio foglio calendario ('Calendario A' ... 'Calendario H') e un colore identificativo.</t>
  </si>
  <si>
    <t xml:space="preserve">* Calendario di sola andata generato con il metodo del girone all'italiana (Berger): 7 giornate da 4 gare.</t>
  </si>
  <si>
    <t xml:space="preserve">* Ogni giornata e' un concentramento unico: 4 gare consecutive (09:30, 11:30, 15:00, 17:00) sullo stesso campo.</t>
  </si>
  <si>
    <t xml:space="preserve">* L'ospitalita' ruota fra le squadre del girone: la squadra ospitante della giornata determina il campo.</t>
  </si>
  <si>
    <t xml:space="preserve">* Playoff: ottavi 1A-2H, 1B-2G, 1C-2F, 1D-2E, 1E-2D, 1F-2C, 1G-2B, 1H-2A; poi quarti, semifinali e finali.</t>
  </si>
  <si>
    <t xml:space="preserve">* Gli accoppiamenti di quarti, semifinali e finali si aggiornano da soli inserendo i risultati del turno precedente.</t>
  </si>
  <si>
    <t xml:space="preserve">* Per usare meno di 64 squadre basta lasciare vuota la colonna C delle righe non utilizzate: classifiche e calendari si adeguano.</t>
  </si>
  <si>
    <t xml:space="preserve">* Per usare meno di 8 gironi si lasciano vuoti i blocchi finali; i relativi fogli calendario restano inerti.</t>
  </si>
  <si>
    <t xml:space="preserve">* Le classifiche si popolano automaticamente inserendo i punteggi nelle colonne Risultato dei fogli calendario.</t>
  </si>
  <si>
    <t xml:space="preserve">* Il punteggio di forfait e' parametrico (foglio Campionato, cella D9): il valore predefinito e' 40-0.</t>
  </si>
  <si>
    <t xml:space="preserve">* Foglio DESIGNAZIONI: convalida a elenco e formattazione condizionale anti-duplicato attive su TUTTE le righe predisposte.</t>
  </si>
  <si>
    <t xml:space="preserve">* La formattazione condizionale evidenzia in rosa la stessa persona designata due volte nella stessa gara.</t>
  </si>
  <si>
    <t xml:space="preserve">Titolo</t>
  </si>
  <si>
    <t xml:space="preserve">Data inizio</t>
  </si>
  <si>
    <t xml:space="preserve">Ora Inizio</t>
  </si>
  <si>
    <t xml:space="preserve">Data Fine</t>
  </si>
  <si>
    <t xml:space="preserve">Ora Fine</t>
  </si>
  <si>
    <t xml:space="preserve">Luogo</t>
  </si>
  <si>
    <t xml:space="preserve">Descrizione</t>
  </si>
  <si>
    <t xml:space="preserve">Collegamento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</si>
</sst>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ddd\ d\-mmm\-yyyy&quot; ore &quot;h\:mm"/>
    <numFmt numFmtId="167" formatCode="yyyy\-mm\-dd"/>
    <numFmt numFmtId="168" formatCode="hh:mm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E6FB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2E9B4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07B12"/>
      <name val="Arial"/>
      <family val="0"/>
      <charset val="1"/>
    </font>
    <font>
      <b val="true"/>
      <sz val="10"/>
      <color rgb="FF7D3C98"/>
      <name val="Arial"/>
      <family val="0"/>
      <charset val="1"/>
    </font>
    <font>
      <b val="true"/>
      <sz val="10"/>
      <color rgb="FF11827A"/>
      <name val="Arial"/>
      <family val="0"/>
      <charset val="1"/>
    </font>
    <font>
      <b val="true"/>
      <sz val="10"/>
      <color rgb="FFC2185B"/>
      <name val="Arial"/>
      <family val="0"/>
      <charset val="1"/>
    </font>
    <font>
      <b val="true"/>
      <sz val="10"/>
      <color rgb="FFA0801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4"/>
      <color rgb="FF1E6FB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sz val="16"/>
      <color rgb="FF000000"/>
      <name val="Arial"/>
      <family val="0"/>
      <charset val="1"/>
    </font>
    <font>
      <b val="true"/>
      <sz val="14"/>
      <color rgb="FF2E9B4F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4"/>
      <color rgb="FFE07B12"/>
      <name val="Arial"/>
      <family val="0"/>
      <charset val="1"/>
    </font>
    <font>
      <b val="true"/>
      <sz val="14"/>
      <color rgb="FF7D3C98"/>
      <name val="Arial"/>
      <family val="0"/>
      <charset val="1"/>
    </font>
    <font>
      <b val="true"/>
      <sz val="14"/>
      <color rgb="FF11827A"/>
      <name val="Arial"/>
      <family val="0"/>
      <charset val="1"/>
    </font>
    <font>
      <b val="true"/>
      <sz val="14"/>
      <color rgb="FFC2185B"/>
      <name val="Arial"/>
      <family val="0"/>
      <charset val="1"/>
    </font>
    <font>
      <b val="true"/>
      <sz val="14"/>
      <color rgb="FFA0801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555555"/>
      <name val="Arial"/>
      <family val="0"/>
      <charset val="1"/>
    </font>
    <font>
      <sz val="10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9C4"/>
        <bgColor rgb="FFFFF3CD"/>
      </patternFill>
    </fill>
    <fill>
      <patternFill patternType="solid">
        <fgColor rgb="FFCCCCCC"/>
        <bgColor rgb="FFD9EAD3"/>
      </patternFill>
    </fill>
    <fill>
      <patternFill patternType="solid">
        <fgColor rgb="FFEFEFEF"/>
        <bgColor rgb="FFE3E7E9"/>
      </patternFill>
    </fill>
    <fill>
      <patternFill patternType="solid">
        <fgColor rgb="FFD6E6F7"/>
        <bgColor rgb="FFD2EDEA"/>
      </patternFill>
    </fill>
    <fill>
      <patternFill patternType="solid">
        <fgColor rgb="FFD8F0DF"/>
        <bgColor rgb="FFD2EDEA"/>
      </patternFill>
    </fill>
    <fill>
      <patternFill patternType="solid">
        <fgColor rgb="FFF8DCD8"/>
        <bgColor rgb="FFF9D9E4"/>
      </patternFill>
    </fill>
    <fill>
      <patternFill patternType="solid">
        <fgColor rgb="FFFCE7CE"/>
        <bgColor rgb="FFF2E9C8"/>
      </patternFill>
    </fill>
    <fill>
      <patternFill patternType="solid">
        <fgColor rgb="FFEBDCF2"/>
        <bgColor rgb="FFF9D9E4"/>
      </patternFill>
    </fill>
    <fill>
      <patternFill patternType="solid">
        <fgColor rgb="FFD2EDEA"/>
        <bgColor rgb="FFD8F0DF"/>
      </patternFill>
    </fill>
    <fill>
      <patternFill patternType="solid">
        <fgColor rgb="FFF9D9E4"/>
        <bgColor rgb="FFF8DCD8"/>
      </patternFill>
    </fill>
    <fill>
      <patternFill patternType="solid">
        <fgColor rgb="FFF2E9C8"/>
        <bgColor rgb="FFFCE7CE"/>
      </patternFill>
    </fill>
    <fill>
      <patternFill patternType="solid">
        <fgColor rgb="FFD9EAD3"/>
        <bgColor rgb="FFD8F0DF"/>
      </patternFill>
    </fill>
    <fill>
      <patternFill patternType="solid">
        <fgColor rgb="FF1E6FBF"/>
        <bgColor rgb="FF1565C0"/>
      </patternFill>
    </fill>
    <fill>
      <patternFill patternType="solid">
        <fgColor rgb="FF2E9B4F"/>
        <bgColor rgb="FF11827A"/>
      </patternFill>
    </fill>
    <fill>
      <patternFill patternType="solid">
        <fgColor rgb="FFC0392B"/>
        <bgColor rgb="FFC2185B"/>
      </patternFill>
    </fill>
    <fill>
      <patternFill patternType="solid">
        <fgColor rgb="FFE07B12"/>
        <bgColor rgb="FFFF9900"/>
      </patternFill>
    </fill>
    <fill>
      <patternFill patternType="solid">
        <fgColor rgb="FF7D3C98"/>
        <bgColor rgb="FF6D4C41"/>
      </patternFill>
    </fill>
    <fill>
      <patternFill patternType="solid">
        <fgColor rgb="FF11827A"/>
        <bgColor rgb="FF00838F"/>
      </patternFill>
    </fill>
    <fill>
      <patternFill patternType="solid">
        <fgColor rgb="FFC2185B"/>
        <bgColor rgb="FFC0392B"/>
      </patternFill>
    </fill>
    <fill>
      <patternFill patternType="solid">
        <fgColor rgb="FFA08019"/>
        <bgColor rgb="FF9E9D24"/>
      </patternFill>
    </fill>
    <fill>
      <patternFill patternType="solid">
        <fgColor rgb="FF37474F"/>
        <bgColor rgb="FF455A64"/>
      </patternFill>
    </fill>
    <fill>
      <patternFill patternType="solid">
        <fgColor rgb="FFE3E7E9"/>
        <bgColor rgb="FFD6E6F7"/>
      </patternFill>
    </fill>
    <fill>
      <patternFill patternType="solid">
        <fgColor rgb="FFFFF3CD"/>
        <bgColor rgb="FFFFF9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E9C8"/>
      <rgbColor rgb="FFFF00FF"/>
      <rgbColor rgb="FF00FFFF"/>
      <rgbColor rgb="FF800000"/>
      <rgbColor rgb="FF666666"/>
      <rgbColor rgb="FF000080"/>
      <rgbColor rgb="FFA08019"/>
      <rgbColor rgb="FF800080"/>
      <rgbColor rgb="FF00838F"/>
      <rgbColor rgb="FFCCCCCC"/>
      <rgbColor rgb="FF757575"/>
      <rgbColor rgb="FFE3E7E9"/>
      <rgbColor rgb="FF7D3C98"/>
      <rgbColor rgb="FFFFF9C4"/>
      <rgbColor rgb="FFD2EDEA"/>
      <rgbColor rgb="FF6D4C41"/>
      <rgbColor rgb="FFFF8080"/>
      <rgbColor rgb="FF1565C0"/>
      <rgbColor rgb="FFEBDCF2"/>
      <rgbColor rgb="FF000080"/>
      <rgbColor rgb="FFFF00FF"/>
      <rgbColor rgb="FFFCE7CE"/>
      <rgbColor rgb="FF00FFFF"/>
      <rgbColor rgb="FF800080"/>
      <rgbColor rgb="FF800000"/>
      <rgbColor rgb="FF11827A"/>
      <rgbColor rgb="FF0000FF"/>
      <rgbColor rgb="FF00CCFF"/>
      <rgbColor rgb="FFD6E6F7"/>
      <rgbColor rgb="FFD8F0DF"/>
      <rgbColor rgb="FFFFF3CD"/>
      <rgbColor rgb="FFD9EAD3"/>
      <rgbColor rgb="FFF9D9E4"/>
      <rgbColor rgb="FFF8DCD8"/>
      <rgbColor rgb="FFFFC7CE"/>
      <rgbColor rgb="FF1E6FBF"/>
      <rgbColor rgb="FF33CCCC"/>
      <rgbColor rgb="FF9E9D24"/>
      <rgbColor rgb="FFEFEFEF"/>
      <rgbColor rgb="FFFF9900"/>
      <rgbColor rgb="FFE07B12"/>
      <rgbColor rgb="FF546E7A"/>
      <rgbColor rgb="FF999999"/>
      <rgbColor rgb="FF455A64"/>
      <rgbColor rgb="FF2E9B4F"/>
      <rgbColor rgb="FF003300"/>
      <rgbColor rgb="FF555555"/>
      <rgbColor rgb="FFC0392B"/>
      <rgbColor rgb="FFC2185B"/>
      <rgbColor rgb="FF37474F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true"/>
  </sheetPr>
  <dimension ref="A1:BG1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4" min="3" style="0" width="46"/>
    <col collapsed="false" customWidth="true" hidden="false" outlineLevel="0" max="5" min="5" style="0" width="9"/>
    <col collapsed="false" customWidth="true" hidden="false" outlineLevel="0" max="6" min="6" style="0" width="3"/>
    <col collapsed="false" customWidth="true" hidden="false" outlineLevel="0" max="7" min="7" style="0" width="6"/>
    <col collapsed="false" customWidth="true" hidden="false" outlineLevel="0" max="8" min="8" style="0" width="26"/>
    <col collapsed="false" customWidth="true" hidden="true" outlineLevel="0" max="9" min="9" style="0" width="46"/>
    <col collapsed="false" customWidth="true" hidden="false" outlineLevel="0" max="14" min="10" style="0" width="7"/>
    <col collapsed="false" customWidth="true" hidden="false" outlineLevel="0" max="16" min="15" style="0" width="8"/>
    <col collapsed="false" customWidth="true" hidden="false" outlineLevel="0" max="17" min="17" style="0" width="9"/>
    <col collapsed="false" customWidth="true" hidden="false" outlineLevel="0" max="19" min="18" style="0" width="8"/>
    <col collapsed="false" customWidth="true" hidden="false" outlineLevel="0" max="21" min="20" style="0" width="9"/>
    <col collapsed="false" customWidth="true" hidden="false" outlineLevel="0" max="23" min="22" style="0" width="11"/>
    <col collapsed="false" customWidth="true" hidden="false" outlineLevel="0" max="24" min="24" style="0" width="26"/>
    <col collapsed="false" customWidth="true" hidden="false" outlineLevel="0" max="32" min="25" style="0" width="5"/>
    <col collapsed="false" customWidth="true" hidden="false" outlineLevel="0" max="33" min="33" style="0" width="26"/>
    <col collapsed="false" customWidth="true" hidden="false" outlineLevel="0" max="41" min="34" style="0" width="5"/>
    <col collapsed="false" customWidth="true" hidden="false" outlineLevel="0" max="42" min="42" style="0" width="26"/>
    <col collapsed="false" customWidth="true" hidden="false" outlineLevel="0" max="50" min="43" style="0" width="5"/>
    <col collapsed="false" customWidth="true" hidden="false" outlineLevel="0" max="51" min="51" style="0" width="26"/>
    <col collapsed="false" customWidth="true" hidden="false" outlineLevel="0" max="59" min="52" style="0" width="5"/>
  </cols>
  <sheetData>
    <row r="1" customFormat="false" ht="45.75" hidden="false" customHeight="true" outlineLevel="0" collapsed="false">
      <c r="A1" s="1" t="s">
        <v>0</v>
      </c>
      <c r="B1" s="2" t="s">
        <v>1</v>
      </c>
      <c r="C1" s="2"/>
      <c r="D1" s="3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4</v>
      </c>
      <c r="Y1" s="4" t="s">
        <v>20</v>
      </c>
      <c r="Z1" s="4"/>
      <c r="AA1" s="4"/>
      <c r="AB1" s="4"/>
      <c r="AC1" s="4"/>
      <c r="AD1" s="4"/>
      <c r="AE1" s="4"/>
      <c r="AF1" s="4"/>
      <c r="AG1" s="4" t="s">
        <v>4</v>
      </c>
      <c r="AH1" s="4" t="s">
        <v>21</v>
      </c>
      <c r="AI1" s="4"/>
      <c r="AJ1" s="4"/>
      <c r="AK1" s="4"/>
      <c r="AL1" s="4"/>
      <c r="AM1" s="4"/>
      <c r="AN1" s="4"/>
      <c r="AO1" s="4"/>
      <c r="AP1" s="4" t="s">
        <v>4</v>
      </c>
      <c r="AQ1" s="4" t="s">
        <v>22</v>
      </c>
      <c r="AR1" s="4"/>
      <c r="AS1" s="4"/>
      <c r="AT1" s="4"/>
      <c r="AU1" s="4"/>
      <c r="AV1" s="4"/>
      <c r="AW1" s="4"/>
      <c r="AX1" s="4"/>
      <c r="AY1" s="4" t="s">
        <v>4</v>
      </c>
      <c r="AZ1" s="4" t="s">
        <v>23</v>
      </c>
      <c r="BA1" s="4"/>
      <c r="BB1" s="4"/>
      <c r="BC1" s="4"/>
      <c r="BD1" s="4"/>
      <c r="BE1" s="4"/>
      <c r="BF1" s="4"/>
      <c r="BG1" s="4"/>
    </row>
    <row r="2" customFormat="false" ht="15" hidden="false" customHeight="false" outlineLevel="0" collapsed="false">
      <c r="B2" s="2" t="s">
        <v>24</v>
      </c>
      <c r="C2" s="2"/>
      <c r="D2" s="5"/>
    </row>
    <row r="3" customFormat="false" ht="15" hidden="false" customHeight="false" outlineLevel="0" collapsed="false">
      <c r="B3" s="2" t="s">
        <v>25</v>
      </c>
      <c r="C3" s="2"/>
      <c r="D3" s="5"/>
    </row>
    <row r="4" customFormat="false" ht="15" hidden="false" customHeight="false" outlineLevel="0" collapsed="false">
      <c r="B4" s="2" t="s">
        <v>26</v>
      </c>
      <c r="C4" s="2"/>
      <c r="D4" s="5" t="s">
        <v>27</v>
      </c>
    </row>
    <row r="5" customFormat="false" ht="15" hidden="false" customHeight="false" outlineLevel="0" collapsed="false">
      <c r="B5" s="2" t="s">
        <v>28</v>
      </c>
      <c r="C5" s="2"/>
      <c r="D5" s="5" t="s">
        <v>29</v>
      </c>
    </row>
    <row r="6" customFormat="false" ht="15" hidden="false" customHeight="false" outlineLevel="0" collapsed="false">
      <c r="B6" s="2" t="s">
        <v>30</v>
      </c>
      <c r="C6" s="2"/>
      <c r="D6" s="5" t="n">
        <v>3</v>
      </c>
    </row>
    <row r="7" customFormat="false" ht="15" hidden="false" customHeight="false" outlineLevel="0" collapsed="false">
      <c r="B7" s="2" t="s">
        <v>31</v>
      </c>
      <c r="C7" s="2"/>
      <c r="D7" s="5" t="n">
        <v>1</v>
      </c>
    </row>
    <row r="8" customFormat="false" ht="15" hidden="false" customHeight="false" outlineLevel="0" collapsed="false">
      <c r="B8" s="2" t="s">
        <v>32</v>
      </c>
      <c r="C8" s="2"/>
      <c r="D8" s="5" t="n">
        <v>0</v>
      </c>
    </row>
    <row r="9" customFormat="false" ht="15" hidden="false" customHeight="false" outlineLevel="0" collapsed="false">
      <c r="B9" s="2" t="s">
        <v>33</v>
      </c>
      <c r="C9" s="2"/>
      <c r="D9" s="5" t="s">
        <v>34</v>
      </c>
    </row>
    <row r="11" customFormat="false" ht="30" hidden="false" customHeight="true" outlineLevel="0" collapsed="false">
      <c r="A11" s="1" t="s">
        <v>35</v>
      </c>
      <c r="B11" s="4" t="s">
        <v>36</v>
      </c>
      <c r="C11" s="4" t="s">
        <v>4</v>
      </c>
      <c r="D11" s="4" t="s">
        <v>37</v>
      </c>
      <c r="E11" s="4" t="s">
        <v>38</v>
      </c>
      <c r="X11" s="6" t="s">
        <v>4</v>
      </c>
      <c r="Y11" s="6" t="s">
        <v>39</v>
      </c>
      <c r="Z11" s="6" t="s">
        <v>40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45</v>
      </c>
      <c r="AF11" s="6" t="s">
        <v>46</v>
      </c>
      <c r="AG11" s="6" t="s">
        <v>4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</v>
      </c>
      <c r="AQ11" s="6" t="s">
        <v>39</v>
      </c>
      <c r="AR11" s="6" t="s">
        <v>40</v>
      </c>
      <c r="AS11" s="6" t="s">
        <v>41</v>
      </c>
      <c r="AT11" s="6" t="s">
        <v>42</v>
      </c>
      <c r="AU11" s="6" t="s">
        <v>43</v>
      </c>
      <c r="AV11" s="6" t="s">
        <v>44</v>
      </c>
      <c r="AW11" s="6" t="s">
        <v>45</v>
      </c>
      <c r="AX11" s="6" t="s">
        <v>46</v>
      </c>
      <c r="AY11" s="6" t="s">
        <v>4</v>
      </c>
      <c r="AZ11" s="6" t="s">
        <v>39</v>
      </c>
      <c r="BA11" s="6" t="s">
        <v>40</v>
      </c>
      <c r="BB11" s="6" t="s">
        <v>41</v>
      </c>
      <c r="BC11" s="6" t="s">
        <v>42</v>
      </c>
      <c r="BD11" s="6" t="s">
        <v>43</v>
      </c>
      <c r="BE11" s="6" t="s">
        <v>44</v>
      </c>
      <c r="BF11" s="6" t="s">
        <v>45</v>
      </c>
      <c r="BG11" s="6" t="s">
        <v>46</v>
      </c>
    </row>
    <row r="12" customFormat="false" ht="15" hidden="false" customHeight="false" outlineLevel="0" collapsed="false">
      <c r="B12" s="7" t="s">
        <v>47</v>
      </c>
      <c r="C12" s="8" t="s">
        <v>48</v>
      </c>
      <c r="D12" s="9"/>
      <c r="E12" s="10" t="s">
        <v>49</v>
      </c>
      <c r="G12" s="11" t="str">
        <f aca="false">IF($C12="","",$E12&amp;(COUNTIFS(I$12:I$75,"&gt;"&amp;I12,E$12:E$75,"="&amp;E12,C$12:C$75,"&lt;&gt;")+COUNTIFS(I$12:I$75,"="&amp;I12,H$12:H$75,"&lt;="&amp;H12,E$12:E$75,"="&amp;E12,C$12:C$75,"&lt;&gt;")))</f>
        <v>A1</v>
      </c>
      <c r="H12" s="12" t="str">
        <f aca="false">IF($C12="","",IFERROR(LEFT($C12,FIND("-",$C12)-1),$C12))</f>
        <v>Anaconde Arrabbiate</v>
      </c>
      <c r="I12" s="7" t="str">
        <f aca="false">TEXT(1000000000+J12,"|0000000000|")&amp;TEXT(SUM(Y12:AF12),"0000000000|")&amp;IF(SUM(AZ12:BG12)=0,"0000000000|",TEXT(ROUND(SUM(AQ12:AX12)/SUM(AZ12:BG12),4)*100000,"0000000000|"))&amp;IF(P12=0,"0000000000|",TEXT(ROUND(O12/P12,4)*100000,"0000000000|"))</f>
        <v>|1000000021|0000000000|0000000000|0000135660|</v>
      </c>
      <c r="J12" s="11" t="n">
        <f aca="false">L12*constPuntiVittoria+M12*constPuntiSconfitta+N12*constPuntiForfait+IF(D12="",0,D12)</f>
        <v>21</v>
      </c>
      <c r="K12" s="7" t="n">
        <f aca="false">SUM(L12:N12)</f>
        <v>7</v>
      </c>
      <c r="L12" s="7" t="n">
        <f aca="false">IF($H12="",0,SUMIF('Calendario A'!$M$8:$M$110,$H12,'Calendario A'!$N$8:$N$110)+SUMIF('Calendario A'!$T$8:$T$110,$H12,'Calendario A'!$U$8:$U$110))</f>
        <v>7</v>
      </c>
      <c r="M12" s="7" t="n">
        <f aca="false">IF($H12="",0,SUMIF('Calendario A'!$M$8:$M$110,$H12,'Calendario A'!$P$8:$P$110)+SUMIF('Calendario A'!$T$8:$T$110,$H12,'Calendario A'!$W$8:$W$110))</f>
        <v>0</v>
      </c>
      <c r="N12" s="7" t="n">
        <f aca="false">IF($H12="",0,SUMIF('Calendario A'!$M$8:$M$110,$H12,'Calendario A'!$O$8:$O$110)+SUMIF('Calendario A'!$T$8:$T$110,$H12,'Calendario A'!$V$8:$V$110))</f>
        <v>0</v>
      </c>
      <c r="O12" s="7" t="n">
        <f aca="false">IF($H12="",0,SUMIF('Calendario A'!$M$8:$M$110,$H12,'Calendario A'!$Q$8:$Q$110)+SUMIF('Calendario A'!$T$8:$T$110,$H12,'Calendario A'!$X$8:$X$110))</f>
        <v>506</v>
      </c>
      <c r="P12" s="7" t="n">
        <f aca="false">IF($H12="",0,SUMIF('Calendario A'!$M$8:$M$110,$H12,'Calendario A'!$R$8:$R$110)+SUMIF('Calendario A'!$T$8:$T$110,$H12,'Calendario A'!$Y$8:$Y$110))</f>
        <v>373</v>
      </c>
      <c r="Q12" s="7" t="n">
        <f aca="false">IF($H12="",0,SUMIF('Calendario A'!$M$8:$M$110,$H12,'Calendario A'!$S$8:$S$110)+SUMIF('Calendario A'!$T$8:$T$110,$H12,'Calendario A'!$Z$8:$Z$110))</f>
        <v>133</v>
      </c>
      <c r="R12" s="7" t="n">
        <f aca="false">IF(K12=0,0,ROUND(O12/K12,2))</f>
        <v>72.29</v>
      </c>
      <c r="S12" s="7" t="n">
        <f aca="false">IF(K12=0,0,ROUND(P12/K12,2))</f>
        <v>53.29</v>
      </c>
      <c r="T12" s="7" t="n">
        <f aca="false">IF(K12=0,0,ROUND(Q12/K12,2))</f>
        <v>19</v>
      </c>
      <c r="U12" s="7" t="str">
        <f aca="false">IF(COUNT(Y12:AF12)=0,"-",SUM(Y12:AF12)&amp;"-"&amp;SUM(AH12:AO12))</f>
        <v>-</v>
      </c>
      <c r="V12" s="7" t="str">
        <f aca="false">IF(COUNT(Y12:AF12)=0,"-",IF(SUM(AZ12:BG12)=0,TEXT(0,"0.0000"),TEXT(ROUND(SUM(AQ12:AX12)/SUM(AZ12:BG12),4),"0.0000")))</f>
        <v>-</v>
      </c>
      <c r="W12" s="7" t="str">
        <f aca="false">IF(H12="","-",IF(P12=0,TEXT(0,"0.0000"),TEXT(ROUND(O12/P12,4),"0.0000")))</f>
        <v>1.3566</v>
      </c>
      <c r="X12" s="13" t="str">
        <f aca="false">$C12</f>
        <v>Anaconde Arrabbiate-Anacondeopoli AE</v>
      </c>
      <c r="Y12" s="14" t="str">
        <f aca="false">IF(AND($H12&lt;&gt;"",$H$12&lt;&gt;"",$H12&lt;&gt;$H$12,IFERROR(VLOOKUP($H12,areaCercaPuntiClassificaSquadra,3,FALSE()),-1)=IFERROR(VLOOKUP($H$12,areaCercaPuntiClassificaSquadra,3,FALSE()),-2)),SUMIFS('Calendario A'!$N$8:$N$110,'Calendario A'!$M$8:$M$110,$H12,'Calendario A'!$T$8:$T$110,$H$12)+SUMIFS('Calendario A'!$U$8:$U$110,'Calendario A'!$T$8:$T$110,$H12,'Calendario A'!$M$8:$M$110,$H$12),"-")</f>
        <v>-</v>
      </c>
      <c r="Z12" s="14" t="str">
        <f aca="false">IF(AND($H12&lt;&gt;"",$H$13&lt;&gt;"",$H12&lt;&gt;$H$13,IFERROR(VLOOKUP($H12,areaCercaPuntiClassificaSquadra,3,FALSE()),-1)=IFERROR(VLOOKUP($H$13,areaCercaPuntiClassificaSquadra,3,FALSE()),-2)),SUMIFS('Calendario A'!$N$8:$N$110,'Calendario A'!$M$8:$M$110,$H12,'Calendario A'!$T$8:$T$110,$H$13)+SUMIFS('Calendario A'!$U$8:$U$110,'Calendario A'!$T$8:$T$110,$H12,'Calendario A'!$M$8:$M$110,$H$13),"-")</f>
        <v>-</v>
      </c>
      <c r="AA12" s="14" t="str">
        <f aca="false">IF(AND($H12&lt;&gt;"",$H$14&lt;&gt;"",$H12&lt;&gt;$H$14,IFERROR(VLOOKUP($H12,areaCercaPuntiClassificaSquadra,3,FALSE()),-1)=IFERROR(VLOOKUP($H$14,areaCercaPuntiClassificaSquadra,3,FALSE()),-2)),SUMIFS('Calendario A'!$N$8:$N$110,'Calendario A'!$M$8:$M$110,$H12,'Calendario A'!$T$8:$T$110,$H$14)+SUMIFS('Calendario A'!$U$8:$U$110,'Calendario A'!$T$8:$T$110,$H12,'Calendario A'!$M$8:$M$110,$H$14),"-")</f>
        <v>-</v>
      </c>
      <c r="AB12" s="14" t="str">
        <f aca="false">IF(AND($H12&lt;&gt;"",$H$15&lt;&gt;"",$H12&lt;&gt;$H$15,IFERROR(VLOOKUP($H12,areaCercaPuntiClassificaSquadra,3,FALSE()),-1)=IFERROR(VLOOKUP($H$15,areaCercaPuntiClassificaSquadra,3,FALSE()),-2)),SUMIFS('Calendario A'!$N$8:$N$110,'Calendario A'!$M$8:$M$110,$H12,'Calendario A'!$T$8:$T$110,$H$15)+SUMIFS('Calendario A'!$U$8:$U$110,'Calendario A'!$T$8:$T$110,$H12,'Calendario A'!$M$8:$M$110,$H$15),"-")</f>
        <v>-</v>
      </c>
      <c r="AC12" s="14" t="str">
        <f aca="false">IF(AND($H12&lt;&gt;"",$H$16&lt;&gt;"",$H12&lt;&gt;$H$16,IFERROR(VLOOKUP($H12,areaCercaPuntiClassificaSquadra,3,FALSE()),-1)=IFERROR(VLOOKUP($H$16,areaCercaPuntiClassificaSquadra,3,FALSE()),-2)),SUMIFS('Calendario A'!$N$8:$N$110,'Calendario A'!$M$8:$M$110,$H12,'Calendario A'!$T$8:$T$110,$H$16)+SUMIFS('Calendario A'!$U$8:$U$110,'Calendario A'!$T$8:$T$110,$H12,'Calendario A'!$M$8:$M$110,$H$16),"-")</f>
        <v>-</v>
      </c>
      <c r="AD12" s="14" t="str">
        <f aca="false">IF(AND($H12&lt;&gt;"",$H$17&lt;&gt;"",$H12&lt;&gt;$H$17,IFERROR(VLOOKUP($H12,areaCercaPuntiClassificaSquadra,3,FALSE()),-1)=IFERROR(VLOOKUP($H$17,areaCercaPuntiClassificaSquadra,3,FALSE()),-2)),SUMIFS('Calendario A'!$N$8:$N$110,'Calendario A'!$M$8:$M$110,$H12,'Calendario A'!$T$8:$T$110,$H$17)+SUMIFS('Calendario A'!$U$8:$U$110,'Calendario A'!$T$8:$T$110,$H12,'Calendario A'!$M$8:$M$110,$H$17),"-")</f>
        <v>-</v>
      </c>
      <c r="AE12" s="14" t="str">
        <f aca="false">IF(AND($H12&lt;&gt;"",$H$18&lt;&gt;"",$H12&lt;&gt;$H$18,IFERROR(VLOOKUP($H12,areaCercaPuntiClassificaSquadra,3,FALSE()),-1)=IFERROR(VLOOKUP($H$18,areaCercaPuntiClassificaSquadra,3,FALSE()),-2)),SUMIFS('Calendario A'!$N$8:$N$110,'Calendario A'!$M$8:$M$110,$H12,'Calendario A'!$T$8:$T$110,$H$18)+SUMIFS('Calendario A'!$U$8:$U$110,'Calendario A'!$T$8:$T$110,$H12,'Calendario A'!$M$8:$M$110,$H$18),"-")</f>
        <v>-</v>
      </c>
      <c r="AF12" s="14" t="str">
        <f aca="false">IF(AND($H12&lt;&gt;"",$H$19&lt;&gt;"",$H12&lt;&gt;$H$19,IFERROR(VLOOKUP($H12,areaCercaPuntiClassificaSquadra,3,FALSE()),-1)=IFERROR(VLOOKUP($H$19,areaCercaPuntiClassificaSquadra,3,FALSE()),-2)),SUMIFS('Calendario A'!$N$8:$N$110,'Calendario A'!$M$8:$M$110,$H12,'Calendario A'!$T$8:$T$110,$H$19)+SUMIFS('Calendario A'!$U$8:$U$110,'Calendario A'!$T$8:$T$110,$H12,'Calendario A'!$M$8:$M$110,$H$19),"-")</f>
        <v>-</v>
      </c>
      <c r="AG12" s="13" t="str">
        <f aca="false">$C12</f>
        <v>Anaconde Arrabbiate-Anacondeopoli AE</v>
      </c>
      <c r="AH12" s="14" t="str">
        <f aca="false">IF(AND($H12&lt;&gt;"",$H$12&lt;&gt;"",$H12&lt;&gt;$H$12,IFERROR(VLOOKUP($H12,areaCercaPuntiClassificaSquadra,3,FALSE()),-1)=IFERROR(VLOOKUP($H$12,areaCercaPuntiClassificaSquadra,3,FALSE()),-2)),SUMIFS('Calendario A'!$P$8:$P$110,'Calendario A'!$M$8:$M$110,$H12,'Calendario A'!$T$8:$T$110,$H$12)+SUMIFS('Calendario A'!$W$8:$W$110,'Calendario A'!$T$8:$T$110,$H12,'Calendario A'!$M$8:$M$110,$H$12)+SUMIFS('Calendario A'!$O$8:$O$110,'Calendario A'!$M$8:$M$110,$H12,'Calendario A'!$T$8:$T$110,$H$12)+SUMIFS('Calendario A'!$V$8:$V$110,'Calendario A'!$T$8:$T$110,$H12,'Calendario A'!$M$8:$M$110,$H$12),"-")</f>
        <v>-</v>
      </c>
      <c r="AI12" s="14" t="str">
        <f aca="false">IF(AND($H12&lt;&gt;"",$H$13&lt;&gt;"",$H12&lt;&gt;$H$13,IFERROR(VLOOKUP($H12,areaCercaPuntiClassificaSquadra,3,FALSE()),-1)=IFERROR(VLOOKUP($H$13,areaCercaPuntiClassificaSquadra,3,FALSE()),-2)),SUMIFS('Calendario A'!$P$8:$P$110,'Calendario A'!$M$8:$M$110,$H12,'Calendario A'!$T$8:$T$110,$H$13)+SUMIFS('Calendario A'!$W$8:$W$110,'Calendario A'!$T$8:$T$110,$H12,'Calendario A'!$M$8:$M$110,$H$13)+SUMIFS('Calendario A'!$O$8:$O$110,'Calendario A'!$M$8:$M$110,$H12,'Calendario A'!$T$8:$T$110,$H$13)+SUMIFS('Calendario A'!$V$8:$V$110,'Calendario A'!$T$8:$T$110,$H12,'Calendario A'!$M$8:$M$110,$H$13),"-")</f>
        <v>-</v>
      </c>
      <c r="AJ12" s="14" t="str">
        <f aca="false">IF(AND($H12&lt;&gt;"",$H$14&lt;&gt;"",$H12&lt;&gt;$H$14,IFERROR(VLOOKUP($H12,areaCercaPuntiClassificaSquadra,3,FALSE()),-1)=IFERROR(VLOOKUP($H$14,areaCercaPuntiClassificaSquadra,3,FALSE()),-2)),SUMIFS('Calendario A'!$P$8:$P$110,'Calendario A'!$M$8:$M$110,$H12,'Calendario A'!$T$8:$T$110,$H$14)+SUMIFS('Calendario A'!$W$8:$W$110,'Calendario A'!$T$8:$T$110,$H12,'Calendario A'!$M$8:$M$110,$H$14)+SUMIFS('Calendario A'!$O$8:$O$110,'Calendario A'!$M$8:$M$110,$H12,'Calendario A'!$T$8:$T$110,$H$14)+SUMIFS('Calendario A'!$V$8:$V$110,'Calendario A'!$T$8:$T$110,$H12,'Calendario A'!$M$8:$M$110,$H$14),"-")</f>
        <v>-</v>
      </c>
      <c r="AK12" s="14" t="str">
        <f aca="false">IF(AND($H12&lt;&gt;"",$H$15&lt;&gt;"",$H12&lt;&gt;$H$15,IFERROR(VLOOKUP($H12,areaCercaPuntiClassificaSquadra,3,FALSE()),-1)=IFERROR(VLOOKUP($H$15,areaCercaPuntiClassificaSquadra,3,FALSE()),-2)),SUMIFS('Calendario A'!$P$8:$P$110,'Calendario A'!$M$8:$M$110,$H12,'Calendario A'!$T$8:$T$110,$H$15)+SUMIFS('Calendario A'!$W$8:$W$110,'Calendario A'!$T$8:$T$110,$H12,'Calendario A'!$M$8:$M$110,$H$15)+SUMIFS('Calendario A'!$O$8:$O$110,'Calendario A'!$M$8:$M$110,$H12,'Calendario A'!$T$8:$T$110,$H$15)+SUMIFS('Calendario A'!$V$8:$V$110,'Calendario A'!$T$8:$T$110,$H12,'Calendario A'!$M$8:$M$110,$H$15),"-")</f>
        <v>-</v>
      </c>
      <c r="AL12" s="14" t="str">
        <f aca="false">IF(AND($H12&lt;&gt;"",$H$16&lt;&gt;"",$H12&lt;&gt;$H$16,IFERROR(VLOOKUP($H12,areaCercaPuntiClassificaSquadra,3,FALSE()),-1)=IFERROR(VLOOKUP($H$16,areaCercaPuntiClassificaSquadra,3,FALSE()),-2)),SUMIFS('Calendario A'!$P$8:$P$110,'Calendario A'!$M$8:$M$110,$H12,'Calendario A'!$T$8:$T$110,$H$16)+SUMIFS('Calendario A'!$W$8:$W$110,'Calendario A'!$T$8:$T$110,$H12,'Calendario A'!$M$8:$M$110,$H$16)+SUMIFS('Calendario A'!$O$8:$O$110,'Calendario A'!$M$8:$M$110,$H12,'Calendario A'!$T$8:$T$110,$H$16)+SUMIFS('Calendario A'!$V$8:$V$110,'Calendario A'!$T$8:$T$110,$H12,'Calendario A'!$M$8:$M$110,$H$16),"-")</f>
        <v>-</v>
      </c>
      <c r="AM12" s="14" t="str">
        <f aca="false">IF(AND($H12&lt;&gt;"",$H$17&lt;&gt;"",$H12&lt;&gt;$H$17,IFERROR(VLOOKUP($H12,areaCercaPuntiClassificaSquadra,3,FALSE()),-1)=IFERROR(VLOOKUP($H$17,areaCercaPuntiClassificaSquadra,3,FALSE()),-2)),SUMIFS('Calendario A'!$P$8:$P$110,'Calendario A'!$M$8:$M$110,$H12,'Calendario A'!$T$8:$T$110,$H$17)+SUMIFS('Calendario A'!$W$8:$W$110,'Calendario A'!$T$8:$T$110,$H12,'Calendario A'!$M$8:$M$110,$H$17)+SUMIFS('Calendario A'!$O$8:$O$110,'Calendario A'!$M$8:$M$110,$H12,'Calendario A'!$T$8:$T$110,$H$17)+SUMIFS('Calendario A'!$V$8:$V$110,'Calendario A'!$T$8:$T$110,$H12,'Calendario A'!$M$8:$M$110,$H$17),"-")</f>
        <v>-</v>
      </c>
      <c r="AN12" s="14" t="str">
        <f aca="false">IF(AND($H12&lt;&gt;"",$H$18&lt;&gt;"",$H12&lt;&gt;$H$18,IFERROR(VLOOKUP($H12,areaCercaPuntiClassificaSquadra,3,FALSE()),-1)=IFERROR(VLOOKUP($H$18,areaCercaPuntiClassificaSquadra,3,FALSE()),-2)),SUMIFS('Calendario A'!$P$8:$P$110,'Calendario A'!$M$8:$M$110,$H12,'Calendario A'!$T$8:$T$110,$H$18)+SUMIFS('Calendario A'!$W$8:$W$110,'Calendario A'!$T$8:$T$110,$H12,'Calendario A'!$M$8:$M$110,$H$18)+SUMIFS('Calendario A'!$O$8:$O$110,'Calendario A'!$M$8:$M$110,$H12,'Calendario A'!$T$8:$T$110,$H$18)+SUMIFS('Calendario A'!$V$8:$V$110,'Calendario A'!$T$8:$T$110,$H12,'Calendario A'!$M$8:$M$110,$H$18),"-")</f>
        <v>-</v>
      </c>
      <c r="AO12" s="14" t="str">
        <f aca="false">IF(AND($H12&lt;&gt;"",$H$19&lt;&gt;"",$H12&lt;&gt;$H$19,IFERROR(VLOOKUP($H12,areaCercaPuntiClassificaSquadra,3,FALSE()),-1)=IFERROR(VLOOKUP($H$19,areaCercaPuntiClassificaSquadra,3,FALSE()),-2)),SUMIFS('Calendario A'!$P$8:$P$110,'Calendario A'!$M$8:$M$110,$H12,'Calendario A'!$T$8:$T$110,$H$19)+SUMIFS('Calendario A'!$W$8:$W$110,'Calendario A'!$T$8:$T$110,$H12,'Calendario A'!$M$8:$M$110,$H$19)+SUMIFS('Calendario A'!$O$8:$O$110,'Calendario A'!$M$8:$M$110,$H12,'Calendario A'!$T$8:$T$110,$H$19)+SUMIFS('Calendario A'!$V$8:$V$110,'Calendario A'!$T$8:$T$110,$H12,'Calendario A'!$M$8:$M$110,$H$19),"-")</f>
        <v>-</v>
      </c>
      <c r="AP12" s="13" t="str">
        <f aca="false">$C12</f>
        <v>Anaconde Arrabbiate-Anacondeopoli AE</v>
      </c>
      <c r="AQ12" s="14" t="str">
        <f aca="false">IF(AND($H12&lt;&gt;"",$H$12&lt;&gt;"",$H12&lt;&gt;$H$12,IFERROR(VLOOKUP($H12,areaCercaPuntiClassificaSquadra,3,FALSE()),-1)=IFERROR(VLOOKUP($H$12,areaCercaPuntiClassificaSquadra,3,FALSE()),-2)),SUMIFS('Calendario A'!$Q$8:$Q$110,'Calendario A'!$M$8:$M$110,$H12,'Calendario A'!$T$8:$T$110,$H$12)+SUMIFS('Calendario A'!$X$8:$X$110,'Calendario A'!$T$8:$T$110,$H12,'Calendario A'!$M$8:$M$110,$H$12),"-")</f>
        <v>-</v>
      </c>
      <c r="AR12" s="14" t="str">
        <f aca="false">IF(AND($H12&lt;&gt;"",$H$13&lt;&gt;"",$H12&lt;&gt;$H$13,IFERROR(VLOOKUP($H12,areaCercaPuntiClassificaSquadra,3,FALSE()),-1)=IFERROR(VLOOKUP($H$13,areaCercaPuntiClassificaSquadra,3,FALSE()),-2)),SUMIFS('Calendario A'!$Q$8:$Q$110,'Calendario A'!$M$8:$M$110,$H12,'Calendario A'!$T$8:$T$110,$H$13)+SUMIFS('Calendario A'!$X$8:$X$110,'Calendario A'!$T$8:$T$110,$H12,'Calendario A'!$M$8:$M$110,$H$13),"-")</f>
        <v>-</v>
      </c>
      <c r="AS12" s="14" t="str">
        <f aca="false">IF(AND($H12&lt;&gt;"",$H$14&lt;&gt;"",$H12&lt;&gt;$H$14,IFERROR(VLOOKUP($H12,areaCercaPuntiClassificaSquadra,3,FALSE()),-1)=IFERROR(VLOOKUP($H$14,areaCercaPuntiClassificaSquadra,3,FALSE()),-2)),SUMIFS('Calendario A'!$Q$8:$Q$110,'Calendario A'!$M$8:$M$110,$H12,'Calendario A'!$T$8:$T$110,$H$14)+SUMIFS('Calendario A'!$X$8:$X$110,'Calendario A'!$T$8:$T$110,$H12,'Calendario A'!$M$8:$M$110,$H$14),"-")</f>
        <v>-</v>
      </c>
      <c r="AT12" s="14" t="str">
        <f aca="false">IF(AND($H12&lt;&gt;"",$H$15&lt;&gt;"",$H12&lt;&gt;$H$15,IFERROR(VLOOKUP($H12,areaCercaPuntiClassificaSquadra,3,FALSE()),-1)=IFERROR(VLOOKUP($H$15,areaCercaPuntiClassificaSquadra,3,FALSE()),-2)),SUMIFS('Calendario A'!$Q$8:$Q$110,'Calendario A'!$M$8:$M$110,$H12,'Calendario A'!$T$8:$T$110,$H$15)+SUMIFS('Calendario A'!$X$8:$X$110,'Calendario A'!$T$8:$T$110,$H12,'Calendario A'!$M$8:$M$110,$H$15),"-")</f>
        <v>-</v>
      </c>
      <c r="AU12" s="14" t="str">
        <f aca="false">IF(AND($H12&lt;&gt;"",$H$16&lt;&gt;"",$H12&lt;&gt;$H$16,IFERROR(VLOOKUP($H12,areaCercaPuntiClassificaSquadra,3,FALSE()),-1)=IFERROR(VLOOKUP($H$16,areaCercaPuntiClassificaSquadra,3,FALSE()),-2)),SUMIFS('Calendario A'!$Q$8:$Q$110,'Calendario A'!$M$8:$M$110,$H12,'Calendario A'!$T$8:$T$110,$H$16)+SUMIFS('Calendario A'!$X$8:$X$110,'Calendario A'!$T$8:$T$110,$H12,'Calendario A'!$M$8:$M$110,$H$16),"-")</f>
        <v>-</v>
      </c>
      <c r="AV12" s="14" t="str">
        <f aca="false">IF(AND($H12&lt;&gt;"",$H$17&lt;&gt;"",$H12&lt;&gt;$H$17,IFERROR(VLOOKUP($H12,areaCercaPuntiClassificaSquadra,3,FALSE()),-1)=IFERROR(VLOOKUP($H$17,areaCercaPuntiClassificaSquadra,3,FALSE()),-2)),SUMIFS('Calendario A'!$Q$8:$Q$110,'Calendario A'!$M$8:$M$110,$H12,'Calendario A'!$T$8:$T$110,$H$17)+SUMIFS('Calendario A'!$X$8:$X$110,'Calendario A'!$T$8:$T$110,$H12,'Calendario A'!$M$8:$M$110,$H$17),"-")</f>
        <v>-</v>
      </c>
      <c r="AW12" s="14" t="str">
        <f aca="false">IF(AND($H12&lt;&gt;"",$H$18&lt;&gt;"",$H12&lt;&gt;$H$18,IFERROR(VLOOKUP($H12,areaCercaPuntiClassificaSquadra,3,FALSE()),-1)=IFERROR(VLOOKUP($H$18,areaCercaPuntiClassificaSquadra,3,FALSE()),-2)),SUMIFS('Calendario A'!$Q$8:$Q$110,'Calendario A'!$M$8:$M$110,$H12,'Calendario A'!$T$8:$T$110,$H$18)+SUMIFS('Calendario A'!$X$8:$X$110,'Calendario A'!$T$8:$T$110,$H12,'Calendario A'!$M$8:$M$110,$H$18),"-")</f>
        <v>-</v>
      </c>
      <c r="AX12" s="14" t="str">
        <f aca="false">IF(AND($H12&lt;&gt;"",$H$19&lt;&gt;"",$H12&lt;&gt;$H$19,IFERROR(VLOOKUP($H12,areaCercaPuntiClassificaSquadra,3,FALSE()),-1)=IFERROR(VLOOKUP($H$19,areaCercaPuntiClassificaSquadra,3,FALSE()),-2)),SUMIFS('Calendario A'!$Q$8:$Q$110,'Calendario A'!$M$8:$M$110,$H12,'Calendario A'!$T$8:$T$110,$H$19)+SUMIFS('Calendario A'!$X$8:$X$110,'Calendario A'!$T$8:$T$110,$H12,'Calendario A'!$M$8:$M$110,$H$19),"-")</f>
        <v>-</v>
      </c>
      <c r="AY12" s="13" t="str">
        <f aca="false">$C12</f>
        <v>Anaconde Arrabbiate-Anacondeopoli AE</v>
      </c>
      <c r="AZ12" s="14" t="str">
        <f aca="false">IF(AND($H12&lt;&gt;"",$H$12&lt;&gt;"",$H12&lt;&gt;$H$12,IFERROR(VLOOKUP($H12,areaCercaPuntiClassificaSquadra,3,FALSE()),-1)=IFERROR(VLOOKUP($H$12,areaCercaPuntiClassificaSquadra,3,FALSE()),-2)),SUMIFS('Calendario A'!$R$8:$R$110,'Calendario A'!$M$8:$M$110,$H12,'Calendario A'!$T$8:$T$110,$H$12)+SUMIFS('Calendario A'!$Y$8:$Y$110,'Calendario A'!$T$8:$T$110,$H12,'Calendario A'!$M$8:$M$110,$H$12),"-")</f>
        <v>-</v>
      </c>
      <c r="BA12" s="14" t="str">
        <f aca="false">IF(AND($H12&lt;&gt;"",$H$13&lt;&gt;"",$H12&lt;&gt;$H$13,IFERROR(VLOOKUP($H12,areaCercaPuntiClassificaSquadra,3,FALSE()),-1)=IFERROR(VLOOKUP($H$13,areaCercaPuntiClassificaSquadra,3,FALSE()),-2)),SUMIFS('Calendario A'!$R$8:$R$110,'Calendario A'!$M$8:$M$110,$H12,'Calendario A'!$T$8:$T$110,$H$13)+SUMIFS('Calendario A'!$Y$8:$Y$110,'Calendario A'!$T$8:$T$110,$H12,'Calendario A'!$M$8:$M$110,$H$13),"-")</f>
        <v>-</v>
      </c>
      <c r="BB12" s="14" t="str">
        <f aca="false">IF(AND($H12&lt;&gt;"",$H$14&lt;&gt;"",$H12&lt;&gt;$H$14,IFERROR(VLOOKUP($H12,areaCercaPuntiClassificaSquadra,3,FALSE()),-1)=IFERROR(VLOOKUP($H$14,areaCercaPuntiClassificaSquadra,3,FALSE()),-2)),SUMIFS('Calendario A'!$R$8:$R$110,'Calendario A'!$M$8:$M$110,$H12,'Calendario A'!$T$8:$T$110,$H$14)+SUMIFS('Calendario A'!$Y$8:$Y$110,'Calendario A'!$T$8:$T$110,$H12,'Calendario A'!$M$8:$M$110,$H$14),"-")</f>
        <v>-</v>
      </c>
      <c r="BC12" s="14" t="str">
        <f aca="false">IF(AND($H12&lt;&gt;"",$H$15&lt;&gt;"",$H12&lt;&gt;$H$15,IFERROR(VLOOKUP($H12,areaCercaPuntiClassificaSquadra,3,FALSE()),-1)=IFERROR(VLOOKUP($H$15,areaCercaPuntiClassificaSquadra,3,FALSE()),-2)),SUMIFS('Calendario A'!$R$8:$R$110,'Calendario A'!$M$8:$M$110,$H12,'Calendario A'!$T$8:$T$110,$H$15)+SUMIFS('Calendario A'!$Y$8:$Y$110,'Calendario A'!$T$8:$T$110,$H12,'Calendario A'!$M$8:$M$110,$H$15),"-")</f>
        <v>-</v>
      </c>
      <c r="BD12" s="14" t="str">
        <f aca="false">IF(AND($H12&lt;&gt;"",$H$16&lt;&gt;"",$H12&lt;&gt;$H$16,IFERROR(VLOOKUP($H12,areaCercaPuntiClassificaSquadra,3,FALSE()),-1)=IFERROR(VLOOKUP($H$16,areaCercaPuntiClassificaSquadra,3,FALSE()),-2)),SUMIFS('Calendario A'!$R$8:$R$110,'Calendario A'!$M$8:$M$110,$H12,'Calendario A'!$T$8:$T$110,$H$16)+SUMIFS('Calendario A'!$Y$8:$Y$110,'Calendario A'!$T$8:$T$110,$H12,'Calendario A'!$M$8:$M$110,$H$16),"-")</f>
        <v>-</v>
      </c>
      <c r="BE12" s="14" t="str">
        <f aca="false">IF(AND($H12&lt;&gt;"",$H$17&lt;&gt;"",$H12&lt;&gt;$H$17,IFERROR(VLOOKUP($H12,areaCercaPuntiClassificaSquadra,3,FALSE()),-1)=IFERROR(VLOOKUP($H$17,areaCercaPuntiClassificaSquadra,3,FALSE()),-2)),SUMIFS('Calendario A'!$R$8:$R$110,'Calendario A'!$M$8:$M$110,$H12,'Calendario A'!$T$8:$T$110,$H$17)+SUMIFS('Calendario A'!$Y$8:$Y$110,'Calendario A'!$T$8:$T$110,$H12,'Calendario A'!$M$8:$M$110,$H$17),"-")</f>
        <v>-</v>
      </c>
      <c r="BF12" s="14" t="str">
        <f aca="false">IF(AND($H12&lt;&gt;"",$H$18&lt;&gt;"",$H12&lt;&gt;$H$18,IFERROR(VLOOKUP($H12,areaCercaPuntiClassificaSquadra,3,FALSE()),-1)=IFERROR(VLOOKUP($H$18,areaCercaPuntiClassificaSquadra,3,FALSE()),-2)),SUMIFS('Calendario A'!$R$8:$R$110,'Calendario A'!$M$8:$M$110,$H12,'Calendario A'!$T$8:$T$110,$H$18)+SUMIFS('Calendario A'!$Y$8:$Y$110,'Calendario A'!$T$8:$T$110,$H12,'Calendario A'!$M$8:$M$110,$H$18),"-")</f>
        <v>-</v>
      </c>
      <c r="BG12" s="14" t="str">
        <f aca="false">IF(AND($H12&lt;&gt;"",$H$19&lt;&gt;"",$H12&lt;&gt;$H$19,IFERROR(VLOOKUP($H12,areaCercaPuntiClassificaSquadra,3,FALSE()),-1)=IFERROR(VLOOKUP($H$19,areaCercaPuntiClassificaSquadra,3,FALSE()),-2)),SUMIFS('Calendario A'!$R$8:$R$110,'Calendario A'!$M$8:$M$110,$H12,'Calendario A'!$T$8:$T$110,$H$19)+SUMIFS('Calendario A'!$Y$8:$Y$110,'Calendario A'!$T$8:$T$110,$H12,'Calendario A'!$M$8:$M$110,$H$19),"-")</f>
        <v>-</v>
      </c>
    </row>
    <row r="13" customFormat="false" ht="15" hidden="false" customHeight="false" outlineLevel="0" collapsed="false">
      <c r="B13" s="7" t="s">
        <v>50</v>
      </c>
      <c r="C13" s="8" t="s">
        <v>51</v>
      </c>
      <c r="D13" s="9"/>
      <c r="E13" s="10" t="s">
        <v>49</v>
      </c>
      <c r="G13" s="11" t="str">
        <f aca="false">IF($C13="","",$E13&amp;(COUNTIFS(I$12:I$75,"&gt;"&amp;I13,E$12:E$75,"="&amp;E13,C$12:C$75,"&lt;&gt;")+COUNTIFS(I$12:I$75,"="&amp;I13,H$12:H$75,"&lt;="&amp;H13,E$12:E$75,"="&amp;E13,C$12:C$75,"&lt;&gt;")))</f>
        <v>A7</v>
      </c>
      <c r="H13" s="12" t="str">
        <f aca="false">IF($C13="","",IFERROR(LEFT($C13,FIND("-",$C13)-1),$C13))</f>
        <v>Bufali Belligeranti</v>
      </c>
      <c r="I13" s="7" t="str">
        <f aca="false">TEXT(1000000000+J13,"|0000000000|")&amp;TEXT(SUM(Y13:AF13),"0000000000|")&amp;IF(SUM(AZ13:BG13)=0,"0000000000|",TEXT(ROUND(SUM(AQ13:AX13)/SUM(AZ13:BG13),4)*100000,"0000000000|"))&amp;IF(P13=0,"0000000000|",TEXT(ROUND(O13/P13,4)*100000,"0000000000|"))</f>
        <v>|1000000009|0000000001|0000154170|0000091310|</v>
      </c>
      <c r="J13" s="11" t="n">
        <f aca="false">L13*constPuntiVittoria+M13*constPuntiSconfitta+N13*constPuntiForfait+IF(D13="",0,D13)</f>
        <v>9</v>
      </c>
      <c r="K13" s="7" t="n">
        <f aca="false">SUM(L13:N13)</f>
        <v>7</v>
      </c>
      <c r="L13" s="7" t="n">
        <f aca="false">IF($H13="",0,SUMIF('Calendario A'!$M$8:$M$110,$H13,'Calendario A'!$N$8:$N$110)+SUMIF('Calendario A'!$T$8:$T$110,$H13,'Calendario A'!$U$8:$U$110))</f>
        <v>1</v>
      </c>
      <c r="M13" s="7" t="n">
        <f aca="false">IF($H13="",0,SUMIF('Calendario A'!$M$8:$M$110,$H13,'Calendario A'!$P$8:$P$110)+SUMIF('Calendario A'!$T$8:$T$110,$H13,'Calendario A'!$W$8:$W$110))</f>
        <v>6</v>
      </c>
      <c r="N13" s="7" t="n">
        <f aca="false">IF($H13="",0,SUMIF('Calendario A'!$M$8:$M$110,$H13,'Calendario A'!$O$8:$O$110)+SUMIF('Calendario A'!$T$8:$T$110,$H13,'Calendario A'!$V$8:$V$110))</f>
        <v>0</v>
      </c>
      <c r="O13" s="7" t="n">
        <f aca="false">IF($H13="",0,SUMIF('Calendario A'!$M$8:$M$110,$H13,'Calendario A'!$Q$8:$Q$110)+SUMIF('Calendario A'!$T$8:$T$110,$H13,'Calendario A'!$X$8:$X$110))</f>
        <v>431</v>
      </c>
      <c r="P13" s="7" t="n">
        <f aca="false">IF($H13="",0,SUMIF('Calendario A'!$M$8:$M$110,$H13,'Calendario A'!$R$8:$R$110)+SUMIF('Calendario A'!$T$8:$T$110,$H13,'Calendario A'!$Y$8:$Y$110))</f>
        <v>472</v>
      </c>
      <c r="Q13" s="7" t="n">
        <f aca="false">IF($H13="",0,SUMIF('Calendario A'!$M$8:$M$110,$H13,'Calendario A'!$S$8:$S$110)+SUMIF('Calendario A'!$T$8:$T$110,$H13,'Calendario A'!$Z$8:$Z$110))</f>
        <v>-41</v>
      </c>
      <c r="R13" s="7" t="n">
        <f aca="false">IF(K13=0,0,ROUND(O13/K13,2))</f>
        <v>61.57</v>
      </c>
      <c r="S13" s="7" t="n">
        <f aca="false">IF(K13=0,0,ROUND(P13/K13,2))</f>
        <v>67.43</v>
      </c>
      <c r="T13" s="7" t="n">
        <f aca="false">IF(K13=0,0,ROUND(Q13/K13,2))</f>
        <v>-5.86</v>
      </c>
      <c r="U13" s="7" t="str">
        <f aca="false">IF(COUNT(Y13:AF13)=0,"-",SUM(Y13:AF13)&amp;"-"&amp;SUM(AH13:AO13))</f>
        <v>1-0</v>
      </c>
      <c r="V13" s="7" t="str">
        <f aca="false">IF(COUNT(Y13:AF13)=0,"-",IF(SUM(AZ13:BG13)=0,TEXT(0,"0.0000"),TEXT(ROUND(SUM(AQ13:AX13)/SUM(AZ13:BG13),4),"0.0000")))</f>
        <v>1.5417</v>
      </c>
      <c r="W13" s="7" t="str">
        <f aca="false">IF(H13="","-",IF(P13=0,TEXT(0,"0.0000"),TEXT(ROUND(O13/P13,4),"0.0000")))</f>
        <v>0.9131</v>
      </c>
      <c r="X13" s="13" t="str">
        <f aca="false">$C13</f>
        <v>Bufali Belligeranti-Bufaliopoli BI</v>
      </c>
      <c r="Y13" s="14" t="str">
        <f aca="false">IF(AND($H13&lt;&gt;"",$H$12&lt;&gt;"",$H13&lt;&gt;$H$12,IFERROR(VLOOKUP($H13,areaCercaPuntiClassificaSquadra,3,FALSE()),-1)=IFERROR(VLOOKUP($H$12,areaCercaPuntiClassificaSquadra,3,FALSE()),-2)),SUMIFS('Calendario A'!$N$8:$N$110,'Calendario A'!$M$8:$M$110,$H13,'Calendario A'!$T$8:$T$110,$H$12)+SUMIFS('Calendario A'!$U$8:$U$110,'Calendario A'!$T$8:$T$110,$H13,'Calendario A'!$M$8:$M$110,$H$12),"-")</f>
        <v>-</v>
      </c>
      <c r="Z13" s="14" t="str">
        <f aca="false">IF(AND($H13&lt;&gt;"",$H$13&lt;&gt;"",$H13&lt;&gt;$H$13,IFERROR(VLOOKUP($H13,areaCercaPuntiClassificaSquadra,3,FALSE()),-1)=IFERROR(VLOOKUP($H$13,areaCercaPuntiClassificaSquadra,3,FALSE()),-2)),SUMIFS('Calendario A'!$N$8:$N$110,'Calendario A'!$M$8:$M$110,$H13,'Calendario A'!$T$8:$T$110,$H$13)+SUMIFS('Calendario A'!$U$8:$U$110,'Calendario A'!$T$8:$T$110,$H13,'Calendario A'!$M$8:$M$110,$H$13),"-")</f>
        <v>-</v>
      </c>
      <c r="AA13" s="14" t="str">
        <f aca="false">IF(AND($H13&lt;&gt;"",$H$14&lt;&gt;"",$H13&lt;&gt;$H$14,IFERROR(VLOOKUP($H13,areaCercaPuntiClassificaSquadra,3,FALSE()),-1)=IFERROR(VLOOKUP($H$14,areaCercaPuntiClassificaSquadra,3,FALSE()),-2)),SUMIFS('Calendario A'!$N$8:$N$110,'Calendario A'!$M$8:$M$110,$H13,'Calendario A'!$T$8:$T$110,$H$14)+SUMIFS('Calendario A'!$U$8:$U$110,'Calendario A'!$T$8:$T$110,$H13,'Calendario A'!$M$8:$M$110,$H$14),"-")</f>
        <v>-</v>
      </c>
      <c r="AB13" s="14" t="n">
        <f aca="false">IF(AND($H13&lt;&gt;"",$H$15&lt;&gt;"",$H13&lt;&gt;$H$15,IFERROR(VLOOKUP($H13,areaCercaPuntiClassificaSquadra,3,FALSE()),-1)=IFERROR(VLOOKUP($H$15,areaCercaPuntiClassificaSquadra,3,FALSE()),-2)),SUMIFS('Calendario A'!$N$8:$N$110,'Calendario A'!$M$8:$M$110,$H13,'Calendario A'!$T$8:$T$110,$H$15)+SUMIFS('Calendario A'!$U$8:$U$110,'Calendario A'!$T$8:$T$110,$H13,'Calendario A'!$M$8:$M$110,$H$15),"-")</f>
        <v>1</v>
      </c>
      <c r="AC13" s="14" t="str">
        <f aca="false">IF(AND($H13&lt;&gt;"",$H$16&lt;&gt;"",$H13&lt;&gt;$H$16,IFERROR(VLOOKUP($H13,areaCercaPuntiClassificaSquadra,3,FALSE()),-1)=IFERROR(VLOOKUP($H$16,areaCercaPuntiClassificaSquadra,3,FALSE()),-2)),SUMIFS('Calendario A'!$N$8:$N$110,'Calendario A'!$M$8:$M$110,$H13,'Calendario A'!$T$8:$T$110,$H$16)+SUMIFS('Calendario A'!$U$8:$U$110,'Calendario A'!$T$8:$T$110,$H13,'Calendario A'!$M$8:$M$110,$H$16),"-")</f>
        <v>-</v>
      </c>
      <c r="AD13" s="14" t="str">
        <f aca="false">IF(AND($H13&lt;&gt;"",$H$17&lt;&gt;"",$H13&lt;&gt;$H$17,IFERROR(VLOOKUP($H13,areaCercaPuntiClassificaSquadra,3,FALSE()),-1)=IFERROR(VLOOKUP($H$17,areaCercaPuntiClassificaSquadra,3,FALSE()),-2)),SUMIFS('Calendario A'!$N$8:$N$110,'Calendario A'!$M$8:$M$110,$H13,'Calendario A'!$T$8:$T$110,$H$17)+SUMIFS('Calendario A'!$U$8:$U$110,'Calendario A'!$T$8:$T$110,$H13,'Calendario A'!$M$8:$M$110,$H$17),"-")</f>
        <v>-</v>
      </c>
      <c r="AE13" s="14" t="str">
        <f aca="false">IF(AND($H13&lt;&gt;"",$H$18&lt;&gt;"",$H13&lt;&gt;$H$18,IFERROR(VLOOKUP($H13,areaCercaPuntiClassificaSquadra,3,FALSE()),-1)=IFERROR(VLOOKUP($H$18,areaCercaPuntiClassificaSquadra,3,FALSE()),-2)),SUMIFS('Calendario A'!$N$8:$N$110,'Calendario A'!$M$8:$M$110,$H13,'Calendario A'!$T$8:$T$110,$H$18)+SUMIFS('Calendario A'!$U$8:$U$110,'Calendario A'!$T$8:$T$110,$H13,'Calendario A'!$M$8:$M$110,$H$18),"-")</f>
        <v>-</v>
      </c>
      <c r="AF13" s="14" t="str">
        <f aca="false">IF(AND($H13&lt;&gt;"",$H$19&lt;&gt;"",$H13&lt;&gt;$H$19,IFERROR(VLOOKUP($H13,areaCercaPuntiClassificaSquadra,3,FALSE()),-1)=IFERROR(VLOOKUP($H$19,areaCercaPuntiClassificaSquadra,3,FALSE()),-2)),SUMIFS('Calendario A'!$N$8:$N$110,'Calendario A'!$M$8:$M$110,$H13,'Calendario A'!$T$8:$T$110,$H$19)+SUMIFS('Calendario A'!$U$8:$U$110,'Calendario A'!$T$8:$T$110,$H13,'Calendario A'!$M$8:$M$110,$H$19),"-")</f>
        <v>-</v>
      </c>
      <c r="AG13" s="13" t="str">
        <f aca="false">$C13</f>
        <v>Bufali Belligeranti-Bufaliopoli BI</v>
      </c>
      <c r="AH13" s="14" t="str">
        <f aca="false">IF(AND($H13&lt;&gt;"",$H$12&lt;&gt;"",$H13&lt;&gt;$H$12,IFERROR(VLOOKUP($H13,areaCercaPuntiClassificaSquadra,3,FALSE()),-1)=IFERROR(VLOOKUP($H$12,areaCercaPuntiClassificaSquadra,3,FALSE()),-2)),SUMIFS('Calendario A'!$P$8:$P$110,'Calendario A'!$M$8:$M$110,$H13,'Calendario A'!$T$8:$T$110,$H$12)+SUMIFS('Calendario A'!$W$8:$W$110,'Calendario A'!$T$8:$T$110,$H13,'Calendario A'!$M$8:$M$110,$H$12)+SUMIFS('Calendario A'!$O$8:$O$110,'Calendario A'!$M$8:$M$110,$H13,'Calendario A'!$T$8:$T$110,$H$12)+SUMIFS('Calendario A'!$V$8:$V$110,'Calendario A'!$T$8:$T$110,$H13,'Calendario A'!$M$8:$M$110,$H$12),"-")</f>
        <v>-</v>
      </c>
      <c r="AI13" s="14" t="str">
        <f aca="false">IF(AND($H13&lt;&gt;"",$H$13&lt;&gt;"",$H13&lt;&gt;$H$13,IFERROR(VLOOKUP($H13,areaCercaPuntiClassificaSquadra,3,FALSE()),-1)=IFERROR(VLOOKUP($H$13,areaCercaPuntiClassificaSquadra,3,FALSE()),-2)),SUMIFS('Calendario A'!$P$8:$P$110,'Calendario A'!$M$8:$M$110,$H13,'Calendario A'!$T$8:$T$110,$H$13)+SUMIFS('Calendario A'!$W$8:$W$110,'Calendario A'!$T$8:$T$110,$H13,'Calendario A'!$M$8:$M$110,$H$13)+SUMIFS('Calendario A'!$O$8:$O$110,'Calendario A'!$M$8:$M$110,$H13,'Calendario A'!$T$8:$T$110,$H$13)+SUMIFS('Calendario A'!$V$8:$V$110,'Calendario A'!$T$8:$T$110,$H13,'Calendario A'!$M$8:$M$110,$H$13),"-")</f>
        <v>-</v>
      </c>
      <c r="AJ13" s="14" t="str">
        <f aca="false">IF(AND($H13&lt;&gt;"",$H$14&lt;&gt;"",$H13&lt;&gt;$H$14,IFERROR(VLOOKUP($H13,areaCercaPuntiClassificaSquadra,3,FALSE()),-1)=IFERROR(VLOOKUP($H$14,areaCercaPuntiClassificaSquadra,3,FALSE()),-2)),SUMIFS('Calendario A'!$P$8:$P$110,'Calendario A'!$M$8:$M$110,$H13,'Calendario A'!$T$8:$T$110,$H$14)+SUMIFS('Calendario A'!$W$8:$W$110,'Calendario A'!$T$8:$T$110,$H13,'Calendario A'!$M$8:$M$110,$H$14)+SUMIFS('Calendario A'!$O$8:$O$110,'Calendario A'!$M$8:$M$110,$H13,'Calendario A'!$T$8:$T$110,$H$14)+SUMIFS('Calendario A'!$V$8:$V$110,'Calendario A'!$T$8:$T$110,$H13,'Calendario A'!$M$8:$M$110,$H$14),"-")</f>
        <v>-</v>
      </c>
      <c r="AK13" s="14" t="n">
        <f aca="false">IF(AND($H13&lt;&gt;"",$H$15&lt;&gt;"",$H13&lt;&gt;$H$15,IFERROR(VLOOKUP($H13,areaCercaPuntiClassificaSquadra,3,FALSE()),-1)=IFERROR(VLOOKUP($H$15,areaCercaPuntiClassificaSquadra,3,FALSE()),-2)),SUMIFS('Calendario A'!$P$8:$P$110,'Calendario A'!$M$8:$M$110,$H13,'Calendario A'!$T$8:$T$110,$H$15)+SUMIFS('Calendario A'!$W$8:$W$110,'Calendario A'!$T$8:$T$110,$H13,'Calendario A'!$M$8:$M$110,$H$15)+SUMIFS('Calendario A'!$O$8:$O$110,'Calendario A'!$M$8:$M$110,$H13,'Calendario A'!$T$8:$T$110,$H$15)+SUMIFS('Calendario A'!$V$8:$V$110,'Calendario A'!$T$8:$T$110,$H13,'Calendario A'!$M$8:$M$110,$H$15),"-")</f>
        <v>0</v>
      </c>
      <c r="AL13" s="14" t="str">
        <f aca="false">IF(AND($H13&lt;&gt;"",$H$16&lt;&gt;"",$H13&lt;&gt;$H$16,IFERROR(VLOOKUP($H13,areaCercaPuntiClassificaSquadra,3,FALSE()),-1)=IFERROR(VLOOKUP($H$16,areaCercaPuntiClassificaSquadra,3,FALSE()),-2)),SUMIFS('Calendario A'!$P$8:$P$110,'Calendario A'!$M$8:$M$110,$H13,'Calendario A'!$T$8:$T$110,$H$16)+SUMIFS('Calendario A'!$W$8:$W$110,'Calendario A'!$T$8:$T$110,$H13,'Calendario A'!$M$8:$M$110,$H$16)+SUMIFS('Calendario A'!$O$8:$O$110,'Calendario A'!$M$8:$M$110,$H13,'Calendario A'!$T$8:$T$110,$H$16)+SUMIFS('Calendario A'!$V$8:$V$110,'Calendario A'!$T$8:$T$110,$H13,'Calendario A'!$M$8:$M$110,$H$16),"-")</f>
        <v>-</v>
      </c>
      <c r="AM13" s="14" t="str">
        <f aca="false">IF(AND($H13&lt;&gt;"",$H$17&lt;&gt;"",$H13&lt;&gt;$H$17,IFERROR(VLOOKUP($H13,areaCercaPuntiClassificaSquadra,3,FALSE()),-1)=IFERROR(VLOOKUP($H$17,areaCercaPuntiClassificaSquadra,3,FALSE()),-2)),SUMIFS('Calendario A'!$P$8:$P$110,'Calendario A'!$M$8:$M$110,$H13,'Calendario A'!$T$8:$T$110,$H$17)+SUMIFS('Calendario A'!$W$8:$W$110,'Calendario A'!$T$8:$T$110,$H13,'Calendario A'!$M$8:$M$110,$H$17)+SUMIFS('Calendario A'!$O$8:$O$110,'Calendario A'!$M$8:$M$110,$H13,'Calendario A'!$T$8:$T$110,$H$17)+SUMIFS('Calendario A'!$V$8:$V$110,'Calendario A'!$T$8:$T$110,$H13,'Calendario A'!$M$8:$M$110,$H$17),"-")</f>
        <v>-</v>
      </c>
      <c r="AN13" s="14" t="str">
        <f aca="false">IF(AND($H13&lt;&gt;"",$H$18&lt;&gt;"",$H13&lt;&gt;$H$18,IFERROR(VLOOKUP($H13,areaCercaPuntiClassificaSquadra,3,FALSE()),-1)=IFERROR(VLOOKUP($H$18,areaCercaPuntiClassificaSquadra,3,FALSE()),-2)),SUMIFS('Calendario A'!$P$8:$P$110,'Calendario A'!$M$8:$M$110,$H13,'Calendario A'!$T$8:$T$110,$H$18)+SUMIFS('Calendario A'!$W$8:$W$110,'Calendario A'!$T$8:$T$110,$H13,'Calendario A'!$M$8:$M$110,$H$18)+SUMIFS('Calendario A'!$O$8:$O$110,'Calendario A'!$M$8:$M$110,$H13,'Calendario A'!$T$8:$T$110,$H$18)+SUMIFS('Calendario A'!$V$8:$V$110,'Calendario A'!$T$8:$T$110,$H13,'Calendario A'!$M$8:$M$110,$H$18),"-")</f>
        <v>-</v>
      </c>
      <c r="AO13" s="14" t="str">
        <f aca="false">IF(AND($H13&lt;&gt;"",$H$19&lt;&gt;"",$H13&lt;&gt;$H$19,IFERROR(VLOOKUP($H13,areaCercaPuntiClassificaSquadra,3,FALSE()),-1)=IFERROR(VLOOKUP($H$19,areaCercaPuntiClassificaSquadra,3,FALSE()),-2)),SUMIFS('Calendario A'!$P$8:$P$110,'Calendario A'!$M$8:$M$110,$H13,'Calendario A'!$T$8:$T$110,$H$19)+SUMIFS('Calendario A'!$W$8:$W$110,'Calendario A'!$T$8:$T$110,$H13,'Calendario A'!$M$8:$M$110,$H$19)+SUMIFS('Calendario A'!$O$8:$O$110,'Calendario A'!$M$8:$M$110,$H13,'Calendario A'!$T$8:$T$110,$H$19)+SUMIFS('Calendario A'!$V$8:$V$110,'Calendario A'!$T$8:$T$110,$H13,'Calendario A'!$M$8:$M$110,$H$19),"-")</f>
        <v>-</v>
      </c>
      <c r="AP13" s="13" t="str">
        <f aca="false">$C13</f>
        <v>Bufali Belligeranti-Bufaliopoli BI</v>
      </c>
      <c r="AQ13" s="14" t="str">
        <f aca="false">IF(AND($H13&lt;&gt;"",$H$12&lt;&gt;"",$H13&lt;&gt;$H$12,IFERROR(VLOOKUP($H13,areaCercaPuntiClassificaSquadra,3,FALSE()),-1)=IFERROR(VLOOKUP($H$12,areaCercaPuntiClassificaSquadra,3,FALSE()),-2)),SUMIFS('Calendario A'!$Q$8:$Q$110,'Calendario A'!$M$8:$M$110,$H13,'Calendario A'!$T$8:$T$110,$H$12)+SUMIFS('Calendario A'!$X$8:$X$110,'Calendario A'!$T$8:$T$110,$H13,'Calendario A'!$M$8:$M$110,$H$12),"-")</f>
        <v>-</v>
      </c>
      <c r="AR13" s="14" t="str">
        <f aca="false">IF(AND($H13&lt;&gt;"",$H$13&lt;&gt;"",$H13&lt;&gt;$H$13,IFERROR(VLOOKUP($H13,areaCercaPuntiClassificaSquadra,3,FALSE()),-1)=IFERROR(VLOOKUP($H$13,areaCercaPuntiClassificaSquadra,3,FALSE()),-2)),SUMIFS('Calendario A'!$Q$8:$Q$110,'Calendario A'!$M$8:$M$110,$H13,'Calendario A'!$T$8:$T$110,$H$13)+SUMIFS('Calendario A'!$X$8:$X$110,'Calendario A'!$T$8:$T$110,$H13,'Calendario A'!$M$8:$M$110,$H$13),"-")</f>
        <v>-</v>
      </c>
      <c r="AS13" s="14" t="str">
        <f aca="false">IF(AND($H13&lt;&gt;"",$H$14&lt;&gt;"",$H13&lt;&gt;$H$14,IFERROR(VLOOKUP($H13,areaCercaPuntiClassificaSquadra,3,FALSE()),-1)=IFERROR(VLOOKUP($H$14,areaCercaPuntiClassificaSquadra,3,FALSE()),-2)),SUMIFS('Calendario A'!$Q$8:$Q$110,'Calendario A'!$M$8:$M$110,$H13,'Calendario A'!$T$8:$T$110,$H$14)+SUMIFS('Calendario A'!$X$8:$X$110,'Calendario A'!$T$8:$T$110,$H13,'Calendario A'!$M$8:$M$110,$H$14),"-")</f>
        <v>-</v>
      </c>
      <c r="AT13" s="14" t="n">
        <f aca="false">IF(AND($H13&lt;&gt;"",$H$15&lt;&gt;"",$H13&lt;&gt;$H$15,IFERROR(VLOOKUP($H13,areaCercaPuntiClassificaSquadra,3,FALSE()),-1)=IFERROR(VLOOKUP($H$15,areaCercaPuntiClassificaSquadra,3,FALSE()),-2)),SUMIFS('Calendario A'!$Q$8:$Q$110,'Calendario A'!$M$8:$M$110,$H13,'Calendario A'!$T$8:$T$110,$H$15)+SUMIFS('Calendario A'!$X$8:$X$110,'Calendario A'!$T$8:$T$110,$H13,'Calendario A'!$M$8:$M$110,$H$15),"-")</f>
        <v>74</v>
      </c>
      <c r="AU13" s="14" t="str">
        <f aca="false">IF(AND($H13&lt;&gt;"",$H$16&lt;&gt;"",$H13&lt;&gt;$H$16,IFERROR(VLOOKUP($H13,areaCercaPuntiClassificaSquadra,3,FALSE()),-1)=IFERROR(VLOOKUP($H$16,areaCercaPuntiClassificaSquadra,3,FALSE()),-2)),SUMIFS('Calendario A'!$Q$8:$Q$110,'Calendario A'!$M$8:$M$110,$H13,'Calendario A'!$T$8:$T$110,$H$16)+SUMIFS('Calendario A'!$X$8:$X$110,'Calendario A'!$T$8:$T$110,$H13,'Calendario A'!$M$8:$M$110,$H$16),"-")</f>
        <v>-</v>
      </c>
      <c r="AV13" s="14" t="str">
        <f aca="false">IF(AND($H13&lt;&gt;"",$H$17&lt;&gt;"",$H13&lt;&gt;$H$17,IFERROR(VLOOKUP($H13,areaCercaPuntiClassificaSquadra,3,FALSE()),-1)=IFERROR(VLOOKUP($H$17,areaCercaPuntiClassificaSquadra,3,FALSE()),-2)),SUMIFS('Calendario A'!$Q$8:$Q$110,'Calendario A'!$M$8:$M$110,$H13,'Calendario A'!$T$8:$T$110,$H$17)+SUMIFS('Calendario A'!$X$8:$X$110,'Calendario A'!$T$8:$T$110,$H13,'Calendario A'!$M$8:$M$110,$H$17),"-")</f>
        <v>-</v>
      </c>
      <c r="AW13" s="14" t="str">
        <f aca="false">IF(AND($H13&lt;&gt;"",$H$18&lt;&gt;"",$H13&lt;&gt;$H$18,IFERROR(VLOOKUP($H13,areaCercaPuntiClassificaSquadra,3,FALSE()),-1)=IFERROR(VLOOKUP($H$18,areaCercaPuntiClassificaSquadra,3,FALSE()),-2)),SUMIFS('Calendario A'!$Q$8:$Q$110,'Calendario A'!$M$8:$M$110,$H13,'Calendario A'!$T$8:$T$110,$H$18)+SUMIFS('Calendario A'!$X$8:$X$110,'Calendario A'!$T$8:$T$110,$H13,'Calendario A'!$M$8:$M$110,$H$18),"-")</f>
        <v>-</v>
      </c>
      <c r="AX13" s="14" t="str">
        <f aca="false">IF(AND($H13&lt;&gt;"",$H$19&lt;&gt;"",$H13&lt;&gt;$H$19,IFERROR(VLOOKUP($H13,areaCercaPuntiClassificaSquadra,3,FALSE()),-1)=IFERROR(VLOOKUP($H$19,areaCercaPuntiClassificaSquadra,3,FALSE()),-2)),SUMIFS('Calendario A'!$Q$8:$Q$110,'Calendario A'!$M$8:$M$110,$H13,'Calendario A'!$T$8:$T$110,$H$19)+SUMIFS('Calendario A'!$X$8:$X$110,'Calendario A'!$T$8:$T$110,$H13,'Calendario A'!$M$8:$M$110,$H$19),"-")</f>
        <v>-</v>
      </c>
      <c r="AY13" s="13" t="str">
        <f aca="false">$C13</f>
        <v>Bufali Belligeranti-Bufaliopoli BI</v>
      </c>
      <c r="AZ13" s="14" t="str">
        <f aca="false">IF(AND($H13&lt;&gt;"",$H$12&lt;&gt;"",$H13&lt;&gt;$H$12,IFERROR(VLOOKUP($H13,areaCercaPuntiClassificaSquadra,3,FALSE()),-1)=IFERROR(VLOOKUP($H$12,areaCercaPuntiClassificaSquadra,3,FALSE()),-2)),SUMIFS('Calendario A'!$R$8:$R$110,'Calendario A'!$M$8:$M$110,$H13,'Calendario A'!$T$8:$T$110,$H$12)+SUMIFS('Calendario A'!$Y$8:$Y$110,'Calendario A'!$T$8:$T$110,$H13,'Calendario A'!$M$8:$M$110,$H$12),"-")</f>
        <v>-</v>
      </c>
      <c r="BA13" s="14" t="str">
        <f aca="false">IF(AND($H13&lt;&gt;"",$H$13&lt;&gt;"",$H13&lt;&gt;$H$13,IFERROR(VLOOKUP($H13,areaCercaPuntiClassificaSquadra,3,FALSE()),-1)=IFERROR(VLOOKUP($H$13,areaCercaPuntiClassificaSquadra,3,FALSE()),-2)),SUMIFS('Calendario A'!$R$8:$R$110,'Calendario A'!$M$8:$M$110,$H13,'Calendario A'!$T$8:$T$110,$H$13)+SUMIFS('Calendario A'!$Y$8:$Y$110,'Calendario A'!$T$8:$T$110,$H13,'Calendario A'!$M$8:$M$110,$H$13),"-")</f>
        <v>-</v>
      </c>
      <c r="BB13" s="14" t="str">
        <f aca="false">IF(AND($H13&lt;&gt;"",$H$14&lt;&gt;"",$H13&lt;&gt;$H$14,IFERROR(VLOOKUP($H13,areaCercaPuntiClassificaSquadra,3,FALSE()),-1)=IFERROR(VLOOKUP($H$14,areaCercaPuntiClassificaSquadra,3,FALSE()),-2)),SUMIFS('Calendario A'!$R$8:$R$110,'Calendario A'!$M$8:$M$110,$H13,'Calendario A'!$T$8:$T$110,$H$14)+SUMIFS('Calendario A'!$Y$8:$Y$110,'Calendario A'!$T$8:$T$110,$H13,'Calendario A'!$M$8:$M$110,$H$14),"-")</f>
        <v>-</v>
      </c>
      <c r="BC13" s="14" t="n">
        <f aca="false">IF(AND($H13&lt;&gt;"",$H$15&lt;&gt;"",$H13&lt;&gt;$H$15,IFERROR(VLOOKUP($H13,areaCercaPuntiClassificaSquadra,3,FALSE()),-1)=IFERROR(VLOOKUP($H$15,areaCercaPuntiClassificaSquadra,3,FALSE()),-2)),SUMIFS('Calendario A'!$R$8:$R$110,'Calendario A'!$M$8:$M$110,$H13,'Calendario A'!$T$8:$T$110,$H$15)+SUMIFS('Calendario A'!$Y$8:$Y$110,'Calendario A'!$T$8:$T$110,$H13,'Calendario A'!$M$8:$M$110,$H$15),"-")</f>
        <v>48</v>
      </c>
      <c r="BD13" s="14" t="str">
        <f aca="false">IF(AND($H13&lt;&gt;"",$H$16&lt;&gt;"",$H13&lt;&gt;$H$16,IFERROR(VLOOKUP($H13,areaCercaPuntiClassificaSquadra,3,FALSE()),-1)=IFERROR(VLOOKUP($H$16,areaCercaPuntiClassificaSquadra,3,FALSE()),-2)),SUMIFS('Calendario A'!$R$8:$R$110,'Calendario A'!$M$8:$M$110,$H13,'Calendario A'!$T$8:$T$110,$H$16)+SUMIFS('Calendario A'!$Y$8:$Y$110,'Calendario A'!$T$8:$T$110,$H13,'Calendario A'!$M$8:$M$110,$H$16),"-")</f>
        <v>-</v>
      </c>
      <c r="BE13" s="14" t="str">
        <f aca="false">IF(AND($H13&lt;&gt;"",$H$17&lt;&gt;"",$H13&lt;&gt;$H$17,IFERROR(VLOOKUP($H13,areaCercaPuntiClassificaSquadra,3,FALSE()),-1)=IFERROR(VLOOKUP($H$17,areaCercaPuntiClassificaSquadra,3,FALSE()),-2)),SUMIFS('Calendario A'!$R$8:$R$110,'Calendario A'!$M$8:$M$110,$H13,'Calendario A'!$T$8:$T$110,$H$17)+SUMIFS('Calendario A'!$Y$8:$Y$110,'Calendario A'!$T$8:$T$110,$H13,'Calendario A'!$M$8:$M$110,$H$17),"-")</f>
        <v>-</v>
      </c>
      <c r="BF13" s="14" t="str">
        <f aca="false">IF(AND($H13&lt;&gt;"",$H$18&lt;&gt;"",$H13&lt;&gt;$H$18,IFERROR(VLOOKUP($H13,areaCercaPuntiClassificaSquadra,3,FALSE()),-1)=IFERROR(VLOOKUP($H$18,areaCercaPuntiClassificaSquadra,3,FALSE()),-2)),SUMIFS('Calendario A'!$R$8:$R$110,'Calendario A'!$M$8:$M$110,$H13,'Calendario A'!$T$8:$T$110,$H$18)+SUMIFS('Calendario A'!$Y$8:$Y$110,'Calendario A'!$T$8:$T$110,$H13,'Calendario A'!$M$8:$M$110,$H$18),"-")</f>
        <v>-</v>
      </c>
      <c r="BG13" s="14" t="str">
        <f aca="false">IF(AND($H13&lt;&gt;"",$H$19&lt;&gt;"",$H13&lt;&gt;$H$19,IFERROR(VLOOKUP($H13,areaCercaPuntiClassificaSquadra,3,FALSE()),-1)=IFERROR(VLOOKUP($H$19,areaCercaPuntiClassificaSquadra,3,FALSE()),-2)),SUMIFS('Calendario A'!$R$8:$R$110,'Calendario A'!$M$8:$M$110,$H13,'Calendario A'!$T$8:$T$110,$H$19)+SUMIFS('Calendario A'!$Y$8:$Y$110,'Calendario A'!$T$8:$T$110,$H13,'Calendario A'!$M$8:$M$110,$H$19),"-")</f>
        <v>-</v>
      </c>
    </row>
    <row r="14" customFormat="false" ht="15" hidden="false" customHeight="false" outlineLevel="0" collapsed="false">
      <c r="B14" s="7" t="s">
        <v>52</v>
      </c>
      <c r="C14" s="8" t="s">
        <v>53</v>
      </c>
      <c r="D14" s="9"/>
      <c r="E14" s="10" t="s">
        <v>49</v>
      </c>
      <c r="G14" s="11" t="str">
        <f aca="false">IF($C14="","",$E14&amp;(COUNTIFS(I$12:I$75,"&gt;"&amp;I14,E$12:E$75,"="&amp;E14,C$12:C$75,"&lt;&gt;")+COUNTIFS(I$12:I$75,"="&amp;I14,H$12:H$75,"&lt;="&amp;H14,E$12:E$75,"="&amp;E14,C$12:C$75,"&lt;&gt;")))</f>
        <v>A6</v>
      </c>
      <c r="H14" s="12" t="str">
        <f aca="false">IF($C14="","",IFERROR(LEFT($C14,FIND("-",$C14)-1),$C14))</f>
        <v>Cobra Coraggiosi</v>
      </c>
      <c r="I14" s="7" t="str">
        <f aca="false">TEXT(1000000000+J14,"|0000000000|")&amp;TEXT(SUM(Y14:AF14),"0000000000|")&amp;IF(SUM(AZ14:BG14)=0,"0000000000|",TEXT(ROUND(SUM(AQ14:AX14)/SUM(AZ14:BG14),4)*100000,"0000000000|"))&amp;IF(P14=0,"0000000000|",TEXT(ROUND(O14/P14,4)*100000,"0000000000|"))</f>
        <v>|1000000013|0000000000|0000086210|0000096690|</v>
      </c>
      <c r="J14" s="11" t="n">
        <f aca="false">L14*constPuntiVittoria+M14*constPuntiSconfitta+N14*constPuntiForfait+IF(D14="",0,D14)</f>
        <v>13</v>
      </c>
      <c r="K14" s="7" t="n">
        <f aca="false">SUM(L14:N14)</f>
        <v>7</v>
      </c>
      <c r="L14" s="7" t="n">
        <f aca="false">IF($H14="",0,SUMIF('Calendario A'!$M$8:$M$110,$H14,'Calendario A'!$N$8:$N$110)+SUMIF('Calendario A'!$T$8:$T$110,$H14,'Calendario A'!$U$8:$U$110))</f>
        <v>3</v>
      </c>
      <c r="M14" s="7" t="n">
        <f aca="false">IF($H14="",0,SUMIF('Calendario A'!$M$8:$M$110,$H14,'Calendario A'!$P$8:$P$110)+SUMIF('Calendario A'!$T$8:$T$110,$H14,'Calendario A'!$W$8:$W$110))</f>
        <v>4</v>
      </c>
      <c r="N14" s="7" t="n">
        <f aca="false">IF($H14="",0,SUMIF('Calendario A'!$M$8:$M$110,$H14,'Calendario A'!$O$8:$O$110)+SUMIF('Calendario A'!$T$8:$T$110,$H14,'Calendario A'!$V$8:$V$110))</f>
        <v>0</v>
      </c>
      <c r="O14" s="7" t="n">
        <f aca="false">IF($H14="",0,SUMIF('Calendario A'!$M$8:$M$110,$H14,'Calendario A'!$Q$8:$Q$110)+SUMIF('Calendario A'!$T$8:$T$110,$H14,'Calendario A'!$X$8:$X$110))</f>
        <v>409</v>
      </c>
      <c r="P14" s="7" t="n">
        <f aca="false">IF($H14="",0,SUMIF('Calendario A'!$M$8:$M$110,$H14,'Calendario A'!$R$8:$R$110)+SUMIF('Calendario A'!$T$8:$T$110,$H14,'Calendario A'!$Y$8:$Y$110))</f>
        <v>423</v>
      </c>
      <c r="Q14" s="7" t="n">
        <f aca="false">IF($H14="",0,SUMIF('Calendario A'!$M$8:$M$110,$H14,'Calendario A'!$S$8:$S$110)+SUMIF('Calendario A'!$T$8:$T$110,$H14,'Calendario A'!$Z$8:$Z$110))</f>
        <v>-14</v>
      </c>
      <c r="R14" s="7" t="n">
        <f aca="false">IF(K14=0,0,ROUND(O14/K14,2))</f>
        <v>58.43</v>
      </c>
      <c r="S14" s="7" t="n">
        <f aca="false">IF(K14=0,0,ROUND(P14/K14,2))</f>
        <v>60.43</v>
      </c>
      <c r="T14" s="7" t="n">
        <f aca="false">IF(K14=0,0,ROUND(Q14/K14,2))</f>
        <v>-2</v>
      </c>
      <c r="U14" s="7" t="str">
        <f aca="false">IF(COUNT(Y14:AF14)=0,"-",SUM(Y14:AF14)&amp;"-"&amp;SUM(AH14:AO14))</f>
        <v>0-1</v>
      </c>
      <c r="V14" s="7" t="str">
        <f aca="false">IF(COUNT(Y14:AF14)=0,"-",IF(SUM(AZ14:BG14)=0,TEXT(0,"0.0000"),TEXT(ROUND(SUM(AQ14:AX14)/SUM(AZ14:BG14),4),"0.0000")))</f>
        <v>0.8621</v>
      </c>
      <c r="W14" s="7" t="str">
        <f aca="false">IF(H14="","-",IF(P14=0,TEXT(0,"0.0000"),TEXT(ROUND(O14/P14,4),"0.0000")))</f>
        <v>0.9669</v>
      </c>
      <c r="X14" s="13" t="str">
        <f aca="false">$C14</f>
        <v>Cobra Coraggiosi-Cobraopoli CA</v>
      </c>
      <c r="Y14" s="14" t="str">
        <f aca="false">IF(AND($H14&lt;&gt;"",$H$12&lt;&gt;"",$H14&lt;&gt;$H$12,IFERROR(VLOOKUP($H14,areaCercaPuntiClassificaSquadra,3,FALSE()),-1)=IFERROR(VLOOKUP($H$12,areaCercaPuntiClassificaSquadra,3,FALSE()),-2)),SUMIFS('Calendario A'!$N$8:$N$110,'Calendario A'!$M$8:$M$110,$H14,'Calendario A'!$T$8:$T$110,$H$12)+SUMIFS('Calendario A'!$U$8:$U$110,'Calendario A'!$T$8:$T$110,$H14,'Calendario A'!$M$8:$M$110,$H$12),"-")</f>
        <v>-</v>
      </c>
      <c r="Z14" s="14" t="str">
        <f aca="false">IF(AND($H14&lt;&gt;"",$H$13&lt;&gt;"",$H14&lt;&gt;$H$13,IFERROR(VLOOKUP($H14,areaCercaPuntiClassificaSquadra,3,FALSE()),-1)=IFERROR(VLOOKUP($H$13,areaCercaPuntiClassificaSquadra,3,FALSE()),-2)),SUMIFS('Calendario A'!$N$8:$N$110,'Calendario A'!$M$8:$M$110,$H14,'Calendario A'!$T$8:$T$110,$H$13)+SUMIFS('Calendario A'!$U$8:$U$110,'Calendario A'!$T$8:$T$110,$H14,'Calendario A'!$M$8:$M$110,$H$13),"-")</f>
        <v>-</v>
      </c>
      <c r="AA14" s="14" t="str">
        <f aca="false">IF(AND($H14&lt;&gt;"",$H$14&lt;&gt;"",$H14&lt;&gt;$H$14,IFERROR(VLOOKUP($H14,areaCercaPuntiClassificaSquadra,3,FALSE()),-1)=IFERROR(VLOOKUP($H$14,areaCercaPuntiClassificaSquadra,3,FALSE()),-2)),SUMIFS('Calendario A'!$N$8:$N$110,'Calendario A'!$M$8:$M$110,$H14,'Calendario A'!$T$8:$T$110,$H$14)+SUMIFS('Calendario A'!$U$8:$U$110,'Calendario A'!$T$8:$T$110,$H14,'Calendario A'!$M$8:$M$110,$H$14),"-")</f>
        <v>-</v>
      </c>
      <c r="AB14" s="14" t="str">
        <f aca="false">IF(AND($H14&lt;&gt;"",$H$15&lt;&gt;"",$H14&lt;&gt;$H$15,IFERROR(VLOOKUP($H14,areaCercaPuntiClassificaSquadra,3,FALSE()),-1)=IFERROR(VLOOKUP($H$15,areaCercaPuntiClassificaSquadra,3,FALSE()),-2)),SUMIFS('Calendario A'!$N$8:$N$110,'Calendario A'!$M$8:$M$110,$H14,'Calendario A'!$T$8:$T$110,$H$15)+SUMIFS('Calendario A'!$U$8:$U$110,'Calendario A'!$T$8:$T$110,$H14,'Calendario A'!$M$8:$M$110,$H$15),"-")</f>
        <v>-</v>
      </c>
      <c r="AC14" s="14" t="str">
        <f aca="false">IF(AND($H14&lt;&gt;"",$H$16&lt;&gt;"",$H14&lt;&gt;$H$16,IFERROR(VLOOKUP($H14,areaCercaPuntiClassificaSquadra,3,FALSE()),-1)=IFERROR(VLOOKUP($H$16,areaCercaPuntiClassificaSquadra,3,FALSE()),-2)),SUMIFS('Calendario A'!$N$8:$N$110,'Calendario A'!$M$8:$M$110,$H14,'Calendario A'!$T$8:$T$110,$H$16)+SUMIFS('Calendario A'!$U$8:$U$110,'Calendario A'!$T$8:$T$110,$H14,'Calendario A'!$M$8:$M$110,$H$16),"-")</f>
        <v>-</v>
      </c>
      <c r="AD14" s="14" t="str">
        <f aca="false">IF(AND($H14&lt;&gt;"",$H$17&lt;&gt;"",$H14&lt;&gt;$H$17,IFERROR(VLOOKUP($H14,areaCercaPuntiClassificaSquadra,3,FALSE()),-1)=IFERROR(VLOOKUP($H$17,areaCercaPuntiClassificaSquadra,3,FALSE()),-2)),SUMIFS('Calendario A'!$N$8:$N$110,'Calendario A'!$M$8:$M$110,$H14,'Calendario A'!$T$8:$T$110,$H$17)+SUMIFS('Calendario A'!$U$8:$U$110,'Calendario A'!$T$8:$T$110,$H14,'Calendario A'!$M$8:$M$110,$H$17),"-")</f>
        <v>-</v>
      </c>
      <c r="AE14" s="14" t="n">
        <f aca="false">IF(AND($H14&lt;&gt;"",$H$18&lt;&gt;"",$H14&lt;&gt;$H$18,IFERROR(VLOOKUP($H14,areaCercaPuntiClassificaSquadra,3,FALSE()),-1)=IFERROR(VLOOKUP($H$18,areaCercaPuntiClassificaSquadra,3,FALSE()),-2)),SUMIFS('Calendario A'!$N$8:$N$110,'Calendario A'!$M$8:$M$110,$H14,'Calendario A'!$T$8:$T$110,$H$18)+SUMIFS('Calendario A'!$U$8:$U$110,'Calendario A'!$T$8:$T$110,$H14,'Calendario A'!$M$8:$M$110,$H$18),"-")</f>
        <v>0</v>
      </c>
      <c r="AF14" s="14" t="str">
        <f aca="false">IF(AND($H14&lt;&gt;"",$H$19&lt;&gt;"",$H14&lt;&gt;$H$19,IFERROR(VLOOKUP($H14,areaCercaPuntiClassificaSquadra,3,FALSE()),-1)=IFERROR(VLOOKUP($H$19,areaCercaPuntiClassificaSquadra,3,FALSE()),-2)),SUMIFS('Calendario A'!$N$8:$N$110,'Calendario A'!$M$8:$M$110,$H14,'Calendario A'!$T$8:$T$110,$H$19)+SUMIFS('Calendario A'!$U$8:$U$110,'Calendario A'!$T$8:$T$110,$H14,'Calendario A'!$M$8:$M$110,$H$19),"-")</f>
        <v>-</v>
      </c>
      <c r="AG14" s="13" t="str">
        <f aca="false">$C14</f>
        <v>Cobra Coraggiosi-Cobraopoli CA</v>
      </c>
      <c r="AH14" s="14" t="str">
        <f aca="false">IF(AND($H14&lt;&gt;"",$H$12&lt;&gt;"",$H14&lt;&gt;$H$12,IFERROR(VLOOKUP($H14,areaCercaPuntiClassificaSquadra,3,FALSE()),-1)=IFERROR(VLOOKUP($H$12,areaCercaPuntiClassificaSquadra,3,FALSE()),-2)),SUMIFS('Calendario A'!$P$8:$P$110,'Calendario A'!$M$8:$M$110,$H14,'Calendario A'!$T$8:$T$110,$H$12)+SUMIFS('Calendario A'!$W$8:$W$110,'Calendario A'!$T$8:$T$110,$H14,'Calendario A'!$M$8:$M$110,$H$12)+SUMIFS('Calendario A'!$O$8:$O$110,'Calendario A'!$M$8:$M$110,$H14,'Calendario A'!$T$8:$T$110,$H$12)+SUMIFS('Calendario A'!$V$8:$V$110,'Calendario A'!$T$8:$T$110,$H14,'Calendario A'!$M$8:$M$110,$H$12),"-")</f>
        <v>-</v>
      </c>
      <c r="AI14" s="14" t="str">
        <f aca="false">IF(AND($H14&lt;&gt;"",$H$13&lt;&gt;"",$H14&lt;&gt;$H$13,IFERROR(VLOOKUP($H14,areaCercaPuntiClassificaSquadra,3,FALSE()),-1)=IFERROR(VLOOKUP($H$13,areaCercaPuntiClassificaSquadra,3,FALSE()),-2)),SUMIFS('Calendario A'!$P$8:$P$110,'Calendario A'!$M$8:$M$110,$H14,'Calendario A'!$T$8:$T$110,$H$13)+SUMIFS('Calendario A'!$W$8:$W$110,'Calendario A'!$T$8:$T$110,$H14,'Calendario A'!$M$8:$M$110,$H$13)+SUMIFS('Calendario A'!$O$8:$O$110,'Calendario A'!$M$8:$M$110,$H14,'Calendario A'!$T$8:$T$110,$H$13)+SUMIFS('Calendario A'!$V$8:$V$110,'Calendario A'!$T$8:$T$110,$H14,'Calendario A'!$M$8:$M$110,$H$13),"-")</f>
        <v>-</v>
      </c>
      <c r="AJ14" s="14" t="str">
        <f aca="false">IF(AND($H14&lt;&gt;"",$H$14&lt;&gt;"",$H14&lt;&gt;$H$14,IFERROR(VLOOKUP($H14,areaCercaPuntiClassificaSquadra,3,FALSE()),-1)=IFERROR(VLOOKUP($H$14,areaCercaPuntiClassificaSquadra,3,FALSE()),-2)),SUMIFS('Calendario A'!$P$8:$P$110,'Calendario A'!$M$8:$M$110,$H14,'Calendario A'!$T$8:$T$110,$H$14)+SUMIFS('Calendario A'!$W$8:$W$110,'Calendario A'!$T$8:$T$110,$H14,'Calendario A'!$M$8:$M$110,$H$14)+SUMIFS('Calendario A'!$O$8:$O$110,'Calendario A'!$M$8:$M$110,$H14,'Calendario A'!$T$8:$T$110,$H$14)+SUMIFS('Calendario A'!$V$8:$V$110,'Calendario A'!$T$8:$T$110,$H14,'Calendario A'!$M$8:$M$110,$H$14),"-")</f>
        <v>-</v>
      </c>
      <c r="AK14" s="14" t="str">
        <f aca="false">IF(AND($H14&lt;&gt;"",$H$15&lt;&gt;"",$H14&lt;&gt;$H$15,IFERROR(VLOOKUP($H14,areaCercaPuntiClassificaSquadra,3,FALSE()),-1)=IFERROR(VLOOKUP($H$15,areaCercaPuntiClassificaSquadra,3,FALSE()),-2)),SUMIFS('Calendario A'!$P$8:$P$110,'Calendario A'!$M$8:$M$110,$H14,'Calendario A'!$T$8:$T$110,$H$15)+SUMIFS('Calendario A'!$W$8:$W$110,'Calendario A'!$T$8:$T$110,$H14,'Calendario A'!$M$8:$M$110,$H$15)+SUMIFS('Calendario A'!$O$8:$O$110,'Calendario A'!$M$8:$M$110,$H14,'Calendario A'!$T$8:$T$110,$H$15)+SUMIFS('Calendario A'!$V$8:$V$110,'Calendario A'!$T$8:$T$110,$H14,'Calendario A'!$M$8:$M$110,$H$15),"-")</f>
        <v>-</v>
      </c>
      <c r="AL14" s="14" t="str">
        <f aca="false">IF(AND($H14&lt;&gt;"",$H$16&lt;&gt;"",$H14&lt;&gt;$H$16,IFERROR(VLOOKUP($H14,areaCercaPuntiClassificaSquadra,3,FALSE()),-1)=IFERROR(VLOOKUP($H$16,areaCercaPuntiClassificaSquadra,3,FALSE()),-2)),SUMIFS('Calendario A'!$P$8:$P$110,'Calendario A'!$M$8:$M$110,$H14,'Calendario A'!$T$8:$T$110,$H$16)+SUMIFS('Calendario A'!$W$8:$W$110,'Calendario A'!$T$8:$T$110,$H14,'Calendario A'!$M$8:$M$110,$H$16)+SUMIFS('Calendario A'!$O$8:$O$110,'Calendario A'!$M$8:$M$110,$H14,'Calendario A'!$T$8:$T$110,$H$16)+SUMIFS('Calendario A'!$V$8:$V$110,'Calendario A'!$T$8:$T$110,$H14,'Calendario A'!$M$8:$M$110,$H$16),"-")</f>
        <v>-</v>
      </c>
      <c r="AM14" s="14" t="str">
        <f aca="false">IF(AND($H14&lt;&gt;"",$H$17&lt;&gt;"",$H14&lt;&gt;$H$17,IFERROR(VLOOKUP($H14,areaCercaPuntiClassificaSquadra,3,FALSE()),-1)=IFERROR(VLOOKUP($H$17,areaCercaPuntiClassificaSquadra,3,FALSE()),-2)),SUMIFS('Calendario A'!$P$8:$P$110,'Calendario A'!$M$8:$M$110,$H14,'Calendario A'!$T$8:$T$110,$H$17)+SUMIFS('Calendario A'!$W$8:$W$110,'Calendario A'!$T$8:$T$110,$H14,'Calendario A'!$M$8:$M$110,$H$17)+SUMIFS('Calendario A'!$O$8:$O$110,'Calendario A'!$M$8:$M$110,$H14,'Calendario A'!$T$8:$T$110,$H$17)+SUMIFS('Calendario A'!$V$8:$V$110,'Calendario A'!$T$8:$T$110,$H14,'Calendario A'!$M$8:$M$110,$H$17),"-")</f>
        <v>-</v>
      </c>
      <c r="AN14" s="14" t="n">
        <f aca="false">IF(AND($H14&lt;&gt;"",$H$18&lt;&gt;"",$H14&lt;&gt;$H$18,IFERROR(VLOOKUP($H14,areaCercaPuntiClassificaSquadra,3,FALSE()),-1)=IFERROR(VLOOKUP($H$18,areaCercaPuntiClassificaSquadra,3,FALSE()),-2)),SUMIFS('Calendario A'!$P$8:$P$110,'Calendario A'!$M$8:$M$110,$H14,'Calendario A'!$T$8:$T$110,$H$18)+SUMIFS('Calendario A'!$W$8:$W$110,'Calendario A'!$T$8:$T$110,$H14,'Calendario A'!$M$8:$M$110,$H$18)+SUMIFS('Calendario A'!$O$8:$O$110,'Calendario A'!$M$8:$M$110,$H14,'Calendario A'!$T$8:$T$110,$H$18)+SUMIFS('Calendario A'!$V$8:$V$110,'Calendario A'!$T$8:$T$110,$H14,'Calendario A'!$M$8:$M$110,$H$18),"-")</f>
        <v>1</v>
      </c>
      <c r="AO14" s="14" t="str">
        <f aca="false">IF(AND($H14&lt;&gt;"",$H$19&lt;&gt;"",$H14&lt;&gt;$H$19,IFERROR(VLOOKUP($H14,areaCercaPuntiClassificaSquadra,3,FALSE()),-1)=IFERROR(VLOOKUP($H$19,areaCercaPuntiClassificaSquadra,3,FALSE()),-2)),SUMIFS('Calendario A'!$P$8:$P$110,'Calendario A'!$M$8:$M$110,$H14,'Calendario A'!$T$8:$T$110,$H$19)+SUMIFS('Calendario A'!$W$8:$W$110,'Calendario A'!$T$8:$T$110,$H14,'Calendario A'!$M$8:$M$110,$H$19)+SUMIFS('Calendario A'!$O$8:$O$110,'Calendario A'!$M$8:$M$110,$H14,'Calendario A'!$T$8:$T$110,$H$19)+SUMIFS('Calendario A'!$V$8:$V$110,'Calendario A'!$T$8:$T$110,$H14,'Calendario A'!$M$8:$M$110,$H$19),"-")</f>
        <v>-</v>
      </c>
      <c r="AP14" s="13" t="str">
        <f aca="false">$C14</f>
        <v>Cobra Coraggiosi-Cobraopoli CA</v>
      </c>
      <c r="AQ14" s="14" t="str">
        <f aca="false">IF(AND($H14&lt;&gt;"",$H$12&lt;&gt;"",$H14&lt;&gt;$H$12,IFERROR(VLOOKUP($H14,areaCercaPuntiClassificaSquadra,3,FALSE()),-1)=IFERROR(VLOOKUP($H$12,areaCercaPuntiClassificaSquadra,3,FALSE()),-2)),SUMIFS('Calendario A'!$Q$8:$Q$110,'Calendario A'!$M$8:$M$110,$H14,'Calendario A'!$T$8:$T$110,$H$12)+SUMIFS('Calendario A'!$X$8:$X$110,'Calendario A'!$T$8:$T$110,$H14,'Calendario A'!$M$8:$M$110,$H$12),"-")</f>
        <v>-</v>
      </c>
      <c r="AR14" s="14" t="str">
        <f aca="false">IF(AND($H14&lt;&gt;"",$H$13&lt;&gt;"",$H14&lt;&gt;$H$13,IFERROR(VLOOKUP($H14,areaCercaPuntiClassificaSquadra,3,FALSE()),-1)=IFERROR(VLOOKUP($H$13,areaCercaPuntiClassificaSquadra,3,FALSE()),-2)),SUMIFS('Calendario A'!$Q$8:$Q$110,'Calendario A'!$M$8:$M$110,$H14,'Calendario A'!$T$8:$T$110,$H$13)+SUMIFS('Calendario A'!$X$8:$X$110,'Calendario A'!$T$8:$T$110,$H14,'Calendario A'!$M$8:$M$110,$H$13),"-")</f>
        <v>-</v>
      </c>
      <c r="AS14" s="14" t="str">
        <f aca="false">IF(AND($H14&lt;&gt;"",$H$14&lt;&gt;"",$H14&lt;&gt;$H$14,IFERROR(VLOOKUP($H14,areaCercaPuntiClassificaSquadra,3,FALSE()),-1)=IFERROR(VLOOKUP($H$14,areaCercaPuntiClassificaSquadra,3,FALSE()),-2)),SUMIFS('Calendario A'!$Q$8:$Q$110,'Calendario A'!$M$8:$M$110,$H14,'Calendario A'!$T$8:$T$110,$H$14)+SUMIFS('Calendario A'!$X$8:$X$110,'Calendario A'!$T$8:$T$110,$H14,'Calendario A'!$M$8:$M$110,$H$14),"-")</f>
        <v>-</v>
      </c>
      <c r="AT14" s="14" t="str">
        <f aca="false">IF(AND($H14&lt;&gt;"",$H$15&lt;&gt;"",$H14&lt;&gt;$H$15,IFERROR(VLOOKUP($H14,areaCercaPuntiClassificaSquadra,3,FALSE()),-1)=IFERROR(VLOOKUP($H$15,areaCercaPuntiClassificaSquadra,3,FALSE()),-2)),SUMIFS('Calendario A'!$Q$8:$Q$110,'Calendario A'!$M$8:$M$110,$H14,'Calendario A'!$T$8:$T$110,$H$15)+SUMIFS('Calendario A'!$X$8:$X$110,'Calendario A'!$T$8:$T$110,$H14,'Calendario A'!$M$8:$M$110,$H$15),"-")</f>
        <v>-</v>
      </c>
      <c r="AU14" s="14" t="str">
        <f aca="false">IF(AND($H14&lt;&gt;"",$H$16&lt;&gt;"",$H14&lt;&gt;$H$16,IFERROR(VLOOKUP($H14,areaCercaPuntiClassificaSquadra,3,FALSE()),-1)=IFERROR(VLOOKUP($H$16,areaCercaPuntiClassificaSquadra,3,FALSE()),-2)),SUMIFS('Calendario A'!$Q$8:$Q$110,'Calendario A'!$M$8:$M$110,$H14,'Calendario A'!$T$8:$T$110,$H$16)+SUMIFS('Calendario A'!$X$8:$X$110,'Calendario A'!$T$8:$T$110,$H14,'Calendario A'!$M$8:$M$110,$H$16),"-")</f>
        <v>-</v>
      </c>
      <c r="AV14" s="14" t="str">
        <f aca="false">IF(AND($H14&lt;&gt;"",$H$17&lt;&gt;"",$H14&lt;&gt;$H$17,IFERROR(VLOOKUP($H14,areaCercaPuntiClassificaSquadra,3,FALSE()),-1)=IFERROR(VLOOKUP($H$17,areaCercaPuntiClassificaSquadra,3,FALSE()),-2)),SUMIFS('Calendario A'!$Q$8:$Q$110,'Calendario A'!$M$8:$M$110,$H14,'Calendario A'!$T$8:$T$110,$H$17)+SUMIFS('Calendario A'!$X$8:$X$110,'Calendario A'!$T$8:$T$110,$H14,'Calendario A'!$M$8:$M$110,$H$17),"-")</f>
        <v>-</v>
      </c>
      <c r="AW14" s="14" t="n">
        <f aca="false">IF(AND($H14&lt;&gt;"",$H$18&lt;&gt;"",$H14&lt;&gt;$H$18,IFERROR(VLOOKUP($H14,areaCercaPuntiClassificaSquadra,3,FALSE()),-1)=IFERROR(VLOOKUP($H$18,areaCercaPuntiClassificaSquadra,3,FALSE()),-2)),SUMIFS('Calendario A'!$Q$8:$Q$110,'Calendario A'!$M$8:$M$110,$H14,'Calendario A'!$T$8:$T$110,$H$18)+SUMIFS('Calendario A'!$X$8:$X$110,'Calendario A'!$T$8:$T$110,$H14,'Calendario A'!$M$8:$M$110,$H$18),"-")</f>
        <v>50</v>
      </c>
      <c r="AX14" s="14" t="str">
        <f aca="false">IF(AND($H14&lt;&gt;"",$H$19&lt;&gt;"",$H14&lt;&gt;$H$19,IFERROR(VLOOKUP($H14,areaCercaPuntiClassificaSquadra,3,FALSE()),-1)=IFERROR(VLOOKUP($H$19,areaCercaPuntiClassificaSquadra,3,FALSE()),-2)),SUMIFS('Calendario A'!$Q$8:$Q$110,'Calendario A'!$M$8:$M$110,$H14,'Calendario A'!$T$8:$T$110,$H$19)+SUMIFS('Calendario A'!$X$8:$X$110,'Calendario A'!$T$8:$T$110,$H14,'Calendario A'!$M$8:$M$110,$H$19),"-")</f>
        <v>-</v>
      </c>
      <c r="AY14" s="13" t="str">
        <f aca="false">$C14</f>
        <v>Cobra Coraggiosi-Cobraopoli CA</v>
      </c>
      <c r="AZ14" s="14" t="str">
        <f aca="false">IF(AND($H14&lt;&gt;"",$H$12&lt;&gt;"",$H14&lt;&gt;$H$12,IFERROR(VLOOKUP($H14,areaCercaPuntiClassificaSquadra,3,FALSE()),-1)=IFERROR(VLOOKUP($H$12,areaCercaPuntiClassificaSquadra,3,FALSE()),-2)),SUMIFS('Calendario A'!$R$8:$R$110,'Calendario A'!$M$8:$M$110,$H14,'Calendario A'!$T$8:$T$110,$H$12)+SUMIFS('Calendario A'!$Y$8:$Y$110,'Calendario A'!$T$8:$T$110,$H14,'Calendario A'!$M$8:$M$110,$H$12),"-")</f>
        <v>-</v>
      </c>
      <c r="BA14" s="14" t="str">
        <f aca="false">IF(AND($H14&lt;&gt;"",$H$13&lt;&gt;"",$H14&lt;&gt;$H$13,IFERROR(VLOOKUP($H14,areaCercaPuntiClassificaSquadra,3,FALSE()),-1)=IFERROR(VLOOKUP($H$13,areaCercaPuntiClassificaSquadra,3,FALSE()),-2)),SUMIFS('Calendario A'!$R$8:$R$110,'Calendario A'!$M$8:$M$110,$H14,'Calendario A'!$T$8:$T$110,$H$13)+SUMIFS('Calendario A'!$Y$8:$Y$110,'Calendario A'!$T$8:$T$110,$H14,'Calendario A'!$M$8:$M$110,$H$13),"-")</f>
        <v>-</v>
      </c>
      <c r="BB14" s="14" t="str">
        <f aca="false">IF(AND($H14&lt;&gt;"",$H$14&lt;&gt;"",$H14&lt;&gt;$H$14,IFERROR(VLOOKUP($H14,areaCercaPuntiClassificaSquadra,3,FALSE()),-1)=IFERROR(VLOOKUP($H$14,areaCercaPuntiClassificaSquadra,3,FALSE()),-2)),SUMIFS('Calendario A'!$R$8:$R$110,'Calendario A'!$M$8:$M$110,$H14,'Calendario A'!$T$8:$T$110,$H$14)+SUMIFS('Calendario A'!$Y$8:$Y$110,'Calendario A'!$T$8:$T$110,$H14,'Calendario A'!$M$8:$M$110,$H$14),"-")</f>
        <v>-</v>
      </c>
      <c r="BC14" s="14" t="str">
        <f aca="false">IF(AND($H14&lt;&gt;"",$H$15&lt;&gt;"",$H14&lt;&gt;$H$15,IFERROR(VLOOKUP($H14,areaCercaPuntiClassificaSquadra,3,FALSE()),-1)=IFERROR(VLOOKUP($H$15,areaCercaPuntiClassificaSquadra,3,FALSE()),-2)),SUMIFS('Calendario A'!$R$8:$R$110,'Calendario A'!$M$8:$M$110,$H14,'Calendario A'!$T$8:$T$110,$H$15)+SUMIFS('Calendario A'!$Y$8:$Y$110,'Calendario A'!$T$8:$T$110,$H14,'Calendario A'!$M$8:$M$110,$H$15),"-")</f>
        <v>-</v>
      </c>
      <c r="BD14" s="14" t="str">
        <f aca="false">IF(AND($H14&lt;&gt;"",$H$16&lt;&gt;"",$H14&lt;&gt;$H$16,IFERROR(VLOOKUP($H14,areaCercaPuntiClassificaSquadra,3,FALSE()),-1)=IFERROR(VLOOKUP($H$16,areaCercaPuntiClassificaSquadra,3,FALSE()),-2)),SUMIFS('Calendario A'!$R$8:$R$110,'Calendario A'!$M$8:$M$110,$H14,'Calendario A'!$T$8:$T$110,$H$16)+SUMIFS('Calendario A'!$Y$8:$Y$110,'Calendario A'!$T$8:$T$110,$H14,'Calendario A'!$M$8:$M$110,$H$16),"-")</f>
        <v>-</v>
      </c>
      <c r="BE14" s="14" t="str">
        <f aca="false">IF(AND($H14&lt;&gt;"",$H$17&lt;&gt;"",$H14&lt;&gt;$H$17,IFERROR(VLOOKUP($H14,areaCercaPuntiClassificaSquadra,3,FALSE()),-1)=IFERROR(VLOOKUP($H$17,areaCercaPuntiClassificaSquadra,3,FALSE()),-2)),SUMIFS('Calendario A'!$R$8:$R$110,'Calendario A'!$M$8:$M$110,$H14,'Calendario A'!$T$8:$T$110,$H$17)+SUMIFS('Calendario A'!$Y$8:$Y$110,'Calendario A'!$T$8:$T$110,$H14,'Calendario A'!$M$8:$M$110,$H$17),"-")</f>
        <v>-</v>
      </c>
      <c r="BF14" s="14" t="n">
        <f aca="false">IF(AND($H14&lt;&gt;"",$H$18&lt;&gt;"",$H14&lt;&gt;$H$18,IFERROR(VLOOKUP($H14,areaCercaPuntiClassificaSquadra,3,FALSE()),-1)=IFERROR(VLOOKUP($H$18,areaCercaPuntiClassificaSquadra,3,FALSE()),-2)),SUMIFS('Calendario A'!$R$8:$R$110,'Calendario A'!$M$8:$M$110,$H14,'Calendario A'!$T$8:$T$110,$H$18)+SUMIFS('Calendario A'!$Y$8:$Y$110,'Calendario A'!$T$8:$T$110,$H14,'Calendario A'!$M$8:$M$110,$H$18),"-")</f>
        <v>58</v>
      </c>
      <c r="BG14" s="14" t="str">
        <f aca="false">IF(AND($H14&lt;&gt;"",$H$19&lt;&gt;"",$H14&lt;&gt;$H$19,IFERROR(VLOOKUP($H14,areaCercaPuntiClassificaSquadra,3,FALSE()),-1)=IFERROR(VLOOKUP($H$19,areaCercaPuntiClassificaSquadra,3,FALSE()),-2)),SUMIFS('Calendario A'!$R$8:$R$110,'Calendario A'!$M$8:$M$110,$H14,'Calendario A'!$T$8:$T$110,$H$19)+SUMIFS('Calendario A'!$Y$8:$Y$110,'Calendario A'!$T$8:$T$110,$H14,'Calendario A'!$M$8:$M$110,$H$19),"-")</f>
        <v>-</v>
      </c>
    </row>
    <row r="15" customFormat="false" ht="15" hidden="false" customHeight="false" outlineLevel="0" collapsed="false">
      <c r="B15" s="7" t="s">
        <v>54</v>
      </c>
      <c r="C15" s="8" t="s">
        <v>55</v>
      </c>
      <c r="D15" s="9"/>
      <c r="E15" s="10" t="s">
        <v>49</v>
      </c>
      <c r="G15" s="11" t="str">
        <f aca="false">IF($C15="","",$E15&amp;(COUNTIFS(I$12:I$75,"&gt;"&amp;I15,E$12:E$75,"="&amp;E15,C$12:C$75,"&lt;&gt;")+COUNTIFS(I$12:I$75,"="&amp;I15,H$12:H$75,"&lt;="&amp;H15,E$12:E$75,"="&amp;E15,C$12:C$75,"&lt;&gt;")))</f>
        <v>A8</v>
      </c>
      <c r="H15" s="12" t="str">
        <f aca="false">IF($C15="","",IFERROR(LEFT($C15,FIND("-",$C15)-1),$C15))</f>
        <v>Delfini Dispettosi</v>
      </c>
      <c r="I15" s="7" t="str">
        <f aca="false">TEXT(1000000000+J15,"|0000000000|")&amp;TEXT(SUM(Y15:AF15),"0000000000|")&amp;IF(SUM(AZ15:BG15)=0,"0000000000|",TEXT(ROUND(SUM(AQ15:AX15)/SUM(AZ15:BG15),4)*100000,"0000000000|"))&amp;IF(P15=0,"0000000000|",TEXT(ROUND(O15/P15,4)*100000,"0000000000|"))</f>
        <v>|1000000009|0000000000|0000064860|0000075290|</v>
      </c>
      <c r="J15" s="11" t="n">
        <f aca="false">L15*constPuntiVittoria+M15*constPuntiSconfitta+N15*constPuntiForfait+IF(D15="",0,D15)</f>
        <v>9</v>
      </c>
      <c r="K15" s="7" t="n">
        <f aca="false">SUM(L15:N15)</f>
        <v>7</v>
      </c>
      <c r="L15" s="7" t="n">
        <f aca="false">IF($H15="",0,SUMIF('Calendario A'!$M$8:$M$110,$H15,'Calendario A'!$N$8:$N$110)+SUMIF('Calendario A'!$T$8:$T$110,$H15,'Calendario A'!$U$8:$U$110))</f>
        <v>1</v>
      </c>
      <c r="M15" s="7" t="n">
        <f aca="false">IF($H15="",0,SUMIF('Calendario A'!$M$8:$M$110,$H15,'Calendario A'!$P$8:$P$110)+SUMIF('Calendario A'!$T$8:$T$110,$H15,'Calendario A'!$W$8:$W$110))</f>
        <v>6</v>
      </c>
      <c r="N15" s="7" t="n">
        <f aca="false">IF($H15="",0,SUMIF('Calendario A'!$M$8:$M$110,$H15,'Calendario A'!$O$8:$O$110)+SUMIF('Calendario A'!$T$8:$T$110,$H15,'Calendario A'!$V$8:$V$110))</f>
        <v>0</v>
      </c>
      <c r="O15" s="7" t="n">
        <f aca="false">IF($H15="",0,SUMIF('Calendario A'!$M$8:$M$110,$H15,'Calendario A'!$Q$8:$Q$110)+SUMIF('Calendario A'!$T$8:$T$110,$H15,'Calendario A'!$X$8:$X$110))</f>
        <v>390</v>
      </c>
      <c r="P15" s="7" t="n">
        <f aca="false">IF($H15="",0,SUMIF('Calendario A'!$M$8:$M$110,$H15,'Calendario A'!$R$8:$R$110)+SUMIF('Calendario A'!$T$8:$T$110,$H15,'Calendario A'!$Y$8:$Y$110))</f>
        <v>518</v>
      </c>
      <c r="Q15" s="7" t="n">
        <f aca="false">IF($H15="",0,SUMIF('Calendario A'!$M$8:$M$110,$H15,'Calendario A'!$S$8:$S$110)+SUMIF('Calendario A'!$T$8:$T$110,$H15,'Calendario A'!$Z$8:$Z$110))</f>
        <v>-128</v>
      </c>
      <c r="R15" s="7" t="n">
        <f aca="false">IF(K15=0,0,ROUND(O15/K15,2))</f>
        <v>55.71</v>
      </c>
      <c r="S15" s="7" t="n">
        <f aca="false">IF(K15=0,0,ROUND(P15/K15,2))</f>
        <v>74</v>
      </c>
      <c r="T15" s="7" t="n">
        <f aca="false">IF(K15=0,0,ROUND(Q15/K15,2))</f>
        <v>-18.29</v>
      </c>
      <c r="U15" s="7" t="str">
        <f aca="false">IF(COUNT(Y15:AF15)=0,"-",SUM(Y15:AF15)&amp;"-"&amp;SUM(AH15:AO15))</f>
        <v>0-1</v>
      </c>
      <c r="V15" s="7" t="str">
        <f aca="false">IF(COUNT(Y15:AF15)=0,"-",IF(SUM(AZ15:BG15)=0,TEXT(0,"0.0000"),TEXT(ROUND(SUM(AQ15:AX15)/SUM(AZ15:BG15),4),"0.0000")))</f>
        <v>0.6486</v>
      </c>
      <c r="W15" s="7" t="str">
        <f aca="false">IF(H15="","-",IF(P15=0,TEXT(0,"0.0000"),TEXT(ROUND(O15/P15,4),"0.0000")))</f>
        <v>0.7529</v>
      </c>
      <c r="X15" s="13" t="str">
        <f aca="false">$C15</f>
        <v>Delfini Dispettosi-Delfiniopoli DI</v>
      </c>
      <c r="Y15" s="14" t="str">
        <f aca="false">IF(AND($H15&lt;&gt;"",$H$12&lt;&gt;"",$H15&lt;&gt;$H$12,IFERROR(VLOOKUP($H15,areaCercaPuntiClassificaSquadra,3,FALSE()),-1)=IFERROR(VLOOKUP($H$12,areaCercaPuntiClassificaSquadra,3,FALSE()),-2)),SUMIFS('Calendario A'!$N$8:$N$110,'Calendario A'!$M$8:$M$110,$H15,'Calendario A'!$T$8:$T$110,$H$12)+SUMIFS('Calendario A'!$U$8:$U$110,'Calendario A'!$T$8:$T$110,$H15,'Calendario A'!$M$8:$M$110,$H$12),"-")</f>
        <v>-</v>
      </c>
      <c r="Z15" s="14" t="n">
        <f aca="false">IF(AND($H15&lt;&gt;"",$H$13&lt;&gt;"",$H15&lt;&gt;$H$13,IFERROR(VLOOKUP($H15,areaCercaPuntiClassificaSquadra,3,FALSE()),-1)=IFERROR(VLOOKUP($H$13,areaCercaPuntiClassificaSquadra,3,FALSE()),-2)),SUMIFS('Calendario A'!$N$8:$N$110,'Calendario A'!$M$8:$M$110,$H15,'Calendario A'!$T$8:$T$110,$H$13)+SUMIFS('Calendario A'!$U$8:$U$110,'Calendario A'!$T$8:$T$110,$H15,'Calendario A'!$M$8:$M$110,$H$13),"-")</f>
        <v>0</v>
      </c>
      <c r="AA15" s="14" t="str">
        <f aca="false">IF(AND($H15&lt;&gt;"",$H$14&lt;&gt;"",$H15&lt;&gt;$H$14,IFERROR(VLOOKUP($H15,areaCercaPuntiClassificaSquadra,3,FALSE()),-1)=IFERROR(VLOOKUP($H$14,areaCercaPuntiClassificaSquadra,3,FALSE()),-2)),SUMIFS('Calendario A'!$N$8:$N$110,'Calendario A'!$M$8:$M$110,$H15,'Calendario A'!$T$8:$T$110,$H$14)+SUMIFS('Calendario A'!$U$8:$U$110,'Calendario A'!$T$8:$T$110,$H15,'Calendario A'!$M$8:$M$110,$H$14),"-")</f>
        <v>-</v>
      </c>
      <c r="AB15" s="14" t="str">
        <f aca="false">IF(AND($H15&lt;&gt;"",$H$15&lt;&gt;"",$H15&lt;&gt;$H$15,IFERROR(VLOOKUP($H15,areaCercaPuntiClassificaSquadra,3,FALSE()),-1)=IFERROR(VLOOKUP($H$15,areaCercaPuntiClassificaSquadra,3,FALSE()),-2)),SUMIFS('Calendario A'!$N$8:$N$110,'Calendario A'!$M$8:$M$110,$H15,'Calendario A'!$T$8:$T$110,$H$15)+SUMIFS('Calendario A'!$U$8:$U$110,'Calendario A'!$T$8:$T$110,$H15,'Calendario A'!$M$8:$M$110,$H$15),"-")</f>
        <v>-</v>
      </c>
      <c r="AC15" s="14" t="str">
        <f aca="false">IF(AND($H15&lt;&gt;"",$H$16&lt;&gt;"",$H15&lt;&gt;$H$16,IFERROR(VLOOKUP($H15,areaCercaPuntiClassificaSquadra,3,FALSE()),-1)=IFERROR(VLOOKUP($H$16,areaCercaPuntiClassificaSquadra,3,FALSE()),-2)),SUMIFS('Calendario A'!$N$8:$N$110,'Calendario A'!$M$8:$M$110,$H15,'Calendario A'!$T$8:$T$110,$H$16)+SUMIFS('Calendario A'!$U$8:$U$110,'Calendario A'!$T$8:$T$110,$H15,'Calendario A'!$M$8:$M$110,$H$16),"-")</f>
        <v>-</v>
      </c>
      <c r="AD15" s="14" t="str">
        <f aca="false">IF(AND($H15&lt;&gt;"",$H$17&lt;&gt;"",$H15&lt;&gt;$H$17,IFERROR(VLOOKUP($H15,areaCercaPuntiClassificaSquadra,3,FALSE()),-1)=IFERROR(VLOOKUP($H$17,areaCercaPuntiClassificaSquadra,3,FALSE()),-2)),SUMIFS('Calendario A'!$N$8:$N$110,'Calendario A'!$M$8:$M$110,$H15,'Calendario A'!$T$8:$T$110,$H$17)+SUMIFS('Calendario A'!$U$8:$U$110,'Calendario A'!$T$8:$T$110,$H15,'Calendario A'!$M$8:$M$110,$H$17),"-")</f>
        <v>-</v>
      </c>
      <c r="AE15" s="14" t="str">
        <f aca="false">IF(AND($H15&lt;&gt;"",$H$18&lt;&gt;"",$H15&lt;&gt;$H$18,IFERROR(VLOOKUP($H15,areaCercaPuntiClassificaSquadra,3,FALSE()),-1)=IFERROR(VLOOKUP($H$18,areaCercaPuntiClassificaSquadra,3,FALSE()),-2)),SUMIFS('Calendario A'!$N$8:$N$110,'Calendario A'!$M$8:$M$110,$H15,'Calendario A'!$T$8:$T$110,$H$18)+SUMIFS('Calendario A'!$U$8:$U$110,'Calendario A'!$T$8:$T$110,$H15,'Calendario A'!$M$8:$M$110,$H$18),"-")</f>
        <v>-</v>
      </c>
      <c r="AF15" s="14" t="str">
        <f aca="false">IF(AND($H15&lt;&gt;"",$H$19&lt;&gt;"",$H15&lt;&gt;$H$19,IFERROR(VLOOKUP($H15,areaCercaPuntiClassificaSquadra,3,FALSE()),-1)=IFERROR(VLOOKUP($H$19,areaCercaPuntiClassificaSquadra,3,FALSE()),-2)),SUMIFS('Calendario A'!$N$8:$N$110,'Calendario A'!$M$8:$M$110,$H15,'Calendario A'!$T$8:$T$110,$H$19)+SUMIFS('Calendario A'!$U$8:$U$110,'Calendario A'!$T$8:$T$110,$H15,'Calendario A'!$M$8:$M$110,$H$19),"-")</f>
        <v>-</v>
      </c>
      <c r="AG15" s="13" t="str">
        <f aca="false">$C15</f>
        <v>Delfini Dispettosi-Delfiniopoli DI</v>
      </c>
      <c r="AH15" s="14" t="str">
        <f aca="false">IF(AND($H15&lt;&gt;"",$H$12&lt;&gt;"",$H15&lt;&gt;$H$12,IFERROR(VLOOKUP($H15,areaCercaPuntiClassificaSquadra,3,FALSE()),-1)=IFERROR(VLOOKUP($H$12,areaCercaPuntiClassificaSquadra,3,FALSE()),-2)),SUMIFS('Calendario A'!$P$8:$P$110,'Calendario A'!$M$8:$M$110,$H15,'Calendario A'!$T$8:$T$110,$H$12)+SUMIFS('Calendario A'!$W$8:$W$110,'Calendario A'!$T$8:$T$110,$H15,'Calendario A'!$M$8:$M$110,$H$12)+SUMIFS('Calendario A'!$O$8:$O$110,'Calendario A'!$M$8:$M$110,$H15,'Calendario A'!$T$8:$T$110,$H$12)+SUMIFS('Calendario A'!$V$8:$V$110,'Calendario A'!$T$8:$T$110,$H15,'Calendario A'!$M$8:$M$110,$H$12),"-")</f>
        <v>-</v>
      </c>
      <c r="AI15" s="14" t="n">
        <f aca="false">IF(AND($H15&lt;&gt;"",$H$13&lt;&gt;"",$H15&lt;&gt;$H$13,IFERROR(VLOOKUP($H15,areaCercaPuntiClassificaSquadra,3,FALSE()),-1)=IFERROR(VLOOKUP($H$13,areaCercaPuntiClassificaSquadra,3,FALSE()),-2)),SUMIFS('Calendario A'!$P$8:$P$110,'Calendario A'!$M$8:$M$110,$H15,'Calendario A'!$T$8:$T$110,$H$13)+SUMIFS('Calendario A'!$W$8:$W$110,'Calendario A'!$T$8:$T$110,$H15,'Calendario A'!$M$8:$M$110,$H$13)+SUMIFS('Calendario A'!$O$8:$O$110,'Calendario A'!$M$8:$M$110,$H15,'Calendario A'!$T$8:$T$110,$H$13)+SUMIFS('Calendario A'!$V$8:$V$110,'Calendario A'!$T$8:$T$110,$H15,'Calendario A'!$M$8:$M$110,$H$13),"-")</f>
        <v>1</v>
      </c>
      <c r="AJ15" s="14" t="str">
        <f aca="false">IF(AND($H15&lt;&gt;"",$H$14&lt;&gt;"",$H15&lt;&gt;$H$14,IFERROR(VLOOKUP($H15,areaCercaPuntiClassificaSquadra,3,FALSE()),-1)=IFERROR(VLOOKUP($H$14,areaCercaPuntiClassificaSquadra,3,FALSE()),-2)),SUMIFS('Calendario A'!$P$8:$P$110,'Calendario A'!$M$8:$M$110,$H15,'Calendario A'!$T$8:$T$110,$H$14)+SUMIFS('Calendario A'!$W$8:$W$110,'Calendario A'!$T$8:$T$110,$H15,'Calendario A'!$M$8:$M$110,$H$14)+SUMIFS('Calendario A'!$O$8:$O$110,'Calendario A'!$M$8:$M$110,$H15,'Calendario A'!$T$8:$T$110,$H$14)+SUMIFS('Calendario A'!$V$8:$V$110,'Calendario A'!$T$8:$T$110,$H15,'Calendario A'!$M$8:$M$110,$H$14),"-")</f>
        <v>-</v>
      </c>
      <c r="AK15" s="14" t="str">
        <f aca="false">IF(AND($H15&lt;&gt;"",$H$15&lt;&gt;"",$H15&lt;&gt;$H$15,IFERROR(VLOOKUP($H15,areaCercaPuntiClassificaSquadra,3,FALSE()),-1)=IFERROR(VLOOKUP($H$15,areaCercaPuntiClassificaSquadra,3,FALSE()),-2)),SUMIFS('Calendario A'!$P$8:$P$110,'Calendario A'!$M$8:$M$110,$H15,'Calendario A'!$T$8:$T$110,$H$15)+SUMIFS('Calendario A'!$W$8:$W$110,'Calendario A'!$T$8:$T$110,$H15,'Calendario A'!$M$8:$M$110,$H$15)+SUMIFS('Calendario A'!$O$8:$O$110,'Calendario A'!$M$8:$M$110,$H15,'Calendario A'!$T$8:$T$110,$H$15)+SUMIFS('Calendario A'!$V$8:$V$110,'Calendario A'!$T$8:$T$110,$H15,'Calendario A'!$M$8:$M$110,$H$15),"-")</f>
        <v>-</v>
      </c>
      <c r="AL15" s="14" t="str">
        <f aca="false">IF(AND($H15&lt;&gt;"",$H$16&lt;&gt;"",$H15&lt;&gt;$H$16,IFERROR(VLOOKUP($H15,areaCercaPuntiClassificaSquadra,3,FALSE()),-1)=IFERROR(VLOOKUP($H$16,areaCercaPuntiClassificaSquadra,3,FALSE()),-2)),SUMIFS('Calendario A'!$P$8:$P$110,'Calendario A'!$M$8:$M$110,$H15,'Calendario A'!$T$8:$T$110,$H$16)+SUMIFS('Calendario A'!$W$8:$W$110,'Calendario A'!$T$8:$T$110,$H15,'Calendario A'!$M$8:$M$110,$H$16)+SUMIFS('Calendario A'!$O$8:$O$110,'Calendario A'!$M$8:$M$110,$H15,'Calendario A'!$T$8:$T$110,$H$16)+SUMIFS('Calendario A'!$V$8:$V$110,'Calendario A'!$T$8:$T$110,$H15,'Calendario A'!$M$8:$M$110,$H$16),"-")</f>
        <v>-</v>
      </c>
      <c r="AM15" s="14" t="str">
        <f aca="false">IF(AND($H15&lt;&gt;"",$H$17&lt;&gt;"",$H15&lt;&gt;$H$17,IFERROR(VLOOKUP($H15,areaCercaPuntiClassificaSquadra,3,FALSE()),-1)=IFERROR(VLOOKUP($H$17,areaCercaPuntiClassificaSquadra,3,FALSE()),-2)),SUMIFS('Calendario A'!$P$8:$P$110,'Calendario A'!$M$8:$M$110,$H15,'Calendario A'!$T$8:$T$110,$H$17)+SUMIFS('Calendario A'!$W$8:$W$110,'Calendario A'!$T$8:$T$110,$H15,'Calendario A'!$M$8:$M$110,$H$17)+SUMIFS('Calendario A'!$O$8:$O$110,'Calendario A'!$M$8:$M$110,$H15,'Calendario A'!$T$8:$T$110,$H$17)+SUMIFS('Calendario A'!$V$8:$V$110,'Calendario A'!$T$8:$T$110,$H15,'Calendario A'!$M$8:$M$110,$H$17),"-")</f>
        <v>-</v>
      </c>
      <c r="AN15" s="14" t="str">
        <f aca="false">IF(AND($H15&lt;&gt;"",$H$18&lt;&gt;"",$H15&lt;&gt;$H$18,IFERROR(VLOOKUP($H15,areaCercaPuntiClassificaSquadra,3,FALSE()),-1)=IFERROR(VLOOKUP($H$18,areaCercaPuntiClassificaSquadra,3,FALSE()),-2)),SUMIFS('Calendario A'!$P$8:$P$110,'Calendario A'!$M$8:$M$110,$H15,'Calendario A'!$T$8:$T$110,$H$18)+SUMIFS('Calendario A'!$W$8:$W$110,'Calendario A'!$T$8:$T$110,$H15,'Calendario A'!$M$8:$M$110,$H$18)+SUMIFS('Calendario A'!$O$8:$O$110,'Calendario A'!$M$8:$M$110,$H15,'Calendario A'!$T$8:$T$110,$H$18)+SUMIFS('Calendario A'!$V$8:$V$110,'Calendario A'!$T$8:$T$110,$H15,'Calendario A'!$M$8:$M$110,$H$18),"-")</f>
        <v>-</v>
      </c>
      <c r="AO15" s="14" t="str">
        <f aca="false">IF(AND($H15&lt;&gt;"",$H$19&lt;&gt;"",$H15&lt;&gt;$H$19,IFERROR(VLOOKUP($H15,areaCercaPuntiClassificaSquadra,3,FALSE()),-1)=IFERROR(VLOOKUP($H$19,areaCercaPuntiClassificaSquadra,3,FALSE()),-2)),SUMIFS('Calendario A'!$P$8:$P$110,'Calendario A'!$M$8:$M$110,$H15,'Calendario A'!$T$8:$T$110,$H$19)+SUMIFS('Calendario A'!$W$8:$W$110,'Calendario A'!$T$8:$T$110,$H15,'Calendario A'!$M$8:$M$110,$H$19)+SUMIFS('Calendario A'!$O$8:$O$110,'Calendario A'!$M$8:$M$110,$H15,'Calendario A'!$T$8:$T$110,$H$19)+SUMIFS('Calendario A'!$V$8:$V$110,'Calendario A'!$T$8:$T$110,$H15,'Calendario A'!$M$8:$M$110,$H$19),"-")</f>
        <v>-</v>
      </c>
      <c r="AP15" s="13" t="str">
        <f aca="false">$C15</f>
        <v>Delfini Dispettosi-Delfiniopoli DI</v>
      </c>
      <c r="AQ15" s="14" t="str">
        <f aca="false">IF(AND($H15&lt;&gt;"",$H$12&lt;&gt;"",$H15&lt;&gt;$H$12,IFERROR(VLOOKUP($H15,areaCercaPuntiClassificaSquadra,3,FALSE()),-1)=IFERROR(VLOOKUP($H$12,areaCercaPuntiClassificaSquadra,3,FALSE()),-2)),SUMIFS('Calendario A'!$Q$8:$Q$110,'Calendario A'!$M$8:$M$110,$H15,'Calendario A'!$T$8:$T$110,$H$12)+SUMIFS('Calendario A'!$X$8:$X$110,'Calendario A'!$T$8:$T$110,$H15,'Calendario A'!$M$8:$M$110,$H$12),"-")</f>
        <v>-</v>
      </c>
      <c r="AR15" s="14" t="n">
        <f aca="false">IF(AND($H15&lt;&gt;"",$H$13&lt;&gt;"",$H15&lt;&gt;$H$13,IFERROR(VLOOKUP($H15,areaCercaPuntiClassificaSquadra,3,FALSE()),-1)=IFERROR(VLOOKUP($H$13,areaCercaPuntiClassificaSquadra,3,FALSE()),-2)),SUMIFS('Calendario A'!$Q$8:$Q$110,'Calendario A'!$M$8:$M$110,$H15,'Calendario A'!$T$8:$T$110,$H$13)+SUMIFS('Calendario A'!$X$8:$X$110,'Calendario A'!$T$8:$T$110,$H15,'Calendario A'!$M$8:$M$110,$H$13),"-")</f>
        <v>48</v>
      </c>
      <c r="AS15" s="14" t="str">
        <f aca="false">IF(AND($H15&lt;&gt;"",$H$14&lt;&gt;"",$H15&lt;&gt;$H$14,IFERROR(VLOOKUP($H15,areaCercaPuntiClassificaSquadra,3,FALSE()),-1)=IFERROR(VLOOKUP($H$14,areaCercaPuntiClassificaSquadra,3,FALSE()),-2)),SUMIFS('Calendario A'!$Q$8:$Q$110,'Calendario A'!$M$8:$M$110,$H15,'Calendario A'!$T$8:$T$110,$H$14)+SUMIFS('Calendario A'!$X$8:$X$110,'Calendario A'!$T$8:$T$110,$H15,'Calendario A'!$M$8:$M$110,$H$14),"-")</f>
        <v>-</v>
      </c>
      <c r="AT15" s="14" t="str">
        <f aca="false">IF(AND($H15&lt;&gt;"",$H$15&lt;&gt;"",$H15&lt;&gt;$H$15,IFERROR(VLOOKUP($H15,areaCercaPuntiClassificaSquadra,3,FALSE()),-1)=IFERROR(VLOOKUP($H$15,areaCercaPuntiClassificaSquadra,3,FALSE()),-2)),SUMIFS('Calendario A'!$Q$8:$Q$110,'Calendario A'!$M$8:$M$110,$H15,'Calendario A'!$T$8:$T$110,$H$15)+SUMIFS('Calendario A'!$X$8:$X$110,'Calendario A'!$T$8:$T$110,$H15,'Calendario A'!$M$8:$M$110,$H$15),"-")</f>
        <v>-</v>
      </c>
      <c r="AU15" s="14" t="str">
        <f aca="false">IF(AND($H15&lt;&gt;"",$H$16&lt;&gt;"",$H15&lt;&gt;$H$16,IFERROR(VLOOKUP($H15,areaCercaPuntiClassificaSquadra,3,FALSE()),-1)=IFERROR(VLOOKUP($H$16,areaCercaPuntiClassificaSquadra,3,FALSE()),-2)),SUMIFS('Calendario A'!$Q$8:$Q$110,'Calendario A'!$M$8:$M$110,$H15,'Calendario A'!$T$8:$T$110,$H$16)+SUMIFS('Calendario A'!$X$8:$X$110,'Calendario A'!$T$8:$T$110,$H15,'Calendario A'!$M$8:$M$110,$H$16),"-")</f>
        <v>-</v>
      </c>
      <c r="AV15" s="14" t="str">
        <f aca="false">IF(AND($H15&lt;&gt;"",$H$17&lt;&gt;"",$H15&lt;&gt;$H$17,IFERROR(VLOOKUP($H15,areaCercaPuntiClassificaSquadra,3,FALSE()),-1)=IFERROR(VLOOKUP($H$17,areaCercaPuntiClassificaSquadra,3,FALSE()),-2)),SUMIFS('Calendario A'!$Q$8:$Q$110,'Calendario A'!$M$8:$M$110,$H15,'Calendario A'!$T$8:$T$110,$H$17)+SUMIFS('Calendario A'!$X$8:$X$110,'Calendario A'!$T$8:$T$110,$H15,'Calendario A'!$M$8:$M$110,$H$17),"-")</f>
        <v>-</v>
      </c>
      <c r="AW15" s="14" t="str">
        <f aca="false">IF(AND($H15&lt;&gt;"",$H$18&lt;&gt;"",$H15&lt;&gt;$H$18,IFERROR(VLOOKUP($H15,areaCercaPuntiClassificaSquadra,3,FALSE()),-1)=IFERROR(VLOOKUP($H$18,areaCercaPuntiClassificaSquadra,3,FALSE()),-2)),SUMIFS('Calendario A'!$Q$8:$Q$110,'Calendario A'!$M$8:$M$110,$H15,'Calendario A'!$T$8:$T$110,$H$18)+SUMIFS('Calendario A'!$X$8:$X$110,'Calendario A'!$T$8:$T$110,$H15,'Calendario A'!$M$8:$M$110,$H$18),"-")</f>
        <v>-</v>
      </c>
      <c r="AX15" s="14" t="str">
        <f aca="false">IF(AND($H15&lt;&gt;"",$H$19&lt;&gt;"",$H15&lt;&gt;$H$19,IFERROR(VLOOKUP($H15,areaCercaPuntiClassificaSquadra,3,FALSE()),-1)=IFERROR(VLOOKUP($H$19,areaCercaPuntiClassificaSquadra,3,FALSE()),-2)),SUMIFS('Calendario A'!$Q$8:$Q$110,'Calendario A'!$M$8:$M$110,$H15,'Calendario A'!$T$8:$T$110,$H$19)+SUMIFS('Calendario A'!$X$8:$X$110,'Calendario A'!$T$8:$T$110,$H15,'Calendario A'!$M$8:$M$110,$H$19),"-")</f>
        <v>-</v>
      </c>
      <c r="AY15" s="13" t="str">
        <f aca="false">$C15</f>
        <v>Delfini Dispettosi-Delfiniopoli DI</v>
      </c>
      <c r="AZ15" s="14" t="str">
        <f aca="false">IF(AND($H15&lt;&gt;"",$H$12&lt;&gt;"",$H15&lt;&gt;$H$12,IFERROR(VLOOKUP($H15,areaCercaPuntiClassificaSquadra,3,FALSE()),-1)=IFERROR(VLOOKUP($H$12,areaCercaPuntiClassificaSquadra,3,FALSE()),-2)),SUMIFS('Calendario A'!$R$8:$R$110,'Calendario A'!$M$8:$M$110,$H15,'Calendario A'!$T$8:$T$110,$H$12)+SUMIFS('Calendario A'!$Y$8:$Y$110,'Calendario A'!$T$8:$T$110,$H15,'Calendario A'!$M$8:$M$110,$H$12),"-")</f>
        <v>-</v>
      </c>
      <c r="BA15" s="14" t="n">
        <f aca="false">IF(AND($H15&lt;&gt;"",$H$13&lt;&gt;"",$H15&lt;&gt;$H$13,IFERROR(VLOOKUP($H15,areaCercaPuntiClassificaSquadra,3,FALSE()),-1)=IFERROR(VLOOKUP($H$13,areaCercaPuntiClassificaSquadra,3,FALSE()),-2)),SUMIFS('Calendario A'!$R$8:$R$110,'Calendario A'!$M$8:$M$110,$H15,'Calendario A'!$T$8:$T$110,$H$13)+SUMIFS('Calendario A'!$Y$8:$Y$110,'Calendario A'!$T$8:$T$110,$H15,'Calendario A'!$M$8:$M$110,$H$13),"-")</f>
        <v>74</v>
      </c>
      <c r="BB15" s="14" t="str">
        <f aca="false">IF(AND($H15&lt;&gt;"",$H$14&lt;&gt;"",$H15&lt;&gt;$H$14,IFERROR(VLOOKUP($H15,areaCercaPuntiClassificaSquadra,3,FALSE()),-1)=IFERROR(VLOOKUP($H$14,areaCercaPuntiClassificaSquadra,3,FALSE()),-2)),SUMIFS('Calendario A'!$R$8:$R$110,'Calendario A'!$M$8:$M$110,$H15,'Calendario A'!$T$8:$T$110,$H$14)+SUMIFS('Calendario A'!$Y$8:$Y$110,'Calendario A'!$T$8:$T$110,$H15,'Calendario A'!$M$8:$M$110,$H$14),"-")</f>
        <v>-</v>
      </c>
      <c r="BC15" s="14" t="str">
        <f aca="false">IF(AND($H15&lt;&gt;"",$H$15&lt;&gt;"",$H15&lt;&gt;$H$15,IFERROR(VLOOKUP($H15,areaCercaPuntiClassificaSquadra,3,FALSE()),-1)=IFERROR(VLOOKUP($H$15,areaCercaPuntiClassificaSquadra,3,FALSE()),-2)),SUMIFS('Calendario A'!$R$8:$R$110,'Calendario A'!$M$8:$M$110,$H15,'Calendario A'!$T$8:$T$110,$H$15)+SUMIFS('Calendario A'!$Y$8:$Y$110,'Calendario A'!$T$8:$T$110,$H15,'Calendario A'!$M$8:$M$110,$H$15),"-")</f>
        <v>-</v>
      </c>
      <c r="BD15" s="14" t="str">
        <f aca="false">IF(AND($H15&lt;&gt;"",$H$16&lt;&gt;"",$H15&lt;&gt;$H$16,IFERROR(VLOOKUP($H15,areaCercaPuntiClassificaSquadra,3,FALSE()),-1)=IFERROR(VLOOKUP($H$16,areaCercaPuntiClassificaSquadra,3,FALSE()),-2)),SUMIFS('Calendario A'!$R$8:$R$110,'Calendario A'!$M$8:$M$110,$H15,'Calendario A'!$T$8:$T$110,$H$16)+SUMIFS('Calendario A'!$Y$8:$Y$110,'Calendario A'!$T$8:$T$110,$H15,'Calendario A'!$M$8:$M$110,$H$16),"-")</f>
        <v>-</v>
      </c>
      <c r="BE15" s="14" t="str">
        <f aca="false">IF(AND($H15&lt;&gt;"",$H$17&lt;&gt;"",$H15&lt;&gt;$H$17,IFERROR(VLOOKUP($H15,areaCercaPuntiClassificaSquadra,3,FALSE()),-1)=IFERROR(VLOOKUP($H$17,areaCercaPuntiClassificaSquadra,3,FALSE()),-2)),SUMIFS('Calendario A'!$R$8:$R$110,'Calendario A'!$M$8:$M$110,$H15,'Calendario A'!$T$8:$T$110,$H$17)+SUMIFS('Calendario A'!$Y$8:$Y$110,'Calendario A'!$T$8:$T$110,$H15,'Calendario A'!$M$8:$M$110,$H$17),"-")</f>
        <v>-</v>
      </c>
      <c r="BF15" s="14" t="str">
        <f aca="false">IF(AND($H15&lt;&gt;"",$H$18&lt;&gt;"",$H15&lt;&gt;$H$18,IFERROR(VLOOKUP($H15,areaCercaPuntiClassificaSquadra,3,FALSE()),-1)=IFERROR(VLOOKUP($H$18,areaCercaPuntiClassificaSquadra,3,FALSE()),-2)),SUMIFS('Calendario A'!$R$8:$R$110,'Calendario A'!$M$8:$M$110,$H15,'Calendario A'!$T$8:$T$110,$H$18)+SUMIFS('Calendario A'!$Y$8:$Y$110,'Calendario A'!$T$8:$T$110,$H15,'Calendario A'!$M$8:$M$110,$H$18),"-")</f>
        <v>-</v>
      </c>
      <c r="BG15" s="14" t="str">
        <f aca="false">IF(AND($H15&lt;&gt;"",$H$19&lt;&gt;"",$H15&lt;&gt;$H$19,IFERROR(VLOOKUP($H15,areaCercaPuntiClassificaSquadra,3,FALSE()),-1)=IFERROR(VLOOKUP($H$19,areaCercaPuntiClassificaSquadra,3,FALSE()),-2)),SUMIFS('Calendario A'!$R$8:$R$110,'Calendario A'!$M$8:$M$110,$H15,'Calendario A'!$T$8:$T$110,$H$19)+SUMIFS('Calendario A'!$Y$8:$Y$110,'Calendario A'!$T$8:$T$110,$H15,'Calendario A'!$M$8:$M$110,$H$19),"-")</f>
        <v>-</v>
      </c>
    </row>
    <row r="16" customFormat="false" ht="15" hidden="false" customHeight="false" outlineLevel="0" collapsed="false">
      <c r="B16" s="7" t="s">
        <v>56</v>
      </c>
      <c r="C16" s="8" t="s">
        <v>57</v>
      </c>
      <c r="D16" s="9"/>
      <c r="E16" s="10" t="s">
        <v>49</v>
      </c>
      <c r="G16" s="11" t="str">
        <f aca="false">IF($C16="","",$E16&amp;(COUNTIFS(I$12:I$75,"&gt;"&amp;I16,E$12:E$75,"="&amp;E16,C$12:C$75,"&lt;&gt;")+COUNTIFS(I$12:I$75,"="&amp;I16,H$12:H$75,"&lt;="&amp;H16,E$12:E$75,"="&amp;E16,C$12:C$75,"&lt;&gt;")))</f>
        <v>A4</v>
      </c>
      <c r="H16" s="12" t="str">
        <f aca="false">IF($C16="","",IFERROR(LEFT($C16,FIND("-",$C16)-1),$C16))</f>
        <v>Ermellini Eleganti</v>
      </c>
      <c r="I16" s="7" t="str">
        <f aca="false">TEXT(1000000000+J16,"|0000000000|")&amp;TEXT(SUM(Y16:AF16),"0000000000|")&amp;IF(SUM(AZ16:BG16)=0,"0000000000|",TEXT(ROUND(SUM(AQ16:AX16)/SUM(AZ16:BG16),4)*100000,"0000000000|"))&amp;IF(P16=0,"0000000000|",TEXT(ROUND(O16/P16,4)*100000,"0000000000|"))</f>
        <v>|1000000015|0000000000|0000081820|0000108210|</v>
      </c>
      <c r="J16" s="11" t="n">
        <f aca="false">L16*constPuntiVittoria+M16*constPuntiSconfitta+N16*constPuntiForfait+IF(D16="",0,D16)</f>
        <v>15</v>
      </c>
      <c r="K16" s="7" t="n">
        <f aca="false">SUM(L16:N16)</f>
        <v>7</v>
      </c>
      <c r="L16" s="7" t="n">
        <f aca="false">IF($H16="",0,SUMIF('Calendario A'!$M$8:$M$110,$H16,'Calendario A'!$N$8:$N$110)+SUMIF('Calendario A'!$T$8:$T$110,$H16,'Calendario A'!$U$8:$U$110))</f>
        <v>4</v>
      </c>
      <c r="M16" s="7" t="n">
        <f aca="false">IF($H16="",0,SUMIF('Calendario A'!$M$8:$M$110,$H16,'Calendario A'!$P$8:$P$110)+SUMIF('Calendario A'!$T$8:$T$110,$H16,'Calendario A'!$W$8:$W$110))</f>
        <v>3</v>
      </c>
      <c r="N16" s="7" t="n">
        <f aca="false">IF($H16="",0,SUMIF('Calendario A'!$M$8:$M$110,$H16,'Calendario A'!$O$8:$O$110)+SUMIF('Calendario A'!$T$8:$T$110,$H16,'Calendario A'!$V$8:$V$110))</f>
        <v>0</v>
      </c>
      <c r="O16" s="7" t="n">
        <f aca="false">IF($H16="",0,SUMIF('Calendario A'!$M$8:$M$110,$H16,'Calendario A'!$Q$8:$Q$110)+SUMIF('Calendario A'!$T$8:$T$110,$H16,'Calendario A'!$X$8:$X$110))</f>
        <v>435</v>
      </c>
      <c r="P16" s="7" t="n">
        <f aca="false">IF($H16="",0,SUMIF('Calendario A'!$M$8:$M$110,$H16,'Calendario A'!$R$8:$R$110)+SUMIF('Calendario A'!$T$8:$T$110,$H16,'Calendario A'!$Y$8:$Y$110))</f>
        <v>402</v>
      </c>
      <c r="Q16" s="7" t="n">
        <f aca="false">IF($H16="",0,SUMIF('Calendario A'!$M$8:$M$110,$H16,'Calendario A'!$S$8:$S$110)+SUMIF('Calendario A'!$T$8:$T$110,$H16,'Calendario A'!$Z$8:$Z$110))</f>
        <v>33</v>
      </c>
      <c r="R16" s="7" t="n">
        <f aca="false">IF(K16=0,0,ROUND(O16/K16,2))</f>
        <v>62.14</v>
      </c>
      <c r="S16" s="7" t="n">
        <f aca="false">IF(K16=0,0,ROUND(P16/K16,2))</f>
        <v>57.43</v>
      </c>
      <c r="T16" s="7" t="n">
        <f aca="false">IF(K16=0,0,ROUND(Q16/K16,2))</f>
        <v>4.71</v>
      </c>
      <c r="U16" s="7" t="str">
        <f aca="false">IF(COUNT(Y16:AF16)=0,"-",SUM(Y16:AF16)&amp;"-"&amp;SUM(AH16:AO16))</f>
        <v>0-1</v>
      </c>
      <c r="V16" s="7" t="str">
        <f aca="false">IF(COUNT(Y16:AF16)=0,"-",IF(SUM(AZ16:BG16)=0,TEXT(0,"0.0000"),TEXT(ROUND(SUM(AQ16:AX16)/SUM(AZ16:BG16),4),"0.0000")))</f>
        <v>0.8182</v>
      </c>
      <c r="W16" s="7" t="str">
        <f aca="false">IF(H16="","-",IF(P16=0,TEXT(0,"0.0000"),TEXT(ROUND(O16/P16,4),"0.0000")))</f>
        <v>1.0821</v>
      </c>
      <c r="X16" s="13" t="str">
        <f aca="false">$C16</f>
        <v>Ermellini Eleganti-Ermelliniopoli EI</v>
      </c>
      <c r="Y16" s="14" t="str">
        <f aca="false">IF(AND($H16&lt;&gt;"",$H$12&lt;&gt;"",$H16&lt;&gt;$H$12,IFERROR(VLOOKUP($H16,areaCercaPuntiClassificaSquadra,3,FALSE()),-1)=IFERROR(VLOOKUP($H$12,areaCercaPuntiClassificaSquadra,3,FALSE()),-2)),SUMIFS('Calendario A'!$N$8:$N$110,'Calendario A'!$M$8:$M$110,$H16,'Calendario A'!$T$8:$T$110,$H$12)+SUMIFS('Calendario A'!$U$8:$U$110,'Calendario A'!$T$8:$T$110,$H16,'Calendario A'!$M$8:$M$110,$H$12),"-")</f>
        <v>-</v>
      </c>
      <c r="Z16" s="14" t="str">
        <f aca="false">IF(AND($H16&lt;&gt;"",$H$13&lt;&gt;"",$H16&lt;&gt;$H$13,IFERROR(VLOOKUP($H16,areaCercaPuntiClassificaSquadra,3,FALSE()),-1)=IFERROR(VLOOKUP($H$13,areaCercaPuntiClassificaSquadra,3,FALSE()),-2)),SUMIFS('Calendario A'!$N$8:$N$110,'Calendario A'!$M$8:$M$110,$H16,'Calendario A'!$T$8:$T$110,$H$13)+SUMIFS('Calendario A'!$U$8:$U$110,'Calendario A'!$T$8:$T$110,$H16,'Calendario A'!$M$8:$M$110,$H$13),"-")</f>
        <v>-</v>
      </c>
      <c r="AA16" s="14" t="str">
        <f aca="false">IF(AND($H16&lt;&gt;"",$H$14&lt;&gt;"",$H16&lt;&gt;$H$14,IFERROR(VLOOKUP($H16,areaCercaPuntiClassificaSquadra,3,FALSE()),-1)=IFERROR(VLOOKUP($H$14,areaCercaPuntiClassificaSquadra,3,FALSE()),-2)),SUMIFS('Calendario A'!$N$8:$N$110,'Calendario A'!$M$8:$M$110,$H16,'Calendario A'!$T$8:$T$110,$H$14)+SUMIFS('Calendario A'!$U$8:$U$110,'Calendario A'!$T$8:$T$110,$H16,'Calendario A'!$M$8:$M$110,$H$14),"-")</f>
        <v>-</v>
      </c>
      <c r="AB16" s="14" t="str">
        <f aca="false">IF(AND($H16&lt;&gt;"",$H$15&lt;&gt;"",$H16&lt;&gt;$H$15,IFERROR(VLOOKUP($H16,areaCercaPuntiClassificaSquadra,3,FALSE()),-1)=IFERROR(VLOOKUP($H$15,areaCercaPuntiClassificaSquadra,3,FALSE()),-2)),SUMIFS('Calendario A'!$N$8:$N$110,'Calendario A'!$M$8:$M$110,$H16,'Calendario A'!$T$8:$T$110,$H$15)+SUMIFS('Calendario A'!$U$8:$U$110,'Calendario A'!$T$8:$T$110,$H16,'Calendario A'!$M$8:$M$110,$H$15),"-")</f>
        <v>-</v>
      </c>
      <c r="AC16" s="14" t="str">
        <f aca="false">IF(AND($H16&lt;&gt;"",$H$16&lt;&gt;"",$H16&lt;&gt;$H$16,IFERROR(VLOOKUP($H16,areaCercaPuntiClassificaSquadra,3,FALSE()),-1)=IFERROR(VLOOKUP($H$16,areaCercaPuntiClassificaSquadra,3,FALSE()),-2)),SUMIFS('Calendario A'!$N$8:$N$110,'Calendario A'!$M$8:$M$110,$H16,'Calendario A'!$T$8:$T$110,$H$16)+SUMIFS('Calendario A'!$U$8:$U$110,'Calendario A'!$T$8:$T$110,$H16,'Calendario A'!$M$8:$M$110,$H$16),"-")</f>
        <v>-</v>
      </c>
      <c r="AD16" s="14" t="str">
        <f aca="false">IF(AND($H16&lt;&gt;"",$H$17&lt;&gt;"",$H16&lt;&gt;$H$17,IFERROR(VLOOKUP($H16,areaCercaPuntiClassificaSquadra,3,FALSE()),-1)=IFERROR(VLOOKUP($H$17,areaCercaPuntiClassificaSquadra,3,FALSE()),-2)),SUMIFS('Calendario A'!$N$8:$N$110,'Calendario A'!$M$8:$M$110,$H16,'Calendario A'!$T$8:$T$110,$H$17)+SUMIFS('Calendario A'!$U$8:$U$110,'Calendario A'!$T$8:$T$110,$H16,'Calendario A'!$M$8:$M$110,$H$17),"-")</f>
        <v>-</v>
      </c>
      <c r="AE16" s="14" t="str">
        <f aca="false">IF(AND($H16&lt;&gt;"",$H$18&lt;&gt;"",$H16&lt;&gt;$H$18,IFERROR(VLOOKUP($H16,areaCercaPuntiClassificaSquadra,3,FALSE()),-1)=IFERROR(VLOOKUP($H$18,areaCercaPuntiClassificaSquadra,3,FALSE()),-2)),SUMIFS('Calendario A'!$N$8:$N$110,'Calendario A'!$M$8:$M$110,$H16,'Calendario A'!$T$8:$T$110,$H$18)+SUMIFS('Calendario A'!$U$8:$U$110,'Calendario A'!$T$8:$T$110,$H16,'Calendario A'!$M$8:$M$110,$H$18),"-")</f>
        <v>-</v>
      </c>
      <c r="AF16" s="14" t="n">
        <f aca="false">IF(AND($H16&lt;&gt;"",$H$19&lt;&gt;"",$H16&lt;&gt;$H$19,IFERROR(VLOOKUP($H16,areaCercaPuntiClassificaSquadra,3,FALSE()),-1)=IFERROR(VLOOKUP($H$19,areaCercaPuntiClassificaSquadra,3,FALSE()),-2)),SUMIFS('Calendario A'!$N$8:$N$110,'Calendario A'!$M$8:$M$110,$H16,'Calendario A'!$T$8:$T$110,$H$19)+SUMIFS('Calendario A'!$U$8:$U$110,'Calendario A'!$T$8:$T$110,$H16,'Calendario A'!$M$8:$M$110,$H$19),"-")</f>
        <v>0</v>
      </c>
      <c r="AG16" s="13" t="str">
        <f aca="false">$C16</f>
        <v>Ermellini Eleganti-Ermelliniopoli EI</v>
      </c>
      <c r="AH16" s="14" t="str">
        <f aca="false">IF(AND($H16&lt;&gt;"",$H$12&lt;&gt;"",$H16&lt;&gt;$H$12,IFERROR(VLOOKUP($H16,areaCercaPuntiClassificaSquadra,3,FALSE()),-1)=IFERROR(VLOOKUP($H$12,areaCercaPuntiClassificaSquadra,3,FALSE()),-2)),SUMIFS('Calendario A'!$P$8:$P$110,'Calendario A'!$M$8:$M$110,$H16,'Calendario A'!$T$8:$T$110,$H$12)+SUMIFS('Calendario A'!$W$8:$W$110,'Calendario A'!$T$8:$T$110,$H16,'Calendario A'!$M$8:$M$110,$H$12)+SUMIFS('Calendario A'!$O$8:$O$110,'Calendario A'!$M$8:$M$110,$H16,'Calendario A'!$T$8:$T$110,$H$12)+SUMIFS('Calendario A'!$V$8:$V$110,'Calendario A'!$T$8:$T$110,$H16,'Calendario A'!$M$8:$M$110,$H$12),"-")</f>
        <v>-</v>
      </c>
      <c r="AI16" s="14" t="str">
        <f aca="false">IF(AND($H16&lt;&gt;"",$H$13&lt;&gt;"",$H16&lt;&gt;$H$13,IFERROR(VLOOKUP($H16,areaCercaPuntiClassificaSquadra,3,FALSE()),-1)=IFERROR(VLOOKUP($H$13,areaCercaPuntiClassificaSquadra,3,FALSE()),-2)),SUMIFS('Calendario A'!$P$8:$P$110,'Calendario A'!$M$8:$M$110,$H16,'Calendario A'!$T$8:$T$110,$H$13)+SUMIFS('Calendario A'!$W$8:$W$110,'Calendario A'!$T$8:$T$110,$H16,'Calendario A'!$M$8:$M$110,$H$13)+SUMIFS('Calendario A'!$O$8:$O$110,'Calendario A'!$M$8:$M$110,$H16,'Calendario A'!$T$8:$T$110,$H$13)+SUMIFS('Calendario A'!$V$8:$V$110,'Calendario A'!$T$8:$T$110,$H16,'Calendario A'!$M$8:$M$110,$H$13),"-")</f>
        <v>-</v>
      </c>
      <c r="AJ16" s="14" t="str">
        <f aca="false">IF(AND($H16&lt;&gt;"",$H$14&lt;&gt;"",$H16&lt;&gt;$H$14,IFERROR(VLOOKUP($H16,areaCercaPuntiClassificaSquadra,3,FALSE()),-1)=IFERROR(VLOOKUP($H$14,areaCercaPuntiClassificaSquadra,3,FALSE()),-2)),SUMIFS('Calendario A'!$P$8:$P$110,'Calendario A'!$M$8:$M$110,$H16,'Calendario A'!$T$8:$T$110,$H$14)+SUMIFS('Calendario A'!$W$8:$W$110,'Calendario A'!$T$8:$T$110,$H16,'Calendario A'!$M$8:$M$110,$H$14)+SUMIFS('Calendario A'!$O$8:$O$110,'Calendario A'!$M$8:$M$110,$H16,'Calendario A'!$T$8:$T$110,$H$14)+SUMIFS('Calendario A'!$V$8:$V$110,'Calendario A'!$T$8:$T$110,$H16,'Calendario A'!$M$8:$M$110,$H$14),"-")</f>
        <v>-</v>
      </c>
      <c r="AK16" s="14" t="str">
        <f aca="false">IF(AND($H16&lt;&gt;"",$H$15&lt;&gt;"",$H16&lt;&gt;$H$15,IFERROR(VLOOKUP($H16,areaCercaPuntiClassificaSquadra,3,FALSE()),-1)=IFERROR(VLOOKUP($H$15,areaCercaPuntiClassificaSquadra,3,FALSE()),-2)),SUMIFS('Calendario A'!$P$8:$P$110,'Calendario A'!$M$8:$M$110,$H16,'Calendario A'!$T$8:$T$110,$H$15)+SUMIFS('Calendario A'!$W$8:$W$110,'Calendario A'!$T$8:$T$110,$H16,'Calendario A'!$M$8:$M$110,$H$15)+SUMIFS('Calendario A'!$O$8:$O$110,'Calendario A'!$M$8:$M$110,$H16,'Calendario A'!$T$8:$T$110,$H$15)+SUMIFS('Calendario A'!$V$8:$V$110,'Calendario A'!$T$8:$T$110,$H16,'Calendario A'!$M$8:$M$110,$H$15),"-")</f>
        <v>-</v>
      </c>
      <c r="AL16" s="14" t="str">
        <f aca="false">IF(AND($H16&lt;&gt;"",$H$16&lt;&gt;"",$H16&lt;&gt;$H$16,IFERROR(VLOOKUP($H16,areaCercaPuntiClassificaSquadra,3,FALSE()),-1)=IFERROR(VLOOKUP($H$16,areaCercaPuntiClassificaSquadra,3,FALSE()),-2)),SUMIFS('Calendario A'!$P$8:$P$110,'Calendario A'!$M$8:$M$110,$H16,'Calendario A'!$T$8:$T$110,$H$16)+SUMIFS('Calendario A'!$W$8:$W$110,'Calendario A'!$T$8:$T$110,$H16,'Calendario A'!$M$8:$M$110,$H$16)+SUMIFS('Calendario A'!$O$8:$O$110,'Calendario A'!$M$8:$M$110,$H16,'Calendario A'!$T$8:$T$110,$H$16)+SUMIFS('Calendario A'!$V$8:$V$110,'Calendario A'!$T$8:$T$110,$H16,'Calendario A'!$M$8:$M$110,$H$16),"-")</f>
        <v>-</v>
      </c>
      <c r="AM16" s="14" t="str">
        <f aca="false">IF(AND($H16&lt;&gt;"",$H$17&lt;&gt;"",$H16&lt;&gt;$H$17,IFERROR(VLOOKUP($H16,areaCercaPuntiClassificaSquadra,3,FALSE()),-1)=IFERROR(VLOOKUP($H$17,areaCercaPuntiClassificaSquadra,3,FALSE()),-2)),SUMIFS('Calendario A'!$P$8:$P$110,'Calendario A'!$M$8:$M$110,$H16,'Calendario A'!$T$8:$T$110,$H$17)+SUMIFS('Calendario A'!$W$8:$W$110,'Calendario A'!$T$8:$T$110,$H16,'Calendario A'!$M$8:$M$110,$H$17)+SUMIFS('Calendario A'!$O$8:$O$110,'Calendario A'!$M$8:$M$110,$H16,'Calendario A'!$T$8:$T$110,$H$17)+SUMIFS('Calendario A'!$V$8:$V$110,'Calendario A'!$T$8:$T$110,$H16,'Calendario A'!$M$8:$M$110,$H$17),"-")</f>
        <v>-</v>
      </c>
      <c r="AN16" s="14" t="str">
        <f aca="false">IF(AND($H16&lt;&gt;"",$H$18&lt;&gt;"",$H16&lt;&gt;$H$18,IFERROR(VLOOKUP($H16,areaCercaPuntiClassificaSquadra,3,FALSE()),-1)=IFERROR(VLOOKUP($H$18,areaCercaPuntiClassificaSquadra,3,FALSE()),-2)),SUMIFS('Calendario A'!$P$8:$P$110,'Calendario A'!$M$8:$M$110,$H16,'Calendario A'!$T$8:$T$110,$H$18)+SUMIFS('Calendario A'!$W$8:$W$110,'Calendario A'!$T$8:$T$110,$H16,'Calendario A'!$M$8:$M$110,$H$18)+SUMIFS('Calendario A'!$O$8:$O$110,'Calendario A'!$M$8:$M$110,$H16,'Calendario A'!$T$8:$T$110,$H$18)+SUMIFS('Calendario A'!$V$8:$V$110,'Calendario A'!$T$8:$T$110,$H16,'Calendario A'!$M$8:$M$110,$H$18),"-")</f>
        <v>-</v>
      </c>
      <c r="AO16" s="14" t="n">
        <f aca="false">IF(AND($H16&lt;&gt;"",$H$19&lt;&gt;"",$H16&lt;&gt;$H$19,IFERROR(VLOOKUP($H16,areaCercaPuntiClassificaSquadra,3,FALSE()),-1)=IFERROR(VLOOKUP($H$19,areaCercaPuntiClassificaSquadra,3,FALSE()),-2)),SUMIFS('Calendario A'!$P$8:$P$110,'Calendario A'!$M$8:$M$110,$H16,'Calendario A'!$T$8:$T$110,$H$19)+SUMIFS('Calendario A'!$W$8:$W$110,'Calendario A'!$T$8:$T$110,$H16,'Calendario A'!$M$8:$M$110,$H$19)+SUMIFS('Calendario A'!$O$8:$O$110,'Calendario A'!$M$8:$M$110,$H16,'Calendario A'!$T$8:$T$110,$H$19)+SUMIFS('Calendario A'!$V$8:$V$110,'Calendario A'!$T$8:$T$110,$H16,'Calendario A'!$M$8:$M$110,$H$19),"-")</f>
        <v>1</v>
      </c>
      <c r="AP16" s="13" t="str">
        <f aca="false">$C16</f>
        <v>Ermellini Eleganti-Ermelliniopoli EI</v>
      </c>
      <c r="AQ16" s="14" t="str">
        <f aca="false">IF(AND($H16&lt;&gt;"",$H$12&lt;&gt;"",$H16&lt;&gt;$H$12,IFERROR(VLOOKUP($H16,areaCercaPuntiClassificaSquadra,3,FALSE()),-1)=IFERROR(VLOOKUP($H$12,areaCercaPuntiClassificaSquadra,3,FALSE()),-2)),SUMIFS('Calendario A'!$Q$8:$Q$110,'Calendario A'!$M$8:$M$110,$H16,'Calendario A'!$T$8:$T$110,$H$12)+SUMIFS('Calendario A'!$X$8:$X$110,'Calendario A'!$T$8:$T$110,$H16,'Calendario A'!$M$8:$M$110,$H$12),"-")</f>
        <v>-</v>
      </c>
      <c r="AR16" s="14" t="str">
        <f aca="false">IF(AND($H16&lt;&gt;"",$H$13&lt;&gt;"",$H16&lt;&gt;$H$13,IFERROR(VLOOKUP($H16,areaCercaPuntiClassificaSquadra,3,FALSE()),-1)=IFERROR(VLOOKUP($H$13,areaCercaPuntiClassificaSquadra,3,FALSE()),-2)),SUMIFS('Calendario A'!$Q$8:$Q$110,'Calendario A'!$M$8:$M$110,$H16,'Calendario A'!$T$8:$T$110,$H$13)+SUMIFS('Calendario A'!$X$8:$X$110,'Calendario A'!$T$8:$T$110,$H16,'Calendario A'!$M$8:$M$110,$H$13),"-")</f>
        <v>-</v>
      </c>
      <c r="AS16" s="14" t="str">
        <f aca="false">IF(AND($H16&lt;&gt;"",$H$14&lt;&gt;"",$H16&lt;&gt;$H$14,IFERROR(VLOOKUP($H16,areaCercaPuntiClassificaSquadra,3,FALSE()),-1)=IFERROR(VLOOKUP($H$14,areaCercaPuntiClassificaSquadra,3,FALSE()),-2)),SUMIFS('Calendario A'!$Q$8:$Q$110,'Calendario A'!$M$8:$M$110,$H16,'Calendario A'!$T$8:$T$110,$H$14)+SUMIFS('Calendario A'!$X$8:$X$110,'Calendario A'!$T$8:$T$110,$H16,'Calendario A'!$M$8:$M$110,$H$14),"-")</f>
        <v>-</v>
      </c>
      <c r="AT16" s="14" t="str">
        <f aca="false">IF(AND($H16&lt;&gt;"",$H$15&lt;&gt;"",$H16&lt;&gt;$H$15,IFERROR(VLOOKUP($H16,areaCercaPuntiClassificaSquadra,3,FALSE()),-1)=IFERROR(VLOOKUP($H$15,areaCercaPuntiClassificaSquadra,3,FALSE()),-2)),SUMIFS('Calendario A'!$Q$8:$Q$110,'Calendario A'!$M$8:$M$110,$H16,'Calendario A'!$T$8:$T$110,$H$15)+SUMIFS('Calendario A'!$X$8:$X$110,'Calendario A'!$T$8:$T$110,$H16,'Calendario A'!$M$8:$M$110,$H$15),"-")</f>
        <v>-</v>
      </c>
      <c r="AU16" s="14" t="str">
        <f aca="false">IF(AND($H16&lt;&gt;"",$H$16&lt;&gt;"",$H16&lt;&gt;$H$16,IFERROR(VLOOKUP($H16,areaCercaPuntiClassificaSquadra,3,FALSE()),-1)=IFERROR(VLOOKUP($H$16,areaCercaPuntiClassificaSquadra,3,FALSE()),-2)),SUMIFS('Calendario A'!$Q$8:$Q$110,'Calendario A'!$M$8:$M$110,$H16,'Calendario A'!$T$8:$T$110,$H$16)+SUMIFS('Calendario A'!$X$8:$X$110,'Calendario A'!$T$8:$T$110,$H16,'Calendario A'!$M$8:$M$110,$H$16),"-")</f>
        <v>-</v>
      </c>
      <c r="AV16" s="14" t="str">
        <f aca="false">IF(AND($H16&lt;&gt;"",$H$17&lt;&gt;"",$H16&lt;&gt;$H$17,IFERROR(VLOOKUP($H16,areaCercaPuntiClassificaSquadra,3,FALSE()),-1)=IFERROR(VLOOKUP($H$17,areaCercaPuntiClassificaSquadra,3,FALSE()),-2)),SUMIFS('Calendario A'!$Q$8:$Q$110,'Calendario A'!$M$8:$M$110,$H16,'Calendario A'!$T$8:$T$110,$H$17)+SUMIFS('Calendario A'!$X$8:$X$110,'Calendario A'!$T$8:$T$110,$H16,'Calendario A'!$M$8:$M$110,$H$17),"-")</f>
        <v>-</v>
      </c>
      <c r="AW16" s="14" t="str">
        <f aca="false">IF(AND($H16&lt;&gt;"",$H$18&lt;&gt;"",$H16&lt;&gt;$H$18,IFERROR(VLOOKUP($H16,areaCercaPuntiClassificaSquadra,3,FALSE()),-1)=IFERROR(VLOOKUP($H$18,areaCercaPuntiClassificaSquadra,3,FALSE()),-2)),SUMIFS('Calendario A'!$Q$8:$Q$110,'Calendario A'!$M$8:$M$110,$H16,'Calendario A'!$T$8:$T$110,$H$18)+SUMIFS('Calendario A'!$X$8:$X$110,'Calendario A'!$T$8:$T$110,$H16,'Calendario A'!$M$8:$M$110,$H$18),"-")</f>
        <v>-</v>
      </c>
      <c r="AX16" s="14" t="n">
        <f aca="false">IF(AND($H16&lt;&gt;"",$H$19&lt;&gt;"",$H16&lt;&gt;$H$19,IFERROR(VLOOKUP($H16,areaCercaPuntiClassificaSquadra,3,FALSE()),-1)=IFERROR(VLOOKUP($H$19,areaCercaPuntiClassificaSquadra,3,FALSE()),-2)),SUMIFS('Calendario A'!$Q$8:$Q$110,'Calendario A'!$M$8:$M$110,$H16,'Calendario A'!$T$8:$T$110,$H$19)+SUMIFS('Calendario A'!$X$8:$X$110,'Calendario A'!$T$8:$T$110,$H16,'Calendario A'!$M$8:$M$110,$H$19),"-")</f>
        <v>45</v>
      </c>
      <c r="AY16" s="13" t="str">
        <f aca="false">$C16</f>
        <v>Ermellini Eleganti-Ermelliniopoli EI</v>
      </c>
      <c r="AZ16" s="14" t="str">
        <f aca="false">IF(AND($H16&lt;&gt;"",$H$12&lt;&gt;"",$H16&lt;&gt;$H$12,IFERROR(VLOOKUP($H16,areaCercaPuntiClassificaSquadra,3,FALSE()),-1)=IFERROR(VLOOKUP($H$12,areaCercaPuntiClassificaSquadra,3,FALSE()),-2)),SUMIFS('Calendario A'!$R$8:$R$110,'Calendario A'!$M$8:$M$110,$H16,'Calendario A'!$T$8:$T$110,$H$12)+SUMIFS('Calendario A'!$Y$8:$Y$110,'Calendario A'!$T$8:$T$110,$H16,'Calendario A'!$M$8:$M$110,$H$12),"-")</f>
        <v>-</v>
      </c>
      <c r="BA16" s="14" t="str">
        <f aca="false">IF(AND($H16&lt;&gt;"",$H$13&lt;&gt;"",$H16&lt;&gt;$H$13,IFERROR(VLOOKUP($H16,areaCercaPuntiClassificaSquadra,3,FALSE()),-1)=IFERROR(VLOOKUP($H$13,areaCercaPuntiClassificaSquadra,3,FALSE()),-2)),SUMIFS('Calendario A'!$R$8:$R$110,'Calendario A'!$M$8:$M$110,$H16,'Calendario A'!$T$8:$T$110,$H$13)+SUMIFS('Calendario A'!$Y$8:$Y$110,'Calendario A'!$T$8:$T$110,$H16,'Calendario A'!$M$8:$M$110,$H$13),"-")</f>
        <v>-</v>
      </c>
      <c r="BB16" s="14" t="str">
        <f aca="false">IF(AND($H16&lt;&gt;"",$H$14&lt;&gt;"",$H16&lt;&gt;$H$14,IFERROR(VLOOKUP($H16,areaCercaPuntiClassificaSquadra,3,FALSE()),-1)=IFERROR(VLOOKUP($H$14,areaCercaPuntiClassificaSquadra,3,FALSE()),-2)),SUMIFS('Calendario A'!$R$8:$R$110,'Calendario A'!$M$8:$M$110,$H16,'Calendario A'!$T$8:$T$110,$H$14)+SUMIFS('Calendario A'!$Y$8:$Y$110,'Calendario A'!$T$8:$T$110,$H16,'Calendario A'!$M$8:$M$110,$H$14),"-")</f>
        <v>-</v>
      </c>
      <c r="BC16" s="14" t="str">
        <f aca="false">IF(AND($H16&lt;&gt;"",$H$15&lt;&gt;"",$H16&lt;&gt;$H$15,IFERROR(VLOOKUP($H16,areaCercaPuntiClassificaSquadra,3,FALSE()),-1)=IFERROR(VLOOKUP($H$15,areaCercaPuntiClassificaSquadra,3,FALSE()),-2)),SUMIFS('Calendario A'!$R$8:$R$110,'Calendario A'!$M$8:$M$110,$H16,'Calendario A'!$T$8:$T$110,$H$15)+SUMIFS('Calendario A'!$Y$8:$Y$110,'Calendario A'!$T$8:$T$110,$H16,'Calendario A'!$M$8:$M$110,$H$15),"-")</f>
        <v>-</v>
      </c>
      <c r="BD16" s="14" t="str">
        <f aca="false">IF(AND($H16&lt;&gt;"",$H$16&lt;&gt;"",$H16&lt;&gt;$H$16,IFERROR(VLOOKUP($H16,areaCercaPuntiClassificaSquadra,3,FALSE()),-1)=IFERROR(VLOOKUP($H$16,areaCercaPuntiClassificaSquadra,3,FALSE()),-2)),SUMIFS('Calendario A'!$R$8:$R$110,'Calendario A'!$M$8:$M$110,$H16,'Calendario A'!$T$8:$T$110,$H$16)+SUMIFS('Calendario A'!$Y$8:$Y$110,'Calendario A'!$T$8:$T$110,$H16,'Calendario A'!$M$8:$M$110,$H$16),"-")</f>
        <v>-</v>
      </c>
      <c r="BE16" s="14" t="str">
        <f aca="false">IF(AND($H16&lt;&gt;"",$H$17&lt;&gt;"",$H16&lt;&gt;$H$17,IFERROR(VLOOKUP($H16,areaCercaPuntiClassificaSquadra,3,FALSE()),-1)=IFERROR(VLOOKUP($H$17,areaCercaPuntiClassificaSquadra,3,FALSE()),-2)),SUMIFS('Calendario A'!$R$8:$R$110,'Calendario A'!$M$8:$M$110,$H16,'Calendario A'!$T$8:$T$110,$H$17)+SUMIFS('Calendario A'!$Y$8:$Y$110,'Calendario A'!$T$8:$T$110,$H16,'Calendario A'!$M$8:$M$110,$H$17),"-")</f>
        <v>-</v>
      </c>
      <c r="BF16" s="14" t="str">
        <f aca="false">IF(AND($H16&lt;&gt;"",$H$18&lt;&gt;"",$H16&lt;&gt;$H$18,IFERROR(VLOOKUP($H16,areaCercaPuntiClassificaSquadra,3,FALSE()),-1)=IFERROR(VLOOKUP($H$18,areaCercaPuntiClassificaSquadra,3,FALSE()),-2)),SUMIFS('Calendario A'!$R$8:$R$110,'Calendario A'!$M$8:$M$110,$H16,'Calendario A'!$T$8:$T$110,$H$18)+SUMIFS('Calendario A'!$Y$8:$Y$110,'Calendario A'!$T$8:$T$110,$H16,'Calendario A'!$M$8:$M$110,$H$18),"-")</f>
        <v>-</v>
      </c>
      <c r="BG16" s="14" t="n">
        <f aca="false">IF(AND($H16&lt;&gt;"",$H$19&lt;&gt;"",$H16&lt;&gt;$H$19,IFERROR(VLOOKUP($H16,areaCercaPuntiClassificaSquadra,3,FALSE()),-1)=IFERROR(VLOOKUP($H$19,areaCercaPuntiClassificaSquadra,3,FALSE()),-2)),SUMIFS('Calendario A'!$R$8:$R$110,'Calendario A'!$M$8:$M$110,$H16,'Calendario A'!$T$8:$T$110,$H$19)+SUMIFS('Calendario A'!$Y$8:$Y$110,'Calendario A'!$T$8:$T$110,$H16,'Calendario A'!$M$8:$M$110,$H$19),"-")</f>
        <v>55</v>
      </c>
    </row>
    <row r="17" customFormat="false" ht="15" hidden="false" customHeight="false" outlineLevel="0" collapsed="false">
      <c r="B17" s="7" t="s">
        <v>58</v>
      </c>
      <c r="C17" s="8" t="s">
        <v>59</v>
      </c>
      <c r="D17" s="9"/>
      <c r="E17" s="10" t="s">
        <v>49</v>
      </c>
      <c r="G17" s="11" t="str">
        <f aca="false">IF($C17="","",$E17&amp;(COUNTIFS(I$12:I$75,"&gt;"&amp;I17,E$12:E$75,"="&amp;E17,C$12:C$75,"&lt;&gt;")+COUNTIFS(I$12:I$75,"="&amp;I17,H$12:H$75,"&lt;="&amp;H17,E$12:E$75,"="&amp;E17,C$12:C$75,"&lt;&gt;")))</f>
        <v>A2</v>
      </c>
      <c r="H17" s="12" t="str">
        <f aca="false">IF($C17="","",IFERROR(LEFT($C17,FIND("-",$C17)-1),$C17))</f>
        <v>Falchi Furiosi</v>
      </c>
      <c r="I17" s="7" t="str">
        <f aca="false">TEXT(1000000000+J17,"|0000000000|")&amp;TEXT(SUM(Y17:AF17),"0000000000|")&amp;IF(SUM(AZ17:BG17)=0,"0000000000|",TEXT(ROUND(SUM(AQ17:AX17)/SUM(AZ17:BG17),4)*100000,"0000000000|"))&amp;IF(P17=0,"0000000000|",TEXT(ROUND(O17/P17,4)*100000,"0000000000|"))</f>
        <v>|1000000017|0000000000|0000000000|0000121910|</v>
      </c>
      <c r="J17" s="11" t="n">
        <f aca="false">L17*constPuntiVittoria+M17*constPuntiSconfitta+N17*constPuntiForfait+IF(D17="",0,D17)</f>
        <v>17</v>
      </c>
      <c r="K17" s="7" t="n">
        <f aca="false">SUM(L17:N17)</f>
        <v>7</v>
      </c>
      <c r="L17" s="7" t="n">
        <f aca="false">IF($H17="",0,SUMIF('Calendario A'!$M$8:$M$110,$H17,'Calendario A'!$N$8:$N$110)+SUMIF('Calendario A'!$T$8:$T$110,$H17,'Calendario A'!$U$8:$U$110))</f>
        <v>5</v>
      </c>
      <c r="M17" s="7" t="n">
        <f aca="false">IF($H17="",0,SUMIF('Calendario A'!$M$8:$M$110,$H17,'Calendario A'!$P$8:$P$110)+SUMIF('Calendario A'!$T$8:$T$110,$H17,'Calendario A'!$W$8:$W$110))</f>
        <v>2</v>
      </c>
      <c r="N17" s="7" t="n">
        <f aca="false">IF($H17="",0,SUMIF('Calendario A'!$M$8:$M$110,$H17,'Calendario A'!$O$8:$O$110)+SUMIF('Calendario A'!$T$8:$T$110,$H17,'Calendario A'!$V$8:$V$110))</f>
        <v>0</v>
      </c>
      <c r="O17" s="7" t="n">
        <f aca="false">IF($H17="",0,SUMIF('Calendario A'!$M$8:$M$110,$H17,'Calendario A'!$Q$8:$Q$110)+SUMIF('Calendario A'!$T$8:$T$110,$H17,'Calendario A'!$X$8:$X$110))</f>
        <v>473</v>
      </c>
      <c r="P17" s="7" t="n">
        <f aca="false">IF($H17="",0,SUMIF('Calendario A'!$M$8:$M$110,$H17,'Calendario A'!$R$8:$R$110)+SUMIF('Calendario A'!$T$8:$T$110,$H17,'Calendario A'!$Y$8:$Y$110))</f>
        <v>388</v>
      </c>
      <c r="Q17" s="7" t="n">
        <f aca="false">IF($H17="",0,SUMIF('Calendario A'!$M$8:$M$110,$H17,'Calendario A'!$S$8:$S$110)+SUMIF('Calendario A'!$T$8:$T$110,$H17,'Calendario A'!$Z$8:$Z$110))</f>
        <v>85</v>
      </c>
      <c r="R17" s="7" t="n">
        <f aca="false">IF(K17=0,0,ROUND(O17/K17,2))</f>
        <v>67.57</v>
      </c>
      <c r="S17" s="7" t="n">
        <f aca="false">IF(K17=0,0,ROUND(P17/K17,2))</f>
        <v>55.43</v>
      </c>
      <c r="T17" s="7" t="n">
        <f aca="false">IF(K17=0,0,ROUND(Q17/K17,2))</f>
        <v>12.14</v>
      </c>
      <c r="U17" s="7" t="str">
        <f aca="false">IF(COUNT(Y17:AF17)=0,"-",SUM(Y17:AF17)&amp;"-"&amp;SUM(AH17:AO17))</f>
        <v>-</v>
      </c>
      <c r="V17" s="7" t="str">
        <f aca="false">IF(COUNT(Y17:AF17)=0,"-",IF(SUM(AZ17:BG17)=0,TEXT(0,"0.0000"),TEXT(ROUND(SUM(AQ17:AX17)/SUM(AZ17:BG17),4),"0.0000")))</f>
        <v>-</v>
      </c>
      <c r="W17" s="7" t="str">
        <f aca="false">IF(H17="","-",IF(P17=0,TEXT(0,"0.0000"),TEXT(ROUND(O17/P17,4),"0.0000")))</f>
        <v>1.2191</v>
      </c>
      <c r="X17" s="13" t="str">
        <f aca="false">$C17</f>
        <v>Falchi Furiosi-Falchiopoli FI</v>
      </c>
      <c r="Y17" s="14" t="str">
        <f aca="false">IF(AND($H17&lt;&gt;"",$H$12&lt;&gt;"",$H17&lt;&gt;$H$12,IFERROR(VLOOKUP($H17,areaCercaPuntiClassificaSquadra,3,FALSE()),-1)=IFERROR(VLOOKUP($H$12,areaCercaPuntiClassificaSquadra,3,FALSE()),-2)),SUMIFS('Calendario A'!$N$8:$N$110,'Calendario A'!$M$8:$M$110,$H17,'Calendario A'!$T$8:$T$110,$H$12)+SUMIFS('Calendario A'!$U$8:$U$110,'Calendario A'!$T$8:$T$110,$H17,'Calendario A'!$M$8:$M$110,$H$12),"-")</f>
        <v>-</v>
      </c>
      <c r="Z17" s="14" t="str">
        <f aca="false">IF(AND($H17&lt;&gt;"",$H$13&lt;&gt;"",$H17&lt;&gt;$H$13,IFERROR(VLOOKUP($H17,areaCercaPuntiClassificaSquadra,3,FALSE()),-1)=IFERROR(VLOOKUP($H$13,areaCercaPuntiClassificaSquadra,3,FALSE()),-2)),SUMIFS('Calendario A'!$N$8:$N$110,'Calendario A'!$M$8:$M$110,$H17,'Calendario A'!$T$8:$T$110,$H$13)+SUMIFS('Calendario A'!$U$8:$U$110,'Calendario A'!$T$8:$T$110,$H17,'Calendario A'!$M$8:$M$110,$H$13),"-")</f>
        <v>-</v>
      </c>
      <c r="AA17" s="14" t="str">
        <f aca="false">IF(AND($H17&lt;&gt;"",$H$14&lt;&gt;"",$H17&lt;&gt;$H$14,IFERROR(VLOOKUP($H17,areaCercaPuntiClassificaSquadra,3,FALSE()),-1)=IFERROR(VLOOKUP($H$14,areaCercaPuntiClassificaSquadra,3,FALSE()),-2)),SUMIFS('Calendario A'!$N$8:$N$110,'Calendario A'!$M$8:$M$110,$H17,'Calendario A'!$T$8:$T$110,$H$14)+SUMIFS('Calendario A'!$U$8:$U$110,'Calendario A'!$T$8:$T$110,$H17,'Calendario A'!$M$8:$M$110,$H$14),"-")</f>
        <v>-</v>
      </c>
      <c r="AB17" s="14" t="str">
        <f aca="false">IF(AND($H17&lt;&gt;"",$H$15&lt;&gt;"",$H17&lt;&gt;$H$15,IFERROR(VLOOKUP($H17,areaCercaPuntiClassificaSquadra,3,FALSE()),-1)=IFERROR(VLOOKUP($H$15,areaCercaPuntiClassificaSquadra,3,FALSE()),-2)),SUMIFS('Calendario A'!$N$8:$N$110,'Calendario A'!$M$8:$M$110,$H17,'Calendario A'!$T$8:$T$110,$H$15)+SUMIFS('Calendario A'!$U$8:$U$110,'Calendario A'!$T$8:$T$110,$H17,'Calendario A'!$M$8:$M$110,$H$15),"-")</f>
        <v>-</v>
      </c>
      <c r="AC17" s="14" t="str">
        <f aca="false">IF(AND($H17&lt;&gt;"",$H$16&lt;&gt;"",$H17&lt;&gt;$H$16,IFERROR(VLOOKUP($H17,areaCercaPuntiClassificaSquadra,3,FALSE()),-1)=IFERROR(VLOOKUP($H$16,areaCercaPuntiClassificaSquadra,3,FALSE()),-2)),SUMIFS('Calendario A'!$N$8:$N$110,'Calendario A'!$M$8:$M$110,$H17,'Calendario A'!$T$8:$T$110,$H$16)+SUMIFS('Calendario A'!$U$8:$U$110,'Calendario A'!$T$8:$T$110,$H17,'Calendario A'!$M$8:$M$110,$H$16),"-")</f>
        <v>-</v>
      </c>
      <c r="AD17" s="14" t="str">
        <f aca="false">IF(AND($H17&lt;&gt;"",$H$17&lt;&gt;"",$H17&lt;&gt;$H$17,IFERROR(VLOOKUP($H17,areaCercaPuntiClassificaSquadra,3,FALSE()),-1)=IFERROR(VLOOKUP($H$17,areaCercaPuntiClassificaSquadra,3,FALSE()),-2)),SUMIFS('Calendario A'!$N$8:$N$110,'Calendario A'!$M$8:$M$110,$H17,'Calendario A'!$T$8:$T$110,$H$17)+SUMIFS('Calendario A'!$U$8:$U$110,'Calendario A'!$T$8:$T$110,$H17,'Calendario A'!$M$8:$M$110,$H$17),"-")</f>
        <v>-</v>
      </c>
      <c r="AE17" s="14" t="str">
        <f aca="false">IF(AND($H17&lt;&gt;"",$H$18&lt;&gt;"",$H17&lt;&gt;$H$18,IFERROR(VLOOKUP($H17,areaCercaPuntiClassificaSquadra,3,FALSE()),-1)=IFERROR(VLOOKUP($H$18,areaCercaPuntiClassificaSquadra,3,FALSE()),-2)),SUMIFS('Calendario A'!$N$8:$N$110,'Calendario A'!$M$8:$M$110,$H17,'Calendario A'!$T$8:$T$110,$H$18)+SUMIFS('Calendario A'!$U$8:$U$110,'Calendario A'!$T$8:$T$110,$H17,'Calendario A'!$M$8:$M$110,$H$18),"-")</f>
        <v>-</v>
      </c>
      <c r="AF17" s="14" t="str">
        <f aca="false">IF(AND($H17&lt;&gt;"",$H$19&lt;&gt;"",$H17&lt;&gt;$H$19,IFERROR(VLOOKUP($H17,areaCercaPuntiClassificaSquadra,3,FALSE()),-1)=IFERROR(VLOOKUP($H$19,areaCercaPuntiClassificaSquadra,3,FALSE()),-2)),SUMIFS('Calendario A'!$N$8:$N$110,'Calendario A'!$M$8:$M$110,$H17,'Calendario A'!$T$8:$T$110,$H$19)+SUMIFS('Calendario A'!$U$8:$U$110,'Calendario A'!$T$8:$T$110,$H17,'Calendario A'!$M$8:$M$110,$H$19),"-")</f>
        <v>-</v>
      </c>
      <c r="AG17" s="13" t="str">
        <f aca="false">$C17</f>
        <v>Falchi Furiosi-Falchiopoli FI</v>
      </c>
      <c r="AH17" s="14" t="str">
        <f aca="false">IF(AND($H17&lt;&gt;"",$H$12&lt;&gt;"",$H17&lt;&gt;$H$12,IFERROR(VLOOKUP($H17,areaCercaPuntiClassificaSquadra,3,FALSE()),-1)=IFERROR(VLOOKUP($H$12,areaCercaPuntiClassificaSquadra,3,FALSE()),-2)),SUMIFS('Calendario A'!$P$8:$P$110,'Calendario A'!$M$8:$M$110,$H17,'Calendario A'!$T$8:$T$110,$H$12)+SUMIFS('Calendario A'!$W$8:$W$110,'Calendario A'!$T$8:$T$110,$H17,'Calendario A'!$M$8:$M$110,$H$12)+SUMIFS('Calendario A'!$O$8:$O$110,'Calendario A'!$M$8:$M$110,$H17,'Calendario A'!$T$8:$T$110,$H$12)+SUMIFS('Calendario A'!$V$8:$V$110,'Calendario A'!$T$8:$T$110,$H17,'Calendario A'!$M$8:$M$110,$H$12),"-")</f>
        <v>-</v>
      </c>
      <c r="AI17" s="14" t="str">
        <f aca="false">IF(AND($H17&lt;&gt;"",$H$13&lt;&gt;"",$H17&lt;&gt;$H$13,IFERROR(VLOOKUP($H17,areaCercaPuntiClassificaSquadra,3,FALSE()),-1)=IFERROR(VLOOKUP($H$13,areaCercaPuntiClassificaSquadra,3,FALSE()),-2)),SUMIFS('Calendario A'!$P$8:$P$110,'Calendario A'!$M$8:$M$110,$H17,'Calendario A'!$T$8:$T$110,$H$13)+SUMIFS('Calendario A'!$W$8:$W$110,'Calendario A'!$T$8:$T$110,$H17,'Calendario A'!$M$8:$M$110,$H$13)+SUMIFS('Calendario A'!$O$8:$O$110,'Calendario A'!$M$8:$M$110,$H17,'Calendario A'!$T$8:$T$110,$H$13)+SUMIFS('Calendario A'!$V$8:$V$110,'Calendario A'!$T$8:$T$110,$H17,'Calendario A'!$M$8:$M$110,$H$13),"-")</f>
        <v>-</v>
      </c>
      <c r="AJ17" s="14" t="str">
        <f aca="false">IF(AND($H17&lt;&gt;"",$H$14&lt;&gt;"",$H17&lt;&gt;$H$14,IFERROR(VLOOKUP($H17,areaCercaPuntiClassificaSquadra,3,FALSE()),-1)=IFERROR(VLOOKUP($H$14,areaCercaPuntiClassificaSquadra,3,FALSE()),-2)),SUMIFS('Calendario A'!$P$8:$P$110,'Calendario A'!$M$8:$M$110,$H17,'Calendario A'!$T$8:$T$110,$H$14)+SUMIFS('Calendario A'!$W$8:$W$110,'Calendario A'!$T$8:$T$110,$H17,'Calendario A'!$M$8:$M$110,$H$14)+SUMIFS('Calendario A'!$O$8:$O$110,'Calendario A'!$M$8:$M$110,$H17,'Calendario A'!$T$8:$T$110,$H$14)+SUMIFS('Calendario A'!$V$8:$V$110,'Calendario A'!$T$8:$T$110,$H17,'Calendario A'!$M$8:$M$110,$H$14),"-")</f>
        <v>-</v>
      </c>
      <c r="AK17" s="14" t="str">
        <f aca="false">IF(AND($H17&lt;&gt;"",$H$15&lt;&gt;"",$H17&lt;&gt;$H$15,IFERROR(VLOOKUP($H17,areaCercaPuntiClassificaSquadra,3,FALSE()),-1)=IFERROR(VLOOKUP($H$15,areaCercaPuntiClassificaSquadra,3,FALSE()),-2)),SUMIFS('Calendario A'!$P$8:$P$110,'Calendario A'!$M$8:$M$110,$H17,'Calendario A'!$T$8:$T$110,$H$15)+SUMIFS('Calendario A'!$W$8:$W$110,'Calendario A'!$T$8:$T$110,$H17,'Calendario A'!$M$8:$M$110,$H$15)+SUMIFS('Calendario A'!$O$8:$O$110,'Calendario A'!$M$8:$M$110,$H17,'Calendario A'!$T$8:$T$110,$H$15)+SUMIFS('Calendario A'!$V$8:$V$110,'Calendario A'!$T$8:$T$110,$H17,'Calendario A'!$M$8:$M$110,$H$15),"-")</f>
        <v>-</v>
      </c>
      <c r="AL17" s="14" t="str">
        <f aca="false">IF(AND($H17&lt;&gt;"",$H$16&lt;&gt;"",$H17&lt;&gt;$H$16,IFERROR(VLOOKUP($H17,areaCercaPuntiClassificaSquadra,3,FALSE()),-1)=IFERROR(VLOOKUP($H$16,areaCercaPuntiClassificaSquadra,3,FALSE()),-2)),SUMIFS('Calendario A'!$P$8:$P$110,'Calendario A'!$M$8:$M$110,$H17,'Calendario A'!$T$8:$T$110,$H$16)+SUMIFS('Calendario A'!$W$8:$W$110,'Calendario A'!$T$8:$T$110,$H17,'Calendario A'!$M$8:$M$110,$H$16)+SUMIFS('Calendario A'!$O$8:$O$110,'Calendario A'!$M$8:$M$110,$H17,'Calendario A'!$T$8:$T$110,$H$16)+SUMIFS('Calendario A'!$V$8:$V$110,'Calendario A'!$T$8:$T$110,$H17,'Calendario A'!$M$8:$M$110,$H$16),"-")</f>
        <v>-</v>
      </c>
      <c r="AM17" s="14" t="str">
        <f aca="false">IF(AND($H17&lt;&gt;"",$H$17&lt;&gt;"",$H17&lt;&gt;$H$17,IFERROR(VLOOKUP($H17,areaCercaPuntiClassificaSquadra,3,FALSE()),-1)=IFERROR(VLOOKUP($H$17,areaCercaPuntiClassificaSquadra,3,FALSE()),-2)),SUMIFS('Calendario A'!$P$8:$P$110,'Calendario A'!$M$8:$M$110,$H17,'Calendario A'!$T$8:$T$110,$H$17)+SUMIFS('Calendario A'!$W$8:$W$110,'Calendario A'!$T$8:$T$110,$H17,'Calendario A'!$M$8:$M$110,$H$17)+SUMIFS('Calendario A'!$O$8:$O$110,'Calendario A'!$M$8:$M$110,$H17,'Calendario A'!$T$8:$T$110,$H$17)+SUMIFS('Calendario A'!$V$8:$V$110,'Calendario A'!$T$8:$T$110,$H17,'Calendario A'!$M$8:$M$110,$H$17),"-")</f>
        <v>-</v>
      </c>
      <c r="AN17" s="14" t="str">
        <f aca="false">IF(AND($H17&lt;&gt;"",$H$18&lt;&gt;"",$H17&lt;&gt;$H$18,IFERROR(VLOOKUP($H17,areaCercaPuntiClassificaSquadra,3,FALSE()),-1)=IFERROR(VLOOKUP($H$18,areaCercaPuntiClassificaSquadra,3,FALSE()),-2)),SUMIFS('Calendario A'!$P$8:$P$110,'Calendario A'!$M$8:$M$110,$H17,'Calendario A'!$T$8:$T$110,$H$18)+SUMIFS('Calendario A'!$W$8:$W$110,'Calendario A'!$T$8:$T$110,$H17,'Calendario A'!$M$8:$M$110,$H$18)+SUMIFS('Calendario A'!$O$8:$O$110,'Calendario A'!$M$8:$M$110,$H17,'Calendario A'!$T$8:$T$110,$H$18)+SUMIFS('Calendario A'!$V$8:$V$110,'Calendario A'!$T$8:$T$110,$H17,'Calendario A'!$M$8:$M$110,$H$18),"-")</f>
        <v>-</v>
      </c>
      <c r="AO17" s="14" t="str">
        <f aca="false">IF(AND($H17&lt;&gt;"",$H$19&lt;&gt;"",$H17&lt;&gt;$H$19,IFERROR(VLOOKUP($H17,areaCercaPuntiClassificaSquadra,3,FALSE()),-1)=IFERROR(VLOOKUP($H$19,areaCercaPuntiClassificaSquadra,3,FALSE()),-2)),SUMIFS('Calendario A'!$P$8:$P$110,'Calendario A'!$M$8:$M$110,$H17,'Calendario A'!$T$8:$T$110,$H$19)+SUMIFS('Calendario A'!$W$8:$W$110,'Calendario A'!$T$8:$T$110,$H17,'Calendario A'!$M$8:$M$110,$H$19)+SUMIFS('Calendario A'!$O$8:$O$110,'Calendario A'!$M$8:$M$110,$H17,'Calendario A'!$T$8:$T$110,$H$19)+SUMIFS('Calendario A'!$V$8:$V$110,'Calendario A'!$T$8:$T$110,$H17,'Calendario A'!$M$8:$M$110,$H$19),"-")</f>
        <v>-</v>
      </c>
      <c r="AP17" s="13" t="str">
        <f aca="false">$C17</f>
        <v>Falchi Furiosi-Falchiopoli FI</v>
      </c>
      <c r="AQ17" s="14" t="str">
        <f aca="false">IF(AND($H17&lt;&gt;"",$H$12&lt;&gt;"",$H17&lt;&gt;$H$12,IFERROR(VLOOKUP($H17,areaCercaPuntiClassificaSquadra,3,FALSE()),-1)=IFERROR(VLOOKUP($H$12,areaCercaPuntiClassificaSquadra,3,FALSE()),-2)),SUMIFS('Calendario A'!$Q$8:$Q$110,'Calendario A'!$M$8:$M$110,$H17,'Calendario A'!$T$8:$T$110,$H$12)+SUMIFS('Calendario A'!$X$8:$X$110,'Calendario A'!$T$8:$T$110,$H17,'Calendario A'!$M$8:$M$110,$H$12),"-")</f>
        <v>-</v>
      </c>
      <c r="AR17" s="14" t="str">
        <f aca="false">IF(AND($H17&lt;&gt;"",$H$13&lt;&gt;"",$H17&lt;&gt;$H$13,IFERROR(VLOOKUP($H17,areaCercaPuntiClassificaSquadra,3,FALSE()),-1)=IFERROR(VLOOKUP($H$13,areaCercaPuntiClassificaSquadra,3,FALSE()),-2)),SUMIFS('Calendario A'!$Q$8:$Q$110,'Calendario A'!$M$8:$M$110,$H17,'Calendario A'!$T$8:$T$110,$H$13)+SUMIFS('Calendario A'!$X$8:$X$110,'Calendario A'!$T$8:$T$110,$H17,'Calendario A'!$M$8:$M$110,$H$13),"-")</f>
        <v>-</v>
      </c>
      <c r="AS17" s="14" t="str">
        <f aca="false">IF(AND($H17&lt;&gt;"",$H$14&lt;&gt;"",$H17&lt;&gt;$H$14,IFERROR(VLOOKUP($H17,areaCercaPuntiClassificaSquadra,3,FALSE()),-1)=IFERROR(VLOOKUP($H$14,areaCercaPuntiClassificaSquadra,3,FALSE()),-2)),SUMIFS('Calendario A'!$Q$8:$Q$110,'Calendario A'!$M$8:$M$110,$H17,'Calendario A'!$T$8:$T$110,$H$14)+SUMIFS('Calendario A'!$X$8:$X$110,'Calendario A'!$T$8:$T$110,$H17,'Calendario A'!$M$8:$M$110,$H$14),"-")</f>
        <v>-</v>
      </c>
      <c r="AT17" s="14" t="str">
        <f aca="false">IF(AND($H17&lt;&gt;"",$H$15&lt;&gt;"",$H17&lt;&gt;$H$15,IFERROR(VLOOKUP($H17,areaCercaPuntiClassificaSquadra,3,FALSE()),-1)=IFERROR(VLOOKUP($H$15,areaCercaPuntiClassificaSquadra,3,FALSE()),-2)),SUMIFS('Calendario A'!$Q$8:$Q$110,'Calendario A'!$M$8:$M$110,$H17,'Calendario A'!$T$8:$T$110,$H$15)+SUMIFS('Calendario A'!$X$8:$X$110,'Calendario A'!$T$8:$T$110,$H17,'Calendario A'!$M$8:$M$110,$H$15),"-")</f>
        <v>-</v>
      </c>
      <c r="AU17" s="14" t="str">
        <f aca="false">IF(AND($H17&lt;&gt;"",$H$16&lt;&gt;"",$H17&lt;&gt;$H$16,IFERROR(VLOOKUP($H17,areaCercaPuntiClassificaSquadra,3,FALSE()),-1)=IFERROR(VLOOKUP($H$16,areaCercaPuntiClassificaSquadra,3,FALSE()),-2)),SUMIFS('Calendario A'!$Q$8:$Q$110,'Calendario A'!$M$8:$M$110,$H17,'Calendario A'!$T$8:$T$110,$H$16)+SUMIFS('Calendario A'!$X$8:$X$110,'Calendario A'!$T$8:$T$110,$H17,'Calendario A'!$M$8:$M$110,$H$16),"-")</f>
        <v>-</v>
      </c>
      <c r="AV17" s="14" t="str">
        <f aca="false">IF(AND($H17&lt;&gt;"",$H$17&lt;&gt;"",$H17&lt;&gt;$H$17,IFERROR(VLOOKUP($H17,areaCercaPuntiClassificaSquadra,3,FALSE()),-1)=IFERROR(VLOOKUP($H$17,areaCercaPuntiClassificaSquadra,3,FALSE()),-2)),SUMIFS('Calendario A'!$Q$8:$Q$110,'Calendario A'!$M$8:$M$110,$H17,'Calendario A'!$T$8:$T$110,$H$17)+SUMIFS('Calendario A'!$X$8:$X$110,'Calendario A'!$T$8:$T$110,$H17,'Calendario A'!$M$8:$M$110,$H$17),"-")</f>
        <v>-</v>
      </c>
      <c r="AW17" s="14" t="str">
        <f aca="false">IF(AND($H17&lt;&gt;"",$H$18&lt;&gt;"",$H17&lt;&gt;$H$18,IFERROR(VLOOKUP($H17,areaCercaPuntiClassificaSquadra,3,FALSE()),-1)=IFERROR(VLOOKUP($H$18,areaCercaPuntiClassificaSquadra,3,FALSE()),-2)),SUMIFS('Calendario A'!$Q$8:$Q$110,'Calendario A'!$M$8:$M$110,$H17,'Calendario A'!$T$8:$T$110,$H$18)+SUMIFS('Calendario A'!$X$8:$X$110,'Calendario A'!$T$8:$T$110,$H17,'Calendario A'!$M$8:$M$110,$H$18),"-")</f>
        <v>-</v>
      </c>
      <c r="AX17" s="14" t="str">
        <f aca="false">IF(AND($H17&lt;&gt;"",$H$19&lt;&gt;"",$H17&lt;&gt;$H$19,IFERROR(VLOOKUP($H17,areaCercaPuntiClassificaSquadra,3,FALSE()),-1)=IFERROR(VLOOKUP($H$19,areaCercaPuntiClassificaSquadra,3,FALSE()),-2)),SUMIFS('Calendario A'!$Q$8:$Q$110,'Calendario A'!$M$8:$M$110,$H17,'Calendario A'!$T$8:$T$110,$H$19)+SUMIFS('Calendario A'!$X$8:$X$110,'Calendario A'!$T$8:$T$110,$H17,'Calendario A'!$M$8:$M$110,$H$19),"-")</f>
        <v>-</v>
      </c>
      <c r="AY17" s="13" t="str">
        <f aca="false">$C17</f>
        <v>Falchi Furiosi-Falchiopoli FI</v>
      </c>
      <c r="AZ17" s="14" t="str">
        <f aca="false">IF(AND($H17&lt;&gt;"",$H$12&lt;&gt;"",$H17&lt;&gt;$H$12,IFERROR(VLOOKUP($H17,areaCercaPuntiClassificaSquadra,3,FALSE()),-1)=IFERROR(VLOOKUP($H$12,areaCercaPuntiClassificaSquadra,3,FALSE()),-2)),SUMIFS('Calendario A'!$R$8:$R$110,'Calendario A'!$M$8:$M$110,$H17,'Calendario A'!$T$8:$T$110,$H$12)+SUMIFS('Calendario A'!$Y$8:$Y$110,'Calendario A'!$T$8:$T$110,$H17,'Calendario A'!$M$8:$M$110,$H$12),"-")</f>
        <v>-</v>
      </c>
      <c r="BA17" s="14" t="str">
        <f aca="false">IF(AND($H17&lt;&gt;"",$H$13&lt;&gt;"",$H17&lt;&gt;$H$13,IFERROR(VLOOKUP($H17,areaCercaPuntiClassificaSquadra,3,FALSE()),-1)=IFERROR(VLOOKUP($H$13,areaCercaPuntiClassificaSquadra,3,FALSE()),-2)),SUMIFS('Calendario A'!$R$8:$R$110,'Calendario A'!$M$8:$M$110,$H17,'Calendario A'!$T$8:$T$110,$H$13)+SUMIFS('Calendario A'!$Y$8:$Y$110,'Calendario A'!$T$8:$T$110,$H17,'Calendario A'!$M$8:$M$110,$H$13),"-")</f>
        <v>-</v>
      </c>
      <c r="BB17" s="14" t="str">
        <f aca="false">IF(AND($H17&lt;&gt;"",$H$14&lt;&gt;"",$H17&lt;&gt;$H$14,IFERROR(VLOOKUP($H17,areaCercaPuntiClassificaSquadra,3,FALSE()),-1)=IFERROR(VLOOKUP($H$14,areaCercaPuntiClassificaSquadra,3,FALSE()),-2)),SUMIFS('Calendario A'!$R$8:$R$110,'Calendario A'!$M$8:$M$110,$H17,'Calendario A'!$T$8:$T$110,$H$14)+SUMIFS('Calendario A'!$Y$8:$Y$110,'Calendario A'!$T$8:$T$110,$H17,'Calendario A'!$M$8:$M$110,$H$14),"-")</f>
        <v>-</v>
      </c>
      <c r="BC17" s="14" t="str">
        <f aca="false">IF(AND($H17&lt;&gt;"",$H$15&lt;&gt;"",$H17&lt;&gt;$H$15,IFERROR(VLOOKUP($H17,areaCercaPuntiClassificaSquadra,3,FALSE()),-1)=IFERROR(VLOOKUP($H$15,areaCercaPuntiClassificaSquadra,3,FALSE()),-2)),SUMIFS('Calendario A'!$R$8:$R$110,'Calendario A'!$M$8:$M$110,$H17,'Calendario A'!$T$8:$T$110,$H$15)+SUMIFS('Calendario A'!$Y$8:$Y$110,'Calendario A'!$T$8:$T$110,$H17,'Calendario A'!$M$8:$M$110,$H$15),"-")</f>
        <v>-</v>
      </c>
      <c r="BD17" s="14" t="str">
        <f aca="false">IF(AND($H17&lt;&gt;"",$H$16&lt;&gt;"",$H17&lt;&gt;$H$16,IFERROR(VLOOKUP($H17,areaCercaPuntiClassificaSquadra,3,FALSE()),-1)=IFERROR(VLOOKUP($H$16,areaCercaPuntiClassificaSquadra,3,FALSE()),-2)),SUMIFS('Calendario A'!$R$8:$R$110,'Calendario A'!$M$8:$M$110,$H17,'Calendario A'!$T$8:$T$110,$H$16)+SUMIFS('Calendario A'!$Y$8:$Y$110,'Calendario A'!$T$8:$T$110,$H17,'Calendario A'!$M$8:$M$110,$H$16),"-")</f>
        <v>-</v>
      </c>
      <c r="BE17" s="14" t="str">
        <f aca="false">IF(AND($H17&lt;&gt;"",$H$17&lt;&gt;"",$H17&lt;&gt;$H$17,IFERROR(VLOOKUP($H17,areaCercaPuntiClassificaSquadra,3,FALSE()),-1)=IFERROR(VLOOKUP($H$17,areaCercaPuntiClassificaSquadra,3,FALSE()),-2)),SUMIFS('Calendario A'!$R$8:$R$110,'Calendario A'!$M$8:$M$110,$H17,'Calendario A'!$T$8:$T$110,$H$17)+SUMIFS('Calendario A'!$Y$8:$Y$110,'Calendario A'!$T$8:$T$110,$H17,'Calendario A'!$M$8:$M$110,$H$17),"-")</f>
        <v>-</v>
      </c>
      <c r="BF17" s="14" t="str">
        <f aca="false">IF(AND($H17&lt;&gt;"",$H$18&lt;&gt;"",$H17&lt;&gt;$H$18,IFERROR(VLOOKUP($H17,areaCercaPuntiClassificaSquadra,3,FALSE()),-1)=IFERROR(VLOOKUP($H$18,areaCercaPuntiClassificaSquadra,3,FALSE()),-2)),SUMIFS('Calendario A'!$R$8:$R$110,'Calendario A'!$M$8:$M$110,$H17,'Calendario A'!$T$8:$T$110,$H$18)+SUMIFS('Calendario A'!$Y$8:$Y$110,'Calendario A'!$T$8:$T$110,$H17,'Calendario A'!$M$8:$M$110,$H$18),"-")</f>
        <v>-</v>
      </c>
      <c r="BG17" s="14" t="str">
        <f aca="false">IF(AND($H17&lt;&gt;"",$H$19&lt;&gt;"",$H17&lt;&gt;$H$19,IFERROR(VLOOKUP($H17,areaCercaPuntiClassificaSquadra,3,FALSE()),-1)=IFERROR(VLOOKUP($H$19,areaCercaPuntiClassificaSquadra,3,FALSE()),-2)),SUMIFS('Calendario A'!$R$8:$R$110,'Calendario A'!$M$8:$M$110,$H17,'Calendario A'!$T$8:$T$110,$H$19)+SUMIFS('Calendario A'!$Y$8:$Y$110,'Calendario A'!$T$8:$T$110,$H17,'Calendario A'!$M$8:$M$110,$H$19),"-")</f>
        <v>-</v>
      </c>
    </row>
    <row r="18" customFormat="false" ht="15" hidden="false" customHeight="false" outlineLevel="0" collapsed="false">
      <c r="B18" s="7" t="s">
        <v>60</v>
      </c>
      <c r="C18" s="8" t="s">
        <v>61</v>
      </c>
      <c r="D18" s="9"/>
      <c r="E18" s="10" t="s">
        <v>49</v>
      </c>
      <c r="G18" s="11" t="str">
        <f aca="false">IF($C18="","",$E18&amp;(COUNTIFS(I$12:I$75,"&gt;"&amp;I18,E$12:E$75,"="&amp;E18,C$12:C$75,"&lt;&gt;")+COUNTIFS(I$12:I$75,"="&amp;I18,H$12:H$75,"&lt;="&amp;H18,E$12:E$75,"="&amp;E18,C$12:C$75,"&lt;&gt;")))</f>
        <v>A5</v>
      </c>
      <c r="H18" s="12" t="str">
        <f aca="false">IF($C18="","",IFERROR(LEFT($C18,FIND("-",$C18)-1),$C18))</f>
        <v>Gazzelle Gagliarde</v>
      </c>
      <c r="I18" s="7" t="str">
        <f aca="false">TEXT(1000000000+J18,"|0000000000|")&amp;TEXT(SUM(Y18:AF18),"0000000000|")&amp;IF(SUM(AZ18:BG18)=0,"0000000000|",TEXT(ROUND(SUM(AQ18:AX18)/SUM(AZ18:BG18),4)*100000,"0000000000|"))&amp;IF(P18=0,"0000000000|",TEXT(ROUND(O18/P18,4)*100000,"0000000000|"))</f>
        <v>|1000000013|0000000001|0000116000|0000089720|</v>
      </c>
      <c r="J18" s="11" t="n">
        <f aca="false">L18*constPuntiVittoria+M18*constPuntiSconfitta+N18*constPuntiForfait+IF(D18="",0,D18)</f>
        <v>13</v>
      </c>
      <c r="K18" s="7" t="n">
        <f aca="false">SUM(L18:N18)</f>
        <v>7</v>
      </c>
      <c r="L18" s="7" t="n">
        <f aca="false">IF($H18="",0,SUMIF('Calendario A'!$M$8:$M$110,$H18,'Calendario A'!$N$8:$N$110)+SUMIF('Calendario A'!$T$8:$T$110,$H18,'Calendario A'!$U$8:$U$110))</f>
        <v>3</v>
      </c>
      <c r="M18" s="7" t="n">
        <f aca="false">IF($H18="",0,SUMIF('Calendario A'!$M$8:$M$110,$H18,'Calendario A'!$P$8:$P$110)+SUMIF('Calendario A'!$T$8:$T$110,$H18,'Calendario A'!$W$8:$W$110))</f>
        <v>4</v>
      </c>
      <c r="N18" s="7" t="n">
        <f aca="false">IF($H18="",0,SUMIF('Calendario A'!$M$8:$M$110,$H18,'Calendario A'!$O$8:$O$110)+SUMIF('Calendario A'!$T$8:$T$110,$H18,'Calendario A'!$V$8:$V$110))</f>
        <v>0</v>
      </c>
      <c r="O18" s="7" t="n">
        <f aca="false">IF($H18="",0,SUMIF('Calendario A'!$M$8:$M$110,$H18,'Calendario A'!$Q$8:$Q$110)+SUMIF('Calendario A'!$T$8:$T$110,$H18,'Calendario A'!$X$8:$X$110))</f>
        <v>419</v>
      </c>
      <c r="P18" s="7" t="n">
        <f aca="false">IF($H18="",0,SUMIF('Calendario A'!$M$8:$M$110,$H18,'Calendario A'!$R$8:$R$110)+SUMIF('Calendario A'!$T$8:$T$110,$H18,'Calendario A'!$Y$8:$Y$110))</f>
        <v>467</v>
      </c>
      <c r="Q18" s="7" t="n">
        <f aca="false">IF($H18="",0,SUMIF('Calendario A'!$M$8:$M$110,$H18,'Calendario A'!$S$8:$S$110)+SUMIF('Calendario A'!$T$8:$T$110,$H18,'Calendario A'!$Z$8:$Z$110))</f>
        <v>-48</v>
      </c>
      <c r="R18" s="7" t="n">
        <f aca="false">IF(K18=0,0,ROUND(O18/K18,2))</f>
        <v>59.86</v>
      </c>
      <c r="S18" s="7" t="n">
        <f aca="false">IF(K18=0,0,ROUND(P18/K18,2))</f>
        <v>66.71</v>
      </c>
      <c r="T18" s="7" t="n">
        <f aca="false">IF(K18=0,0,ROUND(Q18/K18,2))</f>
        <v>-6.86</v>
      </c>
      <c r="U18" s="7" t="str">
        <f aca="false">IF(COUNT(Y18:AF18)=0,"-",SUM(Y18:AF18)&amp;"-"&amp;SUM(AH18:AO18))</f>
        <v>1-0</v>
      </c>
      <c r="V18" s="7" t="str">
        <f aca="false">IF(COUNT(Y18:AF18)=0,"-",IF(SUM(AZ18:BG18)=0,TEXT(0,"0.0000"),TEXT(ROUND(SUM(AQ18:AX18)/SUM(AZ18:BG18),4),"0.0000")))</f>
        <v>1.1600</v>
      </c>
      <c r="W18" s="7" t="str">
        <f aca="false">IF(H18="","-",IF(P18=0,TEXT(0,"0.0000"),TEXT(ROUND(O18/P18,4),"0.0000")))</f>
        <v>0.8972</v>
      </c>
      <c r="X18" s="13" t="str">
        <f aca="false">$C18</f>
        <v>Gazzelle Gagliarde-Gazzelleopoli GE</v>
      </c>
      <c r="Y18" s="14" t="str">
        <f aca="false">IF(AND($H18&lt;&gt;"",$H$12&lt;&gt;"",$H18&lt;&gt;$H$12,IFERROR(VLOOKUP($H18,areaCercaPuntiClassificaSquadra,3,FALSE()),-1)=IFERROR(VLOOKUP($H$12,areaCercaPuntiClassificaSquadra,3,FALSE()),-2)),SUMIFS('Calendario A'!$N$8:$N$110,'Calendario A'!$M$8:$M$110,$H18,'Calendario A'!$T$8:$T$110,$H$12)+SUMIFS('Calendario A'!$U$8:$U$110,'Calendario A'!$T$8:$T$110,$H18,'Calendario A'!$M$8:$M$110,$H$12),"-")</f>
        <v>-</v>
      </c>
      <c r="Z18" s="14" t="str">
        <f aca="false">IF(AND($H18&lt;&gt;"",$H$13&lt;&gt;"",$H18&lt;&gt;$H$13,IFERROR(VLOOKUP($H18,areaCercaPuntiClassificaSquadra,3,FALSE()),-1)=IFERROR(VLOOKUP($H$13,areaCercaPuntiClassificaSquadra,3,FALSE()),-2)),SUMIFS('Calendario A'!$N$8:$N$110,'Calendario A'!$M$8:$M$110,$H18,'Calendario A'!$T$8:$T$110,$H$13)+SUMIFS('Calendario A'!$U$8:$U$110,'Calendario A'!$T$8:$T$110,$H18,'Calendario A'!$M$8:$M$110,$H$13),"-")</f>
        <v>-</v>
      </c>
      <c r="AA18" s="14" t="n">
        <f aca="false">IF(AND($H18&lt;&gt;"",$H$14&lt;&gt;"",$H18&lt;&gt;$H$14,IFERROR(VLOOKUP($H18,areaCercaPuntiClassificaSquadra,3,FALSE()),-1)=IFERROR(VLOOKUP($H$14,areaCercaPuntiClassificaSquadra,3,FALSE()),-2)),SUMIFS('Calendario A'!$N$8:$N$110,'Calendario A'!$M$8:$M$110,$H18,'Calendario A'!$T$8:$T$110,$H$14)+SUMIFS('Calendario A'!$U$8:$U$110,'Calendario A'!$T$8:$T$110,$H18,'Calendario A'!$M$8:$M$110,$H$14),"-")</f>
        <v>1</v>
      </c>
      <c r="AB18" s="14" t="str">
        <f aca="false">IF(AND($H18&lt;&gt;"",$H$15&lt;&gt;"",$H18&lt;&gt;$H$15,IFERROR(VLOOKUP($H18,areaCercaPuntiClassificaSquadra,3,FALSE()),-1)=IFERROR(VLOOKUP($H$15,areaCercaPuntiClassificaSquadra,3,FALSE()),-2)),SUMIFS('Calendario A'!$N$8:$N$110,'Calendario A'!$M$8:$M$110,$H18,'Calendario A'!$T$8:$T$110,$H$15)+SUMIFS('Calendario A'!$U$8:$U$110,'Calendario A'!$T$8:$T$110,$H18,'Calendario A'!$M$8:$M$110,$H$15),"-")</f>
        <v>-</v>
      </c>
      <c r="AC18" s="14" t="str">
        <f aca="false">IF(AND($H18&lt;&gt;"",$H$16&lt;&gt;"",$H18&lt;&gt;$H$16,IFERROR(VLOOKUP($H18,areaCercaPuntiClassificaSquadra,3,FALSE()),-1)=IFERROR(VLOOKUP($H$16,areaCercaPuntiClassificaSquadra,3,FALSE()),-2)),SUMIFS('Calendario A'!$N$8:$N$110,'Calendario A'!$M$8:$M$110,$H18,'Calendario A'!$T$8:$T$110,$H$16)+SUMIFS('Calendario A'!$U$8:$U$110,'Calendario A'!$T$8:$T$110,$H18,'Calendario A'!$M$8:$M$110,$H$16),"-")</f>
        <v>-</v>
      </c>
      <c r="AD18" s="14" t="str">
        <f aca="false">IF(AND($H18&lt;&gt;"",$H$17&lt;&gt;"",$H18&lt;&gt;$H$17,IFERROR(VLOOKUP($H18,areaCercaPuntiClassificaSquadra,3,FALSE()),-1)=IFERROR(VLOOKUP($H$17,areaCercaPuntiClassificaSquadra,3,FALSE()),-2)),SUMIFS('Calendario A'!$N$8:$N$110,'Calendario A'!$M$8:$M$110,$H18,'Calendario A'!$T$8:$T$110,$H$17)+SUMIFS('Calendario A'!$U$8:$U$110,'Calendario A'!$T$8:$T$110,$H18,'Calendario A'!$M$8:$M$110,$H$17),"-")</f>
        <v>-</v>
      </c>
      <c r="AE18" s="14" t="str">
        <f aca="false">IF(AND($H18&lt;&gt;"",$H$18&lt;&gt;"",$H18&lt;&gt;$H$18,IFERROR(VLOOKUP($H18,areaCercaPuntiClassificaSquadra,3,FALSE()),-1)=IFERROR(VLOOKUP($H$18,areaCercaPuntiClassificaSquadra,3,FALSE()),-2)),SUMIFS('Calendario A'!$N$8:$N$110,'Calendario A'!$M$8:$M$110,$H18,'Calendario A'!$T$8:$T$110,$H$18)+SUMIFS('Calendario A'!$U$8:$U$110,'Calendario A'!$T$8:$T$110,$H18,'Calendario A'!$M$8:$M$110,$H$18),"-")</f>
        <v>-</v>
      </c>
      <c r="AF18" s="14" t="str">
        <f aca="false">IF(AND($H18&lt;&gt;"",$H$19&lt;&gt;"",$H18&lt;&gt;$H$19,IFERROR(VLOOKUP($H18,areaCercaPuntiClassificaSquadra,3,FALSE()),-1)=IFERROR(VLOOKUP($H$19,areaCercaPuntiClassificaSquadra,3,FALSE()),-2)),SUMIFS('Calendario A'!$N$8:$N$110,'Calendario A'!$M$8:$M$110,$H18,'Calendario A'!$T$8:$T$110,$H$19)+SUMIFS('Calendario A'!$U$8:$U$110,'Calendario A'!$T$8:$T$110,$H18,'Calendario A'!$M$8:$M$110,$H$19),"-")</f>
        <v>-</v>
      </c>
      <c r="AG18" s="13" t="str">
        <f aca="false">$C18</f>
        <v>Gazzelle Gagliarde-Gazzelleopoli GE</v>
      </c>
      <c r="AH18" s="14" t="str">
        <f aca="false">IF(AND($H18&lt;&gt;"",$H$12&lt;&gt;"",$H18&lt;&gt;$H$12,IFERROR(VLOOKUP($H18,areaCercaPuntiClassificaSquadra,3,FALSE()),-1)=IFERROR(VLOOKUP($H$12,areaCercaPuntiClassificaSquadra,3,FALSE()),-2)),SUMIFS('Calendario A'!$P$8:$P$110,'Calendario A'!$M$8:$M$110,$H18,'Calendario A'!$T$8:$T$110,$H$12)+SUMIFS('Calendario A'!$W$8:$W$110,'Calendario A'!$T$8:$T$110,$H18,'Calendario A'!$M$8:$M$110,$H$12)+SUMIFS('Calendario A'!$O$8:$O$110,'Calendario A'!$M$8:$M$110,$H18,'Calendario A'!$T$8:$T$110,$H$12)+SUMIFS('Calendario A'!$V$8:$V$110,'Calendario A'!$T$8:$T$110,$H18,'Calendario A'!$M$8:$M$110,$H$12),"-")</f>
        <v>-</v>
      </c>
      <c r="AI18" s="14" t="str">
        <f aca="false">IF(AND($H18&lt;&gt;"",$H$13&lt;&gt;"",$H18&lt;&gt;$H$13,IFERROR(VLOOKUP($H18,areaCercaPuntiClassificaSquadra,3,FALSE()),-1)=IFERROR(VLOOKUP($H$13,areaCercaPuntiClassificaSquadra,3,FALSE()),-2)),SUMIFS('Calendario A'!$P$8:$P$110,'Calendario A'!$M$8:$M$110,$H18,'Calendario A'!$T$8:$T$110,$H$13)+SUMIFS('Calendario A'!$W$8:$W$110,'Calendario A'!$T$8:$T$110,$H18,'Calendario A'!$M$8:$M$110,$H$13)+SUMIFS('Calendario A'!$O$8:$O$110,'Calendario A'!$M$8:$M$110,$H18,'Calendario A'!$T$8:$T$110,$H$13)+SUMIFS('Calendario A'!$V$8:$V$110,'Calendario A'!$T$8:$T$110,$H18,'Calendario A'!$M$8:$M$110,$H$13),"-")</f>
        <v>-</v>
      </c>
      <c r="AJ18" s="14" t="n">
        <f aca="false">IF(AND($H18&lt;&gt;"",$H$14&lt;&gt;"",$H18&lt;&gt;$H$14,IFERROR(VLOOKUP($H18,areaCercaPuntiClassificaSquadra,3,FALSE()),-1)=IFERROR(VLOOKUP($H$14,areaCercaPuntiClassificaSquadra,3,FALSE()),-2)),SUMIFS('Calendario A'!$P$8:$P$110,'Calendario A'!$M$8:$M$110,$H18,'Calendario A'!$T$8:$T$110,$H$14)+SUMIFS('Calendario A'!$W$8:$W$110,'Calendario A'!$T$8:$T$110,$H18,'Calendario A'!$M$8:$M$110,$H$14)+SUMIFS('Calendario A'!$O$8:$O$110,'Calendario A'!$M$8:$M$110,$H18,'Calendario A'!$T$8:$T$110,$H$14)+SUMIFS('Calendario A'!$V$8:$V$110,'Calendario A'!$T$8:$T$110,$H18,'Calendario A'!$M$8:$M$110,$H$14),"-")</f>
        <v>0</v>
      </c>
      <c r="AK18" s="14" t="str">
        <f aca="false">IF(AND($H18&lt;&gt;"",$H$15&lt;&gt;"",$H18&lt;&gt;$H$15,IFERROR(VLOOKUP($H18,areaCercaPuntiClassificaSquadra,3,FALSE()),-1)=IFERROR(VLOOKUP($H$15,areaCercaPuntiClassificaSquadra,3,FALSE()),-2)),SUMIFS('Calendario A'!$P$8:$P$110,'Calendario A'!$M$8:$M$110,$H18,'Calendario A'!$T$8:$T$110,$H$15)+SUMIFS('Calendario A'!$W$8:$W$110,'Calendario A'!$T$8:$T$110,$H18,'Calendario A'!$M$8:$M$110,$H$15)+SUMIFS('Calendario A'!$O$8:$O$110,'Calendario A'!$M$8:$M$110,$H18,'Calendario A'!$T$8:$T$110,$H$15)+SUMIFS('Calendario A'!$V$8:$V$110,'Calendario A'!$T$8:$T$110,$H18,'Calendario A'!$M$8:$M$110,$H$15),"-")</f>
        <v>-</v>
      </c>
      <c r="AL18" s="14" t="str">
        <f aca="false">IF(AND($H18&lt;&gt;"",$H$16&lt;&gt;"",$H18&lt;&gt;$H$16,IFERROR(VLOOKUP($H18,areaCercaPuntiClassificaSquadra,3,FALSE()),-1)=IFERROR(VLOOKUP($H$16,areaCercaPuntiClassificaSquadra,3,FALSE()),-2)),SUMIFS('Calendario A'!$P$8:$P$110,'Calendario A'!$M$8:$M$110,$H18,'Calendario A'!$T$8:$T$110,$H$16)+SUMIFS('Calendario A'!$W$8:$W$110,'Calendario A'!$T$8:$T$110,$H18,'Calendario A'!$M$8:$M$110,$H$16)+SUMIFS('Calendario A'!$O$8:$O$110,'Calendario A'!$M$8:$M$110,$H18,'Calendario A'!$T$8:$T$110,$H$16)+SUMIFS('Calendario A'!$V$8:$V$110,'Calendario A'!$T$8:$T$110,$H18,'Calendario A'!$M$8:$M$110,$H$16),"-")</f>
        <v>-</v>
      </c>
      <c r="AM18" s="14" t="str">
        <f aca="false">IF(AND($H18&lt;&gt;"",$H$17&lt;&gt;"",$H18&lt;&gt;$H$17,IFERROR(VLOOKUP($H18,areaCercaPuntiClassificaSquadra,3,FALSE()),-1)=IFERROR(VLOOKUP($H$17,areaCercaPuntiClassificaSquadra,3,FALSE()),-2)),SUMIFS('Calendario A'!$P$8:$P$110,'Calendario A'!$M$8:$M$110,$H18,'Calendario A'!$T$8:$T$110,$H$17)+SUMIFS('Calendario A'!$W$8:$W$110,'Calendario A'!$T$8:$T$110,$H18,'Calendario A'!$M$8:$M$110,$H$17)+SUMIFS('Calendario A'!$O$8:$O$110,'Calendario A'!$M$8:$M$110,$H18,'Calendario A'!$T$8:$T$110,$H$17)+SUMIFS('Calendario A'!$V$8:$V$110,'Calendario A'!$T$8:$T$110,$H18,'Calendario A'!$M$8:$M$110,$H$17),"-")</f>
        <v>-</v>
      </c>
      <c r="AN18" s="14" t="str">
        <f aca="false">IF(AND($H18&lt;&gt;"",$H$18&lt;&gt;"",$H18&lt;&gt;$H$18,IFERROR(VLOOKUP($H18,areaCercaPuntiClassificaSquadra,3,FALSE()),-1)=IFERROR(VLOOKUP($H$18,areaCercaPuntiClassificaSquadra,3,FALSE()),-2)),SUMIFS('Calendario A'!$P$8:$P$110,'Calendario A'!$M$8:$M$110,$H18,'Calendario A'!$T$8:$T$110,$H$18)+SUMIFS('Calendario A'!$W$8:$W$110,'Calendario A'!$T$8:$T$110,$H18,'Calendario A'!$M$8:$M$110,$H$18)+SUMIFS('Calendario A'!$O$8:$O$110,'Calendario A'!$M$8:$M$110,$H18,'Calendario A'!$T$8:$T$110,$H$18)+SUMIFS('Calendario A'!$V$8:$V$110,'Calendario A'!$T$8:$T$110,$H18,'Calendario A'!$M$8:$M$110,$H$18),"-")</f>
        <v>-</v>
      </c>
      <c r="AO18" s="14" t="str">
        <f aca="false">IF(AND($H18&lt;&gt;"",$H$19&lt;&gt;"",$H18&lt;&gt;$H$19,IFERROR(VLOOKUP($H18,areaCercaPuntiClassificaSquadra,3,FALSE()),-1)=IFERROR(VLOOKUP($H$19,areaCercaPuntiClassificaSquadra,3,FALSE()),-2)),SUMIFS('Calendario A'!$P$8:$P$110,'Calendario A'!$M$8:$M$110,$H18,'Calendario A'!$T$8:$T$110,$H$19)+SUMIFS('Calendario A'!$W$8:$W$110,'Calendario A'!$T$8:$T$110,$H18,'Calendario A'!$M$8:$M$110,$H$19)+SUMIFS('Calendario A'!$O$8:$O$110,'Calendario A'!$M$8:$M$110,$H18,'Calendario A'!$T$8:$T$110,$H$19)+SUMIFS('Calendario A'!$V$8:$V$110,'Calendario A'!$T$8:$T$110,$H18,'Calendario A'!$M$8:$M$110,$H$19),"-")</f>
        <v>-</v>
      </c>
      <c r="AP18" s="13" t="str">
        <f aca="false">$C18</f>
        <v>Gazzelle Gagliarde-Gazzelleopoli GE</v>
      </c>
      <c r="AQ18" s="14" t="str">
        <f aca="false">IF(AND($H18&lt;&gt;"",$H$12&lt;&gt;"",$H18&lt;&gt;$H$12,IFERROR(VLOOKUP($H18,areaCercaPuntiClassificaSquadra,3,FALSE()),-1)=IFERROR(VLOOKUP($H$12,areaCercaPuntiClassificaSquadra,3,FALSE()),-2)),SUMIFS('Calendario A'!$Q$8:$Q$110,'Calendario A'!$M$8:$M$110,$H18,'Calendario A'!$T$8:$T$110,$H$12)+SUMIFS('Calendario A'!$X$8:$X$110,'Calendario A'!$T$8:$T$110,$H18,'Calendario A'!$M$8:$M$110,$H$12),"-")</f>
        <v>-</v>
      </c>
      <c r="AR18" s="14" t="str">
        <f aca="false">IF(AND($H18&lt;&gt;"",$H$13&lt;&gt;"",$H18&lt;&gt;$H$13,IFERROR(VLOOKUP($H18,areaCercaPuntiClassificaSquadra,3,FALSE()),-1)=IFERROR(VLOOKUP($H$13,areaCercaPuntiClassificaSquadra,3,FALSE()),-2)),SUMIFS('Calendario A'!$Q$8:$Q$110,'Calendario A'!$M$8:$M$110,$H18,'Calendario A'!$T$8:$T$110,$H$13)+SUMIFS('Calendario A'!$X$8:$X$110,'Calendario A'!$T$8:$T$110,$H18,'Calendario A'!$M$8:$M$110,$H$13),"-")</f>
        <v>-</v>
      </c>
      <c r="AS18" s="14" t="n">
        <f aca="false">IF(AND($H18&lt;&gt;"",$H$14&lt;&gt;"",$H18&lt;&gt;$H$14,IFERROR(VLOOKUP($H18,areaCercaPuntiClassificaSquadra,3,FALSE()),-1)=IFERROR(VLOOKUP($H$14,areaCercaPuntiClassificaSquadra,3,FALSE()),-2)),SUMIFS('Calendario A'!$Q$8:$Q$110,'Calendario A'!$M$8:$M$110,$H18,'Calendario A'!$T$8:$T$110,$H$14)+SUMIFS('Calendario A'!$X$8:$X$110,'Calendario A'!$T$8:$T$110,$H18,'Calendario A'!$M$8:$M$110,$H$14),"-")</f>
        <v>58</v>
      </c>
      <c r="AT18" s="14" t="str">
        <f aca="false">IF(AND($H18&lt;&gt;"",$H$15&lt;&gt;"",$H18&lt;&gt;$H$15,IFERROR(VLOOKUP($H18,areaCercaPuntiClassificaSquadra,3,FALSE()),-1)=IFERROR(VLOOKUP($H$15,areaCercaPuntiClassificaSquadra,3,FALSE()),-2)),SUMIFS('Calendario A'!$Q$8:$Q$110,'Calendario A'!$M$8:$M$110,$H18,'Calendario A'!$T$8:$T$110,$H$15)+SUMIFS('Calendario A'!$X$8:$X$110,'Calendario A'!$T$8:$T$110,$H18,'Calendario A'!$M$8:$M$110,$H$15),"-")</f>
        <v>-</v>
      </c>
      <c r="AU18" s="14" t="str">
        <f aca="false">IF(AND($H18&lt;&gt;"",$H$16&lt;&gt;"",$H18&lt;&gt;$H$16,IFERROR(VLOOKUP($H18,areaCercaPuntiClassificaSquadra,3,FALSE()),-1)=IFERROR(VLOOKUP($H$16,areaCercaPuntiClassificaSquadra,3,FALSE()),-2)),SUMIFS('Calendario A'!$Q$8:$Q$110,'Calendario A'!$M$8:$M$110,$H18,'Calendario A'!$T$8:$T$110,$H$16)+SUMIFS('Calendario A'!$X$8:$X$110,'Calendario A'!$T$8:$T$110,$H18,'Calendario A'!$M$8:$M$110,$H$16),"-")</f>
        <v>-</v>
      </c>
      <c r="AV18" s="14" t="str">
        <f aca="false">IF(AND($H18&lt;&gt;"",$H$17&lt;&gt;"",$H18&lt;&gt;$H$17,IFERROR(VLOOKUP($H18,areaCercaPuntiClassificaSquadra,3,FALSE()),-1)=IFERROR(VLOOKUP($H$17,areaCercaPuntiClassificaSquadra,3,FALSE()),-2)),SUMIFS('Calendario A'!$Q$8:$Q$110,'Calendario A'!$M$8:$M$110,$H18,'Calendario A'!$T$8:$T$110,$H$17)+SUMIFS('Calendario A'!$X$8:$X$110,'Calendario A'!$T$8:$T$110,$H18,'Calendario A'!$M$8:$M$110,$H$17),"-")</f>
        <v>-</v>
      </c>
      <c r="AW18" s="14" t="str">
        <f aca="false">IF(AND($H18&lt;&gt;"",$H$18&lt;&gt;"",$H18&lt;&gt;$H$18,IFERROR(VLOOKUP($H18,areaCercaPuntiClassificaSquadra,3,FALSE()),-1)=IFERROR(VLOOKUP($H$18,areaCercaPuntiClassificaSquadra,3,FALSE()),-2)),SUMIFS('Calendario A'!$Q$8:$Q$110,'Calendario A'!$M$8:$M$110,$H18,'Calendario A'!$T$8:$T$110,$H$18)+SUMIFS('Calendario A'!$X$8:$X$110,'Calendario A'!$T$8:$T$110,$H18,'Calendario A'!$M$8:$M$110,$H$18),"-")</f>
        <v>-</v>
      </c>
      <c r="AX18" s="14" t="str">
        <f aca="false">IF(AND($H18&lt;&gt;"",$H$19&lt;&gt;"",$H18&lt;&gt;$H$19,IFERROR(VLOOKUP($H18,areaCercaPuntiClassificaSquadra,3,FALSE()),-1)=IFERROR(VLOOKUP($H$19,areaCercaPuntiClassificaSquadra,3,FALSE()),-2)),SUMIFS('Calendario A'!$Q$8:$Q$110,'Calendario A'!$M$8:$M$110,$H18,'Calendario A'!$T$8:$T$110,$H$19)+SUMIFS('Calendario A'!$X$8:$X$110,'Calendario A'!$T$8:$T$110,$H18,'Calendario A'!$M$8:$M$110,$H$19),"-")</f>
        <v>-</v>
      </c>
      <c r="AY18" s="13" t="str">
        <f aca="false">$C18</f>
        <v>Gazzelle Gagliarde-Gazzelleopoli GE</v>
      </c>
      <c r="AZ18" s="14" t="str">
        <f aca="false">IF(AND($H18&lt;&gt;"",$H$12&lt;&gt;"",$H18&lt;&gt;$H$12,IFERROR(VLOOKUP($H18,areaCercaPuntiClassificaSquadra,3,FALSE()),-1)=IFERROR(VLOOKUP($H$12,areaCercaPuntiClassificaSquadra,3,FALSE()),-2)),SUMIFS('Calendario A'!$R$8:$R$110,'Calendario A'!$M$8:$M$110,$H18,'Calendario A'!$T$8:$T$110,$H$12)+SUMIFS('Calendario A'!$Y$8:$Y$110,'Calendario A'!$T$8:$T$110,$H18,'Calendario A'!$M$8:$M$110,$H$12),"-")</f>
        <v>-</v>
      </c>
      <c r="BA18" s="14" t="str">
        <f aca="false">IF(AND($H18&lt;&gt;"",$H$13&lt;&gt;"",$H18&lt;&gt;$H$13,IFERROR(VLOOKUP($H18,areaCercaPuntiClassificaSquadra,3,FALSE()),-1)=IFERROR(VLOOKUP($H$13,areaCercaPuntiClassificaSquadra,3,FALSE()),-2)),SUMIFS('Calendario A'!$R$8:$R$110,'Calendario A'!$M$8:$M$110,$H18,'Calendario A'!$T$8:$T$110,$H$13)+SUMIFS('Calendario A'!$Y$8:$Y$110,'Calendario A'!$T$8:$T$110,$H18,'Calendario A'!$M$8:$M$110,$H$13),"-")</f>
        <v>-</v>
      </c>
      <c r="BB18" s="14" t="n">
        <f aca="false">IF(AND($H18&lt;&gt;"",$H$14&lt;&gt;"",$H18&lt;&gt;$H$14,IFERROR(VLOOKUP($H18,areaCercaPuntiClassificaSquadra,3,FALSE()),-1)=IFERROR(VLOOKUP($H$14,areaCercaPuntiClassificaSquadra,3,FALSE()),-2)),SUMIFS('Calendario A'!$R$8:$R$110,'Calendario A'!$M$8:$M$110,$H18,'Calendario A'!$T$8:$T$110,$H$14)+SUMIFS('Calendario A'!$Y$8:$Y$110,'Calendario A'!$T$8:$T$110,$H18,'Calendario A'!$M$8:$M$110,$H$14),"-")</f>
        <v>50</v>
      </c>
      <c r="BC18" s="14" t="str">
        <f aca="false">IF(AND($H18&lt;&gt;"",$H$15&lt;&gt;"",$H18&lt;&gt;$H$15,IFERROR(VLOOKUP($H18,areaCercaPuntiClassificaSquadra,3,FALSE()),-1)=IFERROR(VLOOKUP($H$15,areaCercaPuntiClassificaSquadra,3,FALSE()),-2)),SUMIFS('Calendario A'!$R$8:$R$110,'Calendario A'!$M$8:$M$110,$H18,'Calendario A'!$T$8:$T$110,$H$15)+SUMIFS('Calendario A'!$Y$8:$Y$110,'Calendario A'!$T$8:$T$110,$H18,'Calendario A'!$M$8:$M$110,$H$15),"-")</f>
        <v>-</v>
      </c>
      <c r="BD18" s="14" t="str">
        <f aca="false">IF(AND($H18&lt;&gt;"",$H$16&lt;&gt;"",$H18&lt;&gt;$H$16,IFERROR(VLOOKUP($H18,areaCercaPuntiClassificaSquadra,3,FALSE()),-1)=IFERROR(VLOOKUP($H$16,areaCercaPuntiClassificaSquadra,3,FALSE()),-2)),SUMIFS('Calendario A'!$R$8:$R$110,'Calendario A'!$M$8:$M$110,$H18,'Calendario A'!$T$8:$T$110,$H$16)+SUMIFS('Calendario A'!$Y$8:$Y$110,'Calendario A'!$T$8:$T$110,$H18,'Calendario A'!$M$8:$M$110,$H$16),"-")</f>
        <v>-</v>
      </c>
      <c r="BE18" s="14" t="str">
        <f aca="false">IF(AND($H18&lt;&gt;"",$H$17&lt;&gt;"",$H18&lt;&gt;$H$17,IFERROR(VLOOKUP($H18,areaCercaPuntiClassificaSquadra,3,FALSE()),-1)=IFERROR(VLOOKUP($H$17,areaCercaPuntiClassificaSquadra,3,FALSE()),-2)),SUMIFS('Calendario A'!$R$8:$R$110,'Calendario A'!$M$8:$M$110,$H18,'Calendario A'!$T$8:$T$110,$H$17)+SUMIFS('Calendario A'!$Y$8:$Y$110,'Calendario A'!$T$8:$T$110,$H18,'Calendario A'!$M$8:$M$110,$H$17),"-")</f>
        <v>-</v>
      </c>
      <c r="BF18" s="14" t="str">
        <f aca="false">IF(AND($H18&lt;&gt;"",$H$18&lt;&gt;"",$H18&lt;&gt;$H$18,IFERROR(VLOOKUP($H18,areaCercaPuntiClassificaSquadra,3,FALSE()),-1)=IFERROR(VLOOKUP($H$18,areaCercaPuntiClassificaSquadra,3,FALSE()),-2)),SUMIFS('Calendario A'!$R$8:$R$110,'Calendario A'!$M$8:$M$110,$H18,'Calendario A'!$T$8:$T$110,$H$18)+SUMIFS('Calendario A'!$Y$8:$Y$110,'Calendario A'!$T$8:$T$110,$H18,'Calendario A'!$M$8:$M$110,$H$18),"-")</f>
        <v>-</v>
      </c>
      <c r="BG18" s="14" t="str">
        <f aca="false">IF(AND($H18&lt;&gt;"",$H$19&lt;&gt;"",$H18&lt;&gt;$H$19,IFERROR(VLOOKUP($H18,areaCercaPuntiClassificaSquadra,3,FALSE()),-1)=IFERROR(VLOOKUP($H$19,areaCercaPuntiClassificaSquadra,3,FALSE()),-2)),SUMIFS('Calendario A'!$R$8:$R$110,'Calendario A'!$M$8:$M$110,$H18,'Calendario A'!$T$8:$T$110,$H$19)+SUMIFS('Calendario A'!$Y$8:$Y$110,'Calendario A'!$T$8:$T$110,$H18,'Calendario A'!$M$8:$M$110,$H$19),"-")</f>
        <v>-</v>
      </c>
    </row>
    <row r="19" customFormat="false" ht="15" hidden="false" customHeight="false" outlineLevel="0" collapsed="false">
      <c r="B19" s="7" t="s">
        <v>62</v>
      </c>
      <c r="C19" s="8" t="s">
        <v>63</v>
      </c>
      <c r="D19" s="9"/>
      <c r="E19" s="10" t="s">
        <v>49</v>
      </c>
      <c r="G19" s="11" t="str">
        <f aca="false">IF($C19="","",$E19&amp;(COUNTIFS(I$12:I$75,"&gt;"&amp;I19,E$12:E$75,"="&amp;E19,C$12:C$75,"&lt;&gt;")+COUNTIFS(I$12:I$75,"="&amp;I19,H$12:H$75,"&lt;="&amp;H19,E$12:E$75,"="&amp;E19,C$12:C$75,"&lt;&gt;")))</f>
        <v>A3</v>
      </c>
      <c r="H19" s="12" t="str">
        <f aca="false">IF($C19="","",IFERROR(LEFT($C19,FIND("-",$C19)-1),$C19))</f>
        <v>Ippopotami Iracondi</v>
      </c>
      <c r="I19" s="7" t="str">
        <f aca="false">TEXT(1000000000+J19,"|0000000000|")&amp;TEXT(SUM(Y19:AF19),"0000000000|")&amp;IF(SUM(AZ19:BG19)=0,"0000000000|",TEXT(ROUND(SUM(AQ19:AX19)/SUM(AZ19:BG19),4)*100000,"0000000000|"))&amp;IF(P19=0,"0000000000|",TEXT(ROUND(O19/P19,4)*100000,"0000000000|"))</f>
        <v>|1000000015|0000000001|0000122220|0000095360|</v>
      </c>
      <c r="J19" s="11" t="n">
        <f aca="false">L19*constPuntiVittoria+M19*constPuntiSconfitta+N19*constPuntiForfait+IF(D19="",0,D19)</f>
        <v>15</v>
      </c>
      <c r="K19" s="7" t="n">
        <f aca="false">SUM(L19:N19)</f>
        <v>7</v>
      </c>
      <c r="L19" s="7" t="n">
        <f aca="false">IF($H19="",0,SUMIF('Calendario A'!$M$8:$M$110,$H19,'Calendario A'!$N$8:$N$110)+SUMIF('Calendario A'!$T$8:$T$110,$H19,'Calendario A'!$U$8:$U$110))</f>
        <v>4</v>
      </c>
      <c r="M19" s="7" t="n">
        <f aca="false">IF($H19="",0,SUMIF('Calendario A'!$M$8:$M$110,$H19,'Calendario A'!$P$8:$P$110)+SUMIF('Calendario A'!$T$8:$T$110,$H19,'Calendario A'!$W$8:$W$110))</f>
        <v>3</v>
      </c>
      <c r="N19" s="7" t="n">
        <f aca="false">IF($H19="",0,SUMIF('Calendario A'!$M$8:$M$110,$H19,'Calendario A'!$O$8:$O$110)+SUMIF('Calendario A'!$T$8:$T$110,$H19,'Calendario A'!$V$8:$V$110))</f>
        <v>0</v>
      </c>
      <c r="O19" s="7" t="n">
        <f aca="false">IF($H19="",0,SUMIF('Calendario A'!$M$8:$M$110,$H19,'Calendario A'!$Q$8:$Q$110)+SUMIF('Calendario A'!$T$8:$T$110,$H19,'Calendario A'!$X$8:$X$110))</f>
        <v>411</v>
      </c>
      <c r="P19" s="7" t="n">
        <f aca="false">IF($H19="",0,SUMIF('Calendario A'!$M$8:$M$110,$H19,'Calendario A'!$R$8:$R$110)+SUMIF('Calendario A'!$T$8:$T$110,$H19,'Calendario A'!$Y$8:$Y$110))</f>
        <v>431</v>
      </c>
      <c r="Q19" s="7" t="n">
        <f aca="false">IF($H19="",0,SUMIF('Calendario A'!$M$8:$M$110,$H19,'Calendario A'!$S$8:$S$110)+SUMIF('Calendario A'!$T$8:$T$110,$H19,'Calendario A'!$Z$8:$Z$110))</f>
        <v>-20</v>
      </c>
      <c r="R19" s="7" t="n">
        <f aca="false">IF(K19=0,0,ROUND(O19/K19,2))</f>
        <v>58.71</v>
      </c>
      <c r="S19" s="7" t="n">
        <f aca="false">IF(K19=0,0,ROUND(P19/K19,2))</f>
        <v>61.57</v>
      </c>
      <c r="T19" s="7" t="n">
        <f aca="false">IF(K19=0,0,ROUND(Q19/K19,2))</f>
        <v>-2.86</v>
      </c>
      <c r="U19" s="7" t="str">
        <f aca="false">IF(COUNT(Y19:AF19)=0,"-",SUM(Y19:AF19)&amp;"-"&amp;SUM(AH19:AO19))</f>
        <v>1-0</v>
      </c>
      <c r="V19" s="7" t="str">
        <f aca="false">IF(COUNT(Y19:AF19)=0,"-",IF(SUM(AZ19:BG19)=0,TEXT(0,"0.0000"),TEXT(ROUND(SUM(AQ19:AX19)/SUM(AZ19:BG19),4),"0.0000")))</f>
        <v>1.2222</v>
      </c>
      <c r="W19" s="7" t="str">
        <f aca="false">IF(H19="","-",IF(P19=0,TEXT(0,"0.0000"),TEXT(ROUND(O19/P19,4),"0.0000")))</f>
        <v>0.9536</v>
      </c>
      <c r="X19" s="13" t="str">
        <f aca="false">$C19</f>
        <v>Ippopotami Iracondi-Ippopotamiopoli II</v>
      </c>
      <c r="Y19" s="14" t="str">
        <f aca="false">IF(AND($H19&lt;&gt;"",$H$12&lt;&gt;"",$H19&lt;&gt;$H$12,IFERROR(VLOOKUP($H19,areaCercaPuntiClassificaSquadra,3,FALSE()),-1)=IFERROR(VLOOKUP($H$12,areaCercaPuntiClassificaSquadra,3,FALSE()),-2)),SUMIFS('Calendario A'!$N$8:$N$110,'Calendario A'!$M$8:$M$110,$H19,'Calendario A'!$T$8:$T$110,$H$12)+SUMIFS('Calendario A'!$U$8:$U$110,'Calendario A'!$T$8:$T$110,$H19,'Calendario A'!$M$8:$M$110,$H$12),"-")</f>
        <v>-</v>
      </c>
      <c r="Z19" s="14" t="str">
        <f aca="false">IF(AND($H19&lt;&gt;"",$H$13&lt;&gt;"",$H19&lt;&gt;$H$13,IFERROR(VLOOKUP($H19,areaCercaPuntiClassificaSquadra,3,FALSE()),-1)=IFERROR(VLOOKUP($H$13,areaCercaPuntiClassificaSquadra,3,FALSE()),-2)),SUMIFS('Calendario A'!$N$8:$N$110,'Calendario A'!$M$8:$M$110,$H19,'Calendario A'!$T$8:$T$110,$H$13)+SUMIFS('Calendario A'!$U$8:$U$110,'Calendario A'!$T$8:$T$110,$H19,'Calendario A'!$M$8:$M$110,$H$13),"-")</f>
        <v>-</v>
      </c>
      <c r="AA19" s="14" t="str">
        <f aca="false">IF(AND($H19&lt;&gt;"",$H$14&lt;&gt;"",$H19&lt;&gt;$H$14,IFERROR(VLOOKUP($H19,areaCercaPuntiClassificaSquadra,3,FALSE()),-1)=IFERROR(VLOOKUP($H$14,areaCercaPuntiClassificaSquadra,3,FALSE()),-2)),SUMIFS('Calendario A'!$N$8:$N$110,'Calendario A'!$M$8:$M$110,$H19,'Calendario A'!$T$8:$T$110,$H$14)+SUMIFS('Calendario A'!$U$8:$U$110,'Calendario A'!$T$8:$T$110,$H19,'Calendario A'!$M$8:$M$110,$H$14),"-")</f>
        <v>-</v>
      </c>
      <c r="AB19" s="14" t="str">
        <f aca="false">IF(AND($H19&lt;&gt;"",$H$15&lt;&gt;"",$H19&lt;&gt;$H$15,IFERROR(VLOOKUP($H19,areaCercaPuntiClassificaSquadra,3,FALSE()),-1)=IFERROR(VLOOKUP($H$15,areaCercaPuntiClassificaSquadra,3,FALSE()),-2)),SUMIFS('Calendario A'!$N$8:$N$110,'Calendario A'!$M$8:$M$110,$H19,'Calendario A'!$T$8:$T$110,$H$15)+SUMIFS('Calendario A'!$U$8:$U$110,'Calendario A'!$T$8:$T$110,$H19,'Calendario A'!$M$8:$M$110,$H$15),"-")</f>
        <v>-</v>
      </c>
      <c r="AC19" s="14" t="n">
        <f aca="false">IF(AND($H19&lt;&gt;"",$H$16&lt;&gt;"",$H19&lt;&gt;$H$16,IFERROR(VLOOKUP($H19,areaCercaPuntiClassificaSquadra,3,FALSE()),-1)=IFERROR(VLOOKUP($H$16,areaCercaPuntiClassificaSquadra,3,FALSE()),-2)),SUMIFS('Calendario A'!$N$8:$N$110,'Calendario A'!$M$8:$M$110,$H19,'Calendario A'!$T$8:$T$110,$H$16)+SUMIFS('Calendario A'!$U$8:$U$110,'Calendario A'!$T$8:$T$110,$H19,'Calendario A'!$M$8:$M$110,$H$16),"-")</f>
        <v>1</v>
      </c>
      <c r="AD19" s="14" t="str">
        <f aca="false">IF(AND($H19&lt;&gt;"",$H$17&lt;&gt;"",$H19&lt;&gt;$H$17,IFERROR(VLOOKUP($H19,areaCercaPuntiClassificaSquadra,3,FALSE()),-1)=IFERROR(VLOOKUP($H$17,areaCercaPuntiClassificaSquadra,3,FALSE()),-2)),SUMIFS('Calendario A'!$N$8:$N$110,'Calendario A'!$M$8:$M$110,$H19,'Calendario A'!$T$8:$T$110,$H$17)+SUMIFS('Calendario A'!$U$8:$U$110,'Calendario A'!$T$8:$T$110,$H19,'Calendario A'!$M$8:$M$110,$H$17),"-")</f>
        <v>-</v>
      </c>
      <c r="AE19" s="14" t="str">
        <f aca="false">IF(AND($H19&lt;&gt;"",$H$18&lt;&gt;"",$H19&lt;&gt;$H$18,IFERROR(VLOOKUP($H19,areaCercaPuntiClassificaSquadra,3,FALSE()),-1)=IFERROR(VLOOKUP($H$18,areaCercaPuntiClassificaSquadra,3,FALSE()),-2)),SUMIFS('Calendario A'!$N$8:$N$110,'Calendario A'!$M$8:$M$110,$H19,'Calendario A'!$T$8:$T$110,$H$18)+SUMIFS('Calendario A'!$U$8:$U$110,'Calendario A'!$T$8:$T$110,$H19,'Calendario A'!$M$8:$M$110,$H$18),"-")</f>
        <v>-</v>
      </c>
      <c r="AF19" s="14" t="str">
        <f aca="false">IF(AND($H19&lt;&gt;"",$H$19&lt;&gt;"",$H19&lt;&gt;$H$19,IFERROR(VLOOKUP($H19,areaCercaPuntiClassificaSquadra,3,FALSE()),-1)=IFERROR(VLOOKUP($H$19,areaCercaPuntiClassificaSquadra,3,FALSE()),-2)),SUMIFS('Calendario A'!$N$8:$N$110,'Calendario A'!$M$8:$M$110,$H19,'Calendario A'!$T$8:$T$110,$H$19)+SUMIFS('Calendario A'!$U$8:$U$110,'Calendario A'!$T$8:$T$110,$H19,'Calendario A'!$M$8:$M$110,$H$19),"-")</f>
        <v>-</v>
      </c>
      <c r="AG19" s="13" t="str">
        <f aca="false">$C19</f>
        <v>Ippopotami Iracondi-Ippopotamiopoli II</v>
      </c>
      <c r="AH19" s="14" t="str">
        <f aca="false">IF(AND($H19&lt;&gt;"",$H$12&lt;&gt;"",$H19&lt;&gt;$H$12,IFERROR(VLOOKUP($H19,areaCercaPuntiClassificaSquadra,3,FALSE()),-1)=IFERROR(VLOOKUP($H$12,areaCercaPuntiClassificaSquadra,3,FALSE()),-2)),SUMIFS('Calendario A'!$P$8:$P$110,'Calendario A'!$M$8:$M$110,$H19,'Calendario A'!$T$8:$T$110,$H$12)+SUMIFS('Calendario A'!$W$8:$W$110,'Calendario A'!$T$8:$T$110,$H19,'Calendario A'!$M$8:$M$110,$H$12)+SUMIFS('Calendario A'!$O$8:$O$110,'Calendario A'!$M$8:$M$110,$H19,'Calendario A'!$T$8:$T$110,$H$12)+SUMIFS('Calendario A'!$V$8:$V$110,'Calendario A'!$T$8:$T$110,$H19,'Calendario A'!$M$8:$M$110,$H$12),"-")</f>
        <v>-</v>
      </c>
      <c r="AI19" s="14" t="str">
        <f aca="false">IF(AND($H19&lt;&gt;"",$H$13&lt;&gt;"",$H19&lt;&gt;$H$13,IFERROR(VLOOKUP($H19,areaCercaPuntiClassificaSquadra,3,FALSE()),-1)=IFERROR(VLOOKUP($H$13,areaCercaPuntiClassificaSquadra,3,FALSE()),-2)),SUMIFS('Calendario A'!$P$8:$P$110,'Calendario A'!$M$8:$M$110,$H19,'Calendario A'!$T$8:$T$110,$H$13)+SUMIFS('Calendario A'!$W$8:$W$110,'Calendario A'!$T$8:$T$110,$H19,'Calendario A'!$M$8:$M$110,$H$13)+SUMIFS('Calendario A'!$O$8:$O$110,'Calendario A'!$M$8:$M$110,$H19,'Calendario A'!$T$8:$T$110,$H$13)+SUMIFS('Calendario A'!$V$8:$V$110,'Calendario A'!$T$8:$T$110,$H19,'Calendario A'!$M$8:$M$110,$H$13),"-")</f>
        <v>-</v>
      </c>
      <c r="AJ19" s="14" t="str">
        <f aca="false">IF(AND($H19&lt;&gt;"",$H$14&lt;&gt;"",$H19&lt;&gt;$H$14,IFERROR(VLOOKUP($H19,areaCercaPuntiClassificaSquadra,3,FALSE()),-1)=IFERROR(VLOOKUP($H$14,areaCercaPuntiClassificaSquadra,3,FALSE()),-2)),SUMIFS('Calendario A'!$P$8:$P$110,'Calendario A'!$M$8:$M$110,$H19,'Calendario A'!$T$8:$T$110,$H$14)+SUMIFS('Calendario A'!$W$8:$W$110,'Calendario A'!$T$8:$T$110,$H19,'Calendario A'!$M$8:$M$110,$H$14)+SUMIFS('Calendario A'!$O$8:$O$110,'Calendario A'!$M$8:$M$110,$H19,'Calendario A'!$T$8:$T$110,$H$14)+SUMIFS('Calendario A'!$V$8:$V$110,'Calendario A'!$T$8:$T$110,$H19,'Calendario A'!$M$8:$M$110,$H$14),"-")</f>
        <v>-</v>
      </c>
      <c r="AK19" s="14" t="str">
        <f aca="false">IF(AND($H19&lt;&gt;"",$H$15&lt;&gt;"",$H19&lt;&gt;$H$15,IFERROR(VLOOKUP($H19,areaCercaPuntiClassificaSquadra,3,FALSE()),-1)=IFERROR(VLOOKUP($H$15,areaCercaPuntiClassificaSquadra,3,FALSE()),-2)),SUMIFS('Calendario A'!$P$8:$P$110,'Calendario A'!$M$8:$M$110,$H19,'Calendario A'!$T$8:$T$110,$H$15)+SUMIFS('Calendario A'!$W$8:$W$110,'Calendario A'!$T$8:$T$110,$H19,'Calendario A'!$M$8:$M$110,$H$15)+SUMIFS('Calendario A'!$O$8:$O$110,'Calendario A'!$M$8:$M$110,$H19,'Calendario A'!$T$8:$T$110,$H$15)+SUMIFS('Calendario A'!$V$8:$V$110,'Calendario A'!$T$8:$T$110,$H19,'Calendario A'!$M$8:$M$110,$H$15),"-")</f>
        <v>-</v>
      </c>
      <c r="AL19" s="14" t="n">
        <f aca="false">IF(AND($H19&lt;&gt;"",$H$16&lt;&gt;"",$H19&lt;&gt;$H$16,IFERROR(VLOOKUP($H19,areaCercaPuntiClassificaSquadra,3,FALSE()),-1)=IFERROR(VLOOKUP($H$16,areaCercaPuntiClassificaSquadra,3,FALSE()),-2)),SUMIFS('Calendario A'!$P$8:$P$110,'Calendario A'!$M$8:$M$110,$H19,'Calendario A'!$T$8:$T$110,$H$16)+SUMIFS('Calendario A'!$W$8:$W$110,'Calendario A'!$T$8:$T$110,$H19,'Calendario A'!$M$8:$M$110,$H$16)+SUMIFS('Calendario A'!$O$8:$O$110,'Calendario A'!$M$8:$M$110,$H19,'Calendario A'!$T$8:$T$110,$H$16)+SUMIFS('Calendario A'!$V$8:$V$110,'Calendario A'!$T$8:$T$110,$H19,'Calendario A'!$M$8:$M$110,$H$16),"-")</f>
        <v>0</v>
      </c>
      <c r="AM19" s="14" t="str">
        <f aca="false">IF(AND($H19&lt;&gt;"",$H$17&lt;&gt;"",$H19&lt;&gt;$H$17,IFERROR(VLOOKUP($H19,areaCercaPuntiClassificaSquadra,3,FALSE()),-1)=IFERROR(VLOOKUP($H$17,areaCercaPuntiClassificaSquadra,3,FALSE()),-2)),SUMIFS('Calendario A'!$P$8:$P$110,'Calendario A'!$M$8:$M$110,$H19,'Calendario A'!$T$8:$T$110,$H$17)+SUMIFS('Calendario A'!$W$8:$W$110,'Calendario A'!$T$8:$T$110,$H19,'Calendario A'!$M$8:$M$110,$H$17)+SUMIFS('Calendario A'!$O$8:$O$110,'Calendario A'!$M$8:$M$110,$H19,'Calendario A'!$T$8:$T$110,$H$17)+SUMIFS('Calendario A'!$V$8:$V$110,'Calendario A'!$T$8:$T$110,$H19,'Calendario A'!$M$8:$M$110,$H$17),"-")</f>
        <v>-</v>
      </c>
      <c r="AN19" s="14" t="str">
        <f aca="false">IF(AND($H19&lt;&gt;"",$H$18&lt;&gt;"",$H19&lt;&gt;$H$18,IFERROR(VLOOKUP($H19,areaCercaPuntiClassificaSquadra,3,FALSE()),-1)=IFERROR(VLOOKUP($H$18,areaCercaPuntiClassificaSquadra,3,FALSE()),-2)),SUMIFS('Calendario A'!$P$8:$P$110,'Calendario A'!$M$8:$M$110,$H19,'Calendario A'!$T$8:$T$110,$H$18)+SUMIFS('Calendario A'!$W$8:$W$110,'Calendario A'!$T$8:$T$110,$H19,'Calendario A'!$M$8:$M$110,$H$18)+SUMIFS('Calendario A'!$O$8:$O$110,'Calendario A'!$M$8:$M$110,$H19,'Calendario A'!$T$8:$T$110,$H$18)+SUMIFS('Calendario A'!$V$8:$V$110,'Calendario A'!$T$8:$T$110,$H19,'Calendario A'!$M$8:$M$110,$H$18),"-")</f>
        <v>-</v>
      </c>
      <c r="AO19" s="14" t="str">
        <f aca="false">IF(AND($H19&lt;&gt;"",$H$19&lt;&gt;"",$H19&lt;&gt;$H$19,IFERROR(VLOOKUP($H19,areaCercaPuntiClassificaSquadra,3,FALSE()),-1)=IFERROR(VLOOKUP($H$19,areaCercaPuntiClassificaSquadra,3,FALSE()),-2)),SUMIFS('Calendario A'!$P$8:$P$110,'Calendario A'!$M$8:$M$110,$H19,'Calendario A'!$T$8:$T$110,$H$19)+SUMIFS('Calendario A'!$W$8:$W$110,'Calendario A'!$T$8:$T$110,$H19,'Calendario A'!$M$8:$M$110,$H$19)+SUMIFS('Calendario A'!$O$8:$O$110,'Calendario A'!$M$8:$M$110,$H19,'Calendario A'!$T$8:$T$110,$H$19)+SUMIFS('Calendario A'!$V$8:$V$110,'Calendario A'!$T$8:$T$110,$H19,'Calendario A'!$M$8:$M$110,$H$19),"-")</f>
        <v>-</v>
      </c>
      <c r="AP19" s="13" t="str">
        <f aca="false">$C19</f>
        <v>Ippopotami Iracondi-Ippopotamiopoli II</v>
      </c>
      <c r="AQ19" s="14" t="str">
        <f aca="false">IF(AND($H19&lt;&gt;"",$H$12&lt;&gt;"",$H19&lt;&gt;$H$12,IFERROR(VLOOKUP($H19,areaCercaPuntiClassificaSquadra,3,FALSE()),-1)=IFERROR(VLOOKUP($H$12,areaCercaPuntiClassificaSquadra,3,FALSE()),-2)),SUMIFS('Calendario A'!$Q$8:$Q$110,'Calendario A'!$M$8:$M$110,$H19,'Calendario A'!$T$8:$T$110,$H$12)+SUMIFS('Calendario A'!$X$8:$X$110,'Calendario A'!$T$8:$T$110,$H19,'Calendario A'!$M$8:$M$110,$H$12),"-")</f>
        <v>-</v>
      </c>
      <c r="AR19" s="14" t="str">
        <f aca="false">IF(AND($H19&lt;&gt;"",$H$13&lt;&gt;"",$H19&lt;&gt;$H$13,IFERROR(VLOOKUP($H19,areaCercaPuntiClassificaSquadra,3,FALSE()),-1)=IFERROR(VLOOKUP($H$13,areaCercaPuntiClassificaSquadra,3,FALSE()),-2)),SUMIFS('Calendario A'!$Q$8:$Q$110,'Calendario A'!$M$8:$M$110,$H19,'Calendario A'!$T$8:$T$110,$H$13)+SUMIFS('Calendario A'!$X$8:$X$110,'Calendario A'!$T$8:$T$110,$H19,'Calendario A'!$M$8:$M$110,$H$13),"-")</f>
        <v>-</v>
      </c>
      <c r="AS19" s="14" t="str">
        <f aca="false">IF(AND($H19&lt;&gt;"",$H$14&lt;&gt;"",$H19&lt;&gt;$H$14,IFERROR(VLOOKUP($H19,areaCercaPuntiClassificaSquadra,3,FALSE()),-1)=IFERROR(VLOOKUP($H$14,areaCercaPuntiClassificaSquadra,3,FALSE()),-2)),SUMIFS('Calendario A'!$Q$8:$Q$110,'Calendario A'!$M$8:$M$110,$H19,'Calendario A'!$T$8:$T$110,$H$14)+SUMIFS('Calendario A'!$X$8:$X$110,'Calendario A'!$T$8:$T$110,$H19,'Calendario A'!$M$8:$M$110,$H$14),"-")</f>
        <v>-</v>
      </c>
      <c r="AT19" s="14" t="str">
        <f aca="false">IF(AND($H19&lt;&gt;"",$H$15&lt;&gt;"",$H19&lt;&gt;$H$15,IFERROR(VLOOKUP($H19,areaCercaPuntiClassificaSquadra,3,FALSE()),-1)=IFERROR(VLOOKUP($H$15,areaCercaPuntiClassificaSquadra,3,FALSE()),-2)),SUMIFS('Calendario A'!$Q$8:$Q$110,'Calendario A'!$M$8:$M$110,$H19,'Calendario A'!$T$8:$T$110,$H$15)+SUMIFS('Calendario A'!$X$8:$X$110,'Calendario A'!$T$8:$T$110,$H19,'Calendario A'!$M$8:$M$110,$H$15),"-")</f>
        <v>-</v>
      </c>
      <c r="AU19" s="14" t="n">
        <f aca="false">IF(AND($H19&lt;&gt;"",$H$16&lt;&gt;"",$H19&lt;&gt;$H$16,IFERROR(VLOOKUP($H19,areaCercaPuntiClassificaSquadra,3,FALSE()),-1)=IFERROR(VLOOKUP($H$16,areaCercaPuntiClassificaSquadra,3,FALSE()),-2)),SUMIFS('Calendario A'!$Q$8:$Q$110,'Calendario A'!$M$8:$M$110,$H19,'Calendario A'!$T$8:$T$110,$H$16)+SUMIFS('Calendario A'!$X$8:$X$110,'Calendario A'!$T$8:$T$110,$H19,'Calendario A'!$M$8:$M$110,$H$16),"-")</f>
        <v>55</v>
      </c>
      <c r="AV19" s="14" t="str">
        <f aca="false">IF(AND($H19&lt;&gt;"",$H$17&lt;&gt;"",$H19&lt;&gt;$H$17,IFERROR(VLOOKUP($H19,areaCercaPuntiClassificaSquadra,3,FALSE()),-1)=IFERROR(VLOOKUP($H$17,areaCercaPuntiClassificaSquadra,3,FALSE()),-2)),SUMIFS('Calendario A'!$Q$8:$Q$110,'Calendario A'!$M$8:$M$110,$H19,'Calendario A'!$T$8:$T$110,$H$17)+SUMIFS('Calendario A'!$X$8:$X$110,'Calendario A'!$T$8:$T$110,$H19,'Calendario A'!$M$8:$M$110,$H$17),"-")</f>
        <v>-</v>
      </c>
      <c r="AW19" s="14" t="str">
        <f aca="false">IF(AND($H19&lt;&gt;"",$H$18&lt;&gt;"",$H19&lt;&gt;$H$18,IFERROR(VLOOKUP($H19,areaCercaPuntiClassificaSquadra,3,FALSE()),-1)=IFERROR(VLOOKUP($H$18,areaCercaPuntiClassificaSquadra,3,FALSE()),-2)),SUMIFS('Calendario A'!$Q$8:$Q$110,'Calendario A'!$M$8:$M$110,$H19,'Calendario A'!$T$8:$T$110,$H$18)+SUMIFS('Calendario A'!$X$8:$X$110,'Calendario A'!$T$8:$T$110,$H19,'Calendario A'!$M$8:$M$110,$H$18),"-")</f>
        <v>-</v>
      </c>
      <c r="AX19" s="14" t="str">
        <f aca="false">IF(AND($H19&lt;&gt;"",$H$19&lt;&gt;"",$H19&lt;&gt;$H$19,IFERROR(VLOOKUP($H19,areaCercaPuntiClassificaSquadra,3,FALSE()),-1)=IFERROR(VLOOKUP($H$19,areaCercaPuntiClassificaSquadra,3,FALSE()),-2)),SUMIFS('Calendario A'!$Q$8:$Q$110,'Calendario A'!$M$8:$M$110,$H19,'Calendario A'!$T$8:$T$110,$H$19)+SUMIFS('Calendario A'!$X$8:$X$110,'Calendario A'!$T$8:$T$110,$H19,'Calendario A'!$M$8:$M$110,$H$19),"-")</f>
        <v>-</v>
      </c>
      <c r="AY19" s="13" t="str">
        <f aca="false">$C19</f>
        <v>Ippopotami Iracondi-Ippopotamiopoli II</v>
      </c>
      <c r="AZ19" s="14" t="str">
        <f aca="false">IF(AND($H19&lt;&gt;"",$H$12&lt;&gt;"",$H19&lt;&gt;$H$12,IFERROR(VLOOKUP($H19,areaCercaPuntiClassificaSquadra,3,FALSE()),-1)=IFERROR(VLOOKUP($H$12,areaCercaPuntiClassificaSquadra,3,FALSE()),-2)),SUMIFS('Calendario A'!$R$8:$R$110,'Calendario A'!$M$8:$M$110,$H19,'Calendario A'!$T$8:$T$110,$H$12)+SUMIFS('Calendario A'!$Y$8:$Y$110,'Calendario A'!$T$8:$T$110,$H19,'Calendario A'!$M$8:$M$110,$H$12),"-")</f>
        <v>-</v>
      </c>
      <c r="BA19" s="14" t="str">
        <f aca="false">IF(AND($H19&lt;&gt;"",$H$13&lt;&gt;"",$H19&lt;&gt;$H$13,IFERROR(VLOOKUP($H19,areaCercaPuntiClassificaSquadra,3,FALSE()),-1)=IFERROR(VLOOKUP($H$13,areaCercaPuntiClassificaSquadra,3,FALSE()),-2)),SUMIFS('Calendario A'!$R$8:$R$110,'Calendario A'!$M$8:$M$110,$H19,'Calendario A'!$T$8:$T$110,$H$13)+SUMIFS('Calendario A'!$Y$8:$Y$110,'Calendario A'!$T$8:$T$110,$H19,'Calendario A'!$M$8:$M$110,$H$13),"-")</f>
        <v>-</v>
      </c>
      <c r="BB19" s="14" t="str">
        <f aca="false">IF(AND($H19&lt;&gt;"",$H$14&lt;&gt;"",$H19&lt;&gt;$H$14,IFERROR(VLOOKUP($H19,areaCercaPuntiClassificaSquadra,3,FALSE()),-1)=IFERROR(VLOOKUP($H$14,areaCercaPuntiClassificaSquadra,3,FALSE()),-2)),SUMIFS('Calendario A'!$R$8:$R$110,'Calendario A'!$M$8:$M$110,$H19,'Calendario A'!$T$8:$T$110,$H$14)+SUMIFS('Calendario A'!$Y$8:$Y$110,'Calendario A'!$T$8:$T$110,$H19,'Calendario A'!$M$8:$M$110,$H$14),"-")</f>
        <v>-</v>
      </c>
      <c r="BC19" s="14" t="str">
        <f aca="false">IF(AND($H19&lt;&gt;"",$H$15&lt;&gt;"",$H19&lt;&gt;$H$15,IFERROR(VLOOKUP($H19,areaCercaPuntiClassificaSquadra,3,FALSE()),-1)=IFERROR(VLOOKUP($H$15,areaCercaPuntiClassificaSquadra,3,FALSE()),-2)),SUMIFS('Calendario A'!$R$8:$R$110,'Calendario A'!$M$8:$M$110,$H19,'Calendario A'!$T$8:$T$110,$H$15)+SUMIFS('Calendario A'!$Y$8:$Y$110,'Calendario A'!$T$8:$T$110,$H19,'Calendario A'!$M$8:$M$110,$H$15),"-")</f>
        <v>-</v>
      </c>
      <c r="BD19" s="14" t="n">
        <f aca="false">IF(AND($H19&lt;&gt;"",$H$16&lt;&gt;"",$H19&lt;&gt;$H$16,IFERROR(VLOOKUP($H19,areaCercaPuntiClassificaSquadra,3,FALSE()),-1)=IFERROR(VLOOKUP($H$16,areaCercaPuntiClassificaSquadra,3,FALSE()),-2)),SUMIFS('Calendario A'!$R$8:$R$110,'Calendario A'!$M$8:$M$110,$H19,'Calendario A'!$T$8:$T$110,$H$16)+SUMIFS('Calendario A'!$Y$8:$Y$110,'Calendario A'!$T$8:$T$110,$H19,'Calendario A'!$M$8:$M$110,$H$16),"-")</f>
        <v>45</v>
      </c>
      <c r="BE19" s="14" t="str">
        <f aca="false">IF(AND($H19&lt;&gt;"",$H$17&lt;&gt;"",$H19&lt;&gt;$H$17,IFERROR(VLOOKUP($H19,areaCercaPuntiClassificaSquadra,3,FALSE()),-1)=IFERROR(VLOOKUP($H$17,areaCercaPuntiClassificaSquadra,3,FALSE()),-2)),SUMIFS('Calendario A'!$R$8:$R$110,'Calendario A'!$M$8:$M$110,$H19,'Calendario A'!$T$8:$T$110,$H$17)+SUMIFS('Calendario A'!$Y$8:$Y$110,'Calendario A'!$T$8:$T$110,$H19,'Calendario A'!$M$8:$M$110,$H$17),"-")</f>
        <v>-</v>
      </c>
      <c r="BF19" s="14" t="str">
        <f aca="false">IF(AND($H19&lt;&gt;"",$H$18&lt;&gt;"",$H19&lt;&gt;$H$18,IFERROR(VLOOKUP($H19,areaCercaPuntiClassificaSquadra,3,FALSE()),-1)=IFERROR(VLOOKUP($H$18,areaCercaPuntiClassificaSquadra,3,FALSE()),-2)),SUMIFS('Calendario A'!$R$8:$R$110,'Calendario A'!$M$8:$M$110,$H19,'Calendario A'!$T$8:$T$110,$H$18)+SUMIFS('Calendario A'!$Y$8:$Y$110,'Calendario A'!$T$8:$T$110,$H19,'Calendario A'!$M$8:$M$110,$H$18),"-")</f>
        <v>-</v>
      </c>
      <c r="BG19" s="14" t="str">
        <f aca="false">IF(AND($H19&lt;&gt;"",$H$19&lt;&gt;"",$H19&lt;&gt;$H$19,IFERROR(VLOOKUP($H19,areaCercaPuntiClassificaSquadra,3,FALSE()),-1)=IFERROR(VLOOKUP($H$19,areaCercaPuntiClassificaSquadra,3,FALSE()),-2)),SUMIFS('Calendario A'!$R$8:$R$110,'Calendario A'!$M$8:$M$110,$H19,'Calendario A'!$T$8:$T$110,$H$19)+SUMIFS('Calendario A'!$Y$8:$Y$110,'Calendario A'!$T$8:$T$110,$H19,'Calendario A'!$M$8:$M$110,$H$19),"-")</f>
        <v>-</v>
      </c>
    </row>
    <row r="20" customFormat="false" ht="15" hidden="false" customHeight="false" outlineLevel="0" collapsed="false">
      <c r="B20" s="7" t="s">
        <v>64</v>
      </c>
      <c r="C20" s="8" t="s">
        <v>65</v>
      </c>
      <c r="D20" s="9"/>
      <c r="E20" s="15" t="s">
        <v>66</v>
      </c>
      <c r="G20" s="16" t="str">
        <f aca="false">IF($C20="","",$E20&amp;(COUNTIFS(I$12:I$75,"&gt;"&amp;I20,E$12:E$75,"="&amp;E20,C$12:C$75,"&lt;&gt;")+COUNTIFS(I$12:I$75,"="&amp;I20,H$12:H$75,"&lt;="&amp;H20,E$12:E$75,"="&amp;E20,C$12:C$75,"&lt;&gt;")))</f>
        <v>B2</v>
      </c>
      <c r="H20" s="12" t="str">
        <f aca="false">IF($C20="","",IFERROR(LEFT($C20,FIND("-",$C20)-1),$C20))</f>
        <v>Lupi Lucenti</v>
      </c>
      <c r="I20" s="7" t="str">
        <f aca="false">TEXT(1000000000+J20,"|0000000000|")&amp;TEXT(SUM(Y20:AF20),"0000000000|")&amp;IF(SUM(AZ20:BG20)=0,"0000000000|",TEXT(ROUND(SUM(AQ20:AX20)/SUM(AZ20:BG20),4)*100000,"0000000000|"))&amp;IF(P20=0,"0000000000|",TEXT(ROUND(O20/P20,4)*100000,"0000000000|"))</f>
        <v>|1000000017|0000000001|0000120830|0000124680|</v>
      </c>
      <c r="J20" s="16" t="n">
        <f aca="false">L20*constPuntiVittoria+M20*constPuntiSconfitta+N20*constPuntiForfait+IF(D20="",0,D20)</f>
        <v>17</v>
      </c>
      <c r="K20" s="7" t="n">
        <f aca="false">SUM(L20:N20)</f>
        <v>7</v>
      </c>
      <c r="L20" s="7" t="n">
        <f aca="false">IF($H20="",0,SUMIF('Calendario B'!$M$8:$M$110,$H20,'Calendario B'!$N$8:$N$110)+SUMIF('Calendario B'!$T$8:$T$110,$H20,'Calendario B'!$U$8:$U$110))</f>
        <v>5</v>
      </c>
      <c r="M20" s="7" t="n">
        <f aca="false">IF($H20="",0,SUMIF('Calendario B'!$M$8:$M$110,$H20,'Calendario B'!$P$8:$P$110)+SUMIF('Calendario B'!$T$8:$T$110,$H20,'Calendario B'!$W$8:$W$110))</f>
        <v>2</v>
      </c>
      <c r="N20" s="7" t="n">
        <f aca="false">IF($H20="",0,SUMIF('Calendario B'!$M$8:$M$110,$H20,'Calendario B'!$O$8:$O$110)+SUMIF('Calendario B'!$T$8:$T$110,$H20,'Calendario B'!$V$8:$V$110))</f>
        <v>0</v>
      </c>
      <c r="O20" s="7" t="n">
        <f aca="false">IF($H20="",0,SUMIF('Calendario B'!$M$8:$M$110,$H20,'Calendario B'!$Q$8:$Q$110)+SUMIF('Calendario B'!$T$8:$T$110,$H20,'Calendario B'!$X$8:$X$110))</f>
        <v>485</v>
      </c>
      <c r="P20" s="7" t="n">
        <f aca="false">IF($H20="",0,SUMIF('Calendario B'!$M$8:$M$110,$H20,'Calendario B'!$R$8:$R$110)+SUMIF('Calendario B'!$T$8:$T$110,$H20,'Calendario B'!$Y$8:$Y$110))</f>
        <v>389</v>
      </c>
      <c r="Q20" s="7" t="n">
        <f aca="false">IF($H20="",0,SUMIF('Calendario B'!$M$8:$M$110,$H20,'Calendario B'!$S$8:$S$110)+SUMIF('Calendario B'!$T$8:$T$110,$H20,'Calendario B'!$Z$8:$Z$110))</f>
        <v>96</v>
      </c>
      <c r="R20" s="7" t="n">
        <f aca="false">IF(K20=0,0,ROUND(O20/K20,2))</f>
        <v>69.29</v>
      </c>
      <c r="S20" s="7" t="n">
        <f aca="false">IF(K20=0,0,ROUND(P20/K20,2))</f>
        <v>55.57</v>
      </c>
      <c r="T20" s="7" t="n">
        <f aca="false">IF(K20=0,0,ROUND(Q20/K20,2))</f>
        <v>13.71</v>
      </c>
      <c r="U20" s="7" t="str">
        <f aca="false">IF(COUNT(Y20:AF20)=0,"-",SUM(Y20:AF20)&amp;"-"&amp;SUM(AH20:AO20))</f>
        <v>1-0</v>
      </c>
      <c r="V20" s="7" t="str">
        <f aca="false">IF(COUNT(Y20:AF20)=0,"-",IF(SUM(AZ20:BG20)=0,TEXT(0,"0.0000"),TEXT(ROUND(SUM(AQ20:AX20)/SUM(AZ20:BG20),4),"0.0000")))</f>
        <v>1.2083</v>
      </c>
      <c r="W20" s="7" t="str">
        <f aca="false">IF(H20="","-",IF(P20=0,TEXT(0,"0.0000"),TEXT(ROUND(O20/P20,4),"0.0000")))</f>
        <v>1.2468</v>
      </c>
      <c r="X20" s="13" t="str">
        <f aca="false">$C20</f>
        <v>Lupi Lucenti-Lupiopoli LI</v>
      </c>
      <c r="Y20" s="14" t="str">
        <f aca="false">IF(AND($H20&lt;&gt;"",$H$20&lt;&gt;"",$H20&lt;&gt;$H$20,IFERROR(VLOOKUP($H20,areaCercaPuntiClassificaSquadra,3,FALSE()),-1)=IFERROR(VLOOKUP($H$20,areaCercaPuntiClassificaSquadra,3,FALSE()),-2)),SUMIFS('Calendario B'!$N$8:$N$110,'Calendario B'!$M$8:$M$110,$H20,'Calendario B'!$T$8:$T$110,$H$20)+SUMIFS('Calendario B'!$U$8:$U$110,'Calendario B'!$T$8:$T$110,$H20,'Calendario B'!$M$8:$M$110,$H$20),"-")</f>
        <v>-</v>
      </c>
      <c r="Z20" s="14" t="n">
        <f aca="false">IF(AND($H20&lt;&gt;"",$H$21&lt;&gt;"",$H20&lt;&gt;$H$21,IFERROR(VLOOKUP($H20,areaCercaPuntiClassificaSquadra,3,FALSE()),-1)=IFERROR(VLOOKUP($H$21,areaCercaPuntiClassificaSquadra,3,FALSE()),-2)),SUMIFS('Calendario B'!$N$8:$N$110,'Calendario B'!$M$8:$M$110,$H20,'Calendario B'!$T$8:$T$110,$H$21)+SUMIFS('Calendario B'!$U$8:$U$110,'Calendario B'!$T$8:$T$110,$H20,'Calendario B'!$M$8:$M$110,$H$21),"-")</f>
        <v>1</v>
      </c>
      <c r="AA20" s="14" t="str">
        <f aca="false">IF(AND($H20&lt;&gt;"",$H$22&lt;&gt;"",$H20&lt;&gt;$H$22,IFERROR(VLOOKUP($H20,areaCercaPuntiClassificaSquadra,3,FALSE()),-1)=IFERROR(VLOOKUP($H$22,areaCercaPuntiClassificaSquadra,3,FALSE()),-2)),SUMIFS('Calendario B'!$N$8:$N$110,'Calendario B'!$M$8:$M$110,$H20,'Calendario B'!$T$8:$T$110,$H$22)+SUMIFS('Calendario B'!$U$8:$U$110,'Calendario B'!$T$8:$T$110,$H20,'Calendario B'!$M$8:$M$110,$H$22),"-")</f>
        <v>-</v>
      </c>
      <c r="AB20" s="14" t="str">
        <f aca="false">IF(AND($H20&lt;&gt;"",$H$23&lt;&gt;"",$H20&lt;&gt;$H$23,IFERROR(VLOOKUP($H20,areaCercaPuntiClassificaSquadra,3,FALSE()),-1)=IFERROR(VLOOKUP($H$23,areaCercaPuntiClassificaSquadra,3,FALSE()),-2)),SUMIFS('Calendario B'!$N$8:$N$110,'Calendario B'!$M$8:$M$110,$H20,'Calendario B'!$T$8:$T$110,$H$23)+SUMIFS('Calendario B'!$U$8:$U$110,'Calendario B'!$T$8:$T$110,$H20,'Calendario B'!$M$8:$M$110,$H$23),"-")</f>
        <v>-</v>
      </c>
      <c r="AC20" s="14" t="str">
        <f aca="false">IF(AND($H20&lt;&gt;"",$H$24&lt;&gt;"",$H20&lt;&gt;$H$24,IFERROR(VLOOKUP($H20,areaCercaPuntiClassificaSquadra,3,FALSE()),-1)=IFERROR(VLOOKUP($H$24,areaCercaPuntiClassificaSquadra,3,FALSE()),-2)),SUMIFS('Calendario B'!$N$8:$N$110,'Calendario B'!$M$8:$M$110,$H20,'Calendario B'!$T$8:$T$110,$H$24)+SUMIFS('Calendario B'!$U$8:$U$110,'Calendario B'!$T$8:$T$110,$H20,'Calendario B'!$M$8:$M$110,$H$24),"-")</f>
        <v>-</v>
      </c>
      <c r="AD20" s="14" t="str">
        <f aca="false">IF(AND($H20&lt;&gt;"",$H$25&lt;&gt;"",$H20&lt;&gt;$H$25,IFERROR(VLOOKUP($H20,areaCercaPuntiClassificaSquadra,3,FALSE()),-1)=IFERROR(VLOOKUP($H$25,areaCercaPuntiClassificaSquadra,3,FALSE()),-2)),SUMIFS('Calendario B'!$N$8:$N$110,'Calendario B'!$M$8:$M$110,$H20,'Calendario B'!$T$8:$T$110,$H$25)+SUMIFS('Calendario B'!$U$8:$U$110,'Calendario B'!$T$8:$T$110,$H20,'Calendario B'!$M$8:$M$110,$H$25),"-")</f>
        <v>-</v>
      </c>
      <c r="AE20" s="14" t="str">
        <f aca="false">IF(AND($H20&lt;&gt;"",$H$26&lt;&gt;"",$H20&lt;&gt;$H$26,IFERROR(VLOOKUP($H20,areaCercaPuntiClassificaSquadra,3,FALSE()),-1)=IFERROR(VLOOKUP($H$26,areaCercaPuntiClassificaSquadra,3,FALSE()),-2)),SUMIFS('Calendario B'!$N$8:$N$110,'Calendario B'!$M$8:$M$110,$H20,'Calendario B'!$T$8:$T$110,$H$26)+SUMIFS('Calendario B'!$U$8:$U$110,'Calendario B'!$T$8:$T$110,$H20,'Calendario B'!$M$8:$M$110,$H$26),"-")</f>
        <v>-</v>
      </c>
      <c r="AF20" s="14" t="str">
        <f aca="false">IF(AND($H20&lt;&gt;"",$H$27&lt;&gt;"",$H20&lt;&gt;$H$27,IFERROR(VLOOKUP($H20,areaCercaPuntiClassificaSquadra,3,FALSE()),-1)=IFERROR(VLOOKUP($H$27,areaCercaPuntiClassificaSquadra,3,FALSE()),-2)),SUMIFS('Calendario B'!$N$8:$N$110,'Calendario B'!$M$8:$M$110,$H20,'Calendario B'!$T$8:$T$110,$H$27)+SUMIFS('Calendario B'!$U$8:$U$110,'Calendario B'!$T$8:$T$110,$H20,'Calendario B'!$M$8:$M$110,$H$27),"-")</f>
        <v>-</v>
      </c>
      <c r="AG20" s="13" t="str">
        <f aca="false">$C20</f>
        <v>Lupi Lucenti-Lupiopoli LI</v>
      </c>
      <c r="AH20" s="14" t="str">
        <f aca="false">IF(AND($H20&lt;&gt;"",$H$20&lt;&gt;"",$H20&lt;&gt;$H$20,IFERROR(VLOOKUP($H20,areaCercaPuntiClassificaSquadra,3,FALSE()),-1)=IFERROR(VLOOKUP($H$20,areaCercaPuntiClassificaSquadra,3,FALSE()),-2)),SUMIFS('Calendario B'!$P$8:$P$110,'Calendario B'!$M$8:$M$110,$H20,'Calendario B'!$T$8:$T$110,$H$20)+SUMIFS('Calendario B'!$W$8:$W$110,'Calendario B'!$T$8:$T$110,$H20,'Calendario B'!$M$8:$M$110,$H$20)+SUMIFS('Calendario B'!$O$8:$O$110,'Calendario B'!$M$8:$M$110,$H20,'Calendario B'!$T$8:$T$110,$H$20)+SUMIFS('Calendario B'!$V$8:$V$110,'Calendario B'!$T$8:$T$110,$H20,'Calendario B'!$M$8:$M$110,$H$20),"-")</f>
        <v>-</v>
      </c>
      <c r="AI20" s="14" t="n">
        <f aca="false">IF(AND($H20&lt;&gt;"",$H$21&lt;&gt;"",$H20&lt;&gt;$H$21,IFERROR(VLOOKUP($H20,areaCercaPuntiClassificaSquadra,3,FALSE()),-1)=IFERROR(VLOOKUP($H$21,areaCercaPuntiClassificaSquadra,3,FALSE()),-2)),SUMIFS('Calendario B'!$P$8:$P$110,'Calendario B'!$M$8:$M$110,$H20,'Calendario B'!$T$8:$T$110,$H$21)+SUMIFS('Calendario B'!$W$8:$W$110,'Calendario B'!$T$8:$T$110,$H20,'Calendario B'!$M$8:$M$110,$H$21)+SUMIFS('Calendario B'!$O$8:$O$110,'Calendario B'!$M$8:$M$110,$H20,'Calendario B'!$T$8:$T$110,$H$21)+SUMIFS('Calendario B'!$V$8:$V$110,'Calendario B'!$T$8:$T$110,$H20,'Calendario B'!$M$8:$M$110,$H$21),"-")</f>
        <v>0</v>
      </c>
      <c r="AJ20" s="14" t="str">
        <f aca="false">IF(AND($H20&lt;&gt;"",$H$22&lt;&gt;"",$H20&lt;&gt;$H$22,IFERROR(VLOOKUP($H20,areaCercaPuntiClassificaSquadra,3,FALSE()),-1)=IFERROR(VLOOKUP($H$22,areaCercaPuntiClassificaSquadra,3,FALSE()),-2)),SUMIFS('Calendario B'!$P$8:$P$110,'Calendario B'!$M$8:$M$110,$H20,'Calendario B'!$T$8:$T$110,$H$22)+SUMIFS('Calendario B'!$W$8:$W$110,'Calendario B'!$T$8:$T$110,$H20,'Calendario B'!$M$8:$M$110,$H$22)+SUMIFS('Calendario B'!$O$8:$O$110,'Calendario B'!$M$8:$M$110,$H20,'Calendario B'!$T$8:$T$110,$H$22)+SUMIFS('Calendario B'!$V$8:$V$110,'Calendario B'!$T$8:$T$110,$H20,'Calendario B'!$M$8:$M$110,$H$22),"-")</f>
        <v>-</v>
      </c>
      <c r="AK20" s="14" t="str">
        <f aca="false">IF(AND($H20&lt;&gt;"",$H$23&lt;&gt;"",$H20&lt;&gt;$H$23,IFERROR(VLOOKUP($H20,areaCercaPuntiClassificaSquadra,3,FALSE()),-1)=IFERROR(VLOOKUP($H$23,areaCercaPuntiClassificaSquadra,3,FALSE()),-2)),SUMIFS('Calendario B'!$P$8:$P$110,'Calendario B'!$M$8:$M$110,$H20,'Calendario B'!$T$8:$T$110,$H$23)+SUMIFS('Calendario B'!$W$8:$W$110,'Calendario B'!$T$8:$T$110,$H20,'Calendario B'!$M$8:$M$110,$H$23)+SUMIFS('Calendario B'!$O$8:$O$110,'Calendario B'!$M$8:$M$110,$H20,'Calendario B'!$T$8:$T$110,$H$23)+SUMIFS('Calendario B'!$V$8:$V$110,'Calendario B'!$T$8:$T$110,$H20,'Calendario B'!$M$8:$M$110,$H$23),"-")</f>
        <v>-</v>
      </c>
      <c r="AL20" s="14" t="str">
        <f aca="false">IF(AND($H20&lt;&gt;"",$H$24&lt;&gt;"",$H20&lt;&gt;$H$24,IFERROR(VLOOKUP($H20,areaCercaPuntiClassificaSquadra,3,FALSE()),-1)=IFERROR(VLOOKUP($H$24,areaCercaPuntiClassificaSquadra,3,FALSE()),-2)),SUMIFS('Calendario B'!$P$8:$P$110,'Calendario B'!$M$8:$M$110,$H20,'Calendario B'!$T$8:$T$110,$H$24)+SUMIFS('Calendario B'!$W$8:$W$110,'Calendario B'!$T$8:$T$110,$H20,'Calendario B'!$M$8:$M$110,$H$24)+SUMIFS('Calendario B'!$O$8:$O$110,'Calendario B'!$M$8:$M$110,$H20,'Calendario B'!$T$8:$T$110,$H$24)+SUMIFS('Calendario B'!$V$8:$V$110,'Calendario B'!$T$8:$T$110,$H20,'Calendario B'!$M$8:$M$110,$H$24),"-")</f>
        <v>-</v>
      </c>
      <c r="AM20" s="14" t="str">
        <f aca="false">IF(AND($H20&lt;&gt;"",$H$25&lt;&gt;"",$H20&lt;&gt;$H$25,IFERROR(VLOOKUP($H20,areaCercaPuntiClassificaSquadra,3,FALSE()),-1)=IFERROR(VLOOKUP($H$25,areaCercaPuntiClassificaSquadra,3,FALSE()),-2)),SUMIFS('Calendario B'!$P$8:$P$110,'Calendario B'!$M$8:$M$110,$H20,'Calendario B'!$T$8:$T$110,$H$25)+SUMIFS('Calendario B'!$W$8:$W$110,'Calendario B'!$T$8:$T$110,$H20,'Calendario B'!$M$8:$M$110,$H$25)+SUMIFS('Calendario B'!$O$8:$O$110,'Calendario B'!$M$8:$M$110,$H20,'Calendario B'!$T$8:$T$110,$H$25)+SUMIFS('Calendario B'!$V$8:$V$110,'Calendario B'!$T$8:$T$110,$H20,'Calendario B'!$M$8:$M$110,$H$25),"-")</f>
        <v>-</v>
      </c>
      <c r="AN20" s="14" t="str">
        <f aca="false">IF(AND($H20&lt;&gt;"",$H$26&lt;&gt;"",$H20&lt;&gt;$H$26,IFERROR(VLOOKUP($H20,areaCercaPuntiClassificaSquadra,3,FALSE()),-1)=IFERROR(VLOOKUP($H$26,areaCercaPuntiClassificaSquadra,3,FALSE()),-2)),SUMIFS('Calendario B'!$P$8:$P$110,'Calendario B'!$M$8:$M$110,$H20,'Calendario B'!$T$8:$T$110,$H$26)+SUMIFS('Calendario B'!$W$8:$W$110,'Calendario B'!$T$8:$T$110,$H20,'Calendario B'!$M$8:$M$110,$H$26)+SUMIFS('Calendario B'!$O$8:$O$110,'Calendario B'!$M$8:$M$110,$H20,'Calendario B'!$T$8:$T$110,$H$26)+SUMIFS('Calendario B'!$V$8:$V$110,'Calendario B'!$T$8:$T$110,$H20,'Calendario B'!$M$8:$M$110,$H$26),"-")</f>
        <v>-</v>
      </c>
      <c r="AO20" s="14" t="str">
        <f aca="false">IF(AND($H20&lt;&gt;"",$H$27&lt;&gt;"",$H20&lt;&gt;$H$27,IFERROR(VLOOKUP($H20,areaCercaPuntiClassificaSquadra,3,FALSE()),-1)=IFERROR(VLOOKUP($H$27,areaCercaPuntiClassificaSquadra,3,FALSE()),-2)),SUMIFS('Calendario B'!$P$8:$P$110,'Calendario B'!$M$8:$M$110,$H20,'Calendario B'!$T$8:$T$110,$H$27)+SUMIFS('Calendario B'!$W$8:$W$110,'Calendario B'!$T$8:$T$110,$H20,'Calendario B'!$M$8:$M$110,$H$27)+SUMIFS('Calendario B'!$O$8:$O$110,'Calendario B'!$M$8:$M$110,$H20,'Calendario B'!$T$8:$T$110,$H$27)+SUMIFS('Calendario B'!$V$8:$V$110,'Calendario B'!$T$8:$T$110,$H20,'Calendario B'!$M$8:$M$110,$H$27),"-")</f>
        <v>-</v>
      </c>
      <c r="AP20" s="13" t="str">
        <f aca="false">$C20</f>
        <v>Lupi Lucenti-Lupiopoli LI</v>
      </c>
      <c r="AQ20" s="14" t="str">
        <f aca="false">IF(AND($H20&lt;&gt;"",$H$20&lt;&gt;"",$H20&lt;&gt;$H$20,IFERROR(VLOOKUP($H20,areaCercaPuntiClassificaSquadra,3,FALSE()),-1)=IFERROR(VLOOKUP($H$20,areaCercaPuntiClassificaSquadra,3,FALSE()),-2)),SUMIFS('Calendario B'!$Q$8:$Q$110,'Calendario B'!$M$8:$M$110,$H20,'Calendario B'!$T$8:$T$110,$H$20)+SUMIFS('Calendario B'!$X$8:$X$110,'Calendario B'!$T$8:$T$110,$H20,'Calendario B'!$M$8:$M$110,$H$20),"-")</f>
        <v>-</v>
      </c>
      <c r="AR20" s="14" t="n">
        <f aca="false">IF(AND($H20&lt;&gt;"",$H$21&lt;&gt;"",$H20&lt;&gt;$H$21,IFERROR(VLOOKUP($H20,areaCercaPuntiClassificaSquadra,3,FALSE()),-1)=IFERROR(VLOOKUP($H$21,areaCercaPuntiClassificaSquadra,3,FALSE()),-2)),SUMIFS('Calendario B'!$Q$8:$Q$110,'Calendario B'!$M$8:$M$110,$H20,'Calendario B'!$T$8:$T$110,$H$21)+SUMIFS('Calendario B'!$X$8:$X$110,'Calendario B'!$T$8:$T$110,$H20,'Calendario B'!$M$8:$M$110,$H$21),"-")</f>
        <v>58</v>
      </c>
      <c r="AS20" s="14" t="str">
        <f aca="false">IF(AND($H20&lt;&gt;"",$H$22&lt;&gt;"",$H20&lt;&gt;$H$22,IFERROR(VLOOKUP($H20,areaCercaPuntiClassificaSquadra,3,FALSE()),-1)=IFERROR(VLOOKUP($H$22,areaCercaPuntiClassificaSquadra,3,FALSE()),-2)),SUMIFS('Calendario B'!$Q$8:$Q$110,'Calendario B'!$M$8:$M$110,$H20,'Calendario B'!$T$8:$T$110,$H$22)+SUMIFS('Calendario B'!$X$8:$X$110,'Calendario B'!$T$8:$T$110,$H20,'Calendario B'!$M$8:$M$110,$H$22),"-")</f>
        <v>-</v>
      </c>
      <c r="AT20" s="14" t="str">
        <f aca="false">IF(AND($H20&lt;&gt;"",$H$23&lt;&gt;"",$H20&lt;&gt;$H$23,IFERROR(VLOOKUP($H20,areaCercaPuntiClassificaSquadra,3,FALSE()),-1)=IFERROR(VLOOKUP($H$23,areaCercaPuntiClassificaSquadra,3,FALSE()),-2)),SUMIFS('Calendario B'!$Q$8:$Q$110,'Calendario B'!$M$8:$M$110,$H20,'Calendario B'!$T$8:$T$110,$H$23)+SUMIFS('Calendario B'!$X$8:$X$110,'Calendario B'!$T$8:$T$110,$H20,'Calendario B'!$M$8:$M$110,$H$23),"-")</f>
        <v>-</v>
      </c>
      <c r="AU20" s="14" t="str">
        <f aca="false">IF(AND($H20&lt;&gt;"",$H$24&lt;&gt;"",$H20&lt;&gt;$H$24,IFERROR(VLOOKUP($H20,areaCercaPuntiClassificaSquadra,3,FALSE()),-1)=IFERROR(VLOOKUP($H$24,areaCercaPuntiClassificaSquadra,3,FALSE()),-2)),SUMIFS('Calendario B'!$Q$8:$Q$110,'Calendario B'!$M$8:$M$110,$H20,'Calendario B'!$T$8:$T$110,$H$24)+SUMIFS('Calendario B'!$X$8:$X$110,'Calendario B'!$T$8:$T$110,$H20,'Calendario B'!$M$8:$M$110,$H$24),"-")</f>
        <v>-</v>
      </c>
      <c r="AV20" s="14" t="str">
        <f aca="false">IF(AND($H20&lt;&gt;"",$H$25&lt;&gt;"",$H20&lt;&gt;$H$25,IFERROR(VLOOKUP($H20,areaCercaPuntiClassificaSquadra,3,FALSE()),-1)=IFERROR(VLOOKUP($H$25,areaCercaPuntiClassificaSquadra,3,FALSE()),-2)),SUMIFS('Calendario B'!$Q$8:$Q$110,'Calendario B'!$M$8:$M$110,$H20,'Calendario B'!$T$8:$T$110,$H$25)+SUMIFS('Calendario B'!$X$8:$X$110,'Calendario B'!$T$8:$T$110,$H20,'Calendario B'!$M$8:$M$110,$H$25),"-")</f>
        <v>-</v>
      </c>
      <c r="AW20" s="14" t="str">
        <f aca="false">IF(AND($H20&lt;&gt;"",$H$26&lt;&gt;"",$H20&lt;&gt;$H$26,IFERROR(VLOOKUP($H20,areaCercaPuntiClassificaSquadra,3,FALSE()),-1)=IFERROR(VLOOKUP($H$26,areaCercaPuntiClassificaSquadra,3,FALSE()),-2)),SUMIFS('Calendario B'!$Q$8:$Q$110,'Calendario B'!$M$8:$M$110,$H20,'Calendario B'!$T$8:$T$110,$H$26)+SUMIFS('Calendario B'!$X$8:$X$110,'Calendario B'!$T$8:$T$110,$H20,'Calendario B'!$M$8:$M$110,$H$26),"-")</f>
        <v>-</v>
      </c>
      <c r="AX20" s="14" t="str">
        <f aca="false">IF(AND($H20&lt;&gt;"",$H$27&lt;&gt;"",$H20&lt;&gt;$H$27,IFERROR(VLOOKUP($H20,areaCercaPuntiClassificaSquadra,3,FALSE()),-1)=IFERROR(VLOOKUP($H$27,areaCercaPuntiClassificaSquadra,3,FALSE()),-2)),SUMIFS('Calendario B'!$Q$8:$Q$110,'Calendario B'!$M$8:$M$110,$H20,'Calendario B'!$T$8:$T$110,$H$27)+SUMIFS('Calendario B'!$X$8:$X$110,'Calendario B'!$T$8:$T$110,$H20,'Calendario B'!$M$8:$M$110,$H$27),"-")</f>
        <v>-</v>
      </c>
      <c r="AY20" s="13" t="str">
        <f aca="false">$C20</f>
        <v>Lupi Lucenti-Lupiopoli LI</v>
      </c>
      <c r="AZ20" s="14" t="str">
        <f aca="false">IF(AND($H20&lt;&gt;"",$H$20&lt;&gt;"",$H20&lt;&gt;$H$20,IFERROR(VLOOKUP($H20,areaCercaPuntiClassificaSquadra,3,FALSE()),-1)=IFERROR(VLOOKUP($H$20,areaCercaPuntiClassificaSquadra,3,FALSE()),-2)),SUMIFS('Calendario B'!$R$8:$R$110,'Calendario B'!$M$8:$M$110,$H20,'Calendario B'!$T$8:$T$110,$H$20)+SUMIFS('Calendario B'!$Y$8:$Y$110,'Calendario B'!$T$8:$T$110,$H20,'Calendario B'!$M$8:$M$110,$H$20),"-")</f>
        <v>-</v>
      </c>
      <c r="BA20" s="14" t="n">
        <f aca="false">IF(AND($H20&lt;&gt;"",$H$21&lt;&gt;"",$H20&lt;&gt;$H$21,IFERROR(VLOOKUP($H20,areaCercaPuntiClassificaSquadra,3,FALSE()),-1)=IFERROR(VLOOKUP($H$21,areaCercaPuntiClassificaSquadra,3,FALSE()),-2)),SUMIFS('Calendario B'!$R$8:$R$110,'Calendario B'!$M$8:$M$110,$H20,'Calendario B'!$T$8:$T$110,$H$21)+SUMIFS('Calendario B'!$Y$8:$Y$110,'Calendario B'!$T$8:$T$110,$H20,'Calendario B'!$M$8:$M$110,$H$21),"-")</f>
        <v>48</v>
      </c>
      <c r="BB20" s="14" t="str">
        <f aca="false">IF(AND($H20&lt;&gt;"",$H$22&lt;&gt;"",$H20&lt;&gt;$H$22,IFERROR(VLOOKUP($H20,areaCercaPuntiClassificaSquadra,3,FALSE()),-1)=IFERROR(VLOOKUP($H$22,areaCercaPuntiClassificaSquadra,3,FALSE()),-2)),SUMIFS('Calendario B'!$R$8:$R$110,'Calendario B'!$M$8:$M$110,$H20,'Calendario B'!$T$8:$T$110,$H$22)+SUMIFS('Calendario B'!$Y$8:$Y$110,'Calendario B'!$T$8:$T$110,$H20,'Calendario B'!$M$8:$M$110,$H$22),"-")</f>
        <v>-</v>
      </c>
      <c r="BC20" s="14" t="str">
        <f aca="false">IF(AND($H20&lt;&gt;"",$H$23&lt;&gt;"",$H20&lt;&gt;$H$23,IFERROR(VLOOKUP($H20,areaCercaPuntiClassificaSquadra,3,FALSE()),-1)=IFERROR(VLOOKUP($H$23,areaCercaPuntiClassificaSquadra,3,FALSE()),-2)),SUMIFS('Calendario B'!$R$8:$R$110,'Calendario B'!$M$8:$M$110,$H20,'Calendario B'!$T$8:$T$110,$H$23)+SUMIFS('Calendario B'!$Y$8:$Y$110,'Calendario B'!$T$8:$T$110,$H20,'Calendario B'!$M$8:$M$110,$H$23),"-")</f>
        <v>-</v>
      </c>
      <c r="BD20" s="14" t="str">
        <f aca="false">IF(AND($H20&lt;&gt;"",$H$24&lt;&gt;"",$H20&lt;&gt;$H$24,IFERROR(VLOOKUP($H20,areaCercaPuntiClassificaSquadra,3,FALSE()),-1)=IFERROR(VLOOKUP($H$24,areaCercaPuntiClassificaSquadra,3,FALSE()),-2)),SUMIFS('Calendario B'!$R$8:$R$110,'Calendario B'!$M$8:$M$110,$H20,'Calendario B'!$T$8:$T$110,$H$24)+SUMIFS('Calendario B'!$Y$8:$Y$110,'Calendario B'!$T$8:$T$110,$H20,'Calendario B'!$M$8:$M$110,$H$24),"-")</f>
        <v>-</v>
      </c>
      <c r="BE20" s="14" t="str">
        <f aca="false">IF(AND($H20&lt;&gt;"",$H$25&lt;&gt;"",$H20&lt;&gt;$H$25,IFERROR(VLOOKUP($H20,areaCercaPuntiClassificaSquadra,3,FALSE()),-1)=IFERROR(VLOOKUP($H$25,areaCercaPuntiClassificaSquadra,3,FALSE()),-2)),SUMIFS('Calendario B'!$R$8:$R$110,'Calendario B'!$M$8:$M$110,$H20,'Calendario B'!$T$8:$T$110,$H$25)+SUMIFS('Calendario B'!$Y$8:$Y$110,'Calendario B'!$T$8:$T$110,$H20,'Calendario B'!$M$8:$M$110,$H$25),"-")</f>
        <v>-</v>
      </c>
      <c r="BF20" s="14" t="str">
        <f aca="false">IF(AND($H20&lt;&gt;"",$H$26&lt;&gt;"",$H20&lt;&gt;$H$26,IFERROR(VLOOKUP($H20,areaCercaPuntiClassificaSquadra,3,FALSE()),-1)=IFERROR(VLOOKUP($H$26,areaCercaPuntiClassificaSquadra,3,FALSE()),-2)),SUMIFS('Calendario B'!$R$8:$R$110,'Calendario B'!$M$8:$M$110,$H20,'Calendario B'!$T$8:$T$110,$H$26)+SUMIFS('Calendario B'!$Y$8:$Y$110,'Calendario B'!$T$8:$T$110,$H20,'Calendario B'!$M$8:$M$110,$H$26),"-")</f>
        <v>-</v>
      </c>
      <c r="BG20" s="14" t="str">
        <f aca="false">IF(AND($H20&lt;&gt;"",$H$27&lt;&gt;"",$H20&lt;&gt;$H$27,IFERROR(VLOOKUP($H20,areaCercaPuntiClassificaSquadra,3,FALSE()),-1)=IFERROR(VLOOKUP($H$27,areaCercaPuntiClassificaSquadra,3,FALSE()),-2)),SUMIFS('Calendario B'!$R$8:$R$110,'Calendario B'!$M$8:$M$110,$H20,'Calendario B'!$T$8:$T$110,$H$27)+SUMIFS('Calendario B'!$Y$8:$Y$110,'Calendario B'!$T$8:$T$110,$H20,'Calendario B'!$M$8:$M$110,$H$27),"-")</f>
        <v>-</v>
      </c>
    </row>
    <row r="21" customFormat="false" ht="15" hidden="false" customHeight="false" outlineLevel="0" collapsed="false">
      <c r="B21" s="7" t="s">
        <v>67</v>
      </c>
      <c r="C21" s="8" t="s">
        <v>68</v>
      </c>
      <c r="D21" s="9"/>
      <c r="E21" s="15" t="s">
        <v>66</v>
      </c>
      <c r="G21" s="16" t="str">
        <f aca="false">IF($C21="","",$E21&amp;(COUNTIFS(I$12:I$75,"&gt;"&amp;I21,E$12:E$75,"="&amp;E21,C$12:C$75,"&lt;&gt;")+COUNTIFS(I$12:I$75,"="&amp;I21,H$12:H$75,"&lt;="&amp;H21,E$12:E$75,"="&amp;E21,C$12:C$75,"&lt;&gt;")))</f>
        <v>B3</v>
      </c>
      <c r="H21" s="12" t="str">
        <f aca="false">IF($C21="","",IFERROR(LEFT($C21,FIND("-",$C21)-1),$C21))</f>
        <v>Marmotte Maldestre</v>
      </c>
      <c r="I21" s="7" t="str">
        <f aca="false">TEXT(1000000000+J21,"|0000000000|")&amp;TEXT(SUM(Y21:AF21),"0000000000|")&amp;IF(SUM(AZ21:BG21)=0,"0000000000|",TEXT(ROUND(SUM(AQ21:AX21)/SUM(AZ21:BG21),4)*100000,"0000000000|"))&amp;IF(P21=0,"0000000000|",TEXT(ROUND(O21/P21,4)*100000,"0000000000|"))</f>
        <v>|1000000017|0000000000|0000082760|0000128680|</v>
      </c>
      <c r="J21" s="16" t="n">
        <f aca="false">L21*constPuntiVittoria+M21*constPuntiSconfitta+N21*constPuntiForfait+IF(D21="",0,D21)</f>
        <v>17</v>
      </c>
      <c r="K21" s="7" t="n">
        <f aca="false">SUM(L21:N21)</f>
        <v>7</v>
      </c>
      <c r="L21" s="7" t="n">
        <f aca="false">IF($H21="",0,SUMIF('Calendario B'!$M$8:$M$110,$H21,'Calendario B'!$N$8:$N$110)+SUMIF('Calendario B'!$T$8:$T$110,$H21,'Calendario B'!$U$8:$U$110))</f>
        <v>5</v>
      </c>
      <c r="M21" s="7" t="n">
        <f aca="false">IF($H21="",0,SUMIF('Calendario B'!$M$8:$M$110,$H21,'Calendario B'!$P$8:$P$110)+SUMIF('Calendario B'!$T$8:$T$110,$H21,'Calendario B'!$W$8:$W$110))</f>
        <v>2</v>
      </c>
      <c r="N21" s="7" t="n">
        <f aca="false">IF($H21="",0,SUMIF('Calendario B'!$M$8:$M$110,$H21,'Calendario B'!$O$8:$O$110)+SUMIF('Calendario B'!$T$8:$T$110,$H21,'Calendario B'!$V$8:$V$110))</f>
        <v>0</v>
      </c>
      <c r="O21" s="7" t="n">
        <f aca="false">IF($H21="",0,SUMIF('Calendario B'!$M$8:$M$110,$H21,'Calendario B'!$Q$8:$Q$110)+SUMIF('Calendario B'!$T$8:$T$110,$H21,'Calendario B'!$X$8:$X$110))</f>
        <v>489</v>
      </c>
      <c r="P21" s="7" t="n">
        <f aca="false">IF($H21="",0,SUMIF('Calendario B'!$M$8:$M$110,$H21,'Calendario B'!$R$8:$R$110)+SUMIF('Calendario B'!$T$8:$T$110,$H21,'Calendario B'!$Y$8:$Y$110))</f>
        <v>380</v>
      </c>
      <c r="Q21" s="7" t="n">
        <f aca="false">IF($H21="",0,SUMIF('Calendario B'!$M$8:$M$110,$H21,'Calendario B'!$S$8:$S$110)+SUMIF('Calendario B'!$T$8:$T$110,$H21,'Calendario B'!$Z$8:$Z$110))</f>
        <v>109</v>
      </c>
      <c r="R21" s="7" t="n">
        <f aca="false">IF(K21=0,0,ROUND(O21/K21,2))</f>
        <v>69.86</v>
      </c>
      <c r="S21" s="7" t="n">
        <f aca="false">IF(K21=0,0,ROUND(P21/K21,2))</f>
        <v>54.29</v>
      </c>
      <c r="T21" s="7" t="n">
        <f aca="false">IF(K21=0,0,ROUND(Q21/K21,2))</f>
        <v>15.57</v>
      </c>
      <c r="U21" s="7" t="str">
        <f aca="false">IF(COUNT(Y21:AF21)=0,"-",SUM(Y21:AF21)&amp;"-"&amp;SUM(AH21:AO21))</f>
        <v>0-1</v>
      </c>
      <c r="V21" s="7" t="str">
        <f aca="false">IF(COUNT(Y21:AF21)=0,"-",IF(SUM(AZ21:BG21)=0,TEXT(0,"0.0000"),TEXT(ROUND(SUM(AQ21:AX21)/SUM(AZ21:BG21),4),"0.0000")))</f>
        <v>0.8276</v>
      </c>
      <c r="W21" s="7" t="str">
        <f aca="false">IF(H21="","-",IF(P21=0,TEXT(0,"0.0000"),TEXT(ROUND(O21/P21,4),"0.0000")))</f>
        <v>1.2868</v>
      </c>
      <c r="X21" s="13" t="str">
        <f aca="false">$C21</f>
        <v>Marmotte Maldestre-Marmotteopoli ME</v>
      </c>
      <c r="Y21" s="14" t="n">
        <f aca="false">IF(AND($H21&lt;&gt;"",$H$20&lt;&gt;"",$H21&lt;&gt;$H$20,IFERROR(VLOOKUP($H21,areaCercaPuntiClassificaSquadra,3,FALSE()),-1)=IFERROR(VLOOKUP($H$20,areaCercaPuntiClassificaSquadra,3,FALSE()),-2)),SUMIFS('Calendario B'!$N$8:$N$110,'Calendario B'!$M$8:$M$110,$H21,'Calendario B'!$T$8:$T$110,$H$20)+SUMIFS('Calendario B'!$U$8:$U$110,'Calendario B'!$T$8:$T$110,$H21,'Calendario B'!$M$8:$M$110,$H$20),"-")</f>
        <v>0</v>
      </c>
      <c r="Z21" s="14" t="str">
        <f aca="false">IF(AND($H21&lt;&gt;"",$H$21&lt;&gt;"",$H21&lt;&gt;$H$21,IFERROR(VLOOKUP($H21,areaCercaPuntiClassificaSquadra,3,FALSE()),-1)=IFERROR(VLOOKUP($H$21,areaCercaPuntiClassificaSquadra,3,FALSE()),-2)),SUMIFS('Calendario B'!$N$8:$N$110,'Calendario B'!$M$8:$M$110,$H21,'Calendario B'!$T$8:$T$110,$H$21)+SUMIFS('Calendario B'!$U$8:$U$110,'Calendario B'!$T$8:$T$110,$H21,'Calendario B'!$M$8:$M$110,$H$21),"-")</f>
        <v>-</v>
      </c>
      <c r="AA21" s="14" t="str">
        <f aca="false">IF(AND($H21&lt;&gt;"",$H$22&lt;&gt;"",$H21&lt;&gt;$H$22,IFERROR(VLOOKUP($H21,areaCercaPuntiClassificaSquadra,3,FALSE()),-1)=IFERROR(VLOOKUP($H$22,areaCercaPuntiClassificaSquadra,3,FALSE()),-2)),SUMIFS('Calendario B'!$N$8:$N$110,'Calendario B'!$M$8:$M$110,$H21,'Calendario B'!$T$8:$T$110,$H$22)+SUMIFS('Calendario B'!$U$8:$U$110,'Calendario B'!$T$8:$T$110,$H21,'Calendario B'!$M$8:$M$110,$H$22),"-")</f>
        <v>-</v>
      </c>
      <c r="AB21" s="14" t="str">
        <f aca="false">IF(AND($H21&lt;&gt;"",$H$23&lt;&gt;"",$H21&lt;&gt;$H$23,IFERROR(VLOOKUP($H21,areaCercaPuntiClassificaSquadra,3,FALSE()),-1)=IFERROR(VLOOKUP($H$23,areaCercaPuntiClassificaSquadra,3,FALSE()),-2)),SUMIFS('Calendario B'!$N$8:$N$110,'Calendario B'!$M$8:$M$110,$H21,'Calendario B'!$T$8:$T$110,$H$23)+SUMIFS('Calendario B'!$U$8:$U$110,'Calendario B'!$T$8:$T$110,$H21,'Calendario B'!$M$8:$M$110,$H$23),"-")</f>
        <v>-</v>
      </c>
      <c r="AC21" s="14" t="str">
        <f aca="false">IF(AND($H21&lt;&gt;"",$H$24&lt;&gt;"",$H21&lt;&gt;$H$24,IFERROR(VLOOKUP($H21,areaCercaPuntiClassificaSquadra,3,FALSE()),-1)=IFERROR(VLOOKUP($H$24,areaCercaPuntiClassificaSquadra,3,FALSE()),-2)),SUMIFS('Calendario B'!$N$8:$N$110,'Calendario B'!$M$8:$M$110,$H21,'Calendario B'!$T$8:$T$110,$H$24)+SUMIFS('Calendario B'!$U$8:$U$110,'Calendario B'!$T$8:$T$110,$H21,'Calendario B'!$M$8:$M$110,$H$24),"-")</f>
        <v>-</v>
      </c>
      <c r="AD21" s="14" t="str">
        <f aca="false">IF(AND($H21&lt;&gt;"",$H$25&lt;&gt;"",$H21&lt;&gt;$H$25,IFERROR(VLOOKUP($H21,areaCercaPuntiClassificaSquadra,3,FALSE()),-1)=IFERROR(VLOOKUP($H$25,areaCercaPuntiClassificaSquadra,3,FALSE()),-2)),SUMIFS('Calendario B'!$N$8:$N$110,'Calendario B'!$M$8:$M$110,$H21,'Calendario B'!$T$8:$T$110,$H$25)+SUMIFS('Calendario B'!$U$8:$U$110,'Calendario B'!$T$8:$T$110,$H21,'Calendario B'!$M$8:$M$110,$H$25),"-")</f>
        <v>-</v>
      </c>
      <c r="AE21" s="14" t="str">
        <f aca="false">IF(AND($H21&lt;&gt;"",$H$26&lt;&gt;"",$H21&lt;&gt;$H$26,IFERROR(VLOOKUP($H21,areaCercaPuntiClassificaSquadra,3,FALSE()),-1)=IFERROR(VLOOKUP($H$26,areaCercaPuntiClassificaSquadra,3,FALSE()),-2)),SUMIFS('Calendario B'!$N$8:$N$110,'Calendario B'!$M$8:$M$110,$H21,'Calendario B'!$T$8:$T$110,$H$26)+SUMIFS('Calendario B'!$U$8:$U$110,'Calendario B'!$T$8:$T$110,$H21,'Calendario B'!$M$8:$M$110,$H$26),"-")</f>
        <v>-</v>
      </c>
      <c r="AF21" s="14" t="str">
        <f aca="false">IF(AND($H21&lt;&gt;"",$H$27&lt;&gt;"",$H21&lt;&gt;$H$27,IFERROR(VLOOKUP($H21,areaCercaPuntiClassificaSquadra,3,FALSE()),-1)=IFERROR(VLOOKUP($H$27,areaCercaPuntiClassificaSquadra,3,FALSE()),-2)),SUMIFS('Calendario B'!$N$8:$N$110,'Calendario B'!$M$8:$M$110,$H21,'Calendario B'!$T$8:$T$110,$H$27)+SUMIFS('Calendario B'!$U$8:$U$110,'Calendario B'!$T$8:$T$110,$H21,'Calendario B'!$M$8:$M$110,$H$27),"-")</f>
        <v>-</v>
      </c>
      <c r="AG21" s="13" t="str">
        <f aca="false">$C21</f>
        <v>Marmotte Maldestre-Marmotteopoli ME</v>
      </c>
      <c r="AH21" s="14" t="n">
        <f aca="false">IF(AND($H21&lt;&gt;"",$H$20&lt;&gt;"",$H21&lt;&gt;$H$20,IFERROR(VLOOKUP($H21,areaCercaPuntiClassificaSquadra,3,FALSE()),-1)=IFERROR(VLOOKUP($H$20,areaCercaPuntiClassificaSquadra,3,FALSE()),-2)),SUMIFS('Calendario B'!$P$8:$P$110,'Calendario B'!$M$8:$M$110,$H21,'Calendario B'!$T$8:$T$110,$H$20)+SUMIFS('Calendario B'!$W$8:$W$110,'Calendario B'!$T$8:$T$110,$H21,'Calendario B'!$M$8:$M$110,$H$20)+SUMIFS('Calendario B'!$O$8:$O$110,'Calendario B'!$M$8:$M$110,$H21,'Calendario B'!$T$8:$T$110,$H$20)+SUMIFS('Calendario B'!$V$8:$V$110,'Calendario B'!$T$8:$T$110,$H21,'Calendario B'!$M$8:$M$110,$H$20),"-")</f>
        <v>1</v>
      </c>
      <c r="AI21" s="14" t="str">
        <f aca="false">IF(AND($H21&lt;&gt;"",$H$21&lt;&gt;"",$H21&lt;&gt;$H$21,IFERROR(VLOOKUP($H21,areaCercaPuntiClassificaSquadra,3,FALSE()),-1)=IFERROR(VLOOKUP($H$21,areaCercaPuntiClassificaSquadra,3,FALSE()),-2)),SUMIFS('Calendario B'!$P$8:$P$110,'Calendario B'!$M$8:$M$110,$H21,'Calendario B'!$T$8:$T$110,$H$21)+SUMIFS('Calendario B'!$W$8:$W$110,'Calendario B'!$T$8:$T$110,$H21,'Calendario B'!$M$8:$M$110,$H$21)+SUMIFS('Calendario B'!$O$8:$O$110,'Calendario B'!$M$8:$M$110,$H21,'Calendario B'!$T$8:$T$110,$H$21)+SUMIFS('Calendario B'!$V$8:$V$110,'Calendario B'!$T$8:$T$110,$H21,'Calendario B'!$M$8:$M$110,$H$21),"-")</f>
        <v>-</v>
      </c>
      <c r="AJ21" s="14" t="str">
        <f aca="false">IF(AND($H21&lt;&gt;"",$H$22&lt;&gt;"",$H21&lt;&gt;$H$22,IFERROR(VLOOKUP($H21,areaCercaPuntiClassificaSquadra,3,FALSE()),-1)=IFERROR(VLOOKUP($H$22,areaCercaPuntiClassificaSquadra,3,FALSE()),-2)),SUMIFS('Calendario B'!$P$8:$P$110,'Calendario B'!$M$8:$M$110,$H21,'Calendario B'!$T$8:$T$110,$H$22)+SUMIFS('Calendario B'!$W$8:$W$110,'Calendario B'!$T$8:$T$110,$H21,'Calendario B'!$M$8:$M$110,$H$22)+SUMIFS('Calendario B'!$O$8:$O$110,'Calendario B'!$M$8:$M$110,$H21,'Calendario B'!$T$8:$T$110,$H$22)+SUMIFS('Calendario B'!$V$8:$V$110,'Calendario B'!$T$8:$T$110,$H21,'Calendario B'!$M$8:$M$110,$H$22),"-")</f>
        <v>-</v>
      </c>
      <c r="AK21" s="14" t="str">
        <f aca="false">IF(AND($H21&lt;&gt;"",$H$23&lt;&gt;"",$H21&lt;&gt;$H$23,IFERROR(VLOOKUP($H21,areaCercaPuntiClassificaSquadra,3,FALSE()),-1)=IFERROR(VLOOKUP($H$23,areaCercaPuntiClassificaSquadra,3,FALSE()),-2)),SUMIFS('Calendario B'!$P$8:$P$110,'Calendario B'!$M$8:$M$110,$H21,'Calendario B'!$T$8:$T$110,$H$23)+SUMIFS('Calendario B'!$W$8:$W$110,'Calendario B'!$T$8:$T$110,$H21,'Calendario B'!$M$8:$M$110,$H$23)+SUMIFS('Calendario B'!$O$8:$O$110,'Calendario B'!$M$8:$M$110,$H21,'Calendario B'!$T$8:$T$110,$H$23)+SUMIFS('Calendario B'!$V$8:$V$110,'Calendario B'!$T$8:$T$110,$H21,'Calendario B'!$M$8:$M$110,$H$23),"-")</f>
        <v>-</v>
      </c>
      <c r="AL21" s="14" t="str">
        <f aca="false">IF(AND($H21&lt;&gt;"",$H$24&lt;&gt;"",$H21&lt;&gt;$H$24,IFERROR(VLOOKUP($H21,areaCercaPuntiClassificaSquadra,3,FALSE()),-1)=IFERROR(VLOOKUP($H$24,areaCercaPuntiClassificaSquadra,3,FALSE()),-2)),SUMIFS('Calendario B'!$P$8:$P$110,'Calendario B'!$M$8:$M$110,$H21,'Calendario B'!$T$8:$T$110,$H$24)+SUMIFS('Calendario B'!$W$8:$W$110,'Calendario B'!$T$8:$T$110,$H21,'Calendario B'!$M$8:$M$110,$H$24)+SUMIFS('Calendario B'!$O$8:$O$110,'Calendario B'!$M$8:$M$110,$H21,'Calendario B'!$T$8:$T$110,$H$24)+SUMIFS('Calendario B'!$V$8:$V$110,'Calendario B'!$T$8:$T$110,$H21,'Calendario B'!$M$8:$M$110,$H$24),"-")</f>
        <v>-</v>
      </c>
      <c r="AM21" s="14" t="str">
        <f aca="false">IF(AND($H21&lt;&gt;"",$H$25&lt;&gt;"",$H21&lt;&gt;$H$25,IFERROR(VLOOKUP($H21,areaCercaPuntiClassificaSquadra,3,FALSE()),-1)=IFERROR(VLOOKUP($H$25,areaCercaPuntiClassificaSquadra,3,FALSE()),-2)),SUMIFS('Calendario B'!$P$8:$P$110,'Calendario B'!$M$8:$M$110,$H21,'Calendario B'!$T$8:$T$110,$H$25)+SUMIFS('Calendario B'!$W$8:$W$110,'Calendario B'!$T$8:$T$110,$H21,'Calendario B'!$M$8:$M$110,$H$25)+SUMIFS('Calendario B'!$O$8:$O$110,'Calendario B'!$M$8:$M$110,$H21,'Calendario B'!$T$8:$T$110,$H$25)+SUMIFS('Calendario B'!$V$8:$V$110,'Calendario B'!$T$8:$T$110,$H21,'Calendario B'!$M$8:$M$110,$H$25),"-")</f>
        <v>-</v>
      </c>
      <c r="AN21" s="14" t="str">
        <f aca="false">IF(AND($H21&lt;&gt;"",$H$26&lt;&gt;"",$H21&lt;&gt;$H$26,IFERROR(VLOOKUP($H21,areaCercaPuntiClassificaSquadra,3,FALSE()),-1)=IFERROR(VLOOKUP($H$26,areaCercaPuntiClassificaSquadra,3,FALSE()),-2)),SUMIFS('Calendario B'!$P$8:$P$110,'Calendario B'!$M$8:$M$110,$H21,'Calendario B'!$T$8:$T$110,$H$26)+SUMIFS('Calendario B'!$W$8:$W$110,'Calendario B'!$T$8:$T$110,$H21,'Calendario B'!$M$8:$M$110,$H$26)+SUMIFS('Calendario B'!$O$8:$O$110,'Calendario B'!$M$8:$M$110,$H21,'Calendario B'!$T$8:$T$110,$H$26)+SUMIFS('Calendario B'!$V$8:$V$110,'Calendario B'!$T$8:$T$110,$H21,'Calendario B'!$M$8:$M$110,$H$26),"-")</f>
        <v>-</v>
      </c>
      <c r="AO21" s="14" t="str">
        <f aca="false">IF(AND($H21&lt;&gt;"",$H$27&lt;&gt;"",$H21&lt;&gt;$H$27,IFERROR(VLOOKUP($H21,areaCercaPuntiClassificaSquadra,3,FALSE()),-1)=IFERROR(VLOOKUP($H$27,areaCercaPuntiClassificaSquadra,3,FALSE()),-2)),SUMIFS('Calendario B'!$P$8:$P$110,'Calendario B'!$M$8:$M$110,$H21,'Calendario B'!$T$8:$T$110,$H$27)+SUMIFS('Calendario B'!$W$8:$W$110,'Calendario B'!$T$8:$T$110,$H21,'Calendario B'!$M$8:$M$110,$H$27)+SUMIFS('Calendario B'!$O$8:$O$110,'Calendario B'!$M$8:$M$110,$H21,'Calendario B'!$T$8:$T$110,$H$27)+SUMIFS('Calendario B'!$V$8:$V$110,'Calendario B'!$T$8:$T$110,$H21,'Calendario B'!$M$8:$M$110,$H$27),"-")</f>
        <v>-</v>
      </c>
      <c r="AP21" s="13" t="str">
        <f aca="false">$C21</f>
        <v>Marmotte Maldestre-Marmotteopoli ME</v>
      </c>
      <c r="AQ21" s="14" t="n">
        <f aca="false">IF(AND($H21&lt;&gt;"",$H$20&lt;&gt;"",$H21&lt;&gt;$H$20,IFERROR(VLOOKUP($H21,areaCercaPuntiClassificaSquadra,3,FALSE()),-1)=IFERROR(VLOOKUP($H$20,areaCercaPuntiClassificaSquadra,3,FALSE()),-2)),SUMIFS('Calendario B'!$Q$8:$Q$110,'Calendario B'!$M$8:$M$110,$H21,'Calendario B'!$T$8:$T$110,$H$20)+SUMIFS('Calendario B'!$X$8:$X$110,'Calendario B'!$T$8:$T$110,$H21,'Calendario B'!$M$8:$M$110,$H$20),"-")</f>
        <v>48</v>
      </c>
      <c r="AR21" s="14" t="str">
        <f aca="false">IF(AND($H21&lt;&gt;"",$H$21&lt;&gt;"",$H21&lt;&gt;$H$21,IFERROR(VLOOKUP($H21,areaCercaPuntiClassificaSquadra,3,FALSE()),-1)=IFERROR(VLOOKUP($H$21,areaCercaPuntiClassificaSquadra,3,FALSE()),-2)),SUMIFS('Calendario B'!$Q$8:$Q$110,'Calendario B'!$M$8:$M$110,$H21,'Calendario B'!$T$8:$T$110,$H$21)+SUMIFS('Calendario B'!$X$8:$X$110,'Calendario B'!$T$8:$T$110,$H21,'Calendario B'!$M$8:$M$110,$H$21),"-")</f>
        <v>-</v>
      </c>
      <c r="AS21" s="14" t="str">
        <f aca="false">IF(AND($H21&lt;&gt;"",$H$22&lt;&gt;"",$H21&lt;&gt;$H$22,IFERROR(VLOOKUP($H21,areaCercaPuntiClassificaSquadra,3,FALSE()),-1)=IFERROR(VLOOKUP($H$22,areaCercaPuntiClassificaSquadra,3,FALSE()),-2)),SUMIFS('Calendario B'!$Q$8:$Q$110,'Calendario B'!$M$8:$M$110,$H21,'Calendario B'!$T$8:$T$110,$H$22)+SUMIFS('Calendario B'!$X$8:$X$110,'Calendario B'!$T$8:$T$110,$H21,'Calendario B'!$M$8:$M$110,$H$22),"-")</f>
        <v>-</v>
      </c>
      <c r="AT21" s="14" t="str">
        <f aca="false">IF(AND($H21&lt;&gt;"",$H$23&lt;&gt;"",$H21&lt;&gt;$H$23,IFERROR(VLOOKUP($H21,areaCercaPuntiClassificaSquadra,3,FALSE()),-1)=IFERROR(VLOOKUP($H$23,areaCercaPuntiClassificaSquadra,3,FALSE()),-2)),SUMIFS('Calendario B'!$Q$8:$Q$110,'Calendario B'!$M$8:$M$110,$H21,'Calendario B'!$T$8:$T$110,$H$23)+SUMIFS('Calendario B'!$X$8:$X$110,'Calendario B'!$T$8:$T$110,$H21,'Calendario B'!$M$8:$M$110,$H$23),"-")</f>
        <v>-</v>
      </c>
      <c r="AU21" s="14" t="str">
        <f aca="false">IF(AND($H21&lt;&gt;"",$H$24&lt;&gt;"",$H21&lt;&gt;$H$24,IFERROR(VLOOKUP($H21,areaCercaPuntiClassificaSquadra,3,FALSE()),-1)=IFERROR(VLOOKUP($H$24,areaCercaPuntiClassificaSquadra,3,FALSE()),-2)),SUMIFS('Calendario B'!$Q$8:$Q$110,'Calendario B'!$M$8:$M$110,$H21,'Calendario B'!$T$8:$T$110,$H$24)+SUMIFS('Calendario B'!$X$8:$X$110,'Calendario B'!$T$8:$T$110,$H21,'Calendario B'!$M$8:$M$110,$H$24),"-")</f>
        <v>-</v>
      </c>
      <c r="AV21" s="14" t="str">
        <f aca="false">IF(AND($H21&lt;&gt;"",$H$25&lt;&gt;"",$H21&lt;&gt;$H$25,IFERROR(VLOOKUP($H21,areaCercaPuntiClassificaSquadra,3,FALSE()),-1)=IFERROR(VLOOKUP($H$25,areaCercaPuntiClassificaSquadra,3,FALSE()),-2)),SUMIFS('Calendario B'!$Q$8:$Q$110,'Calendario B'!$M$8:$M$110,$H21,'Calendario B'!$T$8:$T$110,$H$25)+SUMIFS('Calendario B'!$X$8:$X$110,'Calendario B'!$T$8:$T$110,$H21,'Calendario B'!$M$8:$M$110,$H$25),"-")</f>
        <v>-</v>
      </c>
      <c r="AW21" s="14" t="str">
        <f aca="false">IF(AND($H21&lt;&gt;"",$H$26&lt;&gt;"",$H21&lt;&gt;$H$26,IFERROR(VLOOKUP($H21,areaCercaPuntiClassificaSquadra,3,FALSE()),-1)=IFERROR(VLOOKUP($H$26,areaCercaPuntiClassificaSquadra,3,FALSE()),-2)),SUMIFS('Calendario B'!$Q$8:$Q$110,'Calendario B'!$M$8:$M$110,$H21,'Calendario B'!$T$8:$T$110,$H$26)+SUMIFS('Calendario B'!$X$8:$X$110,'Calendario B'!$T$8:$T$110,$H21,'Calendario B'!$M$8:$M$110,$H$26),"-")</f>
        <v>-</v>
      </c>
      <c r="AX21" s="14" t="str">
        <f aca="false">IF(AND($H21&lt;&gt;"",$H$27&lt;&gt;"",$H21&lt;&gt;$H$27,IFERROR(VLOOKUP($H21,areaCercaPuntiClassificaSquadra,3,FALSE()),-1)=IFERROR(VLOOKUP($H$27,areaCercaPuntiClassificaSquadra,3,FALSE()),-2)),SUMIFS('Calendario B'!$Q$8:$Q$110,'Calendario B'!$M$8:$M$110,$H21,'Calendario B'!$T$8:$T$110,$H$27)+SUMIFS('Calendario B'!$X$8:$X$110,'Calendario B'!$T$8:$T$110,$H21,'Calendario B'!$M$8:$M$110,$H$27),"-")</f>
        <v>-</v>
      </c>
      <c r="AY21" s="13" t="str">
        <f aca="false">$C21</f>
        <v>Marmotte Maldestre-Marmotteopoli ME</v>
      </c>
      <c r="AZ21" s="14" t="n">
        <f aca="false">IF(AND($H21&lt;&gt;"",$H$20&lt;&gt;"",$H21&lt;&gt;$H$20,IFERROR(VLOOKUP($H21,areaCercaPuntiClassificaSquadra,3,FALSE()),-1)=IFERROR(VLOOKUP($H$20,areaCercaPuntiClassificaSquadra,3,FALSE()),-2)),SUMIFS('Calendario B'!$R$8:$R$110,'Calendario B'!$M$8:$M$110,$H21,'Calendario B'!$T$8:$T$110,$H$20)+SUMIFS('Calendario B'!$Y$8:$Y$110,'Calendario B'!$T$8:$T$110,$H21,'Calendario B'!$M$8:$M$110,$H$20),"-")</f>
        <v>58</v>
      </c>
      <c r="BA21" s="14" t="str">
        <f aca="false">IF(AND($H21&lt;&gt;"",$H$21&lt;&gt;"",$H21&lt;&gt;$H$21,IFERROR(VLOOKUP($H21,areaCercaPuntiClassificaSquadra,3,FALSE()),-1)=IFERROR(VLOOKUP($H$21,areaCercaPuntiClassificaSquadra,3,FALSE()),-2)),SUMIFS('Calendario B'!$R$8:$R$110,'Calendario B'!$M$8:$M$110,$H21,'Calendario B'!$T$8:$T$110,$H$21)+SUMIFS('Calendario B'!$Y$8:$Y$110,'Calendario B'!$T$8:$T$110,$H21,'Calendario B'!$M$8:$M$110,$H$21),"-")</f>
        <v>-</v>
      </c>
      <c r="BB21" s="14" t="str">
        <f aca="false">IF(AND($H21&lt;&gt;"",$H$22&lt;&gt;"",$H21&lt;&gt;$H$22,IFERROR(VLOOKUP($H21,areaCercaPuntiClassificaSquadra,3,FALSE()),-1)=IFERROR(VLOOKUP($H$22,areaCercaPuntiClassificaSquadra,3,FALSE()),-2)),SUMIFS('Calendario B'!$R$8:$R$110,'Calendario B'!$M$8:$M$110,$H21,'Calendario B'!$T$8:$T$110,$H$22)+SUMIFS('Calendario B'!$Y$8:$Y$110,'Calendario B'!$T$8:$T$110,$H21,'Calendario B'!$M$8:$M$110,$H$22),"-")</f>
        <v>-</v>
      </c>
      <c r="BC21" s="14" t="str">
        <f aca="false">IF(AND($H21&lt;&gt;"",$H$23&lt;&gt;"",$H21&lt;&gt;$H$23,IFERROR(VLOOKUP($H21,areaCercaPuntiClassificaSquadra,3,FALSE()),-1)=IFERROR(VLOOKUP($H$23,areaCercaPuntiClassificaSquadra,3,FALSE()),-2)),SUMIFS('Calendario B'!$R$8:$R$110,'Calendario B'!$M$8:$M$110,$H21,'Calendario B'!$T$8:$T$110,$H$23)+SUMIFS('Calendario B'!$Y$8:$Y$110,'Calendario B'!$T$8:$T$110,$H21,'Calendario B'!$M$8:$M$110,$H$23),"-")</f>
        <v>-</v>
      </c>
      <c r="BD21" s="14" t="str">
        <f aca="false">IF(AND($H21&lt;&gt;"",$H$24&lt;&gt;"",$H21&lt;&gt;$H$24,IFERROR(VLOOKUP($H21,areaCercaPuntiClassificaSquadra,3,FALSE()),-1)=IFERROR(VLOOKUP($H$24,areaCercaPuntiClassificaSquadra,3,FALSE()),-2)),SUMIFS('Calendario B'!$R$8:$R$110,'Calendario B'!$M$8:$M$110,$H21,'Calendario B'!$T$8:$T$110,$H$24)+SUMIFS('Calendario B'!$Y$8:$Y$110,'Calendario B'!$T$8:$T$110,$H21,'Calendario B'!$M$8:$M$110,$H$24),"-")</f>
        <v>-</v>
      </c>
      <c r="BE21" s="14" t="str">
        <f aca="false">IF(AND($H21&lt;&gt;"",$H$25&lt;&gt;"",$H21&lt;&gt;$H$25,IFERROR(VLOOKUP($H21,areaCercaPuntiClassificaSquadra,3,FALSE()),-1)=IFERROR(VLOOKUP($H$25,areaCercaPuntiClassificaSquadra,3,FALSE()),-2)),SUMIFS('Calendario B'!$R$8:$R$110,'Calendario B'!$M$8:$M$110,$H21,'Calendario B'!$T$8:$T$110,$H$25)+SUMIFS('Calendario B'!$Y$8:$Y$110,'Calendario B'!$T$8:$T$110,$H21,'Calendario B'!$M$8:$M$110,$H$25),"-")</f>
        <v>-</v>
      </c>
      <c r="BF21" s="14" t="str">
        <f aca="false">IF(AND($H21&lt;&gt;"",$H$26&lt;&gt;"",$H21&lt;&gt;$H$26,IFERROR(VLOOKUP($H21,areaCercaPuntiClassificaSquadra,3,FALSE()),-1)=IFERROR(VLOOKUP($H$26,areaCercaPuntiClassificaSquadra,3,FALSE()),-2)),SUMIFS('Calendario B'!$R$8:$R$110,'Calendario B'!$M$8:$M$110,$H21,'Calendario B'!$T$8:$T$110,$H$26)+SUMIFS('Calendario B'!$Y$8:$Y$110,'Calendario B'!$T$8:$T$110,$H21,'Calendario B'!$M$8:$M$110,$H$26),"-")</f>
        <v>-</v>
      </c>
      <c r="BG21" s="14" t="str">
        <f aca="false">IF(AND($H21&lt;&gt;"",$H$27&lt;&gt;"",$H21&lt;&gt;$H$27,IFERROR(VLOOKUP($H21,areaCercaPuntiClassificaSquadra,3,FALSE()),-1)=IFERROR(VLOOKUP($H$27,areaCercaPuntiClassificaSquadra,3,FALSE()),-2)),SUMIFS('Calendario B'!$R$8:$R$110,'Calendario B'!$M$8:$M$110,$H21,'Calendario B'!$T$8:$T$110,$H$27)+SUMIFS('Calendario B'!$Y$8:$Y$110,'Calendario B'!$T$8:$T$110,$H21,'Calendario B'!$M$8:$M$110,$H$27),"-")</f>
        <v>-</v>
      </c>
    </row>
    <row r="22" customFormat="false" ht="15" hidden="false" customHeight="false" outlineLevel="0" collapsed="false">
      <c r="B22" s="7" t="s">
        <v>69</v>
      </c>
      <c r="C22" s="8" t="s">
        <v>70</v>
      </c>
      <c r="D22" s="9"/>
      <c r="E22" s="15" t="s">
        <v>66</v>
      </c>
      <c r="G22" s="16" t="str">
        <f aca="false">IF($C22="","",$E22&amp;(COUNTIFS(I$12:I$75,"&gt;"&amp;I22,E$12:E$75,"="&amp;E22,C$12:C$75,"&lt;&gt;")+COUNTIFS(I$12:I$75,"="&amp;I22,H$12:H$75,"&lt;="&amp;H22,E$12:E$75,"="&amp;E22,C$12:C$75,"&lt;&gt;")))</f>
        <v>B7</v>
      </c>
      <c r="H22" s="12" t="str">
        <f aca="false">IF($C22="","",IFERROR(LEFT($C22,FIND("-",$C22)-1),$C22))</f>
        <v>Narvali Nobili</v>
      </c>
      <c r="I22" s="7" t="str">
        <f aca="false">TEXT(1000000000+J22,"|0000000000|")&amp;TEXT(SUM(Y22:AF22),"0000000000|")&amp;IF(SUM(AZ22:BG22)=0,"0000000000|",TEXT(ROUND(SUM(AQ22:AX22)/SUM(AZ22:BG22),4)*100000,"0000000000|"))&amp;IF(P22=0,"0000000000|",TEXT(ROUND(O22/P22,4)*100000,"0000000000|"))</f>
        <v>|1000000011|0000000000|0000000000|0000081600|</v>
      </c>
      <c r="J22" s="16" t="n">
        <f aca="false">L22*constPuntiVittoria+M22*constPuntiSconfitta+N22*constPuntiForfait+IF(D22="",0,D22)</f>
        <v>11</v>
      </c>
      <c r="K22" s="7" t="n">
        <f aca="false">SUM(L22:N22)</f>
        <v>7</v>
      </c>
      <c r="L22" s="7" t="n">
        <f aca="false">IF($H22="",0,SUMIF('Calendario B'!$M$8:$M$110,$H22,'Calendario B'!$N$8:$N$110)+SUMIF('Calendario B'!$T$8:$T$110,$H22,'Calendario B'!$U$8:$U$110))</f>
        <v>2</v>
      </c>
      <c r="M22" s="7" t="n">
        <f aca="false">IF($H22="",0,SUMIF('Calendario B'!$M$8:$M$110,$H22,'Calendario B'!$P$8:$P$110)+SUMIF('Calendario B'!$T$8:$T$110,$H22,'Calendario B'!$W$8:$W$110))</f>
        <v>5</v>
      </c>
      <c r="N22" s="7" t="n">
        <f aca="false">IF($H22="",0,SUMIF('Calendario B'!$M$8:$M$110,$H22,'Calendario B'!$O$8:$O$110)+SUMIF('Calendario B'!$T$8:$T$110,$H22,'Calendario B'!$V$8:$V$110))</f>
        <v>0</v>
      </c>
      <c r="O22" s="7" t="n">
        <f aca="false">IF($H22="",0,SUMIF('Calendario B'!$M$8:$M$110,$H22,'Calendario B'!$Q$8:$Q$110)+SUMIF('Calendario B'!$T$8:$T$110,$H22,'Calendario B'!$X$8:$X$110))</f>
        <v>399</v>
      </c>
      <c r="P22" s="7" t="n">
        <f aca="false">IF($H22="",0,SUMIF('Calendario B'!$M$8:$M$110,$H22,'Calendario B'!$R$8:$R$110)+SUMIF('Calendario B'!$T$8:$T$110,$H22,'Calendario B'!$Y$8:$Y$110))</f>
        <v>489</v>
      </c>
      <c r="Q22" s="7" t="n">
        <f aca="false">IF($H22="",0,SUMIF('Calendario B'!$M$8:$M$110,$H22,'Calendario B'!$S$8:$S$110)+SUMIF('Calendario B'!$T$8:$T$110,$H22,'Calendario B'!$Z$8:$Z$110))</f>
        <v>-90</v>
      </c>
      <c r="R22" s="7" t="n">
        <f aca="false">IF(K22=0,0,ROUND(O22/K22,2))</f>
        <v>57</v>
      </c>
      <c r="S22" s="7" t="n">
        <f aca="false">IF(K22=0,0,ROUND(P22/K22,2))</f>
        <v>69.86</v>
      </c>
      <c r="T22" s="7" t="n">
        <f aca="false">IF(K22=0,0,ROUND(Q22/K22,2))</f>
        <v>-12.86</v>
      </c>
      <c r="U22" s="7" t="str">
        <f aca="false">IF(COUNT(Y22:AF22)=0,"-",SUM(Y22:AF22)&amp;"-"&amp;SUM(AH22:AO22))</f>
        <v>-</v>
      </c>
      <c r="V22" s="7" t="str">
        <f aca="false">IF(COUNT(Y22:AF22)=0,"-",IF(SUM(AZ22:BG22)=0,TEXT(0,"0.0000"),TEXT(ROUND(SUM(AQ22:AX22)/SUM(AZ22:BG22),4),"0.0000")))</f>
        <v>-</v>
      </c>
      <c r="W22" s="7" t="str">
        <f aca="false">IF(H22="","-",IF(P22=0,TEXT(0,"0.0000"),TEXT(ROUND(O22/P22,4),"0.0000")))</f>
        <v>0.8160</v>
      </c>
      <c r="X22" s="13" t="str">
        <f aca="false">$C22</f>
        <v>Narvali Nobili-Narvaliopoli NI</v>
      </c>
      <c r="Y22" s="14" t="str">
        <f aca="false">IF(AND($H22&lt;&gt;"",$H$20&lt;&gt;"",$H22&lt;&gt;$H$20,IFERROR(VLOOKUP($H22,areaCercaPuntiClassificaSquadra,3,FALSE()),-1)=IFERROR(VLOOKUP($H$20,areaCercaPuntiClassificaSquadra,3,FALSE()),-2)),SUMIFS('Calendario B'!$N$8:$N$110,'Calendario B'!$M$8:$M$110,$H22,'Calendario B'!$T$8:$T$110,$H$20)+SUMIFS('Calendario B'!$U$8:$U$110,'Calendario B'!$T$8:$T$110,$H22,'Calendario B'!$M$8:$M$110,$H$20),"-")</f>
        <v>-</v>
      </c>
      <c r="Z22" s="14" t="str">
        <f aca="false">IF(AND($H22&lt;&gt;"",$H$21&lt;&gt;"",$H22&lt;&gt;$H$21,IFERROR(VLOOKUP($H22,areaCercaPuntiClassificaSquadra,3,FALSE()),-1)=IFERROR(VLOOKUP($H$21,areaCercaPuntiClassificaSquadra,3,FALSE()),-2)),SUMIFS('Calendario B'!$N$8:$N$110,'Calendario B'!$M$8:$M$110,$H22,'Calendario B'!$T$8:$T$110,$H$21)+SUMIFS('Calendario B'!$U$8:$U$110,'Calendario B'!$T$8:$T$110,$H22,'Calendario B'!$M$8:$M$110,$H$21),"-")</f>
        <v>-</v>
      </c>
      <c r="AA22" s="14" t="str">
        <f aca="false">IF(AND($H22&lt;&gt;"",$H$22&lt;&gt;"",$H22&lt;&gt;$H$22,IFERROR(VLOOKUP($H22,areaCercaPuntiClassificaSquadra,3,FALSE()),-1)=IFERROR(VLOOKUP($H$22,areaCercaPuntiClassificaSquadra,3,FALSE()),-2)),SUMIFS('Calendario B'!$N$8:$N$110,'Calendario B'!$M$8:$M$110,$H22,'Calendario B'!$T$8:$T$110,$H$22)+SUMIFS('Calendario B'!$U$8:$U$110,'Calendario B'!$T$8:$T$110,$H22,'Calendario B'!$M$8:$M$110,$H$22),"-")</f>
        <v>-</v>
      </c>
      <c r="AB22" s="14" t="str">
        <f aca="false">IF(AND($H22&lt;&gt;"",$H$23&lt;&gt;"",$H22&lt;&gt;$H$23,IFERROR(VLOOKUP($H22,areaCercaPuntiClassificaSquadra,3,FALSE()),-1)=IFERROR(VLOOKUP($H$23,areaCercaPuntiClassificaSquadra,3,FALSE()),-2)),SUMIFS('Calendario B'!$N$8:$N$110,'Calendario B'!$M$8:$M$110,$H22,'Calendario B'!$T$8:$T$110,$H$23)+SUMIFS('Calendario B'!$U$8:$U$110,'Calendario B'!$T$8:$T$110,$H22,'Calendario B'!$M$8:$M$110,$H$23),"-")</f>
        <v>-</v>
      </c>
      <c r="AC22" s="14" t="str">
        <f aca="false">IF(AND($H22&lt;&gt;"",$H$24&lt;&gt;"",$H22&lt;&gt;$H$24,IFERROR(VLOOKUP($H22,areaCercaPuntiClassificaSquadra,3,FALSE()),-1)=IFERROR(VLOOKUP($H$24,areaCercaPuntiClassificaSquadra,3,FALSE()),-2)),SUMIFS('Calendario B'!$N$8:$N$110,'Calendario B'!$M$8:$M$110,$H22,'Calendario B'!$T$8:$T$110,$H$24)+SUMIFS('Calendario B'!$U$8:$U$110,'Calendario B'!$T$8:$T$110,$H22,'Calendario B'!$M$8:$M$110,$H$24),"-")</f>
        <v>-</v>
      </c>
      <c r="AD22" s="14" t="str">
        <f aca="false">IF(AND($H22&lt;&gt;"",$H$25&lt;&gt;"",$H22&lt;&gt;$H$25,IFERROR(VLOOKUP($H22,areaCercaPuntiClassificaSquadra,3,FALSE()),-1)=IFERROR(VLOOKUP($H$25,areaCercaPuntiClassificaSquadra,3,FALSE()),-2)),SUMIFS('Calendario B'!$N$8:$N$110,'Calendario B'!$M$8:$M$110,$H22,'Calendario B'!$T$8:$T$110,$H$25)+SUMIFS('Calendario B'!$U$8:$U$110,'Calendario B'!$T$8:$T$110,$H22,'Calendario B'!$M$8:$M$110,$H$25),"-")</f>
        <v>-</v>
      </c>
      <c r="AE22" s="14" t="str">
        <f aca="false">IF(AND($H22&lt;&gt;"",$H$26&lt;&gt;"",$H22&lt;&gt;$H$26,IFERROR(VLOOKUP($H22,areaCercaPuntiClassificaSquadra,3,FALSE()),-1)=IFERROR(VLOOKUP($H$26,areaCercaPuntiClassificaSquadra,3,FALSE()),-2)),SUMIFS('Calendario B'!$N$8:$N$110,'Calendario B'!$M$8:$M$110,$H22,'Calendario B'!$T$8:$T$110,$H$26)+SUMIFS('Calendario B'!$U$8:$U$110,'Calendario B'!$T$8:$T$110,$H22,'Calendario B'!$M$8:$M$110,$H$26),"-")</f>
        <v>-</v>
      </c>
      <c r="AF22" s="14" t="str">
        <f aca="false">IF(AND($H22&lt;&gt;"",$H$27&lt;&gt;"",$H22&lt;&gt;$H$27,IFERROR(VLOOKUP($H22,areaCercaPuntiClassificaSquadra,3,FALSE()),-1)=IFERROR(VLOOKUP($H$27,areaCercaPuntiClassificaSquadra,3,FALSE()),-2)),SUMIFS('Calendario B'!$N$8:$N$110,'Calendario B'!$M$8:$M$110,$H22,'Calendario B'!$T$8:$T$110,$H$27)+SUMIFS('Calendario B'!$U$8:$U$110,'Calendario B'!$T$8:$T$110,$H22,'Calendario B'!$M$8:$M$110,$H$27),"-")</f>
        <v>-</v>
      </c>
      <c r="AG22" s="13" t="str">
        <f aca="false">$C22</f>
        <v>Narvali Nobili-Narvaliopoli NI</v>
      </c>
      <c r="AH22" s="14" t="str">
        <f aca="false">IF(AND($H22&lt;&gt;"",$H$20&lt;&gt;"",$H22&lt;&gt;$H$20,IFERROR(VLOOKUP($H22,areaCercaPuntiClassificaSquadra,3,FALSE()),-1)=IFERROR(VLOOKUP($H$20,areaCercaPuntiClassificaSquadra,3,FALSE()),-2)),SUMIFS('Calendario B'!$P$8:$P$110,'Calendario B'!$M$8:$M$110,$H22,'Calendario B'!$T$8:$T$110,$H$20)+SUMIFS('Calendario B'!$W$8:$W$110,'Calendario B'!$T$8:$T$110,$H22,'Calendario B'!$M$8:$M$110,$H$20)+SUMIFS('Calendario B'!$O$8:$O$110,'Calendario B'!$M$8:$M$110,$H22,'Calendario B'!$T$8:$T$110,$H$20)+SUMIFS('Calendario B'!$V$8:$V$110,'Calendario B'!$T$8:$T$110,$H22,'Calendario B'!$M$8:$M$110,$H$20),"-")</f>
        <v>-</v>
      </c>
      <c r="AI22" s="14" t="str">
        <f aca="false">IF(AND($H22&lt;&gt;"",$H$21&lt;&gt;"",$H22&lt;&gt;$H$21,IFERROR(VLOOKUP($H22,areaCercaPuntiClassificaSquadra,3,FALSE()),-1)=IFERROR(VLOOKUP($H$21,areaCercaPuntiClassificaSquadra,3,FALSE()),-2)),SUMIFS('Calendario B'!$P$8:$P$110,'Calendario B'!$M$8:$M$110,$H22,'Calendario B'!$T$8:$T$110,$H$21)+SUMIFS('Calendario B'!$W$8:$W$110,'Calendario B'!$T$8:$T$110,$H22,'Calendario B'!$M$8:$M$110,$H$21)+SUMIFS('Calendario B'!$O$8:$O$110,'Calendario B'!$M$8:$M$110,$H22,'Calendario B'!$T$8:$T$110,$H$21)+SUMIFS('Calendario B'!$V$8:$V$110,'Calendario B'!$T$8:$T$110,$H22,'Calendario B'!$M$8:$M$110,$H$21),"-")</f>
        <v>-</v>
      </c>
      <c r="AJ22" s="14" t="str">
        <f aca="false">IF(AND($H22&lt;&gt;"",$H$22&lt;&gt;"",$H22&lt;&gt;$H$22,IFERROR(VLOOKUP($H22,areaCercaPuntiClassificaSquadra,3,FALSE()),-1)=IFERROR(VLOOKUP($H$22,areaCercaPuntiClassificaSquadra,3,FALSE()),-2)),SUMIFS('Calendario B'!$P$8:$P$110,'Calendario B'!$M$8:$M$110,$H22,'Calendario B'!$T$8:$T$110,$H$22)+SUMIFS('Calendario B'!$W$8:$W$110,'Calendario B'!$T$8:$T$110,$H22,'Calendario B'!$M$8:$M$110,$H$22)+SUMIFS('Calendario B'!$O$8:$O$110,'Calendario B'!$M$8:$M$110,$H22,'Calendario B'!$T$8:$T$110,$H$22)+SUMIFS('Calendario B'!$V$8:$V$110,'Calendario B'!$T$8:$T$110,$H22,'Calendario B'!$M$8:$M$110,$H$22),"-")</f>
        <v>-</v>
      </c>
      <c r="AK22" s="14" t="str">
        <f aca="false">IF(AND($H22&lt;&gt;"",$H$23&lt;&gt;"",$H22&lt;&gt;$H$23,IFERROR(VLOOKUP($H22,areaCercaPuntiClassificaSquadra,3,FALSE()),-1)=IFERROR(VLOOKUP($H$23,areaCercaPuntiClassificaSquadra,3,FALSE()),-2)),SUMIFS('Calendario B'!$P$8:$P$110,'Calendario B'!$M$8:$M$110,$H22,'Calendario B'!$T$8:$T$110,$H$23)+SUMIFS('Calendario B'!$W$8:$W$110,'Calendario B'!$T$8:$T$110,$H22,'Calendario B'!$M$8:$M$110,$H$23)+SUMIFS('Calendario B'!$O$8:$O$110,'Calendario B'!$M$8:$M$110,$H22,'Calendario B'!$T$8:$T$110,$H$23)+SUMIFS('Calendario B'!$V$8:$V$110,'Calendario B'!$T$8:$T$110,$H22,'Calendario B'!$M$8:$M$110,$H$23),"-")</f>
        <v>-</v>
      </c>
      <c r="AL22" s="14" t="str">
        <f aca="false">IF(AND($H22&lt;&gt;"",$H$24&lt;&gt;"",$H22&lt;&gt;$H$24,IFERROR(VLOOKUP($H22,areaCercaPuntiClassificaSquadra,3,FALSE()),-1)=IFERROR(VLOOKUP($H$24,areaCercaPuntiClassificaSquadra,3,FALSE()),-2)),SUMIFS('Calendario B'!$P$8:$P$110,'Calendario B'!$M$8:$M$110,$H22,'Calendario B'!$T$8:$T$110,$H$24)+SUMIFS('Calendario B'!$W$8:$W$110,'Calendario B'!$T$8:$T$110,$H22,'Calendario B'!$M$8:$M$110,$H$24)+SUMIFS('Calendario B'!$O$8:$O$110,'Calendario B'!$M$8:$M$110,$H22,'Calendario B'!$T$8:$T$110,$H$24)+SUMIFS('Calendario B'!$V$8:$V$110,'Calendario B'!$T$8:$T$110,$H22,'Calendario B'!$M$8:$M$110,$H$24),"-")</f>
        <v>-</v>
      </c>
      <c r="AM22" s="14" t="str">
        <f aca="false">IF(AND($H22&lt;&gt;"",$H$25&lt;&gt;"",$H22&lt;&gt;$H$25,IFERROR(VLOOKUP($H22,areaCercaPuntiClassificaSquadra,3,FALSE()),-1)=IFERROR(VLOOKUP($H$25,areaCercaPuntiClassificaSquadra,3,FALSE()),-2)),SUMIFS('Calendario B'!$P$8:$P$110,'Calendario B'!$M$8:$M$110,$H22,'Calendario B'!$T$8:$T$110,$H$25)+SUMIFS('Calendario B'!$W$8:$W$110,'Calendario B'!$T$8:$T$110,$H22,'Calendario B'!$M$8:$M$110,$H$25)+SUMIFS('Calendario B'!$O$8:$O$110,'Calendario B'!$M$8:$M$110,$H22,'Calendario B'!$T$8:$T$110,$H$25)+SUMIFS('Calendario B'!$V$8:$V$110,'Calendario B'!$T$8:$T$110,$H22,'Calendario B'!$M$8:$M$110,$H$25),"-")</f>
        <v>-</v>
      </c>
      <c r="AN22" s="14" t="str">
        <f aca="false">IF(AND($H22&lt;&gt;"",$H$26&lt;&gt;"",$H22&lt;&gt;$H$26,IFERROR(VLOOKUP($H22,areaCercaPuntiClassificaSquadra,3,FALSE()),-1)=IFERROR(VLOOKUP($H$26,areaCercaPuntiClassificaSquadra,3,FALSE()),-2)),SUMIFS('Calendario B'!$P$8:$P$110,'Calendario B'!$M$8:$M$110,$H22,'Calendario B'!$T$8:$T$110,$H$26)+SUMIFS('Calendario B'!$W$8:$W$110,'Calendario B'!$T$8:$T$110,$H22,'Calendario B'!$M$8:$M$110,$H$26)+SUMIFS('Calendario B'!$O$8:$O$110,'Calendario B'!$M$8:$M$110,$H22,'Calendario B'!$T$8:$T$110,$H$26)+SUMIFS('Calendario B'!$V$8:$V$110,'Calendario B'!$T$8:$T$110,$H22,'Calendario B'!$M$8:$M$110,$H$26),"-")</f>
        <v>-</v>
      </c>
      <c r="AO22" s="14" t="str">
        <f aca="false">IF(AND($H22&lt;&gt;"",$H$27&lt;&gt;"",$H22&lt;&gt;$H$27,IFERROR(VLOOKUP($H22,areaCercaPuntiClassificaSquadra,3,FALSE()),-1)=IFERROR(VLOOKUP($H$27,areaCercaPuntiClassificaSquadra,3,FALSE()),-2)),SUMIFS('Calendario B'!$P$8:$P$110,'Calendario B'!$M$8:$M$110,$H22,'Calendario B'!$T$8:$T$110,$H$27)+SUMIFS('Calendario B'!$W$8:$W$110,'Calendario B'!$T$8:$T$110,$H22,'Calendario B'!$M$8:$M$110,$H$27)+SUMIFS('Calendario B'!$O$8:$O$110,'Calendario B'!$M$8:$M$110,$H22,'Calendario B'!$T$8:$T$110,$H$27)+SUMIFS('Calendario B'!$V$8:$V$110,'Calendario B'!$T$8:$T$110,$H22,'Calendario B'!$M$8:$M$110,$H$27),"-")</f>
        <v>-</v>
      </c>
      <c r="AP22" s="13" t="str">
        <f aca="false">$C22</f>
        <v>Narvali Nobili-Narvaliopoli NI</v>
      </c>
      <c r="AQ22" s="14" t="str">
        <f aca="false">IF(AND($H22&lt;&gt;"",$H$20&lt;&gt;"",$H22&lt;&gt;$H$20,IFERROR(VLOOKUP($H22,areaCercaPuntiClassificaSquadra,3,FALSE()),-1)=IFERROR(VLOOKUP($H$20,areaCercaPuntiClassificaSquadra,3,FALSE()),-2)),SUMIFS('Calendario B'!$Q$8:$Q$110,'Calendario B'!$M$8:$M$110,$H22,'Calendario B'!$T$8:$T$110,$H$20)+SUMIFS('Calendario B'!$X$8:$X$110,'Calendario B'!$T$8:$T$110,$H22,'Calendario B'!$M$8:$M$110,$H$20),"-")</f>
        <v>-</v>
      </c>
      <c r="AR22" s="14" t="str">
        <f aca="false">IF(AND($H22&lt;&gt;"",$H$21&lt;&gt;"",$H22&lt;&gt;$H$21,IFERROR(VLOOKUP($H22,areaCercaPuntiClassificaSquadra,3,FALSE()),-1)=IFERROR(VLOOKUP($H$21,areaCercaPuntiClassificaSquadra,3,FALSE()),-2)),SUMIFS('Calendario B'!$Q$8:$Q$110,'Calendario B'!$M$8:$M$110,$H22,'Calendario B'!$T$8:$T$110,$H$21)+SUMIFS('Calendario B'!$X$8:$X$110,'Calendario B'!$T$8:$T$110,$H22,'Calendario B'!$M$8:$M$110,$H$21),"-")</f>
        <v>-</v>
      </c>
      <c r="AS22" s="14" t="str">
        <f aca="false">IF(AND($H22&lt;&gt;"",$H$22&lt;&gt;"",$H22&lt;&gt;$H$22,IFERROR(VLOOKUP($H22,areaCercaPuntiClassificaSquadra,3,FALSE()),-1)=IFERROR(VLOOKUP($H$22,areaCercaPuntiClassificaSquadra,3,FALSE()),-2)),SUMIFS('Calendario B'!$Q$8:$Q$110,'Calendario B'!$M$8:$M$110,$H22,'Calendario B'!$T$8:$T$110,$H$22)+SUMIFS('Calendario B'!$X$8:$X$110,'Calendario B'!$T$8:$T$110,$H22,'Calendario B'!$M$8:$M$110,$H$22),"-")</f>
        <v>-</v>
      </c>
      <c r="AT22" s="14" t="str">
        <f aca="false">IF(AND($H22&lt;&gt;"",$H$23&lt;&gt;"",$H22&lt;&gt;$H$23,IFERROR(VLOOKUP($H22,areaCercaPuntiClassificaSquadra,3,FALSE()),-1)=IFERROR(VLOOKUP($H$23,areaCercaPuntiClassificaSquadra,3,FALSE()),-2)),SUMIFS('Calendario B'!$Q$8:$Q$110,'Calendario B'!$M$8:$M$110,$H22,'Calendario B'!$T$8:$T$110,$H$23)+SUMIFS('Calendario B'!$X$8:$X$110,'Calendario B'!$T$8:$T$110,$H22,'Calendario B'!$M$8:$M$110,$H$23),"-")</f>
        <v>-</v>
      </c>
      <c r="AU22" s="14" t="str">
        <f aca="false">IF(AND($H22&lt;&gt;"",$H$24&lt;&gt;"",$H22&lt;&gt;$H$24,IFERROR(VLOOKUP($H22,areaCercaPuntiClassificaSquadra,3,FALSE()),-1)=IFERROR(VLOOKUP($H$24,areaCercaPuntiClassificaSquadra,3,FALSE()),-2)),SUMIFS('Calendario B'!$Q$8:$Q$110,'Calendario B'!$M$8:$M$110,$H22,'Calendario B'!$T$8:$T$110,$H$24)+SUMIFS('Calendario B'!$X$8:$X$110,'Calendario B'!$T$8:$T$110,$H22,'Calendario B'!$M$8:$M$110,$H$24),"-")</f>
        <v>-</v>
      </c>
      <c r="AV22" s="14" t="str">
        <f aca="false">IF(AND($H22&lt;&gt;"",$H$25&lt;&gt;"",$H22&lt;&gt;$H$25,IFERROR(VLOOKUP($H22,areaCercaPuntiClassificaSquadra,3,FALSE()),-1)=IFERROR(VLOOKUP($H$25,areaCercaPuntiClassificaSquadra,3,FALSE()),-2)),SUMIFS('Calendario B'!$Q$8:$Q$110,'Calendario B'!$M$8:$M$110,$H22,'Calendario B'!$T$8:$T$110,$H$25)+SUMIFS('Calendario B'!$X$8:$X$110,'Calendario B'!$T$8:$T$110,$H22,'Calendario B'!$M$8:$M$110,$H$25),"-")</f>
        <v>-</v>
      </c>
      <c r="AW22" s="14" t="str">
        <f aca="false">IF(AND($H22&lt;&gt;"",$H$26&lt;&gt;"",$H22&lt;&gt;$H$26,IFERROR(VLOOKUP($H22,areaCercaPuntiClassificaSquadra,3,FALSE()),-1)=IFERROR(VLOOKUP($H$26,areaCercaPuntiClassificaSquadra,3,FALSE()),-2)),SUMIFS('Calendario B'!$Q$8:$Q$110,'Calendario B'!$M$8:$M$110,$H22,'Calendario B'!$T$8:$T$110,$H$26)+SUMIFS('Calendario B'!$X$8:$X$110,'Calendario B'!$T$8:$T$110,$H22,'Calendario B'!$M$8:$M$110,$H$26),"-")</f>
        <v>-</v>
      </c>
      <c r="AX22" s="14" t="str">
        <f aca="false">IF(AND($H22&lt;&gt;"",$H$27&lt;&gt;"",$H22&lt;&gt;$H$27,IFERROR(VLOOKUP($H22,areaCercaPuntiClassificaSquadra,3,FALSE()),-1)=IFERROR(VLOOKUP($H$27,areaCercaPuntiClassificaSquadra,3,FALSE()),-2)),SUMIFS('Calendario B'!$Q$8:$Q$110,'Calendario B'!$M$8:$M$110,$H22,'Calendario B'!$T$8:$T$110,$H$27)+SUMIFS('Calendario B'!$X$8:$X$110,'Calendario B'!$T$8:$T$110,$H22,'Calendario B'!$M$8:$M$110,$H$27),"-")</f>
        <v>-</v>
      </c>
      <c r="AY22" s="13" t="str">
        <f aca="false">$C22</f>
        <v>Narvali Nobili-Narvaliopoli NI</v>
      </c>
      <c r="AZ22" s="14" t="str">
        <f aca="false">IF(AND($H22&lt;&gt;"",$H$20&lt;&gt;"",$H22&lt;&gt;$H$20,IFERROR(VLOOKUP($H22,areaCercaPuntiClassificaSquadra,3,FALSE()),-1)=IFERROR(VLOOKUP($H$20,areaCercaPuntiClassificaSquadra,3,FALSE()),-2)),SUMIFS('Calendario B'!$R$8:$R$110,'Calendario B'!$M$8:$M$110,$H22,'Calendario B'!$T$8:$T$110,$H$20)+SUMIFS('Calendario B'!$Y$8:$Y$110,'Calendario B'!$T$8:$T$110,$H22,'Calendario B'!$M$8:$M$110,$H$20),"-")</f>
        <v>-</v>
      </c>
      <c r="BA22" s="14" t="str">
        <f aca="false">IF(AND($H22&lt;&gt;"",$H$21&lt;&gt;"",$H22&lt;&gt;$H$21,IFERROR(VLOOKUP($H22,areaCercaPuntiClassificaSquadra,3,FALSE()),-1)=IFERROR(VLOOKUP($H$21,areaCercaPuntiClassificaSquadra,3,FALSE()),-2)),SUMIFS('Calendario B'!$R$8:$R$110,'Calendario B'!$M$8:$M$110,$H22,'Calendario B'!$T$8:$T$110,$H$21)+SUMIFS('Calendario B'!$Y$8:$Y$110,'Calendario B'!$T$8:$T$110,$H22,'Calendario B'!$M$8:$M$110,$H$21),"-")</f>
        <v>-</v>
      </c>
      <c r="BB22" s="14" t="str">
        <f aca="false">IF(AND($H22&lt;&gt;"",$H$22&lt;&gt;"",$H22&lt;&gt;$H$22,IFERROR(VLOOKUP($H22,areaCercaPuntiClassificaSquadra,3,FALSE()),-1)=IFERROR(VLOOKUP($H$22,areaCercaPuntiClassificaSquadra,3,FALSE()),-2)),SUMIFS('Calendario B'!$R$8:$R$110,'Calendario B'!$M$8:$M$110,$H22,'Calendario B'!$T$8:$T$110,$H$22)+SUMIFS('Calendario B'!$Y$8:$Y$110,'Calendario B'!$T$8:$T$110,$H22,'Calendario B'!$M$8:$M$110,$H$22),"-")</f>
        <v>-</v>
      </c>
      <c r="BC22" s="14" t="str">
        <f aca="false">IF(AND($H22&lt;&gt;"",$H$23&lt;&gt;"",$H22&lt;&gt;$H$23,IFERROR(VLOOKUP($H22,areaCercaPuntiClassificaSquadra,3,FALSE()),-1)=IFERROR(VLOOKUP($H$23,areaCercaPuntiClassificaSquadra,3,FALSE()),-2)),SUMIFS('Calendario B'!$R$8:$R$110,'Calendario B'!$M$8:$M$110,$H22,'Calendario B'!$T$8:$T$110,$H$23)+SUMIFS('Calendario B'!$Y$8:$Y$110,'Calendario B'!$T$8:$T$110,$H22,'Calendario B'!$M$8:$M$110,$H$23),"-")</f>
        <v>-</v>
      </c>
      <c r="BD22" s="14" t="str">
        <f aca="false">IF(AND($H22&lt;&gt;"",$H$24&lt;&gt;"",$H22&lt;&gt;$H$24,IFERROR(VLOOKUP($H22,areaCercaPuntiClassificaSquadra,3,FALSE()),-1)=IFERROR(VLOOKUP($H$24,areaCercaPuntiClassificaSquadra,3,FALSE()),-2)),SUMIFS('Calendario B'!$R$8:$R$110,'Calendario B'!$M$8:$M$110,$H22,'Calendario B'!$T$8:$T$110,$H$24)+SUMIFS('Calendario B'!$Y$8:$Y$110,'Calendario B'!$T$8:$T$110,$H22,'Calendario B'!$M$8:$M$110,$H$24),"-")</f>
        <v>-</v>
      </c>
      <c r="BE22" s="14" t="str">
        <f aca="false">IF(AND($H22&lt;&gt;"",$H$25&lt;&gt;"",$H22&lt;&gt;$H$25,IFERROR(VLOOKUP($H22,areaCercaPuntiClassificaSquadra,3,FALSE()),-1)=IFERROR(VLOOKUP($H$25,areaCercaPuntiClassificaSquadra,3,FALSE()),-2)),SUMIFS('Calendario B'!$R$8:$R$110,'Calendario B'!$M$8:$M$110,$H22,'Calendario B'!$T$8:$T$110,$H$25)+SUMIFS('Calendario B'!$Y$8:$Y$110,'Calendario B'!$T$8:$T$110,$H22,'Calendario B'!$M$8:$M$110,$H$25),"-")</f>
        <v>-</v>
      </c>
      <c r="BF22" s="14" t="str">
        <f aca="false">IF(AND($H22&lt;&gt;"",$H$26&lt;&gt;"",$H22&lt;&gt;$H$26,IFERROR(VLOOKUP($H22,areaCercaPuntiClassificaSquadra,3,FALSE()),-1)=IFERROR(VLOOKUP($H$26,areaCercaPuntiClassificaSquadra,3,FALSE()),-2)),SUMIFS('Calendario B'!$R$8:$R$110,'Calendario B'!$M$8:$M$110,$H22,'Calendario B'!$T$8:$T$110,$H$26)+SUMIFS('Calendario B'!$Y$8:$Y$110,'Calendario B'!$T$8:$T$110,$H22,'Calendario B'!$M$8:$M$110,$H$26),"-")</f>
        <v>-</v>
      </c>
      <c r="BG22" s="14" t="str">
        <f aca="false">IF(AND($H22&lt;&gt;"",$H$27&lt;&gt;"",$H22&lt;&gt;$H$27,IFERROR(VLOOKUP($H22,areaCercaPuntiClassificaSquadra,3,FALSE()),-1)=IFERROR(VLOOKUP($H$27,areaCercaPuntiClassificaSquadra,3,FALSE()),-2)),SUMIFS('Calendario B'!$R$8:$R$110,'Calendario B'!$M$8:$M$110,$H22,'Calendario B'!$T$8:$T$110,$H$27)+SUMIFS('Calendario B'!$Y$8:$Y$110,'Calendario B'!$T$8:$T$110,$H22,'Calendario B'!$M$8:$M$110,$H$27),"-")</f>
        <v>-</v>
      </c>
    </row>
    <row r="23" customFormat="false" ht="15" hidden="false" customHeight="false" outlineLevel="0" collapsed="false">
      <c r="B23" s="7" t="s">
        <v>71</v>
      </c>
      <c r="C23" s="8" t="s">
        <v>72</v>
      </c>
      <c r="D23" s="9"/>
      <c r="E23" s="15" t="s">
        <v>66</v>
      </c>
      <c r="G23" s="16" t="str">
        <f aca="false">IF($C23="","",$E23&amp;(COUNTIFS(I$12:I$75,"&gt;"&amp;I23,E$12:E$75,"="&amp;E23,C$12:C$75,"&lt;&gt;")+COUNTIFS(I$12:I$75,"="&amp;I23,H$12:H$75,"&lt;="&amp;H23,E$12:E$75,"="&amp;E23,C$12:C$75,"&lt;&gt;")))</f>
        <v>B8</v>
      </c>
      <c r="H23" s="12" t="str">
        <f aca="false">IF($C23="","",IFERROR(LEFT($C23,FIND("-",$C23)-1),$C23))</f>
        <v>Orsi Ostinati</v>
      </c>
      <c r="I23" s="7" t="str">
        <f aca="false">TEXT(1000000000+J23,"|0000000000|")&amp;TEXT(SUM(Y23:AF23),"0000000000|")&amp;IF(SUM(AZ23:BG23)=0,"0000000000|",TEXT(ROUND(SUM(AQ23:AX23)/SUM(AZ23:BG23),4)*100000,"0000000000|"))&amp;IF(P23=0,"0000000000|",TEXT(ROUND(O23/P23,4)*100000,"0000000000|"))</f>
        <v>|1000000007|0000000000|0000000000|0000066270|</v>
      </c>
      <c r="J23" s="16" t="n">
        <f aca="false">L23*constPuntiVittoria+M23*constPuntiSconfitta+N23*constPuntiForfait+IF(D23="",0,D23)</f>
        <v>7</v>
      </c>
      <c r="K23" s="7" t="n">
        <f aca="false">SUM(L23:N23)</f>
        <v>7</v>
      </c>
      <c r="L23" s="7" t="n">
        <f aca="false">IF($H23="",0,SUMIF('Calendario B'!$M$8:$M$110,$H23,'Calendario B'!$N$8:$N$110)+SUMIF('Calendario B'!$T$8:$T$110,$H23,'Calendario B'!$U$8:$U$110))</f>
        <v>0</v>
      </c>
      <c r="M23" s="7" t="n">
        <f aca="false">IF($H23="",0,SUMIF('Calendario B'!$M$8:$M$110,$H23,'Calendario B'!$P$8:$P$110)+SUMIF('Calendario B'!$T$8:$T$110,$H23,'Calendario B'!$W$8:$W$110))</f>
        <v>7</v>
      </c>
      <c r="N23" s="7" t="n">
        <f aca="false">IF($H23="",0,SUMIF('Calendario B'!$M$8:$M$110,$H23,'Calendario B'!$O$8:$O$110)+SUMIF('Calendario B'!$T$8:$T$110,$H23,'Calendario B'!$V$8:$V$110))</f>
        <v>0</v>
      </c>
      <c r="O23" s="7" t="n">
        <f aca="false">IF($H23="",0,SUMIF('Calendario B'!$M$8:$M$110,$H23,'Calendario B'!$Q$8:$Q$110)+SUMIF('Calendario B'!$T$8:$T$110,$H23,'Calendario B'!$X$8:$X$110))</f>
        <v>336</v>
      </c>
      <c r="P23" s="7" t="n">
        <f aca="false">IF($H23="",0,SUMIF('Calendario B'!$M$8:$M$110,$H23,'Calendario B'!$R$8:$R$110)+SUMIF('Calendario B'!$T$8:$T$110,$H23,'Calendario B'!$Y$8:$Y$110))</f>
        <v>507</v>
      </c>
      <c r="Q23" s="7" t="n">
        <f aca="false">IF($H23="",0,SUMIF('Calendario B'!$M$8:$M$110,$H23,'Calendario B'!$S$8:$S$110)+SUMIF('Calendario B'!$T$8:$T$110,$H23,'Calendario B'!$Z$8:$Z$110))</f>
        <v>-171</v>
      </c>
      <c r="R23" s="7" t="n">
        <f aca="false">IF(K23=0,0,ROUND(O23/K23,2))</f>
        <v>48</v>
      </c>
      <c r="S23" s="7" t="n">
        <f aca="false">IF(K23=0,0,ROUND(P23/K23,2))</f>
        <v>72.43</v>
      </c>
      <c r="T23" s="7" t="n">
        <f aca="false">IF(K23=0,0,ROUND(Q23/K23,2))</f>
        <v>-24.43</v>
      </c>
      <c r="U23" s="7" t="str">
        <f aca="false">IF(COUNT(Y23:AF23)=0,"-",SUM(Y23:AF23)&amp;"-"&amp;SUM(AH23:AO23))</f>
        <v>-</v>
      </c>
      <c r="V23" s="7" t="str">
        <f aca="false">IF(COUNT(Y23:AF23)=0,"-",IF(SUM(AZ23:BG23)=0,TEXT(0,"0.0000"),TEXT(ROUND(SUM(AQ23:AX23)/SUM(AZ23:BG23),4),"0.0000")))</f>
        <v>-</v>
      </c>
      <c r="W23" s="7" t="str">
        <f aca="false">IF(H23="","-",IF(P23=0,TEXT(0,"0.0000"),TEXT(ROUND(O23/P23,4),"0.0000")))</f>
        <v>0.6627</v>
      </c>
      <c r="X23" s="13" t="str">
        <f aca="false">$C23</f>
        <v>Orsi Ostinati-Orsiopoli OI</v>
      </c>
      <c r="Y23" s="14" t="str">
        <f aca="false">IF(AND($H23&lt;&gt;"",$H$20&lt;&gt;"",$H23&lt;&gt;$H$20,IFERROR(VLOOKUP($H23,areaCercaPuntiClassificaSquadra,3,FALSE()),-1)=IFERROR(VLOOKUP($H$20,areaCercaPuntiClassificaSquadra,3,FALSE()),-2)),SUMIFS('Calendario B'!$N$8:$N$110,'Calendario B'!$M$8:$M$110,$H23,'Calendario B'!$T$8:$T$110,$H$20)+SUMIFS('Calendario B'!$U$8:$U$110,'Calendario B'!$T$8:$T$110,$H23,'Calendario B'!$M$8:$M$110,$H$20),"-")</f>
        <v>-</v>
      </c>
      <c r="Z23" s="14" t="str">
        <f aca="false">IF(AND($H23&lt;&gt;"",$H$21&lt;&gt;"",$H23&lt;&gt;$H$21,IFERROR(VLOOKUP($H23,areaCercaPuntiClassificaSquadra,3,FALSE()),-1)=IFERROR(VLOOKUP($H$21,areaCercaPuntiClassificaSquadra,3,FALSE()),-2)),SUMIFS('Calendario B'!$N$8:$N$110,'Calendario B'!$M$8:$M$110,$H23,'Calendario B'!$T$8:$T$110,$H$21)+SUMIFS('Calendario B'!$U$8:$U$110,'Calendario B'!$T$8:$T$110,$H23,'Calendario B'!$M$8:$M$110,$H$21),"-")</f>
        <v>-</v>
      </c>
      <c r="AA23" s="14" t="str">
        <f aca="false">IF(AND($H23&lt;&gt;"",$H$22&lt;&gt;"",$H23&lt;&gt;$H$22,IFERROR(VLOOKUP($H23,areaCercaPuntiClassificaSquadra,3,FALSE()),-1)=IFERROR(VLOOKUP($H$22,areaCercaPuntiClassificaSquadra,3,FALSE()),-2)),SUMIFS('Calendario B'!$N$8:$N$110,'Calendario B'!$M$8:$M$110,$H23,'Calendario B'!$T$8:$T$110,$H$22)+SUMIFS('Calendario B'!$U$8:$U$110,'Calendario B'!$T$8:$T$110,$H23,'Calendario B'!$M$8:$M$110,$H$22),"-")</f>
        <v>-</v>
      </c>
      <c r="AB23" s="14" t="str">
        <f aca="false">IF(AND($H23&lt;&gt;"",$H$23&lt;&gt;"",$H23&lt;&gt;$H$23,IFERROR(VLOOKUP($H23,areaCercaPuntiClassificaSquadra,3,FALSE()),-1)=IFERROR(VLOOKUP($H$23,areaCercaPuntiClassificaSquadra,3,FALSE()),-2)),SUMIFS('Calendario B'!$N$8:$N$110,'Calendario B'!$M$8:$M$110,$H23,'Calendario B'!$T$8:$T$110,$H$23)+SUMIFS('Calendario B'!$U$8:$U$110,'Calendario B'!$T$8:$T$110,$H23,'Calendario B'!$M$8:$M$110,$H$23),"-")</f>
        <v>-</v>
      </c>
      <c r="AC23" s="14" t="str">
        <f aca="false">IF(AND($H23&lt;&gt;"",$H$24&lt;&gt;"",$H23&lt;&gt;$H$24,IFERROR(VLOOKUP($H23,areaCercaPuntiClassificaSquadra,3,FALSE()),-1)=IFERROR(VLOOKUP($H$24,areaCercaPuntiClassificaSquadra,3,FALSE()),-2)),SUMIFS('Calendario B'!$N$8:$N$110,'Calendario B'!$M$8:$M$110,$H23,'Calendario B'!$T$8:$T$110,$H$24)+SUMIFS('Calendario B'!$U$8:$U$110,'Calendario B'!$T$8:$T$110,$H23,'Calendario B'!$M$8:$M$110,$H$24),"-")</f>
        <v>-</v>
      </c>
      <c r="AD23" s="14" t="str">
        <f aca="false">IF(AND($H23&lt;&gt;"",$H$25&lt;&gt;"",$H23&lt;&gt;$H$25,IFERROR(VLOOKUP($H23,areaCercaPuntiClassificaSquadra,3,FALSE()),-1)=IFERROR(VLOOKUP($H$25,areaCercaPuntiClassificaSquadra,3,FALSE()),-2)),SUMIFS('Calendario B'!$N$8:$N$110,'Calendario B'!$M$8:$M$110,$H23,'Calendario B'!$T$8:$T$110,$H$25)+SUMIFS('Calendario B'!$U$8:$U$110,'Calendario B'!$T$8:$T$110,$H23,'Calendario B'!$M$8:$M$110,$H$25),"-")</f>
        <v>-</v>
      </c>
      <c r="AE23" s="14" t="str">
        <f aca="false">IF(AND($H23&lt;&gt;"",$H$26&lt;&gt;"",$H23&lt;&gt;$H$26,IFERROR(VLOOKUP($H23,areaCercaPuntiClassificaSquadra,3,FALSE()),-1)=IFERROR(VLOOKUP($H$26,areaCercaPuntiClassificaSquadra,3,FALSE()),-2)),SUMIFS('Calendario B'!$N$8:$N$110,'Calendario B'!$M$8:$M$110,$H23,'Calendario B'!$T$8:$T$110,$H$26)+SUMIFS('Calendario B'!$U$8:$U$110,'Calendario B'!$T$8:$T$110,$H23,'Calendario B'!$M$8:$M$110,$H$26),"-")</f>
        <v>-</v>
      </c>
      <c r="AF23" s="14" t="str">
        <f aca="false">IF(AND($H23&lt;&gt;"",$H$27&lt;&gt;"",$H23&lt;&gt;$H$27,IFERROR(VLOOKUP($H23,areaCercaPuntiClassificaSquadra,3,FALSE()),-1)=IFERROR(VLOOKUP($H$27,areaCercaPuntiClassificaSquadra,3,FALSE()),-2)),SUMIFS('Calendario B'!$N$8:$N$110,'Calendario B'!$M$8:$M$110,$H23,'Calendario B'!$T$8:$T$110,$H$27)+SUMIFS('Calendario B'!$U$8:$U$110,'Calendario B'!$T$8:$T$110,$H23,'Calendario B'!$M$8:$M$110,$H$27),"-")</f>
        <v>-</v>
      </c>
      <c r="AG23" s="13" t="str">
        <f aca="false">$C23</f>
        <v>Orsi Ostinati-Orsiopoli OI</v>
      </c>
      <c r="AH23" s="14" t="str">
        <f aca="false">IF(AND($H23&lt;&gt;"",$H$20&lt;&gt;"",$H23&lt;&gt;$H$20,IFERROR(VLOOKUP($H23,areaCercaPuntiClassificaSquadra,3,FALSE()),-1)=IFERROR(VLOOKUP($H$20,areaCercaPuntiClassificaSquadra,3,FALSE()),-2)),SUMIFS('Calendario B'!$P$8:$P$110,'Calendario B'!$M$8:$M$110,$H23,'Calendario B'!$T$8:$T$110,$H$20)+SUMIFS('Calendario B'!$W$8:$W$110,'Calendario B'!$T$8:$T$110,$H23,'Calendario B'!$M$8:$M$110,$H$20)+SUMIFS('Calendario B'!$O$8:$O$110,'Calendario B'!$M$8:$M$110,$H23,'Calendario B'!$T$8:$T$110,$H$20)+SUMIFS('Calendario B'!$V$8:$V$110,'Calendario B'!$T$8:$T$110,$H23,'Calendario B'!$M$8:$M$110,$H$20),"-")</f>
        <v>-</v>
      </c>
      <c r="AI23" s="14" t="str">
        <f aca="false">IF(AND($H23&lt;&gt;"",$H$21&lt;&gt;"",$H23&lt;&gt;$H$21,IFERROR(VLOOKUP($H23,areaCercaPuntiClassificaSquadra,3,FALSE()),-1)=IFERROR(VLOOKUP($H$21,areaCercaPuntiClassificaSquadra,3,FALSE()),-2)),SUMIFS('Calendario B'!$P$8:$P$110,'Calendario B'!$M$8:$M$110,$H23,'Calendario B'!$T$8:$T$110,$H$21)+SUMIFS('Calendario B'!$W$8:$W$110,'Calendario B'!$T$8:$T$110,$H23,'Calendario B'!$M$8:$M$110,$H$21)+SUMIFS('Calendario B'!$O$8:$O$110,'Calendario B'!$M$8:$M$110,$H23,'Calendario B'!$T$8:$T$110,$H$21)+SUMIFS('Calendario B'!$V$8:$V$110,'Calendario B'!$T$8:$T$110,$H23,'Calendario B'!$M$8:$M$110,$H$21),"-")</f>
        <v>-</v>
      </c>
      <c r="AJ23" s="14" t="str">
        <f aca="false">IF(AND($H23&lt;&gt;"",$H$22&lt;&gt;"",$H23&lt;&gt;$H$22,IFERROR(VLOOKUP($H23,areaCercaPuntiClassificaSquadra,3,FALSE()),-1)=IFERROR(VLOOKUP($H$22,areaCercaPuntiClassificaSquadra,3,FALSE()),-2)),SUMIFS('Calendario B'!$P$8:$P$110,'Calendario B'!$M$8:$M$110,$H23,'Calendario B'!$T$8:$T$110,$H$22)+SUMIFS('Calendario B'!$W$8:$W$110,'Calendario B'!$T$8:$T$110,$H23,'Calendario B'!$M$8:$M$110,$H$22)+SUMIFS('Calendario B'!$O$8:$O$110,'Calendario B'!$M$8:$M$110,$H23,'Calendario B'!$T$8:$T$110,$H$22)+SUMIFS('Calendario B'!$V$8:$V$110,'Calendario B'!$T$8:$T$110,$H23,'Calendario B'!$M$8:$M$110,$H$22),"-")</f>
        <v>-</v>
      </c>
      <c r="AK23" s="14" t="str">
        <f aca="false">IF(AND($H23&lt;&gt;"",$H$23&lt;&gt;"",$H23&lt;&gt;$H$23,IFERROR(VLOOKUP($H23,areaCercaPuntiClassificaSquadra,3,FALSE()),-1)=IFERROR(VLOOKUP($H$23,areaCercaPuntiClassificaSquadra,3,FALSE()),-2)),SUMIFS('Calendario B'!$P$8:$P$110,'Calendario B'!$M$8:$M$110,$H23,'Calendario B'!$T$8:$T$110,$H$23)+SUMIFS('Calendario B'!$W$8:$W$110,'Calendario B'!$T$8:$T$110,$H23,'Calendario B'!$M$8:$M$110,$H$23)+SUMIFS('Calendario B'!$O$8:$O$110,'Calendario B'!$M$8:$M$110,$H23,'Calendario B'!$T$8:$T$110,$H$23)+SUMIFS('Calendario B'!$V$8:$V$110,'Calendario B'!$T$8:$T$110,$H23,'Calendario B'!$M$8:$M$110,$H$23),"-")</f>
        <v>-</v>
      </c>
      <c r="AL23" s="14" t="str">
        <f aca="false">IF(AND($H23&lt;&gt;"",$H$24&lt;&gt;"",$H23&lt;&gt;$H$24,IFERROR(VLOOKUP($H23,areaCercaPuntiClassificaSquadra,3,FALSE()),-1)=IFERROR(VLOOKUP($H$24,areaCercaPuntiClassificaSquadra,3,FALSE()),-2)),SUMIFS('Calendario B'!$P$8:$P$110,'Calendario B'!$M$8:$M$110,$H23,'Calendario B'!$T$8:$T$110,$H$24)+SUMIFS('Calendario B'!$W$8:$W$110,'Calendario B'!$T$8:$T$110,$H23,'Calendario B'!$M$8:$M$110,$H$24)+SUMIFS('Calendario B'!$O$8:$O$110,'Calendario B'!$M$8:$M$110,$H23,'Calendario B'!$T$8:$T$110,$H$24)+SUMIFS('Calendario B'!$V$8:$V$110,'Calendario B'!$T$8:$T$110,$H23,'Calendario B'!$M$8:$M$110,$H$24),"-")</f>
        <v>-</v>
      </c>
      <c r="AM23" s="14" t="str">
        <f aca="false">IF(AND($H23&lt;&gt;"",$H$25&lt;&gt;"",$H23&lt;&gt;$H$25,IFERROR(VLOOKUP($H23,areaCercaPuntiClassificaSquadra,3,FALSE()),-1)=IFERROR(VLOOKUP($H$25,areaCercaPuntiClassificaSquadra,3,FALSE()),-2)),SUMIFS('Calendario B'!$P$8:$P$110,'Calendario B'!$M$8:$M$110,$H23,'Calendario B'!$T$8:$T$110,$H$25)+SUMIFS('Calendario B'!$W$8:$W$110,'Calendario B'!$T$8:$T$110,$H23,'Calendario B'!$M$8:$M$110,$H$25)+SUMIFS('Calendario B'!$O$8:$O$110,'Calendario B'!$M$8:$M$110,$H23,'Calendario B'!$T$8:$T$110,$H$25)+SUMIFS('Calendario B'!$V$8:$V$110,'Calendario B'!$T$8:$T$110,$H23,'Calendario B'!$M$8:$M$110,$H$25),"-")</f>
        <v>-</v>
      </c>
      <c r="AN23" s="14" t="str">
        <f aca="false">IF(AND($H23&lt;&gt;"",$H$26&lt;&gt;"",$H23&lt;&gt;$H$26,IFERROR(VLOOKUP($H23,areaCercaPuntiClassificaSquadra,3,FALSE()),-1)=IFERROR(VLOOKUP($H$26,areaCercaPuntiClassificaSquadra,3,FALSE()),-2)),SUMIFS('Calendario B'!$P$8:$P$110,'Calendario B'!$M$8:$M$110,$H23,'Calendario B'!$T$8:$T$110,$H$26)+SUMIFS('Calendario B'!$W$8:$W$110,'Calendario B'!$T$8:$T$110,$H23,'Calendario B'!$M$8:$M$110,$H$26)+SUMIFS('Calendario B'!$O$8:$O$110,'Calendario B'!$M$8:$M$110,$H23,'Calendario B'!$T$8:$T$110,$H$26)+SUMIFS('Calendario B'!$V$8:$V$110,'Calendario B'!$T$8:$T$110,$H23,'Calendario B'!$M$8:$M$110,$H$26),"-")</f>
        <v>-</v>
      </c>
      <c r="AO23" s="14" t="str">
        <f aca="false">IF(AND($H23&lt;&gt;"",$H$27&lt;&gt;"",$H23&lt;&gt;$H$27,IFERROR(VLOOKUP($H23,areaCercaPuntiClassificaSquadra,3,FALSE()),-1)=IFERROR(VLOOKUP($H$27,areaCercaPuntiClassificaSquadra,3,FALSE()),-2)),SUMIFS('Calendario B'!$P$8:$P$110,'Calendario B'!$M$8:$M$110,$H23,'Calendario B'!$T$8:$T$110,$H$27)+SUMIFS('Calendario B'!$W$8:$W$110,'Calendario B'!$T$8:$T$110,$H23,'Calendario B'!$M$8:$M$110,$H$27)+SUMIFS('Calendario B'!$O$8:$O$110,'Calendario B'!$M$8:$M$110,$H23,'Calendario B'!$T$8:$T$110,$H$27)+SUMIFS('Calendario B'!$V$8:$V$110,'Calendario B'!$T$8:$T$110,$H23,'Calendario B'!$M$8:$M$110,$H$27),"-")</f>
        <v>-</v>
      </c>
      <c r="AP23" s="13" t="str">
        <f aca="false">$C23</f>
        <v>Orsi Ostinati-Orsiopoli OI</v>
      </c>
      <c r="AQ23" s="14" t="str">
        <f aca="false">IF(AND($H23&lt;&gt;"",$H$20&lt;&gt;"",$H23&lt;&gt;$H$20,IFERROR(VLOOKUP($H23,areaCercaPuntiClassificaSquadra,3,FALSE()),-1)=IFERROR(VLOOKUP($H$20,areaCercaPuntiClassificaSquadra,3,FALSE()),-2)),SUMIFS('Calendario B'!$Q$8:$Q$110,'Calendario B'!$M$8:$M$110,$H23,'Calendario B'!$T$8:$T$110,$H$20)+SUMIFS('Calendario B'!$X$8:$X$110,'Calendario B'!$T$8:$T$110,$H23,'Calendario B'!$M$8:$M$110,$H$20),"-")</f>
        <v>-</v>
      </c>
      <c r="AR23" s="14" t="str">
        <f aca="false">IF(AND($H23&lt;&gt;"",$H$21&lt;&gt;"",$H23&lt;&gt;$H$21,IFERROR(VLOOKUP($H23,areaCercaPuntiClassificaSquadra,3,FALSE()),-1)=IFERROR(VLOOKUP($H$21,areaCercaPuntiClassificaSquadra,3,FALSE()),-2)),SUMIFS('Calendario B'!$Q$8:$Q$110,'Calendario B'!$M$8:$M$110,$H23,'Calendario B'!$T$8:$T$110,$H$21)+SUMIFS('Calendario B'!$X$8:$X$110,'Calendario B'!$T$8:$T$110,$H23,'Calendario B'!$M$8:$M$110,$H$21),"-")</f>
        <v>-</v>
      </c>
      <c r="AS23" s="14" t="str">
        <f aca="false">IF(AND($H23&lt;&gt;"",$H$22&lt;&gt;"",$H23&lt;&gt;$H$22,IFERROR(VLOOKUP($H23,areaCercaPuntiClassificaSquadra,3,FALSE()),-1)=IFERROR(VLOOKUP($H$22,areaCercaPuntiClassificaSquadra,3,FALSE()),-2)),SUMIFS('Calendario B'!$Q$8:$Q$110,'Calendario B'!$M$8:$M$110,$H23,'Calendario B'!$T$8:$T$110,$H$22)+SUMIFS('Calendario B'!$X$8:$X$110,'Calendario B'!$T$8:$T$110,$H23,'Calendario B'!$M$8:$M$110,$H$22),"-")</f>
        <v>-</v>
      </c>
      <c r="AT23" s="14" t="str">
        <f aca="false">IF(AND($H23&lt;&gt;"",$H$23&lt;&gt;"",$H23&lt;&gt;$H$23,IFERROR(VLOOKUP($H23,areaCercaPuntiClassificaSquadra,3,FALSE()),-1)=IFERROR(VLOOKUP($H$23,areaCercaPuntiClassificaSquadra,3,FALSE()),-2)),SUMIFS('Calendario B'!$Q$8:$Q$110,'Calendario B'!$M$8:$M$110,$H23,'Calendario B'!$T$8:$T$110,$H$23)+SUMIFS('Calendario B'!$X$8:$X$110,'Calendario B'!$T$8:$T$110,$H23,'Calendario B'!$M$8:$M$110,$H$23),"-")</f>
        <v>-</v>
      </c>
      <c r="AU23" s="14" t="str">
        <f aca="false">IF(AND($H23&lt;&gt;"",$H$24&lt;&gt;"",$H23&lt;&gt;$H$24,IFERROR(VLOOKUP($H23,areaCercaPuntiClassificaSquadra,3,FALSE()),-1)=IFERROR(VLOOKUP($H$24,areaCercaPuntiClassificaSquadra,3,FALSE()),-2)),SUMIFS('Calendario B'!$Q$8:$Q$110,'Calendario B'!$M$8:$M$110,$H23,'Calendario B'!$T$8:$T$110,$H$24)+SUMIFS('Calendario B'!$X$8:$X$110,'Calendario B'!$T$8:$T$110,$H23,'Calendario B'!$M$8:$M$110,$H$24),"-")</f>
        <v>-</v>
      </c>
      <c r="AV23" s="14" t="str">
        <f aca="false">IF(AND($H23&lt;&gt;"",$H$25&lt;&gt;"",$H23&lt;&gt;$H$25,IFERROR(VLOOKUP($H23,areaCercaPuntiClassificaSquadra,3,FALSE()),-1)=IFERROR(VLOOKUP($H$25,areaCercaPuntiClassificaSquadra,3,FALSE()),-2)),SUMIFS('Calendario B'!$Q$8:$Q$110,'Calendario B'!$M$8:$M$110,$H23,'Calendario B'!$T$8:$T$110,$H$25)+SUMIFS('Calendario B'!$X$8:$X$110,'Calendario B'!$T$8:$T$110,$H23,'Calendario B'!$M$8:$M$110,$H$25),"-")</f>
        <v>-</v>
      </c>
      <c r="AW23" s="14" t="str">
        <f aca="false">IF(AND($H23&lt;&gt;"",$H$26&lt;&gt;"",$H23&lt;&gt;$H$26,IFERROR(VLOOKUP($H23,areaCercaPuntiClassificaSquadra,3,FALSE()),-1)=IFERROR(VLOOKUP($H$26,areaCercaPuntiClassificaSquadra,3,FALSE()),-2)),SUMIFS('Calendario B'!$Q$8:$Q$110,'Calendario B'!$M$8:$M$110,$H23,'Calendario B'!$T$8:$T$110,$H$26)+SUMIFS('Calendario B'!$X$8:$X$110,'Calendario B'!$T$8:$T$110,$H23,'Calendario B'!$M$8:$M$110,$H$26),"-")</f>
        <v>-</v>
      </c>
      <c r="AX23" s="14" t="str">
        <f aca="false">IF(AND($H23&lt;&gt;"",$H$27&lt;&gt;"",$H23&lt;&gt;$H$27,IFERROR(VLOOKUP($H23,areaCercaPuntiClassificaSquadra,3,FALSE()),-1)=IFERROR(VLOOKUP($H$27,areaCercaPuntiClassificaSquadra,3,FALSE()),-2)),SUMIFS('Calendario B'!$Q$8:$Q$110,'Calendario B'!$M$8:$M$110,$H23,'Calendario B'!$T$8:$T$110,$H$27)+SUMIFS('Calendario B'!$X$8:$X$110,'Calendario B'!$T$8:$T$110,$H23,'Calendario B'!$M$8:$M$110,$H$27),"-")</f>
        <v>-</v>
      </c>
      <c r="AY23" s="13" t="str">
        <f aca="false">$C23</f>
        <v>Orsi Ostinati-Orsiopoli OI</v>
      </c>
      <c r="AZ23" s="14" t="str">
        <f aca="false">IF(AND($H23&lt;&gt;"",$H$20&lt;&gt;"",$H23&lt;&gt;$H$20,IFERROR(VLOOKUP($H23,areaCercaPuntiClassificaSquadra,3,FALSE()),-1)=IFERROR(VLOOKUP($H$20,areaCercaPuntiClassificaSquadra,3,FALSE()),-2)),SUMIFS('Calendario B'!$R$8:$R$110,'Calendario B'!$M$8:$M$110,$H23,'Calendario B'!$T$8:$T$110,$H$20)+SUMIFS('Calendario B'!$Y$8:$Y$110,'Calendario B'!$T$8:$T$110,$H23,'Calendario B'!$M$8:$M$110,$H$20),"-")</f>
        <v>-</v>
      </c>
      <c r="BA23" s="14" t="str">
        <f aca="false">IF(AND($H23&lt;&gt;"",$H$21&lt;&gt;"",$H23&lt;&gt;$H$21,IFERROR(VLOOKUP($H23,areaCercaPuntiClassificaSquadra,3,FALSE()),-1)=IFERROR(VLOOKUP($H$21,areaCercaPuntiClassificaSquadra,3,FALSE()),-2)),SUMIFS('Calendario B'!$R$8:$R$110,'Calendario B'!$M$8:$M$110,$H23,'Calendario B'!$T$8:$T$110,$H$21)+SUMIFS('Calendario B'!$Y$8:$Y$110,'Calendario B'!$T$8:$T$110,$H23,'Calendario B'!$M$8:$M$110,$H$21),"-")</f>
        <v>-</v>
      </c>
      <c r="BB23" s="14" t="str">
        <f aca="false">IF(AND($H23&lt;&gt;"",$H$22&lt;&gt;"",$H23&lt;&gt;$H$22,IFERROR(VLOOKUP($H23,areaCercaPuntiClassificaSquadra,3,FALSE()),-1)=IFERROR(VLOOKUP($H$22,areaCercaPuntiClassificaSquadra,3,FALSE()),-2)),SUMIFS('Calendario B'!$R$8:$R$110,'Calendario B'!$M$8:$M$110,$H23,'Calendario B'!$T$8:$T$110,$H$22)+SUMIFS('Calendario B'!$Y$8:$Y$110,'Calendario B'!$T$8:$T$110,$H23,'Calendario B'!$M$8:$M$110,$H$22),"-")</f>
        <v>-</v>
      </c>
      <c r="BC23" s="14" t="str">
        <f aca="false">IF(AND($H23&lt;&gt;"",$H$23&lt;&gt;"",$H23&lt;&gt;$H$23,IFERROR(VLOOKUP($H23,areaCercaPuntiClassificaSquadra,3,FALSE()),-1)=IFERROR(VLOOKUP($H$23,areaCercaPuntiClassificaSquadra,3,FALSE()),-2)),SUMIFS('Calendario B'!$R$8:$R$110,'Calendario B'!$M$8:$M$110,$H23,'Calendario B'!$T$8:$T$110,$H$23)+SUMIFS('Calendario B'!$Y$8:$Y$110,'Calendario B'!$T$8:$T$110,$H23,'Calendario B'!$M$8:$M$110,$H$23),"-")</f>
        <v>-</v>
      </c>
      <c r="BD23" s="14" t="str">
        <f aca="false">IF(AND($H23&lt;&gt;"",$H$24&lt;&gt;"",$H23&lt;&gt;$H$24,IFERROR(VLOOKUP($H23,areaCercaPuntiClassificaSquadra,3,FALSE()),-1)=IFERROR(VLOOKUP($H$24,areaCercaPuntiClassificaSquadra,3,FALSE()),-2)),SUMIFS('Calendario B'!$R$8:$R$110,'Calendario B'!$M$8:$M$110,$H23,'Calendario B'!$T$8:$T$110,$H$24)+SUMIFS('Calendario B'!$Y$8:$Y$110,'Calendario B'!$T$8:$T$110,$H23,'Calendario B'!$M$8:$M$110,$H$24),"-")</f>
        <v>-</v>
      </c>
      <c r="BE23" s="14" t="str">
        <f aca="false">IF(AND($H23&lt;&gt;"",$H$25&lt;&gt;"",$H23&lt;&gt;$H$25,IFERROR(VLOOKUP($H23,areaCercaPuntiClassificaSquadra,3,FALSE()),-1)=IFERROR(VLOOKUP($H$25,areaCercaPuntiClassificaSquadra,3,FALSE()),-2)),SUMIFS('Calendario B'!$R$8:$R$110,'Calendario B'!$M$8:$M$110,$H23,'Calendario B'!$T$8:$T$110,$H$25)+SUMIFS('Calendario B'!$Y$8:$Y$110,'Calendario B'!$T$8:$T$110,$H23,'Calendario B'!$M$8:$M$110,$H$25),"-")</f>
        <v>-</v>
      </c>
      <c r="BF23" s="14" t="str">
        <f aca="false">IF(AND($H23&lt;&gt;"",$H$26&lt;&gt;"",$H23&lt;&gt;$H$26,IFERROR(VLOOKUP($H23,areaCercaPuntiClassificaSquadra,3,FALSE()),-1)=IFERROR(VLOOKUP($H$26,areaCercaPuntiClassificaSquadra,3,FALSE()),-2)),SUMIFS('Calendario B'!$R$8:$R$110,'Calendario B'!$M$8:$M$110,$H23,'Calendario B'!$T$8:$T$110,$H$26)+SUMIFS('Calendario B'!$Y$8:$Y$110,'Calendario B'!$T$8:$T$110,$H23,'Calendario B'!$M$8:$M$110,$H$26),"-")</f>
        <v>-</v>
      </c>
      <c r="BG23" s="14" t="str">
        <f aca="false">IF(AND($H23&lt;&gt;"",$H$27&lt;&gt;"",$H23&lt;&gt;$H$27,IFERROR(VLOOKUP($H23,areaCercaPuntiClassificaSquadra,3,FALSE()),-1)=IFERROR(VLOOKUP($H$27,areaCercaPuntiClassificaSquadra,3,FALSE()),-2)),SUMIFS('Calendario B'!$R$8:$R$110,'Calendario B'!$M$8:$M$110,$H23,'Calendario B'!$T$8:$T$110,$H$27)+SUMIFS('Calendario B'!$Y$8:$Y$110,'Calendario B'!$T$8:$T$110,$H23,'Calendario B'!$M$8:$M$110,$H$27),"-")</f>
        <v>-</v>
      </c>
    </row>
    <row r="24" customFormat="false" ht="15" hidden="false" customHeight="false" outlineLevel="0" collapsed="false">
      <c r="B24" s="7" t="s">
        <v>73</v>
      </c>
      <c r="C24" s="8" t="s">
        <v>74</v>
      </c>
      <c r="D24" s="9"/>
      <c r="E24" s="15" t="s">
        <v>66</v>
      </c>
      <c r="G24" s="16" t="str">
        <f aca="false">IF($C24="","",$E24&amp;(COUNTIFS(I$12:I$75,"&gt;"&amp;I24,E$12:E$75,"="&amp;E24,C$12:C$75,"&lt;&gt;")+COUNTIFS(I$12:I$75,"="&amp;I24,H$12:H$75,"&lt;="&amp;H24,E$12:E$75,"="&amp;E24,C$12:C$75,"&lt;&gt;")))</f>
        <v>B5</v>
      </c>
      <c r="H24" s="12" t="str">
        <f aca="false">IF($C24="","",IFERROR(LEFT($C24,FIND("-",$C24)-1),$C24))</f>
        <v>Pantere Pungenti</v>
      </c>
      <c r="I24" s="7" t="str">
        <f aca="false">TEXT(1000000000+J24,"|0000000000|")&amp;TEXT(SUM(Y24:AF24),"0000000000|")&amp;IF(SUM(AZ24:BG24)=0,"0000000000|",TEXT(ROUND(SUM(AQ24:AX24)/SUM(AZ24:BG24),4)*100000,"0000000000|"))&amp;IF(P24=0,"0000000000|",TEXT(ROUND(O24/P24,4)*100000,"0000000000|"))</f>
        <v>|1000000013|0000000001|0000105260|0000096070|</v>
      </c>
      <c r="J24" s="16" t="n">
        <f aca="false">L24*constPuntiVittoria+M24*constPuntiSconfitta+N24*constPuntiForfait+IF(D24="",0,D24)</f>
        <v>13</v>
      </c>
      <c r="K24" s="7" t="n">
        <f aca="false">SUM(L24:N24)</f>
        <v>7</v>
      </c>
      <c r="L24" s="7" t="n">
        <f aca="false">IF($H24="",0,SUMIF('Calendario B'!$M$8:$M$110,$H24,'Calendario B'!$N$8:$N$110)+SUMIF('Calendario B'!$T$8:$T$110,$H24,'Calendario B'!$U$8:$U$110))</f>
        <v>3</v>
      </c>
      <c r="M24" s="7" t="n">
        <f aca="false">IF($H24="",0,SUMIF('Calendario B'!$M$8:$M$110,$H24,'Calendario B'!$P$8:$P$110)+SUMIF('Calendario B'!$T$8:$T$110,$H24,'Calendario B'!$W$8:$W$110))</f>
        <v>4</v>
      </c>
      <c r="N24" s="7" t="n">
        <f aca="false">IF($H24="",0,SUMIF('Calendario B'!$M$8:$M$110,$H24,'Calendario B'!$O$8:$O$110)+SUMIF('Calendario B'!$T$8:$T$110,$H24,'Calendario B'!$V$8:$V$110))</f>
        <v>0</v>
      </c>
      <c r="O24" s="7" t="n">
        <f aca="false">IF($H24="",0,SUMIF('Calendario B'!$M$8:$M$110,$H24,'Calendario B'!$Q$8:$Q$110)+SUMIF('Calendario B'!$T$8:$T$110,$H24,'Calendario B'!$X$8:$X$110))</f>
        <v>416</v>
      </c>
      <c r="P24" s="7" t="n">
        <f aca="false">IF($H24="",0,SUMIF('Calendario B'!$M$8:$M$110,$H24,'Calendario B'!$R$8:$R$110)+SUMIF('Calendario B'!$T$8:$T$110,$H24,'Calendario B'!$Y$8:$Y$110))</f>
        <v>433</v>
      </c>
      <c r="Q24" s="7" t="n">
        <f aca="false">IF($H24="",0,SUMIF('Calendario B'!$M$8:$M$110,$H24,'Calendario B'!$S$8:$S$110)+SUMIF('Calendario B'!$T$8:$T$110,$H24,'Calendario B'!$Z$8:$Z$110))</f>
        <v>-17</v>
      </c>
      <c r="R24" s="7" t="n">
        <f aca="false">IF(K24=0,0,ROUND(O24/K24,2))</f>
        <v>59.43</v>
      </c>
      <c r="S24" s="7" t="n">
        <f aca="false">IF(K24=0,0,ROUND(P24/K24,2))</f>
        <v>61.86</v>
      </c>
      <c r="T24" s="7" t="n">
        <f aca="false">IF(K24=0,0,ROUND(Q24/K24,2))</f>
        <v>-2.43</v>
      </c>
      <c r="U24" s="7" t="str">
        <f aca="false">IF(COUNT(Y24:AF24)=0,"-",SUM(Y24:AF24)&amp;"-"&amp;SUM(AH24:AO24))</f>
        <v>1-0</v>
      </c>
      <c r="V24" s="7" t="str">
        <f aca="false">IF(COUNT(Y24:AF24)=0,"-",IF(SUM(AZ24:BG24)=0,TEXT(0,"0.0000"),TEXT(ROUND(SUM(AQ24:AX24)/SUM(AZ24:BG24),4),"0.0000")))</f>
        <v>1.0526</v>
      </c>
      <c r="W24" s="7" t="str">
        <f aca="false">IF(H24="","-",IF(P24=0,TEXT(0,"0.0000"),TEXT(ROUND(O24/P24,4),"0.0000")))</f>
        <v>0.9607</v>
      </c>
      <c r="X24" s="13" t="str">
        <f aca="false">$C24</f>
        <v>Pantere Pungenti-Pantereopoli PE</v>
      </c>
      <c r="Y24" s="14" t="str">
        <f aca="false">IF(AND($H24&lt;&gt;"",$H$20&lt;&gt;"",$H24&lt;&gt;$H$20,IFERROR(VLOOKUP($H24,areaCercaPuntiClassificaSquadra,3,FALSE()),-1)=IFERROR(VLOOKUP($H$20,areaCercaPuntiClassificaSquadra,3,FALSE()),-2)),SUMIFS('Calendario B'!$N$8:$N$110,'Calendario B'!$M$8:$M$110,$H24,'Calendario B'!$T$8:$T$110,$H$20)+SUMIFS('Calendario B'!$U$8:$U$110,'Calendario B'!$T$8:$T$110,$H24,'Calendario B'!$M$8:$M$110,$H$20),"-")</f>
        <v>-</v>
      </c>
      <c r="Z24" s="14" t="str">
        <f aca="false">IF(AND($H24&lt;&gt;"",$H$21&lt;&gt;"",$H24&lt;&gt;$H$21,IFERROR(VLOOKUP($H24,areaCercaPuntiClassificaSquadra,3,FALSE()),-1)=IFERROR(VLOOKUP($H$21,areaCercaPuntiClassificaSquadra,3,FALSE()),-2)),SUMIFS('Calendario B'!$N$8:$N$110,'Calendario B'!$M$8:$M$110,$H24,'Calendario B'!$T$8:$T$110,$H$21)+SUMIFS('Calendario B'!$U$8:$U$110,'Calendario B'!$T$8:$T$110,$H24,'Calendario B'!$M$8:$M$110,$H$21),"-")</f>
        <v>-</v>
      </c>
      <c r="AA24" s="14" t="str">
        <f aca="false">IF(AND($H24&lt;&gt;"",$H$22&lt;&gt;"",$H24&lt;&gt;$H$22,IFERROR(VLOOKUP($H24,areaCercaPuntiClassificaSquadra,3,FALSE()),-1)=IFERROR(VLOOKUP($H$22,areaCercaPuntiClassificaSquadra,3,FALSE()),-2)),SUMIFS('Calendario B'!$N$8:$N$110,'Calendario B'!$M$8:$M$110,$H24,'Calendario B'!$T$8:$T$110,$H$22)+SUMIFS('Calendario B'!$U$8:$U$110,'Calendario B'!$T$8:$T$110,$H24,'Calendario B'!$M$8:$M$110,$H$22),"-")</f>
        <v>-</v>
      </c>
      <c r="AB24" s="14" t="str">
        <f aca="false">IF(AND($H24&lt;&gt;"",$H$23&lt;&gt;"",$H24&lt;&gt;$H$23,IFERROR(VLOOKUP($H24,areaCercaPuntiClassificaSquadra,3,FALSE()),-1)=IFERROR(VLOOKUP($H$23,areaCercaPuntiClassificaSquadra,3,FALSE()),-2)),SUMIFS('Calendario B'!$N$8:$N$110,'Calendario B'!$M$8:$M$110,$H24,'Calendario B'!$T$8:$T$110,$H$23)+SUMIFS('Calendario B'!$U$8:$U$110,'Calendario B'!$T$8:$T$110,$H24,'Calendario B'!$M$8:$M$110,$H$23),"-")</f>
        <v>-</v>
      </c>
      <c r="AC24" s="14" t="str">
        <f aca="false">IF(AND($H24&lt;&gt;"",$H$24&lt;&gt;"",$H24&lt;&gt;$H$24,IFERROR(VLOOKUP($H24,areaCercaPuntiClassificaSquadra,3,FALSE()),-1)=IFERROR(VLOOKUP($H$24,areaCercaPuntiClassificaSquadra,3,FALSE()),-2)),SUMIFS('Calendario B'!$N$8:$N$110,'Calendario B'!$M$8:$M$110,$H24,'Calendario B'!$T$8:$T$110,$H$24)+SUMIFS('Calendario B'!$U$8:$U$110,'Calendario B'!$T$8:$T$110,$H24,'Calendario B'!$M$8:$M$110,$H$24),"-")</f>
        <v>-</v>
      </c>
      <c r="AD24" s="14" t="n">
        <f aca="false">IF(AND($H24&lt;&gt;"",$H$25&lt;&gt;"",$H24&lt;&gt;$H$25,IFERROR(VLOOKUP($H24,areaCercaPuntiClassificaSquadra,3,FALSE()),-1)=IFERROR(VLOOKUP($H$25,areaCercaPuntiClassificaSquadra,3,FALSE()),-2)),SUMIFS('Calendario B'!$N$8:$N$110,'Calendario B'!$M$8:$M$110,$H24,'Calendario B'!$T$8:$T$110,$H$25)+SUMIFS('Calendario B'!$U$8:$U$110,'Calendario B'!$T$8:$T$110,$H24,'Calendario B'!$M$8:$M$110,$H$25),"-")</f>
        <v>1</v>
      </c>
      <c r="AE24" s="14" t="str">
        <f aca="false">IF(AND($H24&lt;&gt;"",$H$26&lt;&gt;"",$H24&lt;&gt;$H$26,IFERROR(VLOOKUP($H24,areaCercaPuntiClassificaSquadra,3,FALSE()),-1)=IFERROR(VLOOKUP($H$26,areaCercaPuntiClassificaSquadra,3,FALSE()),-2)),SUMIFS('Calendario B'!$N$8:$N$110,'Calendario B'!$M$8:$M$110,$H24,'Calendario B'!$T$8:$T$110,$H$26)+SUMIFS('Calendario B'!$U$8:$U$110,'Calendario B'!$T$8:$T$110,$H24,'Calendario B'!$M$8:$M$110,$H$26),"-")</f>
        <v>-</v>
      </c>
      <c r="AF24" s="14" t="str">
        <f aca="false">IF(AND($H24&lt;&gt;"",$H$27&lt;&gt;"",$H24&lt;&gt;$H$27,IFERROR(VLOOKUP($H24,areaCercaPuntiClassificaSquadra,3,FALSE()),-1)=IFERROR(VLOOKUP($H$27,areaCercaPuntiClassificaSquadra,3,FALSE()),-2)),SUMIFS('Calendario B'!$N$8:$N$110,'Calendario B'!$M$8:$M$110,$H24,'Calendario B'!$T$8:$T$110,$H$27)+SUMIFS('Calendario B'!$U$8:$U$110,'Calendario B'!$T$8:$T$110,$H24,'Calendario B'!$M$8:$M$110,$H$27),"-")</f>
        <v>-</v>
      </c>
      <c r="AG24" s="13" t="str">
        <f aca="false">$C24</f>
        <v>Pantere Pungenti-Pantereopoli PE</v>
      </c>
      <c r="AH24" s="14" t="str">
        <f aca="false">IF(AND($H24&lt;&gt;"",$H$20&lt;&gt;"",$H24&lt;&gt;$H$20,IFERROR(VLOOKUP($H24,areaCercaPuntiClassificaSquadra,3,FALSE()),-1)=IFERROR(VLOOKUP($H$20,areaCercaPuntiClassificaSquadra,3,FALSE()),-2)),SUMIFS('Calendario B'!$P$8:$P$110,'Calendario B'!$M$8:$M$110,$H24,'Calendario B'!$T$8:$T$110,$H$20)+SUMIFS('Calendario B'!$W$8:$W$110,'Calendario B'!$T$8:$T$110,$H24,'Calendario B'!$M$8:$M$110,$H$20)+SUMIFS('Calendario B'!$O$8:$O$110,'Calendario B'!$M$8:$M$110,$H24,'Calendario B'!$T$8:$T$110,$H$20)+SUMIFS('Calendario B'!$V$8:$V$110,'Calendario B'!$T$8:$T$110,$H24,'Calendario B'!$M$8:$M$110,$H$20),"-")</f>
        <v>-</v>
      </c>
      <c r="AI24" s="14" t="str">
        <f aca="false">IF(AND($H24&lt;&gt;"",$H$21&lt;&gt;"",$H24&lt;&gt;$H$21,IFERROR(VLOOKUP($H24,areaCercaPuntiClassificaSquadra,3,FALSE()),-1)=IFERROR(VLOOKUP($H$21,areaCercaPuntiClassificaSquadra,3,FALSE()),-2)),SUMIFS('Calendario B'!$P$8:$P$110,'Calendario B'!$M$8:$M$110,$H24,'Calendario B'!$T$8:$T$110,$H$21)+SUMIFS('Calendario B'!$W$8:$W$110,'Calendario B'!$T$8:$T$110,$H24,'Calendario B'!$M$8:$M$110,$H$21)+SUMIFS('Calendario B'!$O$8:$O$110,'Calendario B'!$M$8:$M$110,$H24,'Calendario B'!$T$8:$T$110,$H$21)+SUMIFS('Calendario B'!$V$8:$V$110,'Calendario B'!$T$8:$T$110,$H24,'Calendario B'!$M$8:$M$110,$H$21),"-")</f>
        <v>-</v>
      </c>
      <c r="AJ24" s="14" t="str">
        <f aca="false">IF(AND($H24&lt;&gt;"",$H$22&lt;&gt;"",$H24&lt;&gt;$H$22,IFERROR(VLOOKUP($H24,areaCercaPuntiClassificaSquadra,3,FALSE()),-1)=IFERROR(VLOOKUP($H$22,areaCercaPuntiClassificaSquadra,3,FALSE()),-2)),SUMIFS('Calendario B'!$P$8:$P$110,'Calendario B'!$M$8:$M$110,$H24,'Calendario B'!$T$8:$T$110,$H$22)+SUMIFS('Calendario B'!$W$8:$W$110,'Calendario B'!$T$8:$T$110,$H24,'Calendario B'!$M$8:$M$110,$H$22)+SUMIFS('Calendario B'!$O$8:$O$110,'Calendario B'!$M$8:$M$110,$H24,'Calendario B'!$T$8:$T$110,$H$22)+SUMIFS('Calendario B'!$V$8:$V$110,'Calendario B'!$T$8:$T$110,$H24,'Calendario B'!$M$8:$M$110,$H$22),"-")</f>
        <v>-</v>
      </c>
      <c r="AK24" s="14" t="str">
        <f aca="false">IF(AND($H24&lt;&gt;"",$H$23&lt;&gt;"",$H24&lt;&gt;$H$23,IFERROR(VLOOKUP($H24,areaCercaPuntiClassificaSquadra,3,FALSE()),-1)=IFERROR(VLOOKUP($H$23,areaCercaPuntiClassificaSquadra,3,FALSE()),-2)),SUMIFS('Calendario B'!$P$8:$P$110,'Calendario B'!$M$8:$M$110,$H24,'Calendario B'!$T$8:$T$110,$H$23)+SUMIFS('Calendario B'!$W$8:$W$110,'Calendario B'!$T$8:$T$110,$H24,'Calendario B'!$M$8:$M$110,$H$23)+SUMIFS('Calendario B'!$O$8:$O$110,'Calendario B'!$M$8:$M$110,$H24,'Calendario B'!$T$8:$T$110,$H$23)+SUMIFS('Calendario B'!$V$8:$V$110,'Calendario B'!$T$8:$T$110,$H24,'Calendario B'!$M$8:$M$110,$H$23),"-")</f>
        <v>-</v>
      </c>
      <c r="AL24" s="14" t="str">
        <f aca="false">IF(AND($H24&lt;&gt;"",$H$24&lt;&gt;"",$H24&lt;&gt;$H$24,IFERROR(VLOOKUP($H24,areaCercaPuntiClassificaSquadra,3,FALSE()),-1)=IFERROR(VLOOKUP($H$24,areaCercaPuntiClassificaSquadra,3,FALSE()),-2)),SUMIFS('Calendario B'!$P$8:$P$110,'Calendario B'!$M$8:$M$110,$H24,'Calendario B'!$T$8:$T$110,$H$24)+SUMIFS('Calendario B'!$W$8:$W$110,'Calendario B'!$T$8:$T$110,$H24,'Calendario B'!$M$8:$M$110,$H$24)+SUMIFS('Calendario B'!$O$8:$O$110,'Calendario B'!$M$8:$M$110,$H24,'Calendario B'!$T$8:$T$110,$H$24)+SUMIFS('Calendario B'!$V$8:$V$110,'Calendario B'!$T$8:$T$110,$H24,'Calendario B'!$M$8:$M$110,$H$24),"-")</f>
        <v>-</v>
      </c>
      <c r="AM24" s="14" t="n">
        <f aca="false">IF(AND($H24&lt;&gt;"",$H$25&lt;&gt;"",$H24&lt;&gt;$H$25,IFERROR(VLOOKUP($H24,areaCercaPuntiClassificaSquadra,3,FALSE()),-1)=IFERROR(VLOOKUP($H$25,areaCercaPuntiClassificaSquadra,3,FALSE()),-2)),SUMIFS('Calendario B'!$P$8:$P$110,'Calendario B'!$M$8:$M$110,$H24,'Calendario B'!$T$8:$T$110,$H$25)+SUMIFS('Calendario B'!$W$8:$W$110,'Calendario B'!$T$8:$T$110,$H24,'Calendario B'!$M$8:$M$110,$H$25)+SUMIFS('Calendario B'!$O$8:$O$110,'Calendario B'!$M$8:$M$110,$H24,'Calendario B'!$T$8:$T$110,$H$25)+SUMIFS('Calendario B'!$V$8:$V$110,'Calendario B'!$T$8:$T$110,$H24,'Calendario B'!$M$8:$M$110,$H$25),"-")</f>
        <v>0</v>
      </c>
      <c r="AN24" s="14" t="str">
        <f aca="false">IF(AND($H24&lt;&gt;"",$H$26&lt;&gt;"",$H24&lt;&gt;$H$26,IFERROR(VLOOKUP($H24,areaCercaPuntiClassificaSquadra,3,FALSE()),-1)=IFERROR(VLOOKUP($H$26,areaCercaPuntiClassificaSquadra,3,FALSE()),-2)),SUMIFS('Calendario B'!$P$8:$P$110,'Calendario B'!$M$8:$M$110,$H24,'Calendario B'!$T$8:$T$110,$H$26)+SUMIFS('Calendario B'!$W$8:$W$110,'Calendario B'!$T$8:$T$110,$H24,'Calendario B'!$M$8:$M$110,$H$26)+SUMIFS('Calendario B'!$O$8:$O$110,'Calendario B'!$M$8:$M$110,$H24,'Calendario B'!$T$8:$T$110,$H$26)+SUMIFS('Calendario B'!$V$8:$V$110,'Calendario B'!$T$8:$T$110,$H24,'Calendario B'!$M$8:$M$110,$H$26),"-")</f>
        <v>-</v>
      </c>
      <c r="AO24" s="14" t="str">
        <f aca="false">IF(AND($H24&lt;&gt;"",$H$27&lt;&gt;"",$H24&lt;&gt;$H$27,IFERROR(VLOOKUP($H24,areaCercaPuntiClassificaSquadra,3,FALSE()),-1)=IFERROR(VLOOKUP($H$27,areaCercaPuntiClassificaSquadra,3,FALSE()),-2)),SUMIFS('Calendario B'!$P$8:$P$110,'Calendario B'!$M$8:$M$110,$H24,'Calendario B'!$T$8:$T$110,$H$27)+SUMIFS('Calendario B'!$W$8:$W$110,'Calendario B'!$T$8:$T$110,$H24,'Calendario B'!$M$8:$M$110,$H$27)+SUMIFS('Calendario B'!$O$8:$O$110,'Calendario B'!$M$8:$M$110,$H24,'Calendario B'!$T$8:$T$110,$H$27)+SUMIFS('Calendario B'!$V$8:$V$110,'Calendario B'!$T$8:$T$110,$H24,'Calendario B'!$M$8:$M$110,$H$27),"-")</f>
        <v>-</v>
      </c>
      <c r="AP24" s="13" t="str">
        <f aca="false">$C24</f>
        <v>Pantere Pungenti-Pantereopoli PE</v>
      </c>
      <c r="AQ24" s="14" t="str">
        <f aca="false">IF(AND($H24&lt;&gt;"",$H$20&lt;&gt;"",$H24&lt;&gt;$H$20,IFERROR(VLOOKUP($H24,areaCercaPuntiClassificaSquadra,3,FALSE()),-1)=IFERROR(VLOOKUP($H$20,areaCercaPuntiClassificaSquadra,3,FALSE()),-2)),SUMIFS('Calendario B'!$Q$8:$Q$110,'Calendario B'!$M$8:$M$110,$H24,'Calendario B'!$T$8:$T$110,$H$20)+SUMIFS('Calendario B'!$X$8:$X$110,'Calendario B'!$T$8:$T$110,$H24,'Calendario B'!$M$8:$M$110,$H$20),"-")</f>
        <v>-</v>
      </c>
      <c r="AR24" s="14" t="str">
        <f aca="false">IF(AND($H24&lt;&gt;"",$H$21&lt;&gt;"",$H24&lt;&gt;$H$21,IFERROR(VLOOKUP($H24,areaCercaPuntiClassificaSquadra,3,FALSE()),-1)=IFERROR(VLOOKUP($H$21,areaCercaPuntiClassificaSquadra,3,FALSE()),-2)),SUMIFS('Calendario B'!$Q$8:$Q$110,'Calendario B'!$M$8:$M$110,$H24,'Calendario B'!$T$8:$T$110,$H$21)+SUMIFS('Calendario B'!$X$8:$X$110,'Calendario B'!$T$8:$T$110,$H24,'Calendario B'!$M$8:$M$110,$H$21),"-")</f>
        <v>-</v>
      </c>
      <c r="AS24" s="14" t="str">
        <f aca="false">IF(AND($H24&lt;&gt;"",$H$22&lt;&gt;"",$H24&lt;&gt;$H$22,IFERROR(VLOOKUP($H24,areaCercaPuntiClassificaSquadra,3,FALSE()),-1)=IFERROR(VLOOKUP($H$22,areaCercaPuntiClassificaSquadra,3,FALSE()),-2)),SUMIFS('Calendario B'!$Q$8:$Q$110,'Calendario B'!$M$8:$M$110,$H24,'Calendario B'!$T$8:$T$110,$H$22)+SUMIFS('Calendario B'!$X$8:$X$110,'Calendario B'!$T$8:$T$110,$H24,'Calendario B'!$M$8:$M$110,$H$22),"-")</f>
        <v>-</v>
      </c>
      <c r="AT24" s="14" t="str">
        <f aca="false">IF(AND($H24&lt;&gt;"",$H$23&lt;&gt;"",$H24&lt;&gt;$H$23,IFERROR(VLOOKUP($H24,areaCercaPuntiClassificaSquadra,3,FALSE()),-1)=IFERROR(VLOOKUP($H$23,areaCercaPuntiClassificaSquadra,3,FALSE()),-2)),SUMIFS('Calendario B'!$Q$8:$Q$110,'Calendario B'!$M$8:$M$110,$H24,'Calendario B'!$T$8:$T$110,$H$23)+SUMIFS('Calendario B'!$X$8:$X$110,'Calendario B'!$T$8:$T$110,$H24,'Calendario B'!$M$8:$M$110,$H$23),"-")</f>
        <v>-</v>
      </c>
      <c r="AU24" s="14" t="str">
        <f aca="false">IF(AND($H24&lt;&gt;"",$H$24&lt;&gt;"",$H24&lt;&gt;$H$24,IFERROR(VLOOKUP($H24,areaCercaPuntiClassificaSquadra,3,FALSE()),-1)=IFERROR(VLOOKUP($H$24,areaCercaPuntiClassificaSquadra,3,FALSE()),-2)),SUMIFS('Calendario B'!$Q$8:$Q$110,'Calendario B'!$M$8:$M$110,$H24,'Calendario B'!$T$8:$T$110,$H$24)+SUMIFS('Calendario B'!$X$8:$X$110,'Calendario B'!$T$8:$T$110,$H24,'Calendario B'!$M$8:$M$110,$H$24),"-")</f>
        <v>-</v>
      </c>
      <c r="AV24" s="14" t="n">
        <f aca="false">IF(AND($H24&lt;&gt;"",$H$25&lt;&gt;"",$H24&lt;&gt;$H$25,IFERROR(VLOOKUP($H24,areaCercaPuntiClassificaSquadra,3,FALSE()),-1)=IFERROR(VLOOKUP($H$25,areaCercaPuntiClassificaSquadra,3,FALSE()),-2)),SUMIFS('Calendario B'!$Q$8:$Q$110,'Calendario B'!$M$8:$M$110,$H24,'Calendario B'!$T$8:$T$110,$H$25)+SUMIFS('Calendario B'!$X$8:$X$110,'Calendario B'!$T$8:$T$110,$H24,'Calendario B'!$M$8:$M$110,$H$25),"-")</f>
        <v>60</v>
      </c>
      <c r="AW24" s="14" t="str">
        <f aca="false">IF(AND($H24&lt;&gt;"",$H$26&lt;&gt;"",$H24&lt;&gt;$H$26,IFERROR(VLOOKUP($H24,areaCercaPuntiClassificaSquadra,3,FALSE()),-1)=IFERROR(VLOOKUP($H$26,areaCercaPuntiClassificaSquadra,3,FALSE()),-2)),SUMIFS('Calendario B'!$Q$8:$Q$110,'Calendario B'!$M$8:$M$110,$H24,'Calendario B'!$T$8:$T$110,$H$26)+SUMIFS('Calendario B'!$X$8:$X$110,'Calendario B'!$T$8:$T$110,$H24,'Calendario B'!$M$8:$M$110,$H$26),"-")</f>
        <v>-</v>
      </c>
      <c r="AX24" s="14" t="str">
        <f aca="false">IF(AND($H24&lt;&gt;"",$H$27&lt;&gt;"",$H24&lt;&gt;$H$27,IFERROR(VLOOKUP($H24,areaCercaPuntiClassificaSquadra,3,FALSE()),-1)=IFERROR(VLOOKUP($H$27,areaCercaPuntiClassificaSquadra,3,FALSE()),-2)),SUMIFS('Calendario B'!$Q$8:$Q$110,'Calendario B'!$M$8:$M$110,$H24,'Calendario B'!$T$8:$T$110,$H$27)+SUMIFS('Calendario B'!$X$8:$X$110,'Calendario B'!$T$8:$T$110,$H24,'Calendario B'!$M$8:$M$110,$H$27),"-")</f>
        <v>-</v>
      </c>
      <c r="AY24" s="13" t="str">
        <f aca="false">$C24</f>
        <v>Pantere Pungenti-Pantereopoli PE</v>
      </c>
      <c r="AZ24" s="14" t="str">
        <f aca="false">IF(AND($H24&lt;&gt;"",$H$20&lt;&gt;"",$H24&lt;&gt;$H$20,IFERROR(VLOOKUP($H24,areaCercaPuntiClassificaSquadra,3,FALSE()),-1)=IFERROR(VLOOKUP($H$20,areaCercaPuntiClassificaSquadra,3,FALSE()),-2)),SUMIFS('Calendario B'!$R$8:$R$110,'Calendario B'!$M$8:$M$110,$H24,'Calendario B'!$T$8:$T$110,$H$20)+SUMIFS('Calendario B'!$Y$8:$Y$110,'Calendario B'!$T$8:$T$110,$H24,'Calendario B'!$M$8:$M$110,$H$20),"-")</f>
        <v>-</v>
      </c>
      <c r="BA24" s="14" t="str">
        <f aca="false">IF(AND($H24&lt;&gt;"",$H$21&lt;&gt;"",$H24&lt;&gt;$H$21,IFERROR(VLOOKUP($H24,areaCercaPuntiClassificaSquadra,3,FALSE()),-1)=IFERROR(VLOOKUP($H$21,areaCercaPuntiClassificaSquadra,3,FALSE()),-2)),SUMIFS('Calendario B'!$R$8:$R$110,'Calendario B'!$M$8:$M$110,$H24,'Calendario B'!$T$8:$T$110,$H$21)+SUMIFS('Calendario B'!$Y$8:$Y$110,'Calendario B'!$T$8:$T$110,$H24,'Calendario B'!$M$8:$M$110,$H$21),"-")</f>
        <v>-</v>
      </c>
      <c r="BB24" s="14" t="str">
        <f aca="false">IF(AND($H24&lt;&gt;"",$H$22&lt;&gt;"",$H24&lt;&gt;$H$22,IFERROR(VLOOKUP($H24,areaCercaPuntiClassificaSquadra,3,FALSE()),-1)=IFERROR(VLOOKUP($H$22,areaCercaPuntiClassificaSquadra,3,FALSE()),-2)),SUMIFS('Calendario B'!$R$8:$R$110,'Calendario B'!$M$8:$M$110,$H24,'Calendario B'!$T$8:$T$110,$H$22)+SUMIFS('Calendario B'!$Y$8:$Y$110,'Calendario B'!$T$8:$T$110,$H24,'Calendario B'!$M$8:$M$110,$H$22),"-")</f>
        <v>-</v>
      </c>
      <c r="BC24" s="14" t="str">
        <f aca="false">IF(AND($H24&lt;&gt;"",$H$23&lt;&gt;"",$H24&lt;&gt;$H$23,IFERROR(VLOOKUP($H24,areaCercaPuntiClassificaSquadra,3,FALSE()),-1)=IFERROR(VLOOKUP($H$23,areaCercaPuntiClassificaSquadra,3,FALSE()),-2)),SUMIFS('Calendario B'!$R$8:$R$110,'Calendario B'!$M$8:$M$110,$H24,'Calendario B'!$T$8:$T$110,$H$23)+SUMIFS('Calendario B'!$Y$8:$Y$110,'Calendario B'!$T$8:$T$110,$H24,'Calendario B'!$M$8:$M$110,$H$23),"-")</f>
        <v>-</v>
      </c>
      <c r="BD24" s="14" t="str">
        <f aca="false">IF(AND($H24&lt;&gt;"",$H$24&lt;&gt;"",$H24&lt;&gt;$H$24,IFERROR(VLOOKUP($H24,areaCercaPuntiClassificaSquadra,3,FALSE()),-1)=IFERROR(VLOOKUP($H$24,areaCercaPuntiClassificaSquadra,3,FALSE()),-2)),SUMIFS('Calendario B'!$R$8:$R$110,'Calendario B'!$M$8:$M$110,$H24,'Calendario B'!$T$8:$T$110,$H$24)+SUMIFS('Calendario B'!$Y$8:$Y$110,'Calendario B'!$T$8:$T$110,$H24,'Calendario B'!$M$8:$M$110,$H$24),"-")</f>
        <v>-</v>
      </c>
      <c r="BE24" s="14" t="n">
        <f aca="false">IF(AND($H24&lt;&gt;"",$H$25&lt;&gt;"",$H24&lt;&gt;$H$25,IFERROR(VLOOKUP($H24,areaCercaPuntiClassificaSquadra,3,FALSE()),-1)=IFERROR(VLOOKUP($H$25,areaCercaPuntiClassificaSquadra,3,FALSE()),-2)),SUMIFS('Calendario B'!$R$8:$R$110,'Calendario B'!$M$8:$M$110,$H24,'Calendario B'!$T$8:$T$110,$H$25)+SUMIFS('Calendario B'!$Y$8:$Y$110,'Calendario B'!$T$8:$T$110,$H24,'Calendario B'!$M$8:$M$110,$H$25),"-")</f>
        <v>57</v>
      </c>
      <c r="BF24" s="14" t="str">
        <f aca="false">IF(AND($H24&lt;&gt;"",$H$26&lt;&gt;"",$H24&lt;&gt;$H$26,IFERROR(VLOOKUP($H24,areaCercaPuntiClassificaSquadra,3,FALSE()),-1)=IFERROR(VLOOKUP($H$26,areaCercaPuntiClassificaSquadra,3,FALSE()),-2)),SUMIFS('Calendario B'!$R$8:$R$110,'Calendario B'!$M$8:$M$110,$H24,'Calendario B'!$T$8:$T$110,$H$26)+SUMIFS('Calendario B'!$Y$8:$Y$110,'Calendario B'!$T$8:$T$110,$H24,'Calendario B'!$M$8:$M$110,$H$26),"-")</f>
        <v>-</v>
      </c>
      <c r="BG24" s="14" t="str">
        <f aca="false">IF(AND($H24&lt;&gt;"",$H$27&lt;&gt;"",$H24&lt;&gt;$H$27,IFERROR(VLOOKUP($H24,areaCercaPuntiClassificaSquadra,3,FALSE()),-1)=IFERROR(VLOOKUP($H$27,areaCercaPuntiClassificaSquadra,3,FALSE()),-2)),SUMIFS('Calendario B'!$R$8:$R$110,'Calendario B'!$M$8:$M$110,$H24,'Calendario B'!$T$8:$T$110,$H$27)+SUMIFS('Calendario B'!$Y$8:$Y$110,'Calendario B'!$T$8:$T$110,$H24,'Calendario B'!$M$8:$M$110,$H$27),"-")</f>
        <v>-</v>
      </c>
    </row>
    <row r="25" customFormat="false" ht="15" hidden="false" customHeight="false" outlineLevel="0" collapsed="false">
      <c r="B25" s="7" t="s">
        <v>75</v>
      </c>
      <c r="C25" s="8" t="s">
        <v>76</v>
      </c>
      <c r="D25" s="9"/>
      <c r="E25" s="15" t="s">
        <v>66</v>
      </c>
      <c r="G25" s="16" t="str">
        <f aca="false">IF($C25="","",$E25&amp;(COUNTIFS(I$12:I$75,"&gt;"&amp;I25,E$12:E$75,"="&amp;E25,C$12:C$75,"&lt;&gt;")+COUNTIFS(I$12:I$75,"="&amp;I25,H$12:H$75,"&lt;="&amp;H25,E$12:E$75,"="&amp;E25,C$12:C$75,"&lt;&gt;")))</f>
        <v>B6</v>
      </c>
      <c r="H25" s="12" t="str">
        <f aca="false">IF($C25="","",IFERROR(LEFT($C25,FIND("-",$C25)-1),$C25))</f>
        <v>Quaglie Quiete</v>
      </c>
      <c r="I25" s="7" t="str">
        <f aca="false">TEXT(1000000000+J25,"|0000000000|")&amp;TEXT(SUM(Y25:AF25),"0000000000|")&amp;IF(SUM(AZ25:BG25)=0,"0000000000|",TEXT(ROUND(SUM(AQ25:AX25)/SUM(AZ25:BG25),4)*100000,"0000000000|"))&amp;IF(P25=0,"0000000000|",TEXT(ROUND(O25/P25,4)*100000,"0000000000|"))</f>
        <v>|1000000013|0000000000|0000095000|0000089370|</v>
      </c>
      <c r="J25" s="16" t="n">
        <f aca="false">L25*constPuntiVittoria+M25*constPuntiSconfitta+N25*constPuntiForfait+IF(D25="",0,D25)</f>
        <v>13</v>
      </c>
      <c r="K25" s="7" t="n">
        <f aca="false">SUM(L25:N25)</f>
        <v>7</v>
      </c>
      <c r="L25" s="7" t="n">
        <f aca="false">IF($H25="",0,SUMIF('Calendario B'!$M$8:$M$110,$H25,'Calendario B'!$N$8:$N$110)+SUMIF('Calendario B'!$T$8:$T$110,$H25,'Calendario B'!$U$8:$U$110))</f>
        <v>3</v>
      </c>
      <c r="M25" s="7" t="n">
        <f aca="false">IF($H25="",0,SUMIF('Calendario B'!$M$8:$M$110,$H25,'Calendario B'!$P$8:$P$110)+SUMIF('Calendario B'!$T$8:$T$110,$H25,'Calendario B'!$W$8:$W$110))</f>
        <v>4</v>
      </c>
      <c r="N25" s="7" t="n">
        <f aca="false">IF($H25="",0,SUMIF('Calendario B'!$M$8:$M$110,$H25,'Calendario B'!$O$8:$O$110)+SUMIF('Calendario B'!$T$8:$T$110,$H25,'Calendario B'!$V$8:$V$110))</f>
        <v>0</v>
      </c>
      <c r="O25" s="7" t="n">
        <f aca="false">IF($H25="",0,SUMIF('Calendario B'!$M$8:$M$110,$H25,'Calendario B'!$Q$8:$Q$110)+SUMIF('Calendario B'!$T$8:$T$110,$H25,'Calendario B'!$X$8:$X$110))</f>
        <v>412</v>
      </c>
      <c r="P25" s="7" t="n">
        <f aca="false">IF($H25="",0,SUMIF('Calendario B'!$M$8:$M$110,$H25,'Calendario B'!$R$8:$R$110)+SUMIF('Calendario B'!$T$8:$T$110,$H25,'Calendario B'!$Y$8:$Y$110))</f>
        <v>461</v>
      </c>
      <c r="Q25" s="7" t="n">
        <f aca="false">IF($H25="",0,SUMIF('Calendario B'!$M$8:$M$110,$H25,'Calendario B'!$S$8:$S$110)+SUMIF('Calendario B'!$T$8:$T$110,$H25,'Calendario B'!$Z$8:$Z$110))</f>
        <v>-49</v>
      </c>
      <c r="R25" s="7" t="n">
        <f aca="false">IF(K25=0,0,ROUND(O25/K25,2))</f>
        <v>58.86</v>
      </c>
      <c r="S25" s="7" t="n">
        <f aca="false">IF(K25=0,0,ROUND(P25/K25,2))</f>
        <v>65.86</v>
      </c>
      <c r="T25" s="7" t="n">
        <f aca="false">IF(K25=0,0,ROUND(Q25/K25,2))</f>
        <v>-7</v>
      </c>
      <c r="U25" s="7" t="str">
        <f aca="false">IF(COUNT(Y25:AF25)=0,"-",SUM(Y25:AF25)&amp;"-"&amp;SUM(AH25:AO25))</f>
        <v>0-1</v>
      </c>
      <c r="V25" s="7" t="str">
        <f aca="false">IF(COUNT(Y25:AF25)=0,"-",IF(SUM(AZ25:BG25)=0,TEXT(0,"0.0000"),TEXT(ROUND(SUM(AQ25:AX25)/SUM(AZ25:BG25),4),"0.0000")))</f>
        <v>0.9500</v>
      </c>
      <c r="W25" s="7" t="str">
        <f aca="false">IF(H25="","-",IF(P25=0,TEXT(0,"0.0000"),TEXT(ROUND(O25/P25,4),"0.0000")))</f>
        <v>0.8937</v>
      </c>
      <c r="X25" s="13" t="str">
        <f aca="false">$C25</f>
        <v>Quaglie Quiete-Quaglieopoli QE</v>
      </c>
      <c r="Y25" s="14" t="str">
        <f aca="false">IF(AND($H25&lt;&gt;"",$H$20&lt;&gt;"",$H25&lt;&gt;$H$20,IFERROR(VLOOKUP($H25,areaCercaPuntiClassificaSquadra,3,FALSE()),-1)=IFERROR(VLOOKUP($H$20,areaCercaPuntiClassificaSquadra,3,FALSE()),-2)),SUMIFS('Calendario B'!$N$8:$N$110,'Calendario B'!$M$8:$M$110,$H25,'Calendario B'!$T$8:$T$110,$H$20)+SUMIFS('Calendario B'!$U$8:$U$110,'Calendario B'!$T$8:$T$110,$H25,'Calendario B'!$M$8:$M$110,$H$20),"-")</f>
        <v>-</v>
      </c>
      <c r="Z25" s="14" t="str">
        <f aca="false">IF(AND($H25&lt;&gt;"",$H$21&lt;&gt;"",$H25&lt;&gt;$H$21,IFERROR(VLOOKUP($H25,areaCercaPuntiClassificaSquadra,3,FALSE()),-1)=IFERROR(VLOOKUP($H$21,areaCercaPuntiClassificaSquadra,3,FALSE()),-2)),SUMIFS('Calendario B'!$N$8:$N$110,'Calendario B'!$M$8:$M$110,$H25,'Calendario B'!$T$8:$T$110,$H$21)+SUMIFS('Calendario B'!$U$8:$U$110,'Calendario B'!$T$8:$T$110,$H25,'Calendario B'!$M$8:$M$110,$H$21),"-")</f>
        <v>-</v>
      </c>
      <c r="AA25" s="14" t="str">
        <f aca="false">IF(AND($H25&lt;&gt;"",$H$22&lt;&gt;"",$H25&lt;&gt;$H$22,IFERROR(VLOOKUP($H25,areaCercaPuntiClassificaSquadra,3,FALSE()),-1)=IFERROR(VLOOKUP($H$22,areaCercaPuntiClassificaSquadra,3,FALSE()),-2)),SUMIFS('Calendario B'!$N$8:$N$110,'Calendario B'!$M$8:$M$110,$H25,'Calendario B'!$T$8:$T$110,$H$22)+SUMIFS('Calendario B'!$U$8:$U$110,'Calendario B'!$T$8:$T$110,$H25,'Calendario B'!$M$8:$M$110,$H$22),"-")</f>
        <v>-</v>
      </c>
      <c r="AB25" s="14" t="str">
        <f aca="false">IF(AND($H25&lt;&gt;"",$H$23&lt;&gt;"",$H25&lt;&gt;$H$23,IFERROR(VLOOKUP($H25,areaCercaPuntiClassificaSquadra,3,FALSE()),-1)=IFERROR(VLOOKUP($H$23,areaCercaPuntiClassificaSquadra,3,FALSE()),-2)),SUMIFS('Calendario B'!$N$8:$N$110,'Calendario B'!$M$8:$M$110,$H25,'Calendario B'!$T$8:$T$110,$H$23)+SUMIFS('Calendario B'!$U$8:$U$110,'Calendario B'!$T$8:$T$110,$H25,'Calendario B'!$M$8:$M$110,$H$23),"-")</f>
        <v>-</v>
      </c>
      <c r="AC25" s="14" t="n">
        <f aca="false">IF(AND($H25&lt;&gt;"",$H$24&lt;&gt;"",$H25&lt;&gt;$H$24,IFERROR(VLOOKUP($H25,areaCercaPuntiClassificaSquadra,3,FALSE()),-1)=IFERROR(VLOOKUP($H$24,areaCercaPuntiClassificaSquadra,3,FALSE()),-2)),SUMIFS('Calendario B'!$N$8:$N$110,'Calendario B'!$M$8:$M$110,$H25,'Calendario B'!$T$8:$T$110,$H$24)+SUMIFS('Calendario B'!$U$8:$U$110,'Calendario B'!$T$8:$T$110,$H25,'Calendario B'!$M$8:$M$110,$H$24),"-")</f>
        <v>0</v>
      </c>
      <c r="AD25" s="14" t="str">
        <f aca="false">IF(AND($H25&lt;&gt;"",$H$25&lt;&gt;"",$H25&lt;&gt;$H$25,IFERROR(VLOOKUP($H25,areaCercaPuntiClassificaSquadra,3,FALSE()),-1)=IFERROR(VLOOKUP($H$25,areaCercaPuntiClassificaSquadra,3,FALSE()),-2)),SUMIFS('Calendario B'!$N$8:$N$110,'Calendario B'!$M$8:$M$110,$H25,'Calendario B'!$T$8:$T$110,$H$25)+SUMIFS('Calendario B'!$U$8:$U$110,'Calendario B'!$T$8:$T$110,$H25,'Calendario B'!$M$8:$M$110,$H$25),"-")</f>
        <v>-</v>
      </c>
      <c r="AE25" s="14" t="str">
        <f aca="false">IF(AND($H25&lt;&gt;"",$H$26&lt;&gt;"",$H25&lt;&gt;$H$26,IFERROR(VLOOKUP($H25,areaCercaPuntiClassificaSquadra,3,FALSE()),-1)=IFERROR(VLOOKUP($H$26,areaCercaPuntiClassificaSquadra,3,FALSE()),-2)),SUMIFS('Calendario B'!$N$8:$N$110,'Calendario B'!$M$8:$M$110,$H25,'Calendario B'!$T$8:$T$110,$H$26)+SUMIFS('Calendario B'!$U$8:$U$110,'Calendario B'!$T$8:$T$110,$H25,'Calendario B'!$M$8:$M$110,$H$26),"-")</f>
        <v>-</v>
      </c>
      <c r="AF25" s="14" t="str">
        <f aca="false">IF(AND($H25&lt;&gt;"",$H$27&lt;&gt;"",$H25&lt;&gt;$H$27,IFERROR(VLOOKUP($H25,areaCercaPuntiClassificaSquadra,3,FALSE()),-1)=IFERROR(VLOOKUP($H$27,areaCercaPuntiClassificaSquadra,3,FALSE()),-2)),SUMIFS('Calendario B'!$N$8:$N$110,'Calendario B'!$M$8:$M$110,$H25,'Calendario B'!$T$8:$T$110,$H$27)+SUMIFS('Calendario B'!$U$8:$U$110,'Calendario B'!$T$8:$T$110,$H25,'Calendario B'!$M$8:$M$110,$H$27),"-")</f>
        <v>-</v>
      </c>
      <c r="AG25" s="13" t="str">
        <f aca="false">$C25</f>
        <v>Quaglie Quiete-Quaglieopoli QE</v>
      </c>
      <c r="AH25" s="14" t="str">
        <f aca="false">IF(AND($H25&lt;&gt;"",$H$20&lt;&gt;"",$H25&lt;&gt;$H$20,IFERROR(VLOOKUP($H25,areaCercaPuntiClassificaSquadra,3,FALSE()),-1)=IFERROR(VLOOKUP($H$20,areaCercaPuntiClassificaSquadra,3,FALSE()),-2)),SUMIFS('Calendario B'!$P$8:$P$110,'Calendario B'!$M$8:$M$110,$H25,'Calendario B'!$T$8:$T$110,$H$20)+SUMIFS('Calendario B'!$W$8:$W$110,'Calendario B'!$T$8:$T$110,$H25,'Calendario B'!$M$8:$M$110,$H$20)+SUMIFS('Calendario B'!$O$8:$O$110,'Calendario B'!$M$8:$M$110,$H25,'Calendario B'!$T$8:$T$110,$H$20)+SUMIFS('Calendario B'!$V$8:$V$110,'Calendario B'!$T$8:$T$110,$H25,'Calendario B'!$M$8:$M$110,$H$20),"-")</f>
        <v>-</v>
      </c>
      <c r="AI25" s="14" t="str">
        <f aca="false">IF(AND($H25&lt;&gt;"",$H$21&lt;&gt;"",$H25&lt;&gt;$H$21,IFERROR(VLOOKUP($H25,areaCercaPuntiClassificaSquadra,3,FALSE()),-1)=IFERROR(VLOOKUP($H$21,areaCercaPuntiClassificaSquadra,3,FALSE()),-2)),SUMIFS('Calendario B'!$P$8:$P$110,'Calendario B'!$M$8:$M$110,$H25,'Calendario B'!$T$8:$T$110,$H$21)+SUMIFS('Calendario B'!$W$8:$W$110,'Calendario B'!$T$8:$T$110,$H25,'Calendario B'!$M$8:$M$110,$H$21)+SUMIFS('Calendario B'!$O$8:$O$110,'Calendario B'!$M$8:$M$110,$H25,'Calendario B'!$T$8:$T$110,$H$21)+SUMIFS('Calendario B'!$V$8:$V$110,'Calendario B'!$T$8:$T$110,$H25,'Calendario B'!$M$8:$M$110,$H$21),"-")</f>
        <v>-</v>
      </c>
      <c r="AJ25" s="14" t="str">
        <f aca="false">IF(AND($H25&lt;&gt;"",$H$22&lt;&gt;"",$H25&lt;&gt;$H$22,IFERROR(VLOOKUP($H25,areaCercaPuntiClassificaSquadra,3,FALSE()),-1)=IFERROR(VLOOKUP($H$22,areaCercaPuntiClassificaSquadra,3,FALSE()),-2)),SUMIFS('Calendario B'!$P$8:$P$110,'Calendario B'!$M$8:$M$110,$H25,'Calendario B'!$T$8:$T$110,$H$22)+SUMIFS('Calendario B'!$W$8:$W$110,'Calendario B'!$T$8:$T$110,$H25,'Calendario B'!$M$8:$M$110,$H$22)+SUMIFS('Calendario B'!$O$8:$O$110,'Calendario B'!$M$8:$M$110,$H25,'Calendario B'!$T$8:$T$110,$H$22)+SUMIFS('Calendario B'!$V$8:$V$110,'Calendario B'!$T$8:$T$110,$H25,'Calendario B'!$M$8:$M$110,$H$22),"-")</f>
        <v>-</v>
      </c>
      <c r="AK25" s="14" t="str">
        <f aca="false">IF(AND($H25&lt;&gt;"",$H$23&lt;&gt;"",$H25&lt;&gt;$H$23,IFERROR(VLOOKUP($H25,areaCercaPuntiClassificaSquadra,3,FALSE()),-1)=IFERROR(VLOOKUP($H$23,areaCercaPuntiClassificaSquadra,3,FALSE()),-2)),SUMIFS('Calendario B'!$P$8:$P$110,'Calendario B'!$M$8:$M$110,$H25,'Calendario B'!$T$8:$T$110,$H$23)+SUMIFS('Calendario B'!$W$8:$W$110,'Calendario B'!$T$8:$T$110,$H25,'Calendario B'!$M$8:$M$110,$H$23)+SUMIFS('Calendario B'!$O$8:$O$110,'Calendario B'!$M$8:$M$110,$H25,'Calendario B'!$T$8:$T$110,$H$23)+SUMIFS('Calendario B'!$V$8:$V$110,'Calendario B'!$T$8:$T$110,$H25,'Calendario B'!$M$8:$M$110,$H$23),"-")</f>
        <v>-</v>
      </c>
      <c r="AL25" s="14" t="n">
        <f aca="false">IF(AND($H25&lt;&gt;"",$H$24&lt;&gt;"",$H25&lt;&gt;$H$24,IFERROR(VLOOKUP($H25,areaCercaPuntiClassificaSquadra,3,FALSE()),-1)=IFERROR(VLOOKUP($H$24,areaCercaPuntiClassificaSquadra,3,FALSE()),-2)),SUMIFS('Calendario B'!$P$8:$P$110,'Calendario B'!$M$8:$M$110,$H25,'Calendario B'!$T$8:$T$110,$H$24)+SUMIFS('Calendario B'!$W$8:$W$110,'Calendario B'!$T$8:$T$110,$H25,'Calendario B'!$M$8:$M$110,$H$24)+SUMIFS('Calendario B'!$O$8:$O$110,'Calendario B'!$M$8:$M$110,$H25,'Calendario B'!$T$8:$T$110,$H$24)+SUMIFS('Calendario B'!$V$8:$V$110,'Calendario B'!$T$8:$T$110,$H25,'Calendario B'!$M$8:$M$110,$H$24),"-")</f>
        <v>1</v>
      </c>
      <c r="AM25" s="14" t="str">
        <f aca="false">IF(AND($H25&lt;&gt;"",$H$25&lt;&gt;"",$H25&lt;&gt;$H$25,IFERROR(VLOOKUP($H25,areaCercaPuntiClassificaSquadra,3,FALSE()),-1)=IFERROR(VLOOKUP($H$25,areaCercaPuntiClassificaSquadra,3,FALSE()),-2)),SUMIFS('Calendario B'!$P$8:$P$110,'Calendario B'!$M$8:$M$110,$H25,'Calendario B'!$T$8:$T$110,$H$25)+SUMIFS('Calendario B'!$W$8:$W$110,'Calendario B'!$T$8:$T$110,$H25,'Calendario B'!$M$8:$M$110,$H$25)+SUMIFS('Calendario B'!$O$8:$O$110,'Calendario B'!$M$8:$M$110,$H25,'Calendario B'!$T$8:$T$110,$H$25)+SUMIFS('Calendario B'!$V$8:$V$110,'Calendario B'!$T$8:$T$110,$H25,'Calendario B'!$M$8:$M$110,$H$25),"-")</f>
        <v>-</v>
      </c>
      <c r="AN25" s="14" t="str">
        <f aca="false">IF(AND($H25&lt;&gt;"",$H$26&lt;&gt;"",$H25&lt;&gt;$H$26,IFERROR(VLOOKUP($H25,areaCercaPuntiClassificaSquadra,3,FALSE()),-1)=IFERROR(VLOOKUP($H$26,areaCercaPuntiClassificaSquadra,3,FALSE()),-2)),SUMIFS('Calendario B'!$P$8:$P$110,'Calendario B'!$M$8:$M$110,$H25,'Calendario B'!$T$8:$T$110,$H$26)+SUMIFS('Calendario B'!$W$8:$W$110,'Calendario B'!$T$8:$T$110,$H25,'Calendario B'!$M$8:$M$110,$H$26)+SUMIFS('Calendario B'!$O$8:$O$110,'Calendario B'!$M$8:$M$110,$H25,'Calendario B'!$T$8:$T$110,$H$26)+SUMIFS('Calendario B'!$V$8:$V$110,'Calendario B'!$T$8:$T$110,$H25,'Calendario B'!$M$8:$M$110,$H$26),"-")</f>
        <v>-</v>
      </c>
      <c r="AO25" s="14" t="str">
        <f aca="false">IF(AND($H25&lt;&gt;"",$H$27&lt;&gt;"",$H25&lt;&gt;$H$27,IFERROR(VLOOKUP($H25,areaCercaPuntiClassificaSquadra,3,FALSE()),-1)=IFERROR(VLOOKUP($H$27,areaCercaPuntiClassificaSquadra,3,FALSE()),-2)),SUMIFS('Calendario B'!$P$8:$P$110,'Calendario B'!$M$8:$M$110,$H25,'Calendario B'!$T$8:$T$110,$H$27)+SUMIFS('Calendario B'!$W$8:$W$110,'Calendario B'!$T$8:$T$110,$H25,'Calendario B'!$M$8:$M$110,$H$27)+SUMIFS('Calendario B'!$O$8:$O$110,'Calendario B'!$M$8:$M$110,$H25,'Calendario B'!$T$8:$T$110,$H$27)+SUMIFS('Calendario B'!$V$8:$V$110,'Calendario B'!$T$8:$T$110,$H25,'Calendario B'!$M$8:$M$110,$H$27),"-")</f>
        <v>-</v>
      </c>
      <c r="AP25" s="13" t="str">
        <f aca="false">$C25</f>
        <v>Quaglie Quiete-Quaglieopoli QE</v>
      </c>
      <c r="AQ25" s="14" t="str">
        <f aca="false">IF(AND($H25&lt;&gt;"",$H$20&lt;&gt;"",$H25&lt;&gt;$H$20,IFERROR(VLOOKUP($H25,areaCercaPuntiClassificaSquadra,3,FALSE()),-1)=IFERROR(VLOOKUP($H$20,areaCercaPuntiClassificaSquadra,3,FALSE()),-2)),SUMIFS('Calendario B'!$Q$8:$Q$110,'Calendario B'!$M$8:$M$110,$H25,'Calendario B'!$T$8:$T$110,$H$20)+SUMIFS('Calendario B'!$X$8:$X$110,'Calendario B'!$T$8:$T$110,$H25,'Calendario B'!$M$8:$M$110,$H$20),"-")</f>
        <v>-</v>
      </c>
      <c r="AR25" s="14" t="str">
        <f aca="false">IF(AND($H25&lt;&gt;"",$H$21&lt;&gt;"",$H25&lt;&gt;$H$21,IFERROR(VLOOKUP($H25,areaCercaPuntiClassificaSquadra,3,FALSE()),-1)=IFERROR(VLOOKUP($H$21,areaCercaPuntiClassificaSquadra,3,FALSE()),-2)),SUMIFS('Calendario B'!$Q$8:$Q$110,'Calendario B'!$M$8:$M$110,$H25,'Calendario B'!$T$8:$T$110,$H$21)+SUMIFS('Calendario B'!$X$8:$X$110,'Calendario B'!$T$8:$T$110,$H25,'Calendario B'!$M$8:$M$110,$H$21),"-")</f>
        <v>-</v>
      </c>
      <c r="AS25" s="14" t="str">
        <f aca="false">IF(AND($H25&lt;&gt;"",$H$22&lt;&gt;"",$H25&lt;&gt;$H$22,IFERROR(VLOOKUP($H25,areaCercaPuntiClassificaSquadra,3,FALSE()),-1)=IFERROR(VLOOKUP($H$22,areaCercaPuntiClassificaSquadra,3,FALSE()),-2)),SUMIFS('Calendario B'!$Q$8:$Q$110,'Calendario B'!$M$8:$M$110,$H25,'Calendario B'!$T$8:$T$110,$H$22)+SUMIFS('Calendario B'!$X$8:$X$110,'Calendario B'!$T$8:$T$110,$H25,'Calendario B'!$M$8:$M$110,$H$22),"-")</f>
        <v>-</v>
      </c>
      <c r="AT25" s="14" t="str">
        <f aca="false">IF(AND($H25&lt;&gt;"",$H$23&lt;&gt;"",$H25&lt;&gt;$H$23,IFERROR(VLOOKUP($H25,areaCercaPuntiClassificaSquadra,3,FALSE()),-1)=IFERROR(VLOOKUP($H$23,areaCercaPuntiClassificaSquadra,3,FALSE()),-2)),SUMIFS('Calendario B'!$Q$8:$Q$110,'Calendario B'!$M$8:$M$110,$H25,'Calendario B'!$T$8:$T$110,$H$23)+SUMIFS('Calendario B'!$X$8:$X$110,'Calendario B'!$T$8:$T$110,$H25,'Calendario B'!$M$8:$M$110,$H$23),"-")</f>
        <v>-</v>
      </c>
      <c r="AU25" s="14" t="n">
        <f aca="false">IF(AND($H25&lt;&gt;"",$H$24&lt;&gt;"",$H25&lt;&gt;$H$24,IFERROR(VLOOKUP($H25,areaCercaPuntiClassificaSquadra,3,FALSE()),-1)=IFERROR(VLOOKUP($H$24,areaCercaPuntiClassificaSquadra,3,FALSE()),-2)),SUMIFS('Calendario B'!$Q$8:$Q$110,'Calendario B'!$M$8:$M$110,$H25,'Calendario B'!$T$8:$T$110,$H$24)+SUMIFS('Calendario B'!$X$8:$X$110,'Calendario B'!$T$8:$T$110,$H25,'Calendario B'!$M$8:$M$110,$H$24),"-")</f>
        <v>57</v>
      </c>
      <c r="AV25" s="14" t="str">
        <f aca="false">IF(AND($H25&lt;&gt;"",$H$25&lt;&gt;"",$H25&lt;&gt;$H$25,IFERROR(VLOOKUP($H25,areaCercaPuntiClassificaSquadra,3,FALSE()),-1)=IFERROR(VLOOKUP($H$25,areaCercaPuntiClassificaSquadra,3,FALSE()),-2)),SUMIFS('Calendario B'!$Q$8:$Q$110,'Calendario B'!$M$8:$M$110,$H25,'Calendario B'!$T$8:$T$110,$H$25)+SUMIFS('Calendario B'!$X$8:$X$110,'Calendario B'!$T$8:$T$110,$H25,'Calendario B'!$M$8:$M$110,$H$25),"-")</f>
        <v>-</v>
      </c>
      <c r="AW25" s="14" t="str">
        <f aca="false">IF(AND($H25&lt;&gt;"",$H$26&lt;&gt;"",$H25&lt;&gt;$H$26,IFERROR(VLOOKUP($H25,areaCercaPuntiClassificaSquadra,3,FALSE()),-1)=IFERROR(VLOOKUP($H$26,areaCercaPuntiClassificaSquadra,3,FALSE()),-2)),SUMIFS('Calendario B'!$Q$8:$Q$110,'Calendario B'!$M$8:$M$110,$H25,'Calendario B'!$T$8:$T$110,$H$26)+SUMIFS('Calendario B'!$X$8:$X$110,'Calendario B'!$T$8:$T$110,$H25,'Calendario B'!$M$8:$M$110,$H$26),"-")</f>
        <v>-</v>
      </c>
      <c r="AX25" s="14" t="str">
        <f aca="false">IF(AND($H25&lt;&gt;"",$H$27&lt;&gt;"",$H25&lt;&gt;$H$27,IFERROR(VLOOKUP($H25,areaCercaPuntiClassificaSquadra,3,FALSE()),-1)=IFERROR(VLOOKUP($H$27,areaCercaPuntiClassificaSquadra,3,FALSE()),-2)),SUMIFS('Calendario B'!$Q$8:$Q$110,'Calendario B'!$M$8:$M$110,$H25,'Calendario B'!$T$8:$T$110,$H$27)+SUMIFS('Calendario B'!$X$8:$X$110,'Calendario B'!$T$8:$T$110,$H25,'Calendario B'!$M$8:$M$110,$H$27),"-")</f>
        <v>-</v>
      </c>
      <c r="AY25" s="13" t="str">
        <f aca="false">$C25</f>
        <v>Quaglie Quiete-Quaglieopoli QE</v>
      </c>
      <c r="AZ25" s="14" t="str">
        <f aca="false">IF(AND($H25&lt;&gt;"",$H$20&lt;&gt;"",$H25&lt;&gt;$H$20,IFERROR(VLOOKUP($H25,areaCercaPuntiClassificaSquadra,3,FALSE()),-1)=IFERROR(VLOOKUP($H$20,areaCercaPuntiClassificaSquadra,3,FALSE()),-2)),SUMIFS('Calendario B'!$R$8:$R$110,'Calendario B'!$M$8:$M$110,$H25,'Calendario B'!$T$8:$T$110,$H$20)+SUMIFS('Calendario B'!$Y$8:$Y$110,'Calendario B'!$T$8:$T$110,$H25,'Calendario B'!$M$8:$M$110,$H$20),"-")</f>
        <v>-</v>
      </c>
      <c r="BA25" s="14" t="str">
        <f aca="false">IF(AND($H25&lt;&gt;"",$H$21&lt;&gt;"",$H25&lt;&gt;$H$21,IFERROR(VLOOKUP($H25,areaCercaPuntiClassificaSquadra,3,FALSE()),-1)=IFERROR(VLOOKUP($H$21,areaCercaPuntiClassificaSquadra,3,FALSE()),-2)),SUMIFS('Calendario B'!$R$8:$R$110,'Calendario B'!$M$8:$M$110,$H25,'Calendario B'!$T$8:$T$110,$H$21)+SUMIFS('Calendario B'!$Y$8:$Y$110,'Calendario B'!$T$8:$T$110,$H25,'Calendario B'!$M$8:$M$110,$H$21),"-")</f>
        <v>-</v>
      </c>
      <c r="BB25" s="14" t="str">
        <f aca="false">IF(AND($H25&lt;&gt;"",$H$22&lt;&gt;"",$H25&lt;&gt;$H$22,IFERROR(VLOOKUP($H25,areaCercaPuntiClassificaSquadra,3,FALSE()),-1)=IFERROR(VLOOKUP($H$22,areaCercaPuntiClassificaSquadra,3,FALSE()),-2)),SUMIFS('Calendario B'!$R$8:$R$110,'Calendario B'!$M$8:$M$110,$H25,'Calendario B'!$T$8:$T$110,$H$22)+SUMIFS('Calendario B'!$Y$8:$Y$110,'Calendario B'!$T$8:$T$110,$H25,'Calendario B'!$M$8:$M$110,$H$22),"-")</f>
        <v>-</v>
      </c>
      <c r="BC25" s="14" t="str">
        <f aca="false">IF(AND($H25&lt;&gt;"",$H$23&lt;&gt;"",$H25&lt;&gt;$H$23,IFERROR(VLOOKUP($H25,areaCercaPuntiClassificaSquadra,3,FALSE()),-1)=IFERROR(VLOOKUP($H$23,areaCercaPuntiClassificaSquadra,3,FALSE()),-2)),SUMIFS('Calendario B'!$R$8:$R$110,'Calendario B'!$M$8:$M$110,$H25,'Calendario B'!$T$8:$T$110,$H$23)+SUMIFS('Calendario B'!$Y$8:$Y$110,'Calendario B'!$T$8:$T$110,$H25,'Calendario B'!$M$8:$M$110,$H$23),"-")</f>
        <v>-</v>
      </c>
      <c r="BD25" s="14" t="n">
        <f aca="false">IF(AND($H25&lt;&gt;"",$H$24&lt;&gt;"",$H25&lt;&gt;$H$24,IFERROR(VLOOKUP($H25,areaCercaPuntiClassificaSquadra,3,FALSE()),-1)=IFERROR(VLOOKUP($H$24,areaCercaPuntiClassificaSquadra,3,FALSE()),-2)),SUMIFS('Calendario B'!$R$8:$R$110,'Calendario B'!$M$8:$M$110,$H25,'Calendario B'!$T$8:$T$110,$H$24)+SUMIFS('Calendario B'!$Y$8:$Y$110,'Calendario B'!$T$8:$T$110,$H25,'Calendario B'!$M$8:$M$110,$H$24),"-")</f>
        <v>60</v>
      </c>
      <c r="BE25" s="14" t="str">
        <f aca="false">IF(AND($H25&lt;&gt;"",$H$25&lt;&gt;"",$H25&lt;&gt;$H$25,IFERROR(VLOOKUP($H25,areaCercaPuntiClassificaSquadra,3,FALSE()),-1)=IFERROR(VLOOKUP($H$25,areaCercaPuntiClassificaSquadra,3,FALSE()),-2)),SUMIFS('Calendario B'!$R$8:$R$110,'Calendario B'!$M$8:$M$110,$H25,'Calendario B'!$T$8:$T$110,$H$25)+SUMIFS('Calendario B'!$Y$8:$Y$110,'Calendario B'!$T$8:$T$110,$H25,'Calendario B'!$M$8:$M$110,$H$25),"-")</f>
        <v>-</v>
      </c>
      <c r="BF25" s="14" t="str">
        <f aca="false">IF(AND($H25&lt;&gt;"",$H$26&lt;&gt;"",$H25&lt;&gt;$H$26,IFERROR(VLOOKUP($H25,areaCercaPuntiClassificaSquadra,3,FALSE()),-1)=IFERROR(VLOOKUP($H$26,areaCercaPuntiClassificaSquadra,3,FALSE()),-2)),SUMIFS('Calendario B'!$R$8:$R$110,'Calendario B'!$M$8:$M$110,$H25,'Calendario B'!$T$8:$T$110,$H$26)+SUMIFS('Calendario B'!$Y$8:$Y$110,'Calendario B'!$T$8:$T$110,$H25,'Calendario B'!$M$8:$M$110,$H$26),"-")</f>
        <v>-</v>
      </c>
      <c r="BG25" s="14" t="str">
        <f aca="false">IF(AND($H25&lt;&gt;"",$H$27&lt;&gt;"",$H25&lt;&gt;$H$27,IFERROR(VLOOKUP($H25,areaCercaPuntiClassificaSquadra,3,FALSE()),-1)=IFERROR(VLOOKUP($H$27,areaCercaPuntiClassificaSquadra,3,FALSE()),-2)),SUMIFS('Calendario B'!$R$8:$R$110,'Calendario B'!$M$8:$M$110,$H25,'Calendario B'!$T$8:$T$110,$H$27)+SUMIFS('Calendario B'!$Y$8:$Y$110,'Calendario B'!$T$8:$T$110,$H25,'Calendario B'!$M$8:$M$110,$H$27),"-")</f>
        <v>-</v>
      </c>
    </row>
    <row r="26" customFormat="false" ht="15" hidden="false" customHeight="false" outlineLevel="0" collapsed="false">
      <c r="B26" s="7" t="s">
        <v>77</v>
      </c>
      <c r="C26" s="8" t="s">
        <v>78</v>
      </c>
      <c r="D26" s="9"/>
      <c r="E26" s="15" t="s">
        <v>66</v>
      </c>
      <c r="G26" s="16" t="str">
        <f aca="false">IF($C26="","",$E26&amp;(COUNTIFS(I$12:I$75,"&gt;"&amp;I26,E$12:E$75,"="&amp;E26,C$12:C$75,"&lt;&gt;")+COUNTIFS(I$12:I$75,"="&amp;I26,H$12:H$75,"&lt;="&amp;H26,E$12:E$75,"="&amp;E26,C$12:C$75,"&lt;&gt;")))</f>
        <v>B1</v>
      </c>
      <c r="H26" s="12" t="str">
        <f aca="false">IF($C26="","",IFERROR(LEFT($C26,FIND("-",$C26)-1),$C26))</f>
        <v>Rinoceronti Ribelli</v>
      </c>
      <c r="I26" s="7" t="str">
        <f aca="false">TEXT(1000000000+J26,"|0000000000|")&amp;TEXT(SUM(Y26:AF26),"0000000000|")&amp;IF(SUM(AZ26:BG26)=0,"0000000000|",TEXT(ROUND(SUM(AQ26:AX26)/SUM(AZ26:BG26),4)*100000,"0000000000|"))&amp;IF(P26=0,"0000000000|",TEXT(ROUND(O26/P26,4)*100000,"0000000000|"))</f>
        <v>|1000000019|0000000000|0000000000|0000135680|</v>
      </c>
      <c r="J26" s="16" t="n">
        <f aca="false">L26*constPuntiVittoria+M26*constPuntiSconfitta+N26*constPuntiForfait+IF(D26="",0,D26)</f>
        <v>19</v>
      </c>
      <c r="K26" s="7" t="n">
        <f aca="false">SUM(L26:N26)</f>
        <v>7</v>
      </c>
      <c r="L26" s="7" t="n">
        <f aca="false">IF($H26="",0,SUMIF('Calendario B'!$M$8:$M$110,$H26,'Calendario B'!$N$8:$N$110)+SUMIF('Calendario B'!$T$8:$T$110,$H26,'Calendario B'!$U$8:$U$110))</f>
        <v>6</v>
      </c>
      <c r="M26" s="7" t="n">
        <f aca="false">IF($H26="",0,SUMIF('Calendario B'!$M$8:$M$110,$H26,'Calendario B'!$P$8:$P$110)+SUMIF('Calendario B'!$T$8:$T$110,$H26,'Calendario B'!$W$8:$W$110))</f>
        <v>1</v>
      </c>
      <c r="N26" s="7" t="n">
        <f aca="false">IF($H26="",0,SUMIF('Calendario B'!$M$8:$M$110,$H26,'Calendario B'!$O$8:$O$110)+SUMIF('Calendario B'!$T$8:$T$110,$H26,'Calendario B'!$V$8:$V$110))</f>
        <v>0</v>
      </c>
      <c r="O26" s="7" t="n">
        <f aca="false">IF($H26="",0,SUMIF('Calendario B'!$M$8:$M$110,$H26,'Calendario B'!$Q$8:$Q$110)+SUMIF('Calendario B'!$T$8:$T$110,$H26,'Calendario B'!$X$8:$X$110))</f>
        <v>502</v>
      </c>
      <c r="P26" s="7" t="n">
        <f aca="false">IF($H26="",0,SUMIF('Calendario B'!$M$8:$M$110,$H26,'Calendario B'!$R$8:$R$110)+SUMIF('Calendario B'!$T$8:$T$110,$H26,'Calendario B'!$Y$8:$Y$110))</f>
        <v>370</v>
      </c>
      <c r="Q26" s="7" t="n">
        <f aca="false">IF($H26="",0,SUMIF('Calendario B'!$M$8:$M$110,$H26,'Calendario B'!$S$8:$S$110)+SUMIF('Calendario B'!$T$8:$T$110,$H26,'Calendario B'!$Z$8:$Z$110))</f>
        <v>132</v>
      </c>
      <c r="R26" s="7" t="n">
        <f aca="false">IF(K26=0,0,ROUND(O26/K26,2))</f>
        <v>71.71</v>
      </c>
      <c r="S26" s="7" t="n">
        <f aca="false">IF(K26=0,0,ROUND(P26/K26,2))</f>
        <v>52.86</v>
      </c>
      <c r="T26" s="7" t="n">
        <f aca="false">IF(K26=0,0,ROUND(Q26/K26,2))</f>
        <v>18.86</v>
      </c>
      <c r="U26" s="7" t="str">
        <f aca="false">IF(COUNT(Y26:AF26)=0,"-",SUM(Y26:AF26)&amp;"-"&amp;SUM(AH26:AO26))</f>
        <v>-</v>
      </c>
      <c r="V26" s="7" t="str">
        <f aca="false">IF(COUNT(Y26:AF26)=0,"-",IF(SUM(AZ26:BG26)=0,TEXT(0,"0.0000"),TEXT(ROUND(SUM(AQ26:AX26)/SUM(AZ26:BG26),4),"0.0000")))</f>
        <v>-</v>
      </c>
      <c r="W26" s="7" t="str">
        <f aca="false">IF(H26="","-",IF(P26=0,TEXT(0,"0.0000"),TEXT(ROUND(O26/P26,4),"0.0000")))</f>
        <v>1.3568</v>
      </c>
      <c r="X26" s="13" t="str">
        <f aca="false">$C26</f>
        <v>Rinoceronti Ribelli-Rinocerontiopoli RI</v>
      </c>
      <c r="Y26" s="14" t="str">
        <f aca="false">IF(AND($H26&lt;&gt;"",$H$20&lt;&gt;"",$H26&lt;&gt;$H$20,IFERROR(VLOOKUP($H26,areaCercaPuntiClassificaSquadra,3,FALSE()),-1)=IFERROR(VLOOKUP($H$20,areaCercaPuntiClassificaSquadra,3,FALSE()),-2)),SUMIFS('Calendario B'!$N$8:$N$110,'Calendario B'!$M$8:$M$110,$H26,'Calendario B'!$T$8:$T$110,$H$20)+SUMIFS('Calendario B'!$U$8:$U$110,'Calendario B'!$T$8:$T$110,$H26,'Calendario B'!$M$8:$M$110,$H$20),"-")</f>
        <v>-</v>
      </c>
      <c r="Z26" s="14" t="str">
        <f aca="false">IF(AND($H26&lt;&gt;"",$H$21&lt;&gt;"",$H26&lt;&gt;$H$21,IFERROR(VLOOKUP($H26,areaCercaPuntiClassificaSquadra,3,FALSE()),-1)=IFERROR(VLOOKUP($H$21,areaCercaPuntiClassificaSquadra,3,FALSE()),-2)),SUMIFS('Calendario B'!$N$8:$N$110,'Calendario B'!$M$8:$M$110,$H26,'Calendario B'!$T$8:$T$110,$H$21)+SUMIFS('Calendario B'!$U$8:$U$110,'Calendario B'!$T$8:$T$110,$H26,'Calendario B'!$M$8:$M$110,$H$21),"-")</f>
        <v>-</v>
      </c>
      <c r="AA26" s="14" t="str">
        <f aca="false">IF(AND($H26&lt;&gt;"",$H$22&lt;&gt;"",$H26&lt;&gt;$H$22,IFERROR(VLOOKUP($H26,areaCercaPuntiClassificaSquadra,3,FALSE()),-1)=IFERROR(VLOOKUP($H$22,areaCercaPuntiClassificaSquadra,3,FALSE()),-2)),SUMIFS('Calendario B'!$N$8:$N$110,'Calendario B'!$M$8:$M$110,$H26,'Calendario B'!$T$8:$T$110,$H$22)+SUMIFS('Calendario B'!$U$8:$U$110,'Calendario B'!$T$8:$T$110,$H26,'Calendario B'!$M$8:$M$110,$H$22),"-")</f>
        <v>-</v>
      </c>
      <c r="AB26" s="14" t="str">
        <f aca="false">IF(AND($H26&lt;&gt;"",$H$23&lt;&gt;"",$H26&lt;&gt;$H$23,IFERROR(VLOOKUP($H26,areaCercaPuntiClassificaSquadra,3,FALSE()),-1)=IFERROR(VLOOKUP($H$23,areaCercaPuntiClassificaSquadra,3,FALSE()),-2)),SUMIFS('Calendario B'!$N$8:$N$110,'Calendario B'!$M$8:$M$110,$H26,'Calendario B'!$T$8:$T$110,$H$23)+SUMIFS('Calendario B'!$U$8:$U$110,'Calendario B'!$T$8:$T$110,$H26,'Calendario B'!$M$8:$M$110,$H$23),"-")</f>
        <v>-</v>
      </c>
      <c r="AC26" s="14" t="str">
        <f aca="false">IF(AND($H26&lt;&gt;"",$H$24&lt;&gt;"",$H26&lt;&gt;$H$24,IFERROR(VLOOKUP($H26,areaCercaPuntiClassificaSquadra,3,FALSE()),-1)=IFERROR(VLOOKUP($H$24,areaCercaPuntiClassificaSquadra,3,FALSE()),-2)),SUMIFS('Calendario B'!$N$8:$N$110,'Calendario B'!$M$8:$M$110,$H26,'Calendario B'!$T$8:$T$110,$H$24)+SUMIFS('Calendario B'!$U$8:$U$110,'Calendario B'!$T$8:$T$110,$H26,'Calendario B'!$M$8:$M$110,$H$24),"-")</f>
        <v>-</v>
      </c>
      <c r="AD26" s="14" t="str">
        <f aca="false">IF(AND($H26&lt;&gt;"",$H$25&lt;&gt;"",$H26&lt;&gt;$H$25,IFERROR(VLOOKUP($H26,areaCercaPuntiClassificaSquadra,3,FALSE()),-1)=IFERROR(VLOOKUP($H$25,areaCercaPuntiClassificaSquadra,3,FALSE()),-2)),SUMIFS('Calendario B'!$N$8:$N$110,'Calendario B'!$M$8:$M$110,$H26,'Calendario B'!$T$8:$T$110,$H$25)+SUMIFS('Calendario B'!$U$8:$U$110,'Calendario B'!$T$8:$T$110,$H26,'Calendario B'!$M$8:$M$110,$H$25),"-")</f>
        <v>-</v>
      </c>
      <c r="AE26" s="14" t="str">
        <f aca="false">IF(AND($H26&lt;&gt;"",$H$26&lt;&gt;"",$H26&lt;&gt;$H$26,IFERROR(VLOOKUP($H26,areaCercaPuntiClassificaSquadra,3,FALSE()),-1)=IFERROR(VLOOKUP($H$26,areaCercaPuntiClassificaSquadra,3,FALSE()),-2)),SUMIFS('Calendario B'!$N$8:$N$110,'Calendario B'!$M$8:$M$110,$H26,'Calendario B'!$T$8:$T$110,$H$26)+SUMIFS('Calendario B'!$U$8:$U$110,'Calendario B'!$T$8:$T$110,$H26,'Calendario B'!$M$8:$M$110,$H$26),"-")</f>
        <v>-</v>
      </c>
      <c r="AF26" s="14" t="str">
        <f aca="false">IF(AND($H26&lt;&gt;"",$H$27&lt;&gt;"",$H26&lt;&gt;$H$27,IFERROR(VLOOKUP($H26,areaCercaPuntiClassificaSquadra,3,FALSE()),-1)=IFERROR(VLOOKUP($H$27,areaCercaPuntiClassificaSquadra,3,FALSE()),-2)),SUMIFS('Calendario B'!$N$8:$N$110,'Calendario B'!$M$8:$M$110,$H26,'Calendario B'!$T$8:$T$110,$H$27)+SUMIFS('Calendario B'!$U$8:$U$110,'Calendario B'!$T$8:$T$110,$H26,'Calendario B'!$M$8:$M$110,$H$27),"-")</f>
        <v>-</v>
      </c>
      <c r="AG26" s="13" t="str">
        <f aca="false">$C26</f>
        <v>Rinoceronti Ribelli-Rinocerontiopoli RI</v>
      </c>
      <c r="AH26" s="14" t="str">
        <f aca="false">IF(AND($H26&lt;&gt;"",$H$20&lt;&gt;"",$H26&lt;&gt;$H$20,IFERROR(VLOOKUP($H26,areaCercaPuntiClassificaSquadra,3,FALSE()),-1)=IFERROR(VLOOKUP($H$20,areaCercaPuntiClassificaSquadra,3,FALSE()),-2)),SUMIFS('Calendario B'!$P$8:$P$110,'Calendario B'!$M$8:$M$110,$H26,'Calendario B'!$T$8:$T$110,$H$20)+SUMIFS('Calendario B'!$W$8:$W$110,'Calendario B'!$T$8:$T$110,$H26,'Calendario B'!$M$8:$M$110,$H$20)+SUMIFS('Calendario B'!$O$8:$O$110,'Calendario B'!$M$8:$M$110,$H26,'Calendario B'!$T$8:$T$110,$H$20)+SUMIFS('Calendario B'!$V$8:$V$110,'Calendario B'!$T$8:$T$110,$H26,'Calendario B'!$M$8:$M$110,$H$20),"-")</f>
        <v>-</v>
      </c>
      <c r="AI26" s="14" t="str">
        <f aca="false">IF(AND($H26&lt;&gt;"",$H$21&lt;&gt;"",$H26&lt;&gt;$H$21,IFERROR(VLOOKUP($H26,areaCercaPuntiClassificaSquadra,3,FALSE()),-1)=IFERROR(VLOOKUP($H$21,areaCercaPuntiClassificaSquadra,3,FALSE()),-2)),SUMIFS('Calendario B'!$P$8:$P$110,'Calendario B'!$M$8:$M$110,$H26,'Calendario B'!$T$8:$T$110,$H$21)+SUMIFS('Calendario B'!$W$8:$W$110,'Calendario B'!$T$8:$T$110,$H26,'Calendario B'!$M$8:$M$110,$H$21)+SUMIFS('Calendario B'!$O$8:$O$110,'Calendario B'!$M$8:$M$110,$H26,'Calendario B'!$T$8:$T$110,$H$21)+SUMIFS('Calendario B'!$V$8:$V$110,'Calendario B'!$T$8:$T$110,$H26,'Calendario B'!$M$8:$M$110,$H$21),"-")</f>
        <v>-</v>
      </c>
      <c r="AJ26" s="14" t="str">
        <f aca="false">IF(AND($H26&lt;&gt;"",$H$22&lt;&gt;"",$H26&lt;&gt;$H$22,IFERROR(VLOOKUP($H26,areaCercaPuntiClassificaSquadra,3,FALSE()),-1)=IFERROR(VLOOKUP($H$22,areaCercaPuntiClassificaSquadra,3,FALSE()),-2)),SUMIFS('Calendario B'!$P$8:$P$110,'Calendario B'!$M$8:$M$110,$H26,'Calendario B'!$T$8:$T$110,$H$22)+SUMIFS('Calendario B'!$W$8:$W$110,'Calendario B'!$T$8:$T$110,$H26,'Calendario B'!$M$8:$M$110,$H$22)+SUMIFS('Calendario B'!$O$8:$O$110,'Calendario B'!$M$8:$M$110,$H26,'Calendario B'!$T$8:$T$110,$H$22)+SUMIFS('Calendario B'!$V$8:$V$110,'Calendario B'!$T$8:$T$110,$H26,'Calendario B'!$M$8:$M$110,$H$22),"-")</f>
        <v>-</v>
      </c>
      <c r="AK26" s="14" t="str">
        <f aca="false">IF(AND($H26&lt;&gt;"",$H$23&lt;&gt;"",$H26&lt;&gt;$H$23,IFERROR(VLOOKUP($H26,areaCercaPuntiClassificaSquadra,3,FALSE()),-1)=IFERROR(VLOOKUP($H$23,areaCercaPuntiClassificaSquadra,3,FALSE()),-2)),SUMIFS('Calendario B'!$P$8:$P$110,'Calendario B'!$M$8:$M$110,$H26,'Calendario B'!$T$8:$T$110,$H$23)+SUMIFS('Calendario B'!$W$8:$W$110,'Calendario B'!$T$8:$T$110,$H26,'Calendario B'!$M$8:$M$110,$H$23)+SUMIFS('Calendario B'!$O$8:$O$110,'Calendario B'!$M$8:$M$110,$H26,'Calendario B'!$T$8:$T$110,$H$23)+SUMIFS('Calendario B'!$V$8:$V$110,'Calendario B'!$T$8:$T$110,$H26,'Calendario B'!$M$8:$M$110,$H$23),"-")</f>
        <v>-</v>
      </c>
      <c r="AL26" s="14" t="str">
        <f aca="false">IF(AND($H26&lt;&gt;"",$H$24&lt;&gt;"",$H26&lt;&gt;$H$24,IFERROR(VLOOKUP($H26,areaCercaPuntiClassificaSquadra,3,FALSE()),-1)=IFERROR(VLOOKUP($H$24,areaCercaPuntiClassificaSquadra,3,FALSE()),-2)),SUMIFS('Calendario B'!$P$8:$P$110,'Calendario B'!$M$8:$M$110,$H26,'Calendario B'!$T$8:$T$110,$H$24)+SUMIFS('Calendario B'!$W$8:$W$110,'Calendario B'!$T$8:$T$110,$H26,'Calendario B'!$M$8:$M$110,$H$24)+SUMIFS('Calendario B'!$O$8:$O$110,'Calendario B'!$M$8:$M$110,$H26,'Calendario B'!$T$8:$T$110,$H$24)+SUMIFS('Calendario B'!$V$8:$V$110,'Calendario B'!$T$8:$T$110,$H26,'Calendario B'!$M$8:$M$110,$H$24),"-")</f>
        <v>-</v>
      </c>
      <c r="AM26" s="14" t="str">
        <f aca="false">IF(AND($H26&lt;&gt;"",$H$25&lt;&gt;"",$H26&lt;&gt;$H$25,IFERROR(VLOOKUP($H26,areaCercaPuntiClassificaSquadra,3,FALSE()),-1)=IFERROR(VLOOKUP($H$25,areaCercaPuntiClassificaSquadra,3,FALSE()),-2)),SUMIFS('Calendario B'!$P$8:$P$110,'Calendario B'!$M$8:$M$110,$H26,'Calendario B'!$T$8:$T$110,$H$25)+SUMIFS('Calendario B'!$W$8:$W$110,'Calendario B'!$T$8:$T$110,$H26,'Calendario B'!$M$8:$M$110,$H$25)+SUMIFS('Calendario B'!$O$8:$O$110,'Calendario B'!$M$8:$M$110,$H26,'Calendario B'!$T$8:$T$110,$H$25)+SUMIFS('Calendario B'!$V$8:$V$110,'Calendario B'!$T$8:$T$110,$H26,'Calendario B'!$M$8:$M$110,$H$25),"-")</f>
        <v>-</v>
      </c>
      <c r="AN26" s="14" t="str">
        <f aca="false">IF(AND($H26&lt;&gt;"",$H$26&lt;&gt;"",$H26&lt;&gt;$H$26,IFERROR(VLOOKUP($H26,areaCercaPuntiClassificaSquadra,3,FALSE()),-1)=IFERROR(VLOOKUP($H$26,areaCercaPuntiClassificaSquadra,3,FALSE()),-2)),SUMIFS('Calendario B'!$P$8:$P$110,'Calendario B'!$M$8:$M$110,$H26,'Calendario B'!$T$8:$T$110,$H$26)+SUMIFS('Calendario B'!$W$8:$W$110,'Calendario B'!$T$8:$T$110,$H26,'Calendario B'!$M$8:$M$110,$H$26)+SUMIFS('Calendario B'!$O$8:$O$110,'Calendario B'!$M$8:$M$110,$H26,'Calendario B'!$T$8:$T$110,$H$26)+SUMIFS('Calendario B'!$V$8:$V$110,'Calendario B'!$T$8:$T$110,$H26,'Calendario B'!$M$8:$M$110,$H$26),"-")</f>
        <v>-</v>
      </c>
      <c r="AO26" s="14" t="str">
        <f aca="false">IF(AND($H26&lt;&gt;"",$H$27&lt;&gt;"",$H26&lt;&gt;$H$27,IFERROR(VLOOKUP($H26,areaCercaPuntiClassificaSquadra,3,FALSE()),-1)=IFERROR(VLOOKUP($H$27,areaCercaPuntiClassificaSquadra,3,FALSE()),-2)),SUMIFS('Calendario B'!$P$8:$P$110,'Calendario B'!$M$8:$M$110,$H26,'Calendario B'!$T$8:$T$110,$H$27)+SUMIFS('Calendario B'!$W$8:$W$110,'Calendario B'!$T$8:$T$110,$H26,'Calendario B'!$M$8:$M$110,$H$27)+SUMIFS('Calendario B'!$O$8:$O$110,'Calendario B'!$M$8:$M$110,$H26,'Calendario B'!$T$8:$T$110,$H$27)+SUMIFS('Calendario B'!$V$8:$V$110,'Calendario B'!$T$8:$T$110,$H26,'Calendario B'!$M$8:$M$110,$H$27),"-")</f>
        <v>-</v>
      </c>
      <c r="AP26" s="13" t="str">
        <f aca="false">$C26</f>
        <v>Rinoceronti Ribelli-Rinocerontiopoli RI</v>
      </c>
      <c r="AQ26" s="14" t="str">
        <f aca="false">IF(AND($H26&lt;&gt;"",$H$20&lt;&gt;"",$H26&lt;&gt;$H$20,IFERROR(VLOOKUP($H26,areaCercaPuntiClassificaSquadra,3,FALSE()),-1)=IFERROR(VLOOKUP($H$20,areaCercaPuntiClassificaSquadra,3,FALSE()),-2)),SUMIFS('Calendario B'!$Q$8:$Q$110,'Calendario B'!$M$8:$M$110,$H26,'Calendario B'!$T$8:$T$110,$H$20)+SUMIFS('Calendario B'!$X$8:$X$110,'Calendario B'!$T$8:$T$110,$H26,'Calendario B'!$M$8:$M$110,$H$20),"-")</f>
        <v>-</v>
      </c>
      <c r="AR26" s="14" t="str">
        <f aca="false">IF(AND($H26&lt;&gt;"",$H$21&lt;&gt;"",$H26&lt;&gt;$H$21,IFERROR(VLOOKUP($H26,areaCercaPuntiClassificaSquadra,3,FALSE()),-1)=IFERROR(VLOOKUP($H$21,areaCercaPuntiClassificaSquadra,3,FALSE()),-2)),SUMIFS('Calendario B'!$Q$8:$Q$110,'Calendario B'!$M$8:$M$110,$H26,'Calendario B'!$T$8:$T$110,$H$21)+SUMIFS('Calendario B'!$X$8:$X$110,'Calendario B'!$T$8:$T$110,$H26,'Calendario B'!$M$8:$M$110,$H$21),"-")</f>
        <v>-</v>
      </c>
      <c r="AS26" s="14" t="str">
        <f aca="false">IF(AND($H26&lt;&gt;"",$H$22&lt;&gt;"",$H26&lt;&gt;$H$22,IFERROR(VLOOKUP($H26,areaCercaPuntiClassificaSquadra,3,FALSE()),-1)=IFERROR(VLOOKUP($H$22,areaCercaPuntiClassificaSquadra,3,FALSE()),-2)),SUMIFS('Calendario B'!$Q$8:$Q$110,'Calendario B'!$M$8:$M$110,$H26,'Calendario B'!$T$8:$T$110,$H$22)+SUMIFS('Calendario B'!$X$8:$X$110,'Calendario B'!$T$8:$T$110,$H26,'Calendario B'!$M$8:$M$110,$H$22),"-")</f>
        <v>-</v>
      </c>
      <c r="AT26" s="14" t="str">
        <f aca="false">IF(AND($H26&lt;&gt;"",$H$23&lt;&gt;"",$H26&lt;&gt;$H$23,IFERROR(VLOOKUP($H26,areaCercaPuntiClassificaSquadra,3,FALSE()),-1)=IFERROR(VLOOKUP($H$23,areaCercaPuntiClassificaSquadra,3,FALSE()),-2)),SUMIFS('Calendario B'!$Q$8:$Q$110,'Calendario B'!$M$8:$M$110,$H26,'Calendario B'!$T$8:$T$110,$H$23)+SUMIFS('Calendario B'!$X$8:$X$110,'Calendario B'!$T$8:$T$110,$H26,'Calendario B'!$M$8:$M$110,$H$23),"-")</f>
        <v>-</v>
      </c>
      <c r="AU26" s="14" t="str">
        <f aca="false">IF(AND($H26&lt;&gt;"",$H$24&lt;&gt;"",$H26&lt;&gt;$H$24,IFERROR(VLOOKUP($H26,areaCercaPuntiClassificaSquadra,3,FALSE()),-1)=IFERROR(VLOOKUP($H$24,areaCercaPuntiClassificaSquadra,3,FALSE()),-2)),SUMIFS('Calendario B'!$Q$8:$Q$110,'Calendario B'!$M$8:$M$110,$H26,'Calendario B'!$T$8:$T$110,$H$24)+SUMIFS('Calendario B'!$X$8:$X$110,'Calendario B'!$T$8:$T$110,$H26,'Calendario B'!$M$8:$M$110,$H$24),"-")</f>
        <v>-</v>
      </c>
      <c r="AV26" s="14" t="str">
        <f aca="false">IF(AND($H26&lt;&gt;"",$H$25&lt;&gt;"",$H26&lt;&gt;$H$25,IFERROR(VLOOKUP($H26,areaCercaPuntiClassificaSquadra,3,FALSE()),-1)=IFERROR(VLOOKUP($H$25,areaCercaPuntiClassificaSquadra,3,FALSE()),-2)),SUMIFS('Calendario B'!$Q$8:$Q$110,'Calendario B'!$M$8:$M$110,$H26,'Calendario B'!$T$8:$T$110,$H$25)+SUMIFS('Calendario B'!$X$8:$X$110,'Calendario B'!$T$8:$T$110,$H26,'Calendario B'!$M$8:$M$110,$H$25),"-")</f>
        <v>-</v>
      </c>
      <c r="AW26" s="14" t="str">
        <f aca="false">IF(AND($H26&lt;&gt;"",$H$26&lt;&gt;"",$H26&lt;&gt;$H$26,IFERROR(VLOOKUP($H26,areaCercaPuntiClassificaSquadra,3,FALSE()),-1)=IFERROR(VLOOKUP($H$26,areaCercaPuntiClassificaSquadra,3,FALSE()),-2)),SUMIFS('Calendario B'!$Q$8:$Q$110,'Calendario B'!$M$8:$M$110,$H26,'Calendario B'!$T$8:$T$110,$H$26)+SUMIFS('Calendario B'!$X$8:$X$110,'Calendario B'!$T$8:$T$110,$H26,'Calendario B'!$M$8:$M$110,$H$26),"-")</f>
        <v>-</v>
      </c>
      <c r="AX26" s="14" t="str">
        <f aca="false">IF(AND($H26&lt;&gt;"",$H$27&lt;&gt;"",$H26&lt;&gt;$H$27,IFERROR(VLOOKUP($H26,areaCercaPuntiClassificaSquadra,3,FALSE()),-1)=IFERROR(VLOOKUP($H$27,areaCercaPuntiClassificaSquadra,3,FALSE()),-2)),SUMIFS('Calendario B'!$Q$8:$Q$110,'Calendario B'!$M$8:$M$110,$H26,'Calendario B'!$T$8:$T$110,$H$27)+SUMIFS('Calendario B'!$X$8:$X$110,'Calendario B'!$T$8:$T$110,$H26,'Calendario B'!$M$8:$M$110,$H$27),"-")</f>
        <v>-</v>
      </c>
      <c r="AY26" s="13" t="str">
        <f aca="false">$C26</f>
        <v>Rinoceronti Ribelli-Rinocerontiopoli RI</v>
      </c>
      <c r="AZ26" s="14" t="str">
        <f aca="false">IF(AND($H26&lt;&gt;"",$H$20&lt;&gt;"",$H26&lt;&gt;$H$20,IFERROR(VLOOKUP($H26,areaCercaPuntiClassificaSquadra,3,FALSE()),-1)=IFERROR(VLOOKUP($H$20,areaCercaPuntiClassificaSquadra,3,FALSE()),-2)),SUMIFS('Calendario B'!$R$8:$R$110,'Calendario B'!$M$8:$M$110,$H26,'Calendario B'!$T$8:$T$110,$H$20)+SUMIFS('Calendario B'!$Y$8:$Y$110,'Calendario B'!$T$8:$T$110,$H26,'Calendario B'!$M$8:$M$110,$H$20),"-")</f>
        <v>-</v>
      </c>
      <c r="BA26" s="14" t="str">
        <f aca="false">IF(AND($H26&lt;&gt;"",$H$21&lt;&gt;"",$H26&lt;&gt;$H$21,IFERROR(VLOOKUP($H26,areaCercaPuntiClassificaSquadra,3,FALSE()),-1)=IFERROR(VLOOKUP($H$21,areaCercaPuntiClassificaSquadra,3,FALSE()),-2)),SUMIFS('Calendario B'!$R$8:$R$110,'Calendario B'!$M$8:$M$110,$H26,'Calendario B'!$T$8:$T$110,$H$21)+SUMIFS('Calendario B'!$Y$8:$Y$110,'Calendario B'!$T$8:$T$110,$H26,'Calendario B'!$M$8:$M$110,$H$21),"-")</f>
        <v>-</v>
      </c>
      <c r="BB26" s="14" t="str">
        <f aca="false">IF(AND($H26&lt;&gt;"",$H$22&lt;&gt;"",$H26&lt;&gt;$H$22,IFERROR(VLOOKUP($H26,areaCercaPuntiClassificaSquadra,3,FALSE()),-1)=IFERROR(VLOOKUP($H$22,areaCercaPuntiClassificaSquadra,3,FALSE()),-2)),SUMIFS('Calendario B'!$R$8:$R$110,'Calendario B'!$M$8:$M$110,$H26,'Calendario B'!$T$8:$T$110,$H$22)+SUMIFS('Calendario B'!$Y$8:$Y$110,'Calendario B'!$T$8:$T$110,$H26,'Calendario B'!$M$8:$M$110,$H$22),"-")</f>
        <v>-</v>
      </c>
      <c r="BC26" s="14" t="str">
        <f aca="false">IF(AND($H26&lt;&gt;"",$H$23&lt;&gt;"",$H26&lt;&gt;$H$23,IFERROR(VLOOKUP($H26,areaCercaPuntiClassificaSquadra,3,FALSE()),-1)=IFERROR(VLOOKUP($H$23,areaCercaPuntiClassificaSquadra,3,FALSE()),-2)),SUMIFS('Calendario B'!$R$8:$R$110,'Calendario B'!$M$8:$M$110,$H26,'Calendario B'!$T$8:$T$110,$H$23)+SUMIFS('Calendario B'!$Y$8:$Y$110,'Calendario B'!$T$8:$T$110,$H26,'Calendario B'!$M$8:$M$110,$H$23),"-")</f>
        <v>-</v>
      </c>
      <c r="BD26" s="14" t="str">
        <f aca="false">IF(AND($H26&lt;&gt;"",$H$24&lt;&gt;"",$H26&lt;&gt;$H$24,IFERROR(VLOOKUP($H26,areaCercaPuntiClassificaSquadra,3,FALSE()),-1)=IFERROR(VLOOKUP($H$24,areaCercaPuntiClassificaSquadra,3,FALSE()),-2)),SUMIFS('Calendario B'!$R$8:$R$110,'Calendario B'!$M$8:$M$110,$H26,'Calendario B'!$T$8:$T$110,$H$24)+SUMIFS('Calendario B'!$Y$8:$Y$110,'Calendario B'!$T$8:$T$110,$H26,'Calendario B'!$M$8:$M$110,$H$24),"-")</f>
        <v>-</v>
      </c>
      <c r="BE26" s="14" t="str">
        <f aca="false">IF(AND($H26&lt;&gt;"",$H$25&lt;&gt;"",$H26&lt;&gt;$H$25,IFERROR(VLOOKUP($H26,areaCercaPuntiClassificaSquadra,3,FALSE()),-1)=IFERROR(VLOOKUP($H$25,areaCercaPuntiClassificaSquadra,3,FALSE()),-2)),SUMIFS('Calendario B'!$R$8:$R$110,'Calendario B'!$M$8:$M$110,$H26,'Calendario B'!$T$8:$T$110,$H$25)+SUMIFS('Calendario B'!$Y$8:$Y$110,'Calendario B'!$T$8:$T$110,$H26,'Calendario B'!$M$8:$M$110,$H$25),"-")</f>
        <v>-</v>
      </c>
      <c r="BF26" s="14" t="str">
        <f aca="false">IF(AND($H26&lt;&gt;"",$H$26&lt;&gt;"",$H26&lt;&gt;$H$26,IFERROR(VLOOKUP($H26,areaCercaPuntiClassificaSquadra,3,FALSE()),-1)=IFERROR(VLOOKUP($H$26,areaCercaPuntiClassificaSquadra,3,FALSE()),-2)),SUMIFS('Calendario B'!$R$8:$R$110,'Calendario B'!$M$8:$M$110,$H26,'Calendario B'!$T$8:$T$110,$H$26)+SUMIFS('Calendario B'!$Y$8:$Y$110,'Calendario B'!$T$8:$T$110,$H26,'Calendario B'!$M$8:$M$110,$H$26),"-")</f>
        <v>-</v>
      </c>
      <c r="BG26" s="14" t="str">
        <f aca="false">IF(AND($H26&lt;&gt;"",$H$27&lt;&gt;"",$H26&lt;&gt;$H$27,IFERROR(VLOOKUP($H26,areaCercaPuntiClassificaSquadra,3,FALSE()),-1)=IFERROR(VLOOKUP($H$27,areaCercaPuntiClassificaSquadra,3,FALSE()),-2)),SUMIFS('Calendario B'!$R$8:$R$110,'Calendario B'!$M$8:$M$110,$H26,'Calendario B'!$T$8:$T$110,$H$27)+SUMIFS('Calendario B'!$Y$8:$Y$110,'Calendario B'!$T$8:$T$110,$H26,'Calendario B'!$M$8:$M$110,$H$27),"-")</f>
        <v>-</v>
      </c>
    </row>
    <row r="27" customFormat="false" ht="15" hidden="false" customHeight="false" outlineLevel="0" collapsed="false">
      <c r="B27" s="7" t="s">
        <v>79</v>
      </c>
      <c r="C27" s="8" t="s">
        <v>80</v>
      </c>
      <c r="D27" s="9"/>
      <c r="E27" s="15" t="s">
        <v>66</v>
      </c>
      <c r="G27" s="16" t="str">
        <f aca="false">IF($C27="","",$E27&amp;(COUNTIFS(I$12:I$75,"&gt;"&amp;I27,E$12:E$75,"="&amp;E27,C$12:C$75,"&lt;&gt;")+COUNTIFS(I$12:I$75,"="&amp;I27,H$12:H$75,"&lt;="&amp;H27,E$12:E$75,"="&amp;E27,C$12:C$75,"&lt;&gt;")))</f>
        <v>B4</v>
      </c>
      <c r="H27" s="12" t="str">
        <f aca="false">IF($C27="","",IFERROR(LEFT($C27,FIND("-",$C27)-1),$C27))</f>
        <v>Salamandre Scaltre</v>
      </c>
      <c r="I27" s="7" t="str">
        <f aca="false">TEXT(1000000000+J27,"|0000000000|")&amp;TEXT(SUM(Y27:AF27),"0000000000|")&amp;IF(SUM(AZ27:BG27)=0,"0000000000|",TEXT(ROUND(SUM(AQ27:AX27)/SUM(AZ27:BG27),4)*100000,"0000000000|"))&amp;IF(P27=0,"0000000000|",TEXT(ROUND(O27/P27,4)*100000,"0000000000|"))</f>
        <v>|1000000015|0000000000|0000000000|0000097800|</v>
      </c>
      <c r="J27" s="16" t="n">
        <f aca="false">L27*constPuntiVittoria+M27*constPuntiSconfitta+N27*constPuntiForfait+IF(D27="",0,D27)</f>
        <v>15</v>
      </c>
      <c r="K27" s="7" t="n">
        <f aca="false">SUM(L27:N27)</f>
        <v>7</v>
      </c>
      <c r="L27" s="7" t="n">
        <f aca="false">IF($H27="",0,SUMIF('Calendario B'!$M$8:$M$110,$H27,'Calendario B'!$N$8:$N$110)+SUMIF('Calendario B'!$T$8:$T$110,$H27,'Calendario B'!$U$8:$U$110))</f>
        <v>4</v>
      </c>
      <c r="M27" s="7" t="n">
        <f aca="false">IF($H27="",0,SUMIF('Calendario B'!$M$8:$M$110,$H27,'Calendario B'!$P$8:$P$110)+SUMIF('Calendario B'!$T$8:$T$110,$H27,'Calendario B'!$W$8:$W$110))</f>
        <v>3</v>
      </c>
      <c r="N27" s="7" t="n">
        <f aca="false">IF($H27="",0,SUMIF('Calendario B'!$M$8:$M$110,$H27,'Calendario B'!$O$8:$O$110)+SUMIF('Calendario B'!$T$8:$T$110,$H27,'Calendario B'!$V$8:$V$110))</f>
        <v>0</v>
      </c>
      <c r="O27" s="7" t="n">
        <f aca="false">IF($H27="",0,SUMIF('Calendario B'!$M$8:$M$110,$H27,'Calendario B'!$Q$8:$Q$110)+SUMIF('Calendario B'!$T$8:$T$110,$H27,'Calendario B'!$X$8:$X$110))</f>
        <v>445</v>
      </c>
      <c r="P27" s="7" t="n">
        <f aca="false">IF($H27="",0,SUMIF('Calendario B'!$M$8:$M$110,$H27,'Calendario B'!$R$8:$R$110)+SUMIF('Calendario B'!$T$8:$T$110,$H27,'Calendario B'!$Y$8:$Y$110))</f>
        <v>455</v>
      </c>
      <c r="Q27" s="7" t="n">
        <f aca="false">IF($H27="",0,SUMIF('Calendario B'!$M$8:$M$110,$H27,'Calendario B'!$S$8:$S$110)+SUMIF('Calendario B'!$T$8:$T$110,$H27,'Calendario B'!$Z$8:$Z$110))</f>
        <v>-10</v>
      </c>
      <c r="R27" s="7" t="n">
        <f aca="false">IF(K27=0,0,ROUND(O27/K27,2))</f>
        <v>63.57</v>
      </c>
      <c r="S27" s="7" t="n">
        <f aca="false">IF(K27=0,0,ROUND(P27/K27,2))</f>
        <v>65</v>
      </c>
      <c r="T27" s="7" t="n">
        <f aca="false">IF(K27=0,0,ROUND(Q27/K27,2))</f>
        <v>-1.43</v>
      </c>
      <c r="U27" s="7" t="str">
        <f aca="false">IF(COUNT(Y27:AF27)=0,"-",SUM(Y27:AF27)&amp;"-"&amp;SUM(AH27:AO27))</f>
        <v>-</v>
      </c>
      <c r="V27" s="7" t="str">
        <f aca="false">IF(COUNT(Y27:AF27)=0,"-",IF(SUM(AZ27:BG27)=0,TEXT(0,"0.0000"),TEXT(ROUND(SUM(AQ27:AX27)/SUM(AZ27:BG27),4),"0.0000")))</f>
        <v>-</v>
      </c>
      <c r="W27" s="7" t="str">
        <f aca="false">IF(H27="","-",IF(P27=0,TEXT(0,"0.0000"),TEXT(ROUND(O27/P27,4),"0.0000")))</f>
        <v>0.9780</v>
      </c>
      <c r="X27" s="13" t="str">
        <f aca="false">$C27</f>
        <v>Salamandre Scaltre-Salamandreopoli SE</v>
      </c>
      <c r="Y27" s="14" t="str">
        <f aca="false">IF(AND($H27&lt;&gt;"",$H$20&lt;&gt;"",$H27&lt;&gt;$H$20,IFERROR(VLOOKUP($H27,areaCercaPuntiClassificaSquadra,3,FALSE()),-1)=IFERROR(VLOOKUP($H$20,areaCercaPuntiClassificaSquadra,3,FALSE()),-2)),SUMIFS('Calendario B'!$N$8:$N$110,'Calendario B'!$M$8:$M$110,$H27,'Calendario B'!$T$8:$T$110,$H$20)+SUMIFS('Calendario B'!$U$8:$U$110,'Calendario B'!$T$8:$T$110,$H27,'Calendario B'!$M$8:$M$110,$H$20),"-")</f>
        <v>-</v>
      </c>
      <c r="Z27" s="14" t="str">
        <f aca="false">IF(AND($H27&lt;&gt;"",$H$21&lt;&gt;"",$H27&lt;&gt;$H$21,IFERROR(VLOOKUP($H27,areaCercaPuntiClassificaSquadra,3,FALSE()),-1)=IFERROR(VLOOKUP($H$21,areaCercaPuntiClassificaSquadra,3,FALSE()),-2)),SUMIFS('Calendario B'!$N$8:$N$110,'Calendario B'!$M$8:$M$110,$H27,'Calendario B'!$T$8:$T$110,$H$21)+SUMIFS('Calendario B'!$U$8:$U$110,'Calendario B'!$T$8:$T$110,$H27,'Calendario B'!$M$8:$M$110,$H$21),"-")</f>
        <v>-</v>
      </c>
      <c r="AA27" s="14" t="str">
        <f aca="false">IF(AND($H27&lt;&gt;"",$H$22&lt;&gt;"",$H27&lt;&gt;$H$22,IFERROR(VLOOKUP($H27,areaCercaPuntiClassificaSquadra,3,FALSE()),-1)=IFERROR(VLOOKUP($H$22,areaCercaPuntiClassificaSquadra,3,FALSE()),-2)),SUMIFS('Calendario B'!$N$8:$N$110,'Calendario B'!$M$8:$M$110,$H27,'Calendario B'!$T$8:$T$110,$H$22)+SUMIFS('Calendario B'!$U$8:$U$110,'Calendario B'!$T$8:$T$110,$H27,'Calendario B'!$M$8:$M$110,$H$22),"-")</f>
        <v>-</v>
      </c>
      <c r="AB27" s="14" t="str">
        <f aca="false">IF(AND($H27&lt;&gt;"",$H$23&lt;&gt;"",$H27&lt;&gt;$H$23,IFERROR(VLOOKUP($H27,areaCercaPuntiClassificaSquadra,3,FALSE()),-1)=IFERROR(VLOOKUP($H$23,areaCercaPuntiClassificaSquadra,3,FALSE()),-2)),SUMIFS('Calendario B'!$N$8:$N$110,'Calendario B'!$M$8:$M$110,$H27,'Calendario B'!$T$8:$T$110,$H$23)+SUMIFS('Calendario B'!$U$8:$U$110,'Calendario B'!$T$8:$T$110,$H27,'Calendario B'!$M$8:$M$110,$H$23),"-")</f>
        <v>-</v>
      </c>
      <c r="AC27" s="14" t="str">
        <f aca="false">IF(AND($H27&lt;&gt;"",$H$24&lt;&gt;"",$H27&lt;&gt;$H$24,IFERROR(VLOOKUP($H27,areaCercaPuntiClassificaSquadra,3,FALSE()),-1)=IFERROR(VLOOKUP($H$24,areaCercaPuntiClassificaSquadra,3,FALSE()),-2)),SUMIFS('Calendario B'!$N$8:$N$110,'Calendario B'!$M$8:$M$110,$H27,'Calendario B'!$T$8:$T$110,$H$24)+SUMIFS('Calendario B'!$U$8:$U$110,'Calendario B'!$T$8:$T$110,$H27,'Calendario B'!$M$8:$M$110,$H$24),"-")</f>
        <v>-</v>
      </c>
      <c r="AD27" s="14" t="str">
        <f aca="false">IF(AND($H27&lt;&gt;"",$H$25&lt;&gt;"",$H27&lt;&gt;$H$25,IFERROR(VLOOKUP($H27,areaCercaPuntiClassificaSquadra,3,FALSE()),-1)=IFERROR(VLOOKUP($H$25,areaCercaPuntiClassificaSquadra,3,FALSE()),-2)),SUMIFS('Calendario B'!$N$8:$N$110,'Calendario B'!$M$8:$M$110,$H27,'Calendario B'!$T$8:$T$110,$H$25)+SUMIFS('Calendario B'!$U$8:$U$110,'Calendario B'!$T$8:$T$110,$H27,'Calendario B'!$M$8:$M$110,$H$25),"-")</f>
        <v>-</v>
      </c>
      <c r="AE27" s="14" t="str">
        <f aca="false">IF(AND($H27&lt;&gt;"",$H$26&lt;&gt;"",$H27&lt;&gt;$H$26,IFERROR(VLOOKUP($H27,areaCercaPuntiClassificaSquadra,3,FALSE()),-1)=IFERROR(VLOOKUP($H$26,areaCercaPuntiClassificaSquadra,3,FALSE()),-2)),SUMIFS('Calendario B'!$N$8:$N$110,'Calendario B'!$M$8:$M$110,$H27,'Calendario B'!$T$8:$T$110,$H$26)+SUMIFS('Calendario B'!$U$8:$U$110,'Calendario B'!$T$8:$T$110,$H27,'Calendario B'!$M$8:$M$110,$H$26),"-")</f>
        <v>-</v>
      </c>
      <c r="AF27" s="14" t="str">
        <f aca="false">IF(AND($H27&lt;&gt;"",$H$27&lt;&gt;"",$H27&lt;&gt;$H$27,IFERROR(VLOOKUP($H27,areaCercaPuntiClassificaSquadra,3,FALSE()),-1)=IFERROR(VLOOKUP($H$27,areaCercaPuntiClassificaSquadra,3,FALSE()),-2)),SUMIFS('Calendario B'!$N$8:$N$110,'Calendario B'!$M$8:$M$110,$H27,'Calendario B'!$T$8:$T$110,$H$27)+SUMIFS('Calendario B'!$U$8:$U$110,'Calendario B'!$T$8:$T$110,$H27,'Calendario B'!$M$8:$M$110,$H$27),"-")</f>
        <v>-</v>
      </c>
      <c r="AG27" s="13" t="str">
        <f aca="false">$C27</f>
        <v>Salamandre Scaltre-Salamandreopoli SE</v>
      </c>
      <c r="AH27" s="14" t="str">
        <f aca="false">IF(AND($H27&lt;&gt;"",$H$20&lt;&gt;"",$H27&lt;&gt;$H$20,IFERROR(VLOOKUP($H27,areaCercaPuntiClassificaSquadra,3,FALSE()),-1)=IFERROR(VLOOKUP($H$20,areaCercaPuntiClassificaSquadra,3,FALSE()),-2)),SUMIFS('Calendario B'!$P$8:$P$110,'Calendario B'!$M$8:$M$110,$H27,'Calendario B'!$T$8:$T$110,$H$20)+SUMIFS('Calendario B'!$W$8:$W$110,'Calendario B'!$T$8:$T$110,$H27,'Calendario B'!$M$8:$M$110,$H$20)+SUMIFS('Calendario B'!$O$8:$O$110,'Calendario B'!$M$8:$M$110,$H27,'Calendario B'!$T$8:$T$110,$H$20)+SUMIFS('Calendario B'!$V$8:$V$110,'Calendario B'!$T$8:$T$110,$H27,'Calendario B'!$M$8:$M$110,$H$20),"-")</f>
        <v>-</v>
      </c>
      <c r="AI27" s="14" t="str">
        <f aca="false">IF(AND($H27&lt;&gt;"",$H$21&lt;&gt;"",$H27&lt;&gt;$H$21,IFERROR(VLOOKUP($H27,areaCercaPuntiClassificaSquadra,3,FALSE()),-1)=IFERROR(VLOOKUP($H$21,areaCercaPuntiClassificaSquadra,3,FALSE()),-2)),SUMIFS('Calendario B'!$P$8:$P$110,'Calendario B'!$M$8:$M$110,$H27,'Calendario B'!$T$8:$T$110,$H$21)+SUMIFS('Calendario B'!$W$8:$W$110,'Calendario B'!$T$8:$T$110,$H27,'Calendario B'!$M$8:$M$110,$H$21)+SUMIFS('Calendario B'!$O$8:$O$110,'Calendario B'!$M$8:$M$110,$H27,'Calendario B'!$T$8:$T$110,$H$21)+SUMIFS('Calendario B'!$V$8:$V$110,'Calendario B'!$T$8:$T$110,$H27,'Calendario B'!$M$8:$M$110,$H$21),"-")</f>
        <v>-</v>
      </c>
      <c r="AJ27" s="14" t="str">
        <f aca="false">IF(AND($H27&lt;&gt;"",$H$22&lt;&gt;"",$H27&lt;&gt;$H$22,IFERROR(VLOOKUP($H27,areaCercaPuntiClassificaSquadra,3,FALSE()),-1)=IFERROR(VLOOKUP($H$22,areaCercaPuntiClassificaSquadra,3,FALSE()),-2)),SUMIFS('Calendario B'!$P$8:$P$110,'Calendario B'!$M$8:$M$110,$H27,'Calendario B'!$T$8:$T$110,$H$22)+SUMIFS('Calendario B'!$W$8:$W$110,'Calendario B'!$T$8:$T$110,$H27,'Calendario B'!$M$8:$M$110,$H$22)+SUMIFS('Calendario B'!$O$8:$O$110,'Calendario B'!$M$8:$M$110,$H27,'Calendario B'!$T$8:$T$110,$H$22)+SUMIFS('Calendario B'!$V$8:$V$110,'Calendario B'!$T$8:$T$110,$H27,'Calendario B'!$M$8:$M$110,$H$22),"-")</f>
        <v>-</v>
      </c>
      <c r="AK27" s="14" t="str">
        <f aca="false">IF(AND($H27&lt;&gt;"",$H$23&lt;&gt;"",$H27&lt;&gt;$H$23,IFERROR(VLOOKUP($H27,areaCercaPuntiClassificaSquadra,3,FALSE()),-1)=IFERROR(VLOOKUP($H$23,areaCercaPuntiClassificaSquadra,3,FALSE()),-2)),SUMIFS('Calendario B'!$P$8:$P$110,'Calendario B'!$M$8:$M$110,$H27,'Calendario B'!$T$8:$T$110,$H$23)+SUMIFS('Calendario B'!$W$8:$W$110,'Calendario B'!$T$8:$T$110,$H27,'Calendario B'!$M$8:$M$110,$H$23)+SUMIFS('Calendario B'!$O$8:$O$110,'Calendario B'!$M$8:$M$110,$H27,'Calendario B'!$T$8:$T$110,$H$23)+SUMIFS('Calendario B'!$V$8:$V$110,'Calendario B'!$T$8:$T$110,$H27,'Calendario B'!$M$8:$M$110,$H$23),"-")</f>
        <v>-</v>
      </c>
      <c r="AL27" s="14" t="str">
        <f aca="false">IF(AND($H27&lt;&gt;"",$H$24&lt;&gt;"",$H27&lt;&gt;$H$24,IFERROR(VLOOKUP($H27,areaCercaPuntiClassificaSquadra,3,FALSE()),-1)=IFERROR(VLOOKUP($H$24,areaCercaPuntiClassificaSquadra,3,FALSE()),-2)),SUMIFS('Calendario B'!$P$8:$P$110,'Calendario B'!$M$8:$M$110,$H27,'Calendario B'!$T$8:$T$110,$H$24)+SUMIFS('Calendario B'!$W$8:$W$110,'Calendario B'!$T$8:$T$110,$H27,'Calendario B'!$M$8:$M$110,$H$24)+SUMIFS('Calendario B'!$O$8:$O$110,'Calendario B'!$M$8:$M$110,$H27,'Calendario B'!$T$8:$T$110,$H$24)+SUMIFS('Calendario B'!$V$8:$V$110,'Calendario B'!$T$8:$T$110,$H27,'Calendario B'!$M$8:$M$110,$H$24),"-")</f>
        <v>-</v>
      </c>
      <c r="AM27" s="14" t="str">
        <f aca="false">IF(AND($H27&lt;&gt;"",$H$25&lt;&gt;"",$H27&lt;&gt;$H$25,IFERROR(VLOOKUP($H27,areaCercaPuntiClassificaSquadra,3,FALSE()),-1)=IFERROR(VLOOKUP($H$25,areaCercaPuntiClassificaSquadra,3,FALSE()),-2)),SUMIFS('Calendario B'!$P$8:$P$110,'Calendario B'!$M$8:$M$110,$H27,'Calendario B'!$T$8:$T$110,$H$25)+SUMIFS('Calendario B'!$W$8:$W$110,'Calendario B'!$T$8:$T$110,$H27,'Calendario B'!$M$8:$M$110,$H$25)+SUMIFS('Calendario B'!$O$8:$O$110,'Calendario B'!$M$8:$M$110,$H27,'Calendario B'!$T$8:$T$110,$H$25)+SUMIFS('Calendario B'!$V$8:$V$110,'Calendario B'!$T$8:$T$110,$H27,'Calendario B'!$M$8:$M$110,$H$25),"-")</f>
        <v>-</v>
      </c>
      <c r="AN27" s="14" t="str">
        <f aca="false">IF(AND($H27&lt;&gt;"",$H$26&lt;&gt;"",$H27&lt;&gt;$H$26,IFERROR(VLOOKUP($H27,areaCercaPuntiClassificaSquadra,3,FALSE()),-1)=IFERROR(VLOOKUP($H$26,areaCercaPuntiClassificaSquadra,3,FALSE()),-2)),SUMIFS('Calendario B'!$P$8:$P$110,'Calendario B'!$M$8:$M$110,$H27,'Calendario B'!$T$8:$T$110,$H$26)+SUMIFS('Calendario B'!$W$8:$W$110,'Calendario B'!$T$8:$T$110,$H27,'Calendario B'!$M$8:$M$110,$H$26)+SUMIFS('Calendario B'!$O$8:$O$110,'Calendario B'!$M$8:$M$110,$H27,'Calendario B'!$T$8:$T$110,$H$26)+SUMIFS('Calendario B'!$V$8:$V$110,'Calendario B'!$T$8:$T$110,$H27,'Calendario B'!$M$8:$M$110,$H$26),"-")</f>
        <v>-</v>
      </c>
      <c r="AO27" s="14" t="str">
        <f aca="false">IF(AND($H27&lt;&gt;"",$H$27&lt;&gt;"",$H27&lt;&gt;$H$27,IFERROR(VLOOKUP($H27,areaCercaPuntiClassificaSquadra,3,FALSE()),-1)=IFERROR(VLOOKUP($H$27,areaCercaPuntiClassificaSquadra,3,FALSE()),-2)),SUMIFS('Calendario B'!$P$8:$P$110,'Calendario B'!$M$8:$M$110,$H27,'Calendario B'!$T$8:$T$110,$H$27)+SUMIFS('Calendario B'!$W$8:$W$110,'Calendario B'!$T$8:$T$110,$H27,'Calendario B'!$M$8:$M$110,$H$27)+SUMIFS('Calendario B'!$O$8:$O$110,'Calendario B'!$M$8:$M$110,$H27,'Calendario B'!$T$8:$T$110,$H$27)+SUMIFS('Calendario B'!$V$8:$V$110,'Calendario B'!$T$8:$T$110,$H27,'Calendario B'!$M$8:$M$110,$H$27),"-")</f>
        <v>-</v>
      </c>
      <c r="AP27" s="13" t="str">
        <f aca="false">$C27</f>
        <v>Salamandre Scaltre-Salamandreopoli SE</v>
      </c>
      <c r="AQ27" s="14" t="str">
        <f aca="false">IF(AND($H27&lt;&gt;"",$H$20&lt;&gt;"",$H27&lt;&gt;$H$20,IFERROR(VLOOKUP($H27,areaCercaPuntiClassificaSquadra,3,FALSE()),-1)=IFERROR(VLOOKUP($H$20,areaCercaPuntiClassificaSquadra,3,FALSE()),-2)),SUMIFS('Calendario B'!$Q$8:$Q$110,'Calendario B'!$M$8:$M$110,$H27,'Calendario B'!$T$8:$T$110,$H$20)+SUMIFS('Calendario B'!$X$8:$X$110,'Calendario B'!$T$8:$T$110,$H27,'Calendario B'!$M$8:$M$110,$H$20),"-")</f>
        <v>-</v>
      </c>
      <c r="AR27" s="14" t="str">
        <f aca="false">IF(AND($H27&lt;&gt;"",$H$21&lt;&gt;"",$H27&lt;&gt;$H$21,IFERROR(VLOOKUP($H27,areaCercaPuntiClassificaSquadra,3,FALSE()),-1)=IFERROR(VLOOKUP($H$21,areaCercaPuntiClassificaSquadra,3,FALSE()),-2)),SUMIFS('Calendario B'!$Q$8:$Q$110,'Calendario B'!$M$8:$M$110,$H27,'Calendario B'!$T$8:$T$110,$H$21)+SUMIFS('Calendario B'!$X$8:$X$110,'Calendario B'!$T$8:$T$110,$H27,'Calendario B'!$M$8:$M$110,$H$21),"-")</f>
        <v>-</v>
      </c>
      <c r="AS27" s="14" t="str">
        <f aca="false">IF(AND($H27&lt;&gt;"",$H$22&lt;&gt;"",$H27&lt;&gt;$H$22,IFERROR(VLOOKUP($H27,areaCercaPuntiClassificaSquadra,3,FALSE()),-1)=IFERROR(VLOOKUP($H$22,areaCercaPuntiClassificaSquadra,3,FALSE()),-2)),SUMIFS('Calendario B'!$Q$8:$Q$110,'Calendario B'!$M$8:$M$110,$H27,'Calendario B'!$T$8:$T$110,$H$22)+SUMIFS('Calendario B'!$X$8:$X$110,'Calendario B'!$T$8:$T$110,$H27,'Calendario B'!$M$8:$M$110,$H$22),"-")</f>
        <v>-</v>
      </c>
      <c r="AT27" s="14" t="str">
        <f aca="false">IF(AND($H27&lt;&gt;"",$H$23&lt;&gt;"",$H27&lt;&gt;$H$23,IFERROR(VLOOKUP($H27,areaCercaPuntiClassificaSquadra,3,FALSE()),-1)=IFERROR(VLOOKUP($H$23,areaCercaPuntiClassificaSquadra,3,FALSE()),-2)),SUMIFS('Calendario B'!$Q$8:$Q$110,'Calendario B'!$M$8:$M$110,$H27,'Calendario B'!$T$8:$T$110,$H$23)+SUMIFS('Calendario B'!$X$8:$X$110,'Calendario B'!$T$8:$T$110,$H27,'Calendario B'!$M$8:$M$110,$H$23),"-")</f>
        <v>-</v>
      </c>
      <c r="AU27" s="14" t="str">
        <f aca="false">IF(AND($H27&lt;&gt;"",$H$24&lt;&gt;"",$H27&lt;&gt;$H$24,IFERROR(VLOOKUP($H27,areaCercaPuntiClassificaSquadra,3,FALSE()),-1)=IFERROR(VLOOKUP($H$24,areaCercaPuntiClassificaSquadra,3,FALSE()),-2)),SUMIFS('Calendario B'!$Q$8:$Q$110,'Calendario B'!$M$8:$M$110,$H27,'Calendario B'!$T$8:$T$110,$H$24)+SUMIFS('Calendario B'!$X$8:$X$110,'Calendario B'!$T$8:$T$110,$H27,'Calendario B'!$M$8:$M$110,$H$24),"-")</f>
        <v>-</v>
      </c>
      <c r="AV27" s="14" t="str">
        <f aca="false">IF(AND($H27&lt;&gt;"",$H$25&lt;&gt;"",$H27&lt;&gt;$H$25,IFERROR(VLOOKUP($H27,areaCercaPuntiClassificaSquadra,3,FALSE()),-1)=IFERROR(VLOOKUP($H$25,areaCercaPuntiClassificaSquadra,3,FALSE()),-2)),SUMIFS('Calendario B'!$Q$8:$Q$110,'Calendario B'!$M$8:$M$110,$H27,'Calendario B'!$T$8:$T$110,$H$25)+SUMIFS('Calendario B'!$X$8:$X$110,'Calendario B'!$T$8:$T$110,$H27,'Calendario B'!$M$8:$M$110,$H$25),"-")</f>
        <v>-</v>
      </c>
      <c r="AW27" s="14" t="str">
        <f aca="false">IF(AND($H27&lt;&gt;"",$H$26&lt;&gt;"",$H27&lt;&gt;$H$26,IFERROR(VLOOKUP($H27,areaCercaPuntiClassificaSquadra,3,FALSE()),-1)=IFERROR(VLOOKUP($H$26,areaCercaPuntiClassificaSquadra,3,FALSE()),-2)),SUMIFS('Calendario B'!$Q$8:$Q$110,'Calendario B'!$M$8:$M$110,$H27,'Calendario B'!$T$8:$T$110,$H$26)+SUMIFS('Calendario B'!$X$8:$X$110,'Calendario B'!$T$8:$T$110,$H27,'Calendario B'!$M$8:$M$110,$H$26),"-")</f>
        <v>-</v>
      </c>
      <c r="AX27" s="14" t="str">
        <f aca="false">IF(AND($H27&lt;&gt;"",$H$27&lt;&gt;"",$H27&lt;&gt;$H$27,IFERROR(VLOOKUP($H27,areaCercaPuntiClassificaSquadra,3,FALSE()),-1)=IFERROR(VLOOKUP($H$27,areaCercaPuntiClassificaSquadra,3,FALSE()),-2)),SUMIFS('Calendario B'!$Q$8:$Q$110,'Calendario B'!$M$8:$M$110,$H27,'Calendario B'!$T$8:$T$110,$H$27)+SUMIFS('Calendario B'!$X$8:$X$110,'Calendario B'!$T$8:$T$110,$H27,'Calendario B'!$M$8:$M$110,$H$27),"-")</f>
        <v>-</v>
      </c>
      <c r="AY27" s="13" t="str">
        <f aca="false">$C27</f>
        <v>Salamandre Scaltre-Salamandreopoli SE</v>
      </c>
      <c r="AZ27" s="14" t="str">
        <f aca="false">IF(AND($H27&lt;&gt;"",$H$20&lt;&gt;"",$H27&lt;&gt;$H$20,IFERROR(VLOOKUP($H27,areaCercaPuntiClassificaSquadra,3,FALSE()),-1)=IFERROR(VLOOKUP($H$20,areaCercaPuntiClassificaSquadra,3,FALSE()),-2)),SUMIFS('Calendario B'!$R$8:$R$110,'Calendario B'!$M$8:$M$110,$H27,'Calendario B'!$T$8:$T$110,$H$20)+SUMIFS('Calendario B'!$Y$8:$Y$110,'Calendario B'!$T$8:$T$110,$H27,'Calendario B'!$M$8:$M$110,$H$20),"-")</f>
        <v>-</v>
      </c>
      <c r="BA27" s="14" t="str">
        <f aca="false">IF(AND($H27&lt;&gt;"",$H$21&lt;&gt;"",$H27&lt;&gt;$H$21,IFERROR(VLOOKUP($H27,areaCercaPuntiClassificaSquadra,3,FALSE()),-1)=IFERROR(VLOOKUP($H$21,areaCercaPuntiClassificaSquadra,3,FALSE()),-2)),SUMIFS('Calendario B'!$R$8:$R$110,'Calendario B'!$M$8:$M$110,$H27,'Calendario B'!$T$8:$T$110,$H$21)+SUMIFS('Calendario B'!$Y$8:$Y$110,'Calendario B'!$T$8:$T$110,$H27,'Calendario B'!$M$8:$M$110,$H$21),"-")</f>
        <v>-</v>
      </c>
      <c r="BB27" s="14" t="str">
        <f aca="false">IF(AND($H27&lt;&gt;"",$H$22&lt;&gt;"",$H27&lt;&gt;$H$22,IFERROR(VLOOKUP($H27,areaCercaPuntiClassificaSquadra,3,FALSE()),-1)=IFERROR(VLOOKUP($H$22,areaCercaPuntiClassificaSquadra,3,FALSE()),-2)),SUMIFS('Calendario B'!$R$8:$R$110,'Calendario B'!$M$8:$M$110,$H27,'Calendario B'!$T$8:$T$110,$H$22)+SUMIFS('Calendario B'!$Y$8:$Y$110,'Calendario B'!$T$8:$T$110,$H27,'Calendario B'!$M$8:$M$110,$H$22),"-")</f>
        <v>-</v>
      </c>
      <c r="BC27" s="14" t="str">
        <f aca="false">IF(AND($H27&lt;&gt;"",$H$23&lt;&gt;"",$H27&lt;&gt;$H$23,IFERROR(VLOOKUP($H27,areaCercaPuntiClassificaSquadra,3,FALSE()),-1)=IFERROR(VLOOKUP($H$23,areaCercaPuntiClassificaSquadra,3,FALSE()),-2)),SUMIFS('Calendario B'!$R$8:$R$110,'Calendario B'!$M$8:$M$110,$H27,'Calendario B'!$T$8:$T$110,$H$23)+SUMIFS('Calendario B'!$Y$8:$Y$110,'Calendario B'!$T$8:$T$110,$H27,'Calendario B'!$M$8:$M$110,$H$23),"-")</f>
        <v>-</v>
      </c>
      <c r="BD27" s="14" t="str">
        <f aca="false">IF(AND($H27&lt;&gt;"",$H$24&lt;&gt;"",$H27&lt;&gt;$H$24,IFERROR(VLOOKUP($H27,areaCercaPuntiClassificaSquadra,3,FALSE()),-1)=IFERROR(VLOOKUP($H$24,areaCercaPuntiClassificaSquadra,3,FALSE()),-2)),SUMIFS('Calendario B'!$R$8:$R$110,'Calendario B'!$M$8:$M$110,$H27,'Calendario B'!$T$8:$T$110,$H$24)+SUMIFS('Calendario B'!$Y$8:$Y$110,'Calendario B'!$T$8:$T$110,$H27,'Calendario B'!$M$8:$M$110,$H$24),"-")</f>
        <v>-</v>
      </c>
      <c r="BE27" s="14" t="str">
        <f aca="false">IF(AND($H27&lt;&gt;"",$H$25&lt;&gt;"",$H27&lt;&gt;$H$25,IFERROR(VLOOKUP($H27,areaCercaPuntiClassificaSquadra,3,FALSE()),-1)=IFERROR(VLOOKUP($H$25,areaCercaPuntiClassificaSquadra,3,FALSE()),-2)),SUMIFS('Calendario B'!$R$8:$R$110,'Calendario B'!$M$8:$M$110,$H27,'Calendario B'!$T$8:$T$110,$H$25)+SUMIFS('Calendario B'!$Y$8:$Y$110,'Calendario B'!$T$8:$T$110,$H27,'Calendario B'!$M$8:$M$110,$H$25),"-")</f>
        <v>-</v>
      </c>
      <c r="BF27" s="14" t="str">
        <f aca="false">IF(AND($H27&lt;&gt;"",$H$26&lt;&gt;"",$H27&lt;&gt;$H$26,IFERROR(VLOOKUP($H27,areaCercaPuntiClassificaSquadra,3,FALSE()),-1)=IFERROR(VLOOKUP($H$26,areaCercaPuntiClassificaSquadra,3,FALSE()),-2)),SUMIFS('Calendario B'!$R$8:$R$110,'Calendario B'!$M$8:$M$110,$H27,'Calendario B'!$T$8:$T$110,$H$26)+SUMIFS('Calendario B'!$Y$8:$Y$110,'Calendario B'!$T$8:$T$110,$H27,'Calendario B'!$M$8:$M$110,$H$26),"-")</f>
        <v>-</v>
      </c>
      <c r="BG27" s="14" t="str">
        <f aca="false">IF(AND($H27&lt;&gt;"",$H$27&lt;&gt;"",$H27&lt;&gt;$H$27,IFERROR(VLOOKUP($H27,areaCercaPuntiClassificaSquadra,3,FALSE()),-1)=IFERROR(VLOOKUP($H$27,areaCercaPuntiClassificaSquadra,3,FALSE()),-2)),SUMIFS('Calendario B'!$R$8:$R$110,'Calendario B'!$M$8:$M$110,$H27,'Calendario B'!$T$8:$T$110,$H$27)+SUMIFS('Calendario B'!$Y$8:$Y$110,'Calendario B'!$T$8:$T$110,$H27,'Calendario B'!$M$8:$M$110,$H$27),"-")</f>
        <v>-</v>
      </c>
    </row>
    <row r="28" customFormat="false" ht="15" hidden="false" customHeight="false" outlineLevel="0" collapsed="false">
      <c r="B28" s="7" t="s">
        <v>81</v>
      </c>
      <c r="C28" s="8" t="s">
        <v>82</v>
      </c>
      <c r="D28" s="9"/>
      <c r="E28" s="17" t="s">
        <v>83</v>
      </c>
      <c r="G28" s="18" t="str">
        <f aca="false">IF($C28="","",$E28&amp;(COUNTIFS(I$12:I$75,"&gt;"&amp;I28,E$12:E$75,"="&amp;E28,C$12:C$75,"&lt;&gt;")+COUNTIFS(I$12:I$75,"="&amp;I28,H$12:H$75,"&lt;="&amp;H28,E$12:E$75,"="&amp;E28,C$12:C$75,"&lt;&gt;")))</f>
        <v>C2</v>
      </c>
      <c r="H28" s="12" t="str">
        <f aca="false">IF($C28="","",IFERROR(LEFT($C28,FIND("-",$C28)-1),$C28))</f>
        <v>Tigri Tenaci</v>
      </c>
      <c r="I28" s="7" t="str">
        <f aca="false">TEXT(1000000000+J28,"|0000000000|")&amp;TEXT(SUM(Y28:AF28),"0000000000|")&amp;IF(SUM(AZ28:BG28)=0,"0000000000|",TEXT(ROUND(SUM(AQ28:AX28)/SUM(AZ28:BG28),4)*100000,"0000000000|"))&amp;IF(P28=0,"0000000000|",TEXT(ROUND(O28/P28,4)*100000,"0000000000|"))</f>
        <v>|1000000019|0000000000|0000000000|0000128390|</v>
      </c>
      <c r="J28" s="18" t="n">
        <f aca="false">L28*constPuntiVittoria+M28*constPuntiSconfitta+N28*constPuntiForfait+IF(D28="",0,D28)</f>
        <v>19</v>
      </c>
      <c r="K28" s="7" t="n">
        <f aca="false">SUM(L28:N28)</f>
        <v>7</v>
      </c>
      <c r="L28" s="7" t="n">
        <f aca="false">IF($H28="",0,SUMIF('Calendario C'!$M$8:$M$110,$H28,'Calendario C'!$N$8:$N$110)+SUMIF('Calendario C'!$T$8:$T$110,$H28,'Calendario C'!$U$8:$U$110))</f>
        <v>6</v>
      </c>
      <c r="M28" s="7" t="n">
        <f aca="false">IF($H28="",0,SUMIF('Calendario C'!$M$8:$M$110,$H28,'Calendario C'!$P$8:$P$110)+SUMIF('Calendario C'!$T$8:$T$110,$H28,'Calendario C'!$W$8:$W$110))</f>
        <v>1</v>
      </c>
      <c r="N28" s="7" t="n">
        <f aca="false">IF($H28="",0,SUMIF('Calendario C'!$M$8:$M$110,$H28,'Calendario C'!$O$8:$O$110)+SUMIF('Calendario C'!$T$8:$T$110,$H28,'Calendario C'!$V$8:$V$110))</f>
        <v>0</v>
      </c>
      <c r="O28" s="7" t="n">
        <f aca="false">IF($H28="",0,SUMIF('Calendario C'!$M$8:$M$110,$H28,'Calendario C'!$Q$8:$Q$110)+SUMIF('Calendario C'!$T$8:$T$110,$H28,'Calendario C'!$X$8:$X$110))</f>
        <v>493</v>
      </c>
      <c r="P28" s="7" t="n">
        <f aca="false">IF($H28="",0,SUMIF('Calendario C'!$M$8:$M$110,$H28,'Calendario C'!$R$8:$R$110)+SUMIF('Calendario C'!$T$8:$T$110,$H28,'Calendario C'!$Y$8:$Y$110))</f>
        <v>384</v>
      </c>
      <c r="Q28" s="7" t="n">
        <f aca="false">IF($H28="",0,SUMIF('Calendario C'!$M$8:$M$110,$H28,'Calendario C'!$S$8:$S$110)+SUMIF('Calendario C'!$T$8:$T$110,$H28,'Calendario C'!$Z$8:$Z$110))</f>
        <v>109</v>
      </c>
      <c r="R28" s="7" t="n">
        <f aca="false">IF(K28=0,0,ROUND(O28/K28,2))</f>
        <v>70.43</v>
      </c>
      <c r="S28" s="7" t="n">
        <f aca="false">IF(K28=0,0,ROUND(P28/K28,2))</f>
        <v>54.86</v>
      </c>
      <c r="T28" s="7" t="n">
        <f aca="false">IF(K28=0,0,ROUND(Q28/K28,2))</f>
        <v>15.57</v>
      </c>
      <c r="U28" s="7" t="str">
        <f aca="false">IF(COUNT(Y28:AF28)=0,"-",SUM(Y28:AF28)&amp;"-"&amp;SUM(AH28:AO28))</f>
        <v>-</v>
      </c>
      <c r="V28" s="7" t="str">
        <f aca="false">IF(COUNT(Y28:AF28)=0,"-",IF(SUM(AZ28:BG28)=0,TEXT(0,"0.0000"),TEXT(ROUND(SUM(AQ28:AX28)/SUM(AZ28:BG28),4),"0.0000")))</f>
        <v>-</v>
      </c>
      <c r="W28" s="7" t="str">
        <f aca="false">IF(H28="","-",IF(P28=0,TEXT(0,"0.0000"),TEXT(ROUND(O28/P28,4),"0.0000")))</f>
        <v>1.2839</v>
      </c>
      <c r="X28" s="13" t="str">
        <f aca="false">$C28</f>
        <v>Tigri Tenaci-Tigriopoli TI</v>
      </c>
      <c r="Y28" s="14" t="str">
        <f aca="false">IF(AND($H28&lt;&gt;"",$H$28&lt;&gt;"",$H28&lt;&gt;$H$28,IFERROR(VLOOKUP($H28,areaCercaPuntiClassificaSquadra,3,FALSE()),-1)=IFERROR(VLOOKUP($H$28,areaCercaPuntiClassificaSquadra,3,FALSE()),-2)),SUMIFS('Calendario C'!$N$8:$N$110,'Calendario C'!$M$8:$M$110,$H28,'Calendario C'!$T$8:$T$110,$H$28)+SUMIFS('Calendario C'!$U$8:$U$110,'Calendario C'!$T$8:$T$110,$H28,'Calendario C'!$M$8:$M$110,$H$28),"-")</f>
        <v>-</v>
      </c>
      <c r="Z28" s="14" t="str">
        <f aca="false">IF(AND($H28&lt;&gt;"",$H$29&lt;&gt;"",$H28&lt;&gt;$H$29,IFERROR(VLOOKUP($H28,areaCercaPuntiClassificaSquadra,3,FALSE()),-1)=IFERROR(VLOOKUP($H$29,areaCercaPuntiClassificaSquadra,3,FALSE()),-2)),SUMIFS('Calendario C'!$N$8:$N$110,'Calendario C'!$M$8:$M$110,$H28,'Calendario C'!$T$8:$T$110,$H$29)+SUMIFS('Calendario C'!$U$8:$U$110,'Calendario C'!$T$8:$T$110,$H28,'Calendario C'!$M$8:$M$110,$H$29),"-")</f>
        <v>-</v>
      </c>
      <c r="AA28" s="14" t="str">
        <f aca="false">IF(AND($H28&lt;&gt;"",$H$30&lt;&gt;"",$H28&lt;&gt;$H$30,IFERROR(VLOOKUP($H28,areaCercaPuntiClassificaSquadra,3,FALSE()),-1)=IFERROR(VLOOKUP($H$30,areaCercaPuntiClassificaSquadra,3,FALSE()),-2)),SUMIFS('Calendario C'!$N$8:$N$110,'Calendario C'!$M$8:$M$110,$H28,'Calendario C'!$T$8:$T$110,$H$30)+SUMIFS('Calendario C'!$U$8:$U$110,'Calendario C'!$T$8:$T$110,$H28,'Calendario C'!$M$8:$M$110,$H$30),"-")</f>
        <v>-</v>
      </c>
      <c r="AB28" s="14" t="str">
        <f aca="false">IF(AND($H28&lt;&gt;"",$H$31&lt;&gt;"",$H28&lt;&gt;$H$31,IFERROR(VLOOKUP($H28,areaCercaPuntiClassificaSquadra,3,FALSE()),-1)=IFERROR(VLOOKUP($H$31,areaCercaPuntiClassificaSquadra,3,FALSE()),-2)),SUMIFS('Calendario C'!$N$8:$N$110,'Calendario C'!$M$8:$M$110,$H28,'Calendario C'!$T$8:$T$110,$H$31)+SUMIFS('Calendario C'!$U$8:$U$110,'Calendario C'!$T$8:$T$110,$H28,'Calendario C'!$M$8:$M$110,$H$31),"-")</f>
        <v>-</v>
      </c>
      <c r="AC28" s="14" t="str">
        <f aca="false">IF(AND($H28&lt;&gt;"",$H$32&lt;&gt;"",$H28&lt;&gt;$H$32,IFERROR(VLOOKUP($H28,areaCercaPuntiClassificaSquadra,3,FALSE()),-1)=IFERROR(VLOOKUP($H$32,areaCercaPuntiClassificaSquadra,3,FALSE()),-2)),SUMIFS('Calendario C'!$N$8:$N$110,'Calendario C'!$M$8:$M$110,$H28,'Calendario C'!$T$8:$T$110,$H$32)+SUMIFS('Calendario C'!$U$8:$U$110,'Calendario C'!$T$8:$T$110,$H28,'Calendario C'!$M$8:$M$110,$H$32),"-")</f>
        <v>-</v>
      </c>
      <c r="AD28" s="14" t="str">
        <f aca="false">IF(AND($H28&lt;&gt;"",$H$33&lt;&gt;"",$H28&lt;&gt;$H$33,IFERROR(VLOOKUP($H28,areaCercaPuntiClassificaSquadra,3,FALSE()),-1)=IFERROR(VLOOKUP($H$33,areaCercaPuntiClassificaSquadra,3,FALSE()),-2)),SUMIFS('Calendario C'!$N$8:$N$110,'Calendario C'!$M$8:$M$110,$H28,'Calendario C'!$T$8:$T$110,$H$33)+SUMIFS('Calendario C'!$U$8:$U$110,'Calendario C'!$T$8:$T$110,$H28,'Calendario C'!$M$8:$M$110,$H$33),"-")</f>
        <v>-</v>
      </c>
      <c r="AE28" s="14" t="str">
        <f aca="false">IF(AND($H28&lt;&gt;"",$H$34&lt;&gt;"",$H28&lt;&gt;$H$34,IFERROR(VLOOKUP($H28,areaCercaPuntiClassificaSquadra,3,FALSE()),-1)=IFERROR(VLOOKUP($H$34,areaCercaPuntiClassificaSquadra,3,FALSE()),-2)),SUMIFS('Calendario C'!$N$8:$N$110,'Calendario C'!$M$8:$M$110,$H28,'Calendario C'!$T$8:$T$110,$H$34)+SUMIFS('Calendario C'!$U$8:$U$110,'Calendario C'!$T$8:$T$110,$H28,'Calendario C'!$M$8:$M$110,$H$34),"-")</f>
        <v>-</v>
      </c>
      <c r="AF28" s="14" t="str">
        <f aca="false">IF(AND($H28&lt;&gt;"",$H$35&lt;&gt;"",$H28&lt;&gt;$H$35,IFERROR(VLOOKUP($H28,areaCercaPuntiClassificaSquadra,3,FALSE()),-1)=IFERROR(VLOOKUP($H$35,areaCercaPuntiClassificaSquadra,3,FALSE()),-2)),SUMIFS('Calendario C'!$N$8:$N$110,'Calendario C'!$M$8:$M$110,$H28,'Calendario C'!$T$8:$T$110,$H$35)+SUMIFS('Calendario C'!$U$8:$U$110,'Calendario C'!$T$8:$T$110,$H28,'Calendario C'!$M$8:$M$110,$H$35),"-")</f>
        <v>-</v>
      </c>
      <c r="AG28" s="13" t="str">
        <f aca="false">$C28</f>
        <v>Tigri Tenaci-Tigriopoli TI</v>
      </c>
      <c r="AH28" s="14" t="str">
        <f aca="false">IF(AND($H28&lt;&gt;"",$H$28&lt;&gt;"",$H28&lt;&gt;$H$28,IFERROR(VLOOKUP($H28,areaCercaPuntiClassificaSquadra,3,FALSE()),-1)=IFERROR(VLOOKUP($H$28,areaCercaPuntiClassificaSquadra,3,FALSE()),-2)),SUMIFS('Calendario C'!$P$8:$P$110,'Calendario C'!$M$8:$M$110,$H28,'Calendario C'!$T$8:$T$110,$H$28)+SUMIFS('Calendario C'!$W$8:$W$110,'Calendario C'!$T$8:$T$110,$H28,'Calendario C'!$M$8:$M$110,$H$28)+SUMIFS('Calendario C'!$O$8:$O$110,'Calendario C'!$M$8:$M$110,$H28,'Calendario C'!$T$8:$T$110,$H$28)+SUMIFS('Calendario C'!$V$8:$V$110,'Calendario C'!$T$8:$T$110,$H28,'Calendario C'!$M$8:$M$110,$H$28),"-")</f>
        <v>-</v>
      </c>
      <c r="AI28" s="14" t="str">
        <f aca="false">IF(AND($H28&lt;&gt;"",$H$29&lt;&gt;"",$H28&lt;&gt;$H$29,IFERROR(VLOOKUP($H28,areaCercaPuntiClassificaSquadra,3,FALSE()),-1)=IFERROR(VLOOKUP($H$29,areaCercaPuntiClassificaSquadra,3,FALSE()),-2)),SUMIFS('Calendario C'!$P$8:$P$110,'Calendario C'!$M$8:$M$110,$H28,'Calendario C'!$T$8:$T$110,$H$29)+SUMIFS('Calendario C'!$W$8:$W$110,'Calendario C'!$T$8:$T$110,$H28,'Calendario C'!$M$8:$M$110,$H$29)+SUMIFS('Calendario C'!$O$8:$O$110,'Calendario C'!$M$8:$M$110,$H28,'Calendario C'!$T$8:$T$110,$H$29)+SUMIFS('Calendario C'!$V$8:$V$110,'Calendario C'!$T$8:$T$110,$H28,'Calendario C'!$M$8:$M$110,$H$29),"-")</f>
        <v>-</v>
      </c>
      <c r="AJ28" s="14" t="str">
        <f aca="false">IF(AND($H28&lt;&gt;"",$H$30&lt;&gt;"",$H28&lt;&gt;$H$30,IFERROR(VLOOKUP($H28,areaCercaPuntiClassificaSquadra,3,FALSE()),-1)=IFERROR(VLOOKUP($H$30,areaCercaPuntiClassificaSquadra,3,FALSE()),-2)),SUMIFS('Calendario C'!$P$8:$P$110,'Calendario C'!$M$8:$M$110,$H28,'Calendario C'!$T$8:$T$110,$H$30)+SUMIFS('Calendario C'!$W$8:$W$110,'Calendario C'!$T$8:$T$110,$H28,'Calendario C'!$M$8:$M$110,$H$30)+SUMIFS('Calendario C'!$O$8:$O$110,'Calendario C'!$M$8:$M$110,$H28,'Calendario C'!$T$8:$T$110,$H$30)+SUMIFS('Calendario C'!$V$8:$V$110,'Calendario C'!$T$8:$T$110,$H28,'Calendario C'!$M$8:$M$110,$H$30),"-")</f>
        <v>-</v>
      </c>
      <c r="AK28" s="14" t="str">
        <f aca="false">IF(AND($H28&lt;&gt;"",$H$31&lt;&gt;"",$H28&lt;&gt;$H$31,IFERROR(VLOOKUP($H28,areaCercaPuntiClassificaSquadra,3,FALSE()),-1)=IFERROR(VLOOKUP($H$31,areaCercaPuntiClassificaSquadra,3,FALSE()),-2)),SUMIFS('Calendario C'!$P$8:$P$110,'Calendario C'!$M$8:$M$110,$H28,'Calendario C'!$T$8:$T$110,$H$31)+SUMIFS('Calendario C'!$W$8:$W$110,'Calendario C'!$T$8:$T$110,$H28,'Calendario C'!$M$8:$M$110,$H$31)+SUMIFS('Calendario C'!$O$8:$O$110,'Calendario C'!$M$8:$M$110,$H28,'Calendario C'!$T$8:$T$110,$H$31)+SUMIFS('Calendario C'!$V$8:$V$110,'Calendario C'!$T$8:$T$110,$H28,'Calendario C'!$M$8:$M$110,$H$31),"-")</f>
        <v>-</v>
      </c>
      <c r="AL28" s="14" t="str">
        <f aca="false">IF(AND($H28&lt;&gt;"",$H$32&lt;&gt;"",$H28&lt;&gt;$H$32,IFERROR(VLOOKUP($H28,areaCercaPuntiClassificaSquadra,3,FALSE()),-1)=IFERROR(VLOOKUP($H$32,areaCercaPuntiClassificaSquadra,3,FALSE()),-2)),SUMIFS('Calendario C'!$P$8:$P$110,'Calendario C'!$M$8:$M$110,$H28,'Calendario C'!$T$8:$T$110,$H$32)+SUMIFS('Calendario C'!$W$8:$W$110,'Calendario C'!$T$8:$T$110,$H28,'Calendario C'!$M$8:$M$110,$H$32)+SUMIFS('Calendario C'!$O$8:$O$110,'Calendario C'!$M$8:$M$110,$H28,'Calendario C'!$T$8:$T$110,$H$32)+SUMIFS('Calendario C'!$V$8:$V$110,'Calendario C'!$T$8:$T$110,$H28,'Calendario C'!$M$8:$M$110,$H$32),"-")</f>
        <v>-</v>
      </c>
      <c r="AM28" s="14" t="str">
        <f aca="false">IF(AND($H28&lt;&gt;"",$H$33&lt;&gt;"",$H28&lt;&gt;$H$33,IFERROR(VLOOKUP($H28,areaCercaPuntiClassificaSquadra,3,FALSE()),-1)=IFERROR(VLOOKUP($H$33,areaCercaPuntiClassificaSquadra,3,FALSE()),-2)),SUMIFS('Calendario C'!$P$8:$P$110,'Calendario C'!$M$8:$M$110,$H28,'Calendario C'!$T$8:$T$110,$H$33)+SUMIFS('Calendario C'!$W$8:$W$110,'Calendario C'!$T$8:$T$110,$H28,'Calendario C'!$M$8:$M$110,$H$33)+SUMIFS('Calendario C'!$O$8:$O$110,'Calendario C'!$M$8:$M$110,$H28,'Calendario C'!$T$8:$T$110,$H$33)+SUMIFS('Calendario C'!$V$8:$V$110,'Calendario C'!$T$8:$T$110,$H28,'Calendario C'!$M$8:$M$110,$H$33),"-")</f>
        <v>-</v>
      </c>
      <c r="AN28" s="14" t="str">
        <f aca="false">IF(AND($H28&lt;&gt;"",$H$34&lt;&gt;"",$H28&lt;&gt;$H$34,IFERROR(VLOOKUP($H28,areaCercaPuntiClassificaSquadra,3,FALSE()),-1)=IFERROR(VLOOKUP($H$34,areaCercaPuntiClassificaSquadra,3,FALSE()),-2)),SUMIFS('Calendario C'!$P$8:$P$110,'Calendario C'!$M$8:$M$110,$H28,'Calendario C'!$T$8:$T$110,$H$34)+SUMIFS('Calendario C'!$W$8:$W$110,'Calendario C'!$T$8:$T$110,$H28,'Calendario C'!$M$8:$M$110,$H$34)+SUMIFS('Calendario C'!$O$8:$O$110,'Calendario C'!$M$8:$M$110,$H28,'Calendario C'!$T$8:$T$110,$H$34)+SUMIFS('Calendario C'!$V$8:$V$110,'Calendario C'!$T$8:$T$110,$H28,'Calendario C'!$M$8:$M$110,$H$34),"-")</f>
        <v>-</v>
      </c>
      <c r="AO28" s="14" t="str">
        <f aca="false">IF(AND($H28&lt;&gt;"",$H$35&lt;&gt;"",$H28&lt;&gt;$H$35,IFERROR(VLOOKUP($H28,areaCercaPuntiClassificaSquadra,3,FALSE()),-1)=IFERROR(VLOOKUP($H$35,areaCercaPuntiClassificaSquadra,3,FALSE()),-2)),SUMIFS('Calendario C'!$P$8:$P$110,'Calendario C'!$M$8:$M$110,$H28,'Calendario C'!$T$8:$T$110,$H$35)+SUMIFS('Calendario C'!$W$8:$W$110,'Calendario C'!$T$8:$T$110,$H28,'Calendario C'!$M$8:$M$110,$H$35)+SUMIFS('Calendario C'!$O$8:$O$110,'Calendario C'!$M$8:$M$110,$H28,'Calendario C'!$T$8:$T$110,$H$35)+SUMIFS('Calendario C'!$V$8:$V$110,'Calendario C'!$T$8:$T$110,$H28,'Calendario C'!$M$8:$M$110,$H$35),"-")</f>
        <v>-</v>
      </c>
      <c r="AP28" s="13" t="str">
        <f aca="false">$C28</f>
        <v>Tigri Tenaci-Tigriopoli TI</v>
      </c>
      <c r="AQ28" s="14" t="str">
        <f aca="false">IF(AND($H28&lt;&gt;"",$H$28&lt;&gt;"",$H28&lt;&gt;$H$28,IFERROR(VLOOKUP($H28,areaCercaPuntiClassificaSquadra,3,FALSE()),-1)=IFERROR(VLOOKUP($H$28,areaCercaPuntiClassificaSquadra,3,FALSE()),-2)),SUMIFS('Calendario C'!$Q$8:$Q$110,'Calendario C'!$M$8:$M$110,$H28,'Calendario C'!$T$8:$T$110,$H$28)+SUMIFS('Calendario C'!$X$8:$X$110,'Calendario C'!$T$8:$T$110,$H28,'Calendario C'!$M$8:$M$110,$H$28),"-")</f>
        <v>-</v>
      </c>
      <c r="AR28" s="14" t="str">
        <f aca="false">IF(AND($H28&lt;&gt;"",$H$29&lt;&gt;"",$H28&lt;&gt;$H$29,IFERROR(VLOOKUP($H28,areaCercaPuntiClassificaSquadra,3,FALSE()),-1)=IFERROR(VLOOKUP($H$29,areaCercaPuntiClassificaSquadra,3,FALSE()),-2)),SUMIFS('Calendario C'!$Q$8:$Q$110,'Calendario C'!$M$8:$M$110,$H28,'Calendario C'!$T$8:$T$110,$H$29)+SUMIFS('Calendario C'!$X$8:$X$110,'Calendario C'!$T$8:$T$110,$H28,'Calendario C'!$M$8:$M$110,$H$29),"-")</f>
        <v>-</v>
      </c>
      <c r="AS28" s="14" t="str">
        <f aca="false">IF(AND($H28&lt;&gt;"",$H$30&lt;&gt;"",$H28&lt;&gt;$H$30,IFERROR(VLOOKUP($H28,areaCercaPuntiClassificaSquadra,3,FALSE()),-1)=IFERROR(VLOOKUP($H$30,areaCercaPuntiClassificaSquadra,3,FALSE()),-2)),SUMIFS('Calendario C'!$Q$8:$Q$110,'Calendario C'!$M$8:$M$110,$H28,'Calendario C'!$T$8:$T$110,$H$30)+SUMIFS('Calendario C'!$X$8:$X$110,'Calendario C'!$T$8:$T$110,$H28,'Calendario C'!$M$8:$M$110,$H$30),"-")</f>
        <v>-</v>
      </c>
      <c r="AT28" s="14" t="str">
        <f aca="false">IF(AND($H28&lt;&gt;"",$H$31&lt;&gt;"",$H28&lt;&gt;$H$31,IFERROR(VLOOKUP($H28,areaCercaPuntiClassificaSquadra,3,FALSE()),-1)=IFERROR(VLOOKUP($H$31,areaCercaPuntiClassificaSquadra,3,FALSE()),-2)),SUMIFS('Calendario C'!$Q$8:$Q$110,'Calendario C'!$M$8:$M$110,$H28,'Calendario C'!$T$8:$T$110,$H$31)+SUMIFS('Calendario C'!$X$8:$X$110,'Calendario C'!$T$8:$T$110,$H28,'Calendario C'!$M$8:$M$110,$H$31),"-")</f>
        <v>-</v>
      </c>
      <c r="AU28" s="14" t="str">
        <f aca="false">IF(AND($H28&lt;&gt;"",$H$32&lt;&gt;"",$H28&lt;&gt;$H$32,IFERROR(VLOOKUP($H28,areaCercaPuntiClassificaSquadra,3,FALSE()),-1)=IFERROR(VLOOKUP($H$32,areaCercaPuntiClassificaSquadra,3,FALSE()),-2)),SUMIFS('Calendario C'!$Q$8:$Q$110,'Calendario C'!$M$8:$M$110,$H28,'Calendario C'!$T$8:$T$110,$H$32)+SUMIFS('Calendario C'!$X$8:$X$110,'Calendario C'!$T$8:$T$110,$H28,'Calendario C'!$M$8:$M$110,$H$32),"-")</f>
        <v>-</v>
      </c>
      <c r="AV28" s="14" t="str">
        <f aca="false">IF(AND($H28&lt;&gt;"",$H$33&lt;&gt;"",$H28&lt;&gt;$H$33,IFERROR(VLOOKUP($H28,areaCercaPuntiClassificaSquadra,3,FALSE()),-1)=IFERROR(VLOOKUP($H$33,areaCercaPuntiClassificaSquadra,3,FALSE()),-2)),SUMIFS('Calendario C'!$Q$8:$Q$110,'Calendario C'!$M$8:$M$110,$H28,'Calendario C'!$T$8:$T$110,$H$33)+SUMIFS('Calendario C'!$X$8:$X$110,'Calendario C'!$T$8:$T$110,$H28,'Calendario C'!$M$8:$M$110,$H$33),"-")</f>
        <v>-</v>
      </c>
      <c r="AW28" s="14" t="str">
        <f aca="false">IF(AND($H28&lt;&gt;"",$H$34&lt;&gt;"",$H28&lt;&gt;$H$34,IFERROR(VLOOKUP($H28,areaCercaPuntiClassificaSquadra,3,FALSE()),-1)=IFERROR(VLOOKUP($H$34,areaCercaPuntiClassificaSquadra,3,FALSE()),-2)),SUMIFS('Calendario C'!$Q$8:$Q$110,'Calendario C'!$M$8:$M$110,$H28,'Calendario C'!$T$8:$T$110,$H$34)+SUMIFS('Calendario C'!$X$8:$X$110,'Calendario C'!$T$8:$T$110,$H28,'Calendario C'!$M$8:$M$110,$H$34),"-")</f>
        <v>-</v>
      </c>
      <c r="AX28" s="14" t="str">
        <f aca="false">IF(AND($H28&lt;&gt;"",$H$35&lt;&gt;"",$H28&lt;&gt;$H$35,IFERROR(VLOOKUP($H28,areaCercaPuntiClassificaSquadra,3,FALSE()),-1)=IFERROR(VLOOKUP($H$35,areaCercaPuntiClassificaSquadra,3,FALSE()),-2)),SUMIFS('Calendario C'!$Q$8:$Q$110,'Calendario C'!$M$8:$M$110,$H28,'Calendario C'!$T$8:$T$110,$H$35)+SUMIFS('Calendario C'!$X$8:$X$110,'Calendario C'!$T$8:$T$110,$H28,'Calendario C'!$M$8:$M$110,$H$35),"-")</f>
        <v>-</v>
      </c>
      <c r="AY28" s="13" t="str">
        <f aca="false">$C28</f>
        <v>Tigri Tenaci-Tigriopoli TI</v>
      </c>
      <c r="AZ28" s="14" t="str">
        <f aca="false">IF(AND($H28&lt;&gt;"",$H$28&lt;&gt;"",$H28&lt;&gt;$H$28,IFERROR(VLOOKUP($H28,areaCercaPuntiClassificaSquadra,3,FALSE()),-1)=IFERROR(VLOOKUP($H$28,areaCercaPuntiClassificaSquadra,3,FALSE()),-2)),SUMIFS('Calendario C'!$R$8:$R$110,'Calendario C'!$M$8:$M$110,$H28,'Calendario C'!$T$8:$T$110,$H$28)+SUMIFS('Calendario C'!$Y$8:$Y$110,'Calendario C'!$T$8:$T$110,$H28,'Calendario C'!$M$8:$M$110,$H$28),"-")</f>
        <v>-</v>
      </c>
      <c r="BA28" s="14" t="str">
        <f aca="false">IF(AND($H28&lt;&gt;"",$H$29&lt;&gt;"",$H28&lt;&gt;$H$29,IFERROR(VLOOKUP($H28,areaCercaPuntiClassificaSquadra,3,FALSE()),-1)=IFERROR(VLOOKUP($H$29,areaCercaPuntiClassificaSquadra,3,FALSE()),-2)),SUMIFS('Calendario C'!$R$8:$R$110,'Calendario C'!$M$8:$M$110,$H28,'Calendario C'!$T$8:$T$110,$H$29)+SUMIFS('Calendario C'!$Y$8:$Y$110,'Calendario C'!$T$8:$T$110,$H28,'Calendario C'!$M$8:$M$110,$H$29),"-")</f>
        <v>-</v>
      </c>
      <c r="BB28" s="14" t="str">
        <f aca="false">IF(AND($H28&lt;&gt;"",$H$30&lt;&gt;"",$H28&lt;&gt;$H$30,IFERROR(VLOOKUP($H28,areaCercaPuntiClassificaSquadra,3,FALSE()),-1)=IFERROR(VLOOKUP($H$30,areaCercaPuntiClassificaSquadra,3,FALSE()),-2)),SUMIFS('Calendario C'!$R$8:$R$110,'Calendario C'!$M$8:$M$110,$H28,'Calendario C'!$T$8:$T$110,$H$30)+SUMIFS('Calendario C'!$Y$8:$Y$110,'Calendario C'!$T$8:$T$110,$H28,'Calendario C'!$M$8:$M$110,$H$30),"-")</f>
        <v>-</v>
      </c>
      <c r="BC28" s="14" t="str">
        <f aca="false">IF(AND($H28&lt;&gt;"",$H$31&lt;&gt;"",$H28&lt;&gt;$H$31,IFERROR(VLOOKUP($H28,areaCercaPuntiClassificaSquadra,3,FALSE()),-1)=IFERROR(VLOOKUP($H$31,areaCercaPuntiClassificaSquadra,3,FALSE()),-2)),SUMIFS('Calendario C'!$R$8:$R$110,'Calendario C'!$M$8:$M$110,$H28,'Calendario C'!$T$8:$T$110,$H$31)+SUMIFS('Calendario C'!$Y$8:$Y$110,'Calendario C'!$T$8:$T$110,$H28,'Calendario C'!$M$8:$M$110,$H$31),"-")</f>
        <v>-</v>
      </c>
      <c r="BD28" s="14" t="str">
        <f aca="false">IF(AND($H28&lt;&gt;"",$H$32&lt;&gt;"",$H28&lt;&gt;$H$32,IFERROR(VLOOKUP($H28,areaCercaPuntiClassificaSquadra,3,FALSE()),-1)=IFERROR(VLOOKUP($H$32,areaCercaPuntiClassificaSquadra,3,FALSE()),-2)),SUMIFS('Calendario C'!$R$8:$R$110,'Calendario C'!$M$8:$M$110,$H28,'Calendario C'!$T$8:$T$110,$H$32)+SUMIFS('Calendario C'!$Y$8:$Y$110,'Calendario C'!$T$8:$T$110,$H28,'Calendario C'!$M$8:$M$110,$H$32),"-")</f>
        <v>-</v>
      </c>
      <c r="BE28" s="14" t="str">
        <f aca="false">IF(AND($H28&lt;&gt;"",$H$33&lt;&gt;"",$H28&lt;&gt;$H$33,IFERROR(VLOOKUP($H28,areaCercaPuntiClassificaSquadra,3,FALSE()),-1)=IFERROR(VLOOKUP($H$33,areaCercaPuntiClassificaSquadra,3,FALSE()),-2)),SUMIFS('Calendario C'!$R$8:$R$110,'Calendario C'!$M$8:$M$110,$H28,'Calendario C'!$T$8:$T$110,$H$33)+SUMIFS('Calendario C'!$Y$8:$Y$110,'Calendario C'!$T$8:$T$110,$H28,'Calendario C'!$M$8:$M$110,$H$33),"-")</f>
        <v>-</v>
      </c>
      <c r="BF28" s="14" t="str">
        <f aca="false">IF(AND($H28&lt;&gt;"",$H$34&lt;&gt;"",$H28&lt;&gt;$H$34,IFERROR(VLOOKUP($H28,areaCercaPuntiClassificaSquadra,3,FALSE()),-1)=IFERROR(VLOOKUP($H$34,areaCercaPuntiClassificaSquadra,3,FALSE()),-2)),SUMIFS('Calendario C'!$R$8:$R$110,'Calendario C'!$M$8:$M$110,$H28,'Calendario C'!$T$8:$T$110,$H$34)+SUMIFS('Calendario C'!$Y$8:$Y$110,'Calendario C'!$T$8:$T$110,$H28,'Calendario C'!$M$8:$M$110,$H$34),"-")</f>
        <v>-</v>
      </c>
      <c r="BG28" s="14" t="str">
        <f aca="false">IF(AND($H28&lt;&gt;"",$H$35&lt;&gt;"",$H28&lt;&gt;$H$35,IFERROR(VLOOKUP($H28,areaCercaPuntiClassificaSquadra,3,FALSE()),-1)=IFERROR(VLOOKUP($H$35,areaCercaPuntiClassificaSquadra,3,FALSE()),-2)),SUMIFS('Calendario C'!$R$8:$R$110,'Calendario C'!$M$8:$M$110,$H28,'Calendario C'!$T$8:$T$110,$H$35)+SUMIFS('Calendario C'!$Y$8:$Y$110,'Calendario C'!$T$8:$T$110,$H28,'Calendario C'!$M$8:$M$110,$H$35),"-")</f>
        <v>-</v>
      </c>
    </row>
    <row r="29" customFormat="false" ht="15" hidden="false" customHeight="false" outlineLevel="0" collapsed="false">
      <c r="B29" s="7" t="s">
        <v>84</v>
      </c>
      <c r="C29" s="8" t="s">
        <v>85</v>
      </c>
      <c r="D29" s="9"/>
      <c r="E29" s="17" t="s">
        <v>83</v>
      </c>
      <c r="G29" s="18" t="str">
        <f aca="false">IF($C29="","",$E29&amp;(COUNTIFS(I$12:I$75,"&gt;"&amp;I29,E$12:E$75,"="&amp;E29,C$12:C$75,"&lt;&gt;")+COUNTIFS(I$12:I$75,"="&amp;I29,H$12:H$75,"&lt;="&amp;H29,E$12:E$75,"="&amp;E29,C$12:C$75,"&lt;&gt;")))</f>
        <v>C6</v>
      </c>
      <c r="H29" s="12" t="str">
        <f aca="false">IF($C29="","",IFERROR(LEFT($C29,FIND("-",$C29)-1),$C29))</f>
        <v>Upupe Umoristiche</v>
      </c>
      <c r="I29" s="7" t="str">
        <f aca="false">TEXT(1000000000+J29,"|0000000000|")&amp;TEXT(SUM(Y29:AF29),"0000000000|")&amp;IF(SUM(AZ29:BG29)=0,"0000000000|",TEXT(ROUND(SUM(AQ29:AX29)/SUM(AZ29:BG29),4)*100000,"0000000000|"))&amp;IF(P29=0,"0000000000|",TEXT(ROUND(O29/P29,4)*100000,"0000000000|"))</f>
        <v>|1000000011|0000000000|0000000000|0000092120|</v>
      </c>
      <c r="J29" s="18" t="n">
        <f aca="false">L29*constPuntiVittoria+M29*constPuntiSconfitta+N29*constPuntiForfait+IF(D29="",0,D29)</f>
        <v>11</v>
      </c>
      <c r="K29" s="7" t="n">
        <f aca="false">SUM(L29:N29)</f>
        <v>7</v>
      </c>
      <c r="L29" s="7" t="n">
        <f aca="false">IF($H29="",0,SUMIF('Calendario C'!$M$8:$M$110,$H29,'Calendario C'!$N$8:$N$110)+SUMIF('Calendario C'!$T$8:$T$110,$H29,'Calendario C'!$U$8:$U$110))</f>
        <v>2</v>
      </c>
      <c r="M29" s="7" t="n">
        <f aca="false">IF($H29="",0,SUMIF('Calendario C'!$M$8:$M$110,$H29,'Calendario C'!$P$8:$P$110)+SUMIF('Calendario C'!$T$8:$T$110,$H29,'Calendario C'!$W$8:$W$110))</f>
        <v>5</v>
      </c>
      <c r="N29" s="7" t="n">
        <f aca="false">IF($H29="",0,SUMIF('Calendario C'!$M$8:$M$110,$H29,'Calendario C'!$O$8:$O$110)+SUMIF('Calendario C'!$T$8:$T$110,$H29,'Calendario C'!$V$8:$V$110))</f>
        <v>0</v>
      </c>
      <c r="O29" s="7" t="n">
        <f aca="false">IF($H29="",0,SUMIF('Calendario C'!$M$8:$M$110,$H29,'Calendario C'!$Q$8:$Q$110)+SUMIF('Calendario C'!$T$8:$T$110,$H29,'Calendario C'!$X$8:$X$110))</f>
        <v>409</v>
      </c>
      <c r="P29" s="7" t="n">
        <f aca="false">IF($H29="",0,SUMIF('Calendario C'!$M$8:$M$110,$H29,'Calendario C'!$R$8:$R$110)+SUMIF('Calendario C'!$T$8:$T$110,$H29,'Calendario C'!$Y$8:$Y$110))</f>
        <v>444</v>
      </c>
      <c r="Q29" s="7" t="n">
        <f aca="false">IF($H29="",0,SUMIF('Calendario C'!$M$8:$M$110,$H29,'Calendario C'!$S$8:$S$110)+SUMIF('Calendario C'!$T$8:$T$110,$H29,'Calendario C'!$Z$8:$Z$110))</f>
        <v>-35</v>
      </c>
      <c r="R29" s="7" t="n">
        <f aca="false">IF(K29=0,0,ROUND(O29/K29,2))</f>
        <v>58.43</v>
      </c>
      <c r="S29" s="7" t="n">
        <f aca="false">IF(K29=0,0,ROUND(P29/K29,2))</f>
        <v>63.43</v>
      </c>
      <c r="T29" s="7" t="n">
        <f aca="false">IF(K29=0,0,ROUND(Q29/K29,2))</f>
        <v>-5</v>
      </c>
      <c r="U29" s="7" t="str">
        <f aca="false">IF(COUNT(Y29:AF29)=0,"-",SUM(Y29:AF29)&amp;"-"&amp;SUM(AH29:AO29))</f>
        <v>-</v>
      </c>
      <c r="V29" s="7" t="str">
        <f aca="false">IF(COUNT(Y29:AF29)=0,"-",IF(SUM(AZ29:BG29)=0,TEXT(0,"0.0000"),TEXT(ROUND(SUM(AQ29:AX29)/SUM(AZ29:BG29),4),"0.0000")))</f>
        <v>-</v>
      </c>
      <c r="W29" s="7" t="str">
        <f aca="false">IF(H29="","-",IF(P29=0,TEXT(0,"0.0000"),TEXT(ROUND(O29/P29,4),"0.0000")))</f>
        <v>0.9212</v>
      </c>
      <c r="X29" s="13" t="str">
        <f aca="false">$C29</f>
        <v>Upupe Umoristiche-Upupeopoli UE</v>
      </c>
      <c r="Y29" s="14" t="str">
        <f aca="false">IF(AND($H29&lt;&gt;"",$H$28&lt;&gt;"",$H29&lt;&gt;$H$28,IFERROR(VLOOKUP($H29,areaCercaPuntiClassificaSquadra,3,FALSE()),-1)=IFERROR(VLOOKUP($H$28,areaCercaPuntiClassificaSquadra,3,FALSE()),-2)),SUMIFS('Calendario C'!$N$8:$N$110,'Calendario C'!$M$8:$M$110,$H29,'Calendario C'!$T$8:$T$110,$H$28)+SUMIFS('Calendario C'!$U$8:$U$110,'Calendario C'!$T$8:$T$110,$H29,'Calendario C'!$M$8:$M$110,$H$28),"-")</f>
        <v>-</v>
      </c>
      <c r="Z29" s="14" t="str">
        <f aca="false">IF(AND($H29&lt;&gt;"",$H$29&lt;&gt;"",$H29&lt;&gt;$H$29,IFERROR(VLOOKUP($H29,areaCercaPuntiClassificaSquadra,3,FALSE()),-1)=IFERROR(VLOOKUP($H$29,areaCercaPuntiClassificaSquadra,3,FALSE()),-2)),SUMIFS('Calendario C'!$N$8:$N$110,'Calendario C'!$M$8:$M$110,$H29,'Calendario C'!$T$8:$T$110,$H$29)+SUMIFS('Calendario C'!$U$8:$U$110,'Calendario C'!$T$8:$T$110,$H29,'Calendario C'!$M$8:$M$110,$H$29),"-")</f>
        <v>-</v>
      </c>
      <c r="AA29" s="14" t="str">
        <f aca="false">IF(AND($H29&lt;&gt;"",$H$30&lt;&gt;"",$H29&lt;&gt;$H$30,IFERROR(VLOOKUP($H29,areaCercaPuntiClassificaSquadra,3,FALSE()),-1)=IFERROR(VLOOKUP($H$30,areaCercaPuntiClassificaSquadra,3,FALSE()),-2)),SUMIFS('Calendario C'!$N$8:$N$110,'Calendario C'!$M$8:$M$110,$H29,'Calendario C'!$T$8:$T$110,$H$30)+SUMIFS('Calendario C'!$U$8:$U$110,'Calendario C'!$T$8:$T$110,$H29,'Calendario C'!$M$8:$M$110,$H$30),"-")</f>
        <v>-</v>
      </c>
      <c r="AB29" s="14" t="str">
        <f aca="false">IF(AND($H29&lt;&gt;"",$H$31&lt;&gt;"",$H29&lt;&gt;$H$31,IFERROR(VLOOKUP($H29,areaCercaPuntiClassificaSquadra,3,FALSE()),-1)=IFERROR(VLOOKUP($H$31,areaCercaPuntiClassificaSquadra,3,FALSE()),-2)),SUMIFS('Calendario C'!$N$8:$N$110,'Calendario C'!$M$8:$M$110,$H29,'Calendario C'!$T$8:$T$110,$H$31)+SUMIFS('Calendario C'!$U$8:$U$110,'Calendario C'!$T$8:$T$110,$H29,'Calendario C'!$M$8:$M$110,$H$31),"-")</f>
        <v>-</v>
      </c>
      <c r="AC29" s="14" t="str">
        <f aca="false">IF(AND($H29&lt;&gt;"",$H$32&lt;&gt;"",$H29&lt;&gt;$H$32,IFERROR(VLOOKUP($H29,areaCercaPuntiClassificaSquadra,3,FALSE()),-1)=IFERROR(VLOOKUP($H$32,areaCercaPuntiClassificaSquadra,3,FALSE()),-2)),SUMIFS('Calendario C'!$N$8:$N$110,'Calendario C'!$M$8:$M$110,$H29,'Calendario C'!$T$8:$T$110,$H$32)+SUMIFS('Calendario C'!$U$8:$U$110,'Calendario C'!$T$8:$T$110,$H29,'Calendario C'!$M$8:$M$110,$H$32),"-")</f>
        <v>-</v>
      </c>
      <c r="AD29" s="14" t="str">
        <f aca="false">IF(AND($H29&lt;&gt;"",$H$33&lt;&gt;"",$H29&lt;&gt;$H$33,IFERROR(VLOOKUP($H29,areaCercaPuntiClassificaSquadra,3,FALSE()),-1)=IFERROR(VLOOKUP($H$33,areaCercaPuntiClassificaSquadra,3,FALSE()),-2)),SUMIFS('Calendario C'!$N$8:$N$110,'Calendario C'!$M$8:$M$110,$H29,'Calendario C'!$T$8:$T$110,$H$33)+SUMIFS('Calendario C'!$U$8:$U$110,'Calendario C'!$T$8:$T$110,$H29,'Calendario C'!$M$8:$M$110,$H$33),"-")</f>
        <v>-</v>
      </c>
      <c r="AE29" s="14" t="str">
        <f aca="false">IF(AND($H29&lt;&gt;"",$H$34&lt;&gt;"",$H29&lt;&gt;$H$34,IFERROR(VLOOKUP($H29,areaCercaPuntiClassificaSquadra,3,FALSE()),-1)=IFERROR(VLOOKUP($H$34,areaCercaPuntiClassificaSquadra,3,FALSE()),-2)),SUMIFS('Calendario C'!$N$8:$N$110,'Calendario C'!$M$8:$M$110,$H29,'Calendario C'!$T$8:$T$110,$H$34)+SUMIFS('Calendario C'!$U$8:$U$110,'Calendario C'!$T$8:$T$110,$H29,'Calendario C'!$M$8:$M$110,$H$34),"-")</f>
        <v>-</v>
      </c>
      <c r="AF29" s="14" t="str">
        <f aca="false">IF(AND($H29&lt;&gt;"",$H$35&lt;&gt;"",$H29&lt;&gt;$H$35,IFERROR(VLOOKUP($H29,areaCercaPuntiClassificaSquadra,3,FALSE()),-1)=IFERROR(VLOOKUP($H$35,areaCercaPuntiClassificaSquadra,3,FALSE()),-2)),SUMIFS('Calendario C'!$N$8:$N$110,'Calendario C'!$M$8:$M$110,$H29,'Calendario C'!$T$8:$T$110,$H$35)+SUMIFS('Calendario C'!$U$8:$U$110,'Calendario C'!$T$8:$T$110,$H29,'Calendario C'!$M$8:$M$110,$H$35),"-")</f>
        <v>-</v>
      </c>
      <c r="AG29" s="13" t="str">
        <f aca="false">$C29</f>
        <v>Upupe Umoristiche-Upupeopoli UE</v>
      </c>
      <c r="AH29" s="14" t="str">
        <f aca="false">IF(AND($H29&lt;&gt;"",$H$28&lt;&gt;"",$H29&lt;&gt;$H$28,IFERROR(VLOOKUP($H29,areaCercaPuntiClassificaSquadra,3,FALSE()),-1)=IFERROR(VLOOKUP($H$28,areaCercaPuntiClassificaSquadra,3,FALSE()),-2)),SUMIFS('Calendario C'!$P$8:$P$110,'Calendario C'!$M$8:$M$110,$H29,'Calendario C'!$T$8:$T$110,$H$28)+SUMIFS('Calendario C'!$W$8:$W$110,'Calendario C'!$T$8:$T$110,$H29,'Calendario C'!$M$8:$M$110,$H$28)+SUMIFS('Calendario C'!$O$8:$O$110,'Calendario C'!$M$8:$M$110,$H29,'Calendario C'!$T$8:$T$110,$H$28)+SUMIFS('Calendario C'!$V$8:$V$110,'Calendario C'!$T$8:$T$110,$H29,'Calendario C'!$M$8:$M$110,$H$28),"-")</f>
        <v>-</v>
      </c>
      <c r="AI29" s="14" t="str">
        <f aca="false">IF(AND($H29&lt;&gt;"",$H$29&lt;&gt;"",$H29&lt;&gt;$H$29,IFERROR(VLOOKUP($H29,areaCercaPuntiClassificaSquadra,3,FALSE()),-1)=IFERROR(VLOOKUP($H$29,areaCercaPuntiClassificaSquadra,3,FALSE()),-2)),SUMIFS('Calendario C'!$P$8:$P$110,'Calendario C'!$M$8:$M$110,$H29,'Calendario C'!$T$8:$T$110,$H$29)+SUMIFS('Calendario C'!$W$8:$W$110,'Calendario C'!$T$8:$T$110,$H29,'Calendario C'!$M$8:$M$110,$H$29)+SUMIFS('Calendario C'!$O$8:$O$110,'Calendario C'!$M$8:$M$110,$H29,'Calendario C'!$T$8:$T$110,$H$29)+SUMIFS('Calendario C'!$V$8:$V$110,'Calendario C'!$T$8:$T$110,$H29,'Calendario C'!$M$8:$M$110,$H$29),"-")</f>
        <v>-</v>
      </c>
      <c r="AJ29" s="14" t="str">
        <f aca="false">IF(AND($H29&lt;&gt;"",$H$30&lt;&gt;"",$H29&lt;&gt;$H$30,IFERROR(VLOOKUP($H29,areaCercaPuntiClassificaSquadra,3,FALSE()),-1)=IFERROR(VLOOKUP($H$30,areaCercaPuntiClassificaSquadra,3,FALSE()),-2)),SUMIFS('Calendario C'!$P$8:$P$110,'Calendario C'!$M$8:$M$110,$H29,'Calendario C'!$T$8:$T$110,$H$30)+SUMIFS('Calendario C'!$W$8:$W$110,'Calendario C'!$T$8:$T$110,$H29,'Calendario C'!$M$8:$M$110,$H$30)+SUMIFS('Calendario C'!$O$8:$O$110,'Calendario C'!$M$8:$M$110,$H29,'Calendario C'!$T$8:$T$110,$H$30)+SUMIFS('Calendario C'!$V$8:$V$110,'Calendario C'!$T$8:$T$110,$H29,'Calendario C'!$M$8:$M$110,$H$30),"-")</f>
        <v>-</v>
      </c>
      <c r="AK29" s="14" t="str">
        <f aca="false">IF(AND($H29&lt;&gt;"",$H$31&lt;&gt;"",$H29&lt;&gt;$H$31,IFERROR(VLOOKUP($H29,areaCercaPuntiClassificaSquadra,3,FALSE()),-1)=IFERROR(VLOOKUP($H$31,areaCercaPuntiClassificaSquadra,3,FALSE()),-2)),SUMIFS('Calendario C'!$P$8:$P$110,'Calendario C'!$M$8:$M$110,$H29,'Calendario C'!$T$8:$T$110,$H$31)+SUMIFS('Calendario C'!$W$8:$W$110,'Calendario C'!$T$8:$T$110,$H29,'Calendario C'!$M$8:$M$110,$H$31)+SUMIFS('Calendario C'!$O$8:$O$110,'Calendario C'!$M$8:$M$110,$H29,'Calendario C'!$T$8:$T$110,$H$31)+SUMIFS('Calendario C'!$V$8:$V$110,'Calendario C'!$T$8:$T$110,$H29,'Calendario C'!$M$8:$M$110,$H$31),"-")</f>
        <v>-</v>
      </c>
      <c r="AL29" s="14" t="str">
        <f aca="false">IF(AND($H29&lt;&gt;"",$H$32&lt;&gt;"",$H29&lt;&gt;$H$32,IFERROR(VLOOKUP($H29,areaCercaPuntiClassificaSquadra,3,FALSE()),-1)=IFERROR(VLOOKUP($H$32,areaCercaPuntiClassificaSquadra,3,FALSE()),-2)),SUMIFS('Calendario C'!$P$8:$P$110,'Calendario C'!$M$8:$M$110,$H29,'Calendario C'!$T$8:$T$110,$H$32)+SUMIFS('Calendario C'!$W$8:$W$110,'Calendario C'!$T$8:$T$110,$H29,'Calendario C'!$M$8:$M$110,$H$32)+SUMIFS('Calendario C'!$O$8:$O$110,'Calendario C'!$M$8:$M$110,$H29,'Calendario C'!$T$8:$T$110,$H$32)+SUMIFS('Calendario C'!$V$8:$V$110,'Calendario C'!$T$8:$T$110,$H29,'Calendario C'!$M$8:$M$110,$H$32),"-")</f>
        <v>-</v>
      </c>
      <c r="AM29" s="14" t="str">
        <f aca="false">IF(AND($H29&lt;&gt;"",$H$33&lt;&gt;"",$H29&lt;&gt;$H$33,IFERROR(VLOOKUP($H29,areaCercaPuntiClassificaSquadra,3,FALSE()),-1)=IFERROR(VLOOKUP($H$33,areaCercaPuntiClassificaSquadra,3,FALSE()),-2)),SUMIFS('Calendario C'!$P$8:$P$110,'Calendario C'!$M$8:$M$110,$H29,'Calendario C'!$T$8:$T$110,$H$33)+SUMIFS('Calendario C'!$W$8:$W$110,'Calendario C'!$T$8:$T$110,$H29,'Calendario C'!$M$8:$M$110,$H$33)+SUMIFS('Calendario C'!$O$8:$O$110,'Calendario C'!$M$8:$M$110,$H29,'Calendario C'!$T$8:$T$110,$H$33)+SUMIFS('Calendario C'!$V$8:$V$110,'Calendario C'!$T$8:$T$110,$H29,'Calendario C'!$M$8:$M$110,$H$33),"-")</f>
        <v>-</v>
      </c>
      <c r="AN29" s="14" t="str">
        <f aca="false">IF(AND($H29&lt;&gt;"",$H$34&lt;&gt;"",$H29&lt;&gt;$H$34,IFERROR(VLOOKUP($H29,areaCercaPuntiClassificaSquadra,3,FALSE()),-1)=IFERROR(VLOOKUP($H$34,areaCercaPuntiClassificaSquadra,3,FALSE()),-2)),SUMIFS('Calendario C'!$P$8:$P$110,'Calendario C'!$M$8:$M$110,$H29,'Calendario C'!$T$8:$T$110,$H$34)+SUMIFS('Calendario C'!$W$8:$W$110,'Calendario C'!$T$8:$T$110,$H29,'Calendario C'!$M$8:$M$110,$H$34)+SUMIFS('Calendario C'!$O$8:$O$110,'Calendario C'!$M$8:$M$110,$H29,'Calendario C'!$T$8:$T$110,$H$34)+SUMIFS('Calendario C'!$V$8:$V$110,'Calendario C'!$T$8:$T$110,$H29,'Calendario C'!$M$8:$M$110,$H$34),"-")</f>
        <v>-</v>
      </c>
      <c r="AO29" s="14" t="str">
        <f aca="false">IF(AND($H29&lt;&gt;"",$H$35&lt;&gt;"",$H29&lt;&gt;$H$35,IFERROR(VLOOKUP($H29,areaCercaPuntiClassificaSquadra,3,FALSE()),-1)=IFERROR(VLOOKUP($H$35,areaCercaPuntiClassificaSquadra,3,FALSE()),-2)),SUMIFS('Calendario C'!$P$8:$P$110,'Calendario C'!$M$8:$M$110,$H29,'Calendario C'!$T$8:$T$110,$H$35)+SUMIFS('Calendario C'!$W$8:$W$110,'Calendario C'!$T$8:$T$110,$H29,'Calendario C'!$M$8:$M$110,$H$35)+SUMIFS('Calendario C'!$O$8:$O$110,'Calendario C'!$M$8:$M$110,$H29,'Calendario C'!$T$8:$T$110,$H$35)+SUMIFS('Calendario C'!$V$8:$V$110,'Calendario C'!$T$8:$T$110,$H29,'Calendario C'!$M$8:$M$110,$H$35),"-")</f>
        <v>-</v>
      </c>
      <c r="AP29" s="13" t="str">
        <f aca="false">$C29</f>
        <v>Upupe Umoristiche-Upupeopoli UE</v>
      </c>
      <c r="AQ29" s="14" t="str">
        <f aca="false">IF(AND($H29&lt;&gt;"",$H$28&lt;&gt;"",$H29&lt;&gt;$H$28,IFERROR(VLOOKUP($H29,areaCercaPuntiClassificaSquadra,3,FALSE()),-1)=IFERROR(VLOOKUP($H$28,areaCercaPuntiClassificaSquadra,3,FALSE()),-2)),SUMIFS('Calendario C'!$Q$8:$Q$110,'Calendario C'!$M$8:$M$110,$H29,'Calendario C'!$T$8:$T$110,$H$28)+SUMIFS('Calendario C'!$X$8:$X$110,'Calendario C'!$T$8:$T$110,$H29,'Calendario C'!$M$8:$M$110,$H$28),"-")</f>
        <v>-</v>
      </c>
      <c r="AR29" s="14" t="str">
        <f aca="false">IF(AND($H29&lt;&gt;"",$H$29&lt;&gt;"",$H29&lt;&gt;$H$29,IFERROR(VLOOKUP($H29,areaCercaPuntiClassificaSquadra,3,FALSE()),-1)=IFERROR(VLOOKUP($H$29,areaCercaPuntiClassificaSquadra,3,FALSE()),-2)),SUMIFS('Calendario C'!$Q$8:$Q$110,'Calendario C'!$M$8:$M$110,$H29,'Calendario C'!$T$8:$T$110,$H$29)+SUMIFS('Calendario C'!$X$8:$X$110,'Calendario C'!$T$8:$T$110,$H29,'Calendario C'!$M$8:$M$110,$H$29),"-")</f>
        <v>-</v>
      </c>
      <c r="AS29" s="14" t="str">
        <f aca="false">IF(AND($H29&lt;&gt;"",$H$30&lt;&gt;"",$H29&lt;&gt;$H$30,IFERROR(VLOOKUP($H29,areaCercaPuntiClassificaSquadra,3,FALSE()),-1)=IFERROR(VLOOKUP($H$30,areaCercaPuntiClassificaSquadra,3,FALSE()),-2)),SUMIFS('Calendario C'!$Q$8:$Q$110,'Calendario C'!$M$8:$M$110,$H29,'Calendario C'!$T$8:$T$110,$H$30)+SUMIFS('Calendario C'!$X$8:$X$110,'Calendario C'!$T$8:$T$110,$H29,'Calendario C'!$M$8:$M$110,$H$30),"-")</f>
        <v>-</v>
      </c>
      <c r="AT29" s="14" t="str">
        <f aca="false">IF(AND($H29&lt;&gt;"",$H$31&lt;&gt;"",$H29&lt;&gt;$H$31,IFERROR(VLOOKUP($H29,areaCercaPuntiClassificaSquadra,3,FALSE()),-1)=IFERROR(VLOOKUP($H$31,areaCercaPuntiClassificaSquadra,3,FALSE()),-2)),SUMIFS('Calendario C'!$Q$8:$Q$110,'Calendario C'!$M$8:$M$110,$H29,'Calendario C'!$T$8:$T$110,$H$31)+SUMIFS('Calendario C'!$X$8:$X$110,'Calendario C'!$T$8:$T$110,$H29,'Calendario C'!$M$8:$M$110,$H$31),"-")</f>
        <v>-</v>
      </c>
      <c r="AU29" s="14" t="str">
        <f aca="false">IF(AND($H29&lt;&gt;"",$H$32&lt;&gt;"",$H29&lt;&gt;$H$32,IFERROR(VLOOKUP($H29,areaCercaPuntiClassificaSquadra,3,FALSE()),-1)=IFERROR(VLOOKUP($H$32,areaCercaPuntiClassificaSquadra,3,FALSE()),-2)),SUMIFS('Calendario C'!$Q$8:$Q$110,'Calendario C'!$M$8:$M$110,$H29,'Calendario C'!$T$8:$T$110,$H$32)+SUMIFS('Calendario C'!$X$8:$X$110,'Calendario C'!$T$8:$T$110,$H29,'Calendario C'!$M$8:$M$110,$H$32),"-")</f>
        <v>-</v>
      </c>
      <c r="AV29" s="14" t="str">
        <f aca="false">IF(AND($H29&lt;&gt;"",$H$33&lt;&gt;"",$H29&lt;&gt;$H$33,IFERROR(VLOOKUP($H29,areaCercaPuntiClassificaSquadra,3,FALSE()),-1)=IFERROR(VLOOKUP($H$33,areaCercaPuntiClassificaSquadra,3,FALSE()),-2)),SUMIFS('Calendario C'!$Q$8:$Q$110,'Calendario C'!$M$8:$M$110,$H29,'Calendario C'!$T$8:$T$110,$H$33)+SUMIFS('Calendario C'!$X$8:$X$110,'Calendario C'!$T$8:$T$110,$H29,'Calendario C'!$M$8:$M$110,$H$33),"-")</f>
        <v>-</v>
      </c>
      <c r="AW29" s="14" t="str">
        <f aca="false">IF(AND($H29&lt;&gt;"",$H$34&lt;&gt;"",$H29&lt;&gt;$H$34,IFERROR(VLOOKUP($H29,areaCercaPuntiClassificaSquadra,3,FALSE()),-1)=IFERROR(VLOOKUP($H$34,areaCercaPuntiClassificaSquadra,3,FALSE()),-2)),SUMIFS('Calendario C'!$Q$8:$Q$110,'Calendario C'!$M$8:$M$110,$H29,'Calendario C'!$T$8:$T$110,$H$34)+SUMIFS('Calendario C'!$X$8:$X$110,'Calendario C'!$T$8:$T$110,$H29,'Calendario C'!$M$8:$M$110,$H$34),"-")</f>
        <v>-</v>
      </c>
      <c r="AX29" s="14" t="str">
        <f aca="false">IF(AND($H29&lt;&gt;"",$H$35&lt;&gt;"",$H29&lt;&gt;$H$35,IFERROR(VLOOKUP($H29,areaCercaPuntiClassificaSquadra,3,FALSE()),-1)=IFERROR(VLOOKUP($H$35,areaCercaPuntiClassificaSquadra,3,FALSE()),-2)),SUMIFS('Calendario C'!$Q$8:$Q$110,'Calendario C'!$M$8:$M$110,$H29,'Calendario C'!$T$8:$T$110,$H$35)+SUMIFS('Calendario C'!$X$8:$X$110,'Calendario C'!$T$8:$T$110,$H29,'Calendario C'!$M$8:$M$110,$H$35),"-")</f>
        <v>-</v>
      </c>
      <c r="AY29" s="13" t="str">
        <f aca="false">$C29</f>
        <v>Upupe Umoristiche-Upupeopoli UE</v>
      </c>
      <c r="AZ29" s="14" t="str">
        <f aca="false">IF(AND($H29&lt;&gt;"",$H$28&lt;&gt;"",$H29&lt;&gt;$H$28,IFERROR(VLOOKUP($H29,areaCercaPuntiClassificaSquadra,3,FALSE()),-1)=IFERROR(VLOOKUP($H$28,areaCercaPuntiClassificaSquadra,3,FALSE()),-2)),SUMIFS('Calendario C'!$R$8:$R$110,'Calendario C'!$M$8:$M$110,$H29,'Calendario C'!$T$8:$T$110,$H$28)+SUMIFS('Calendario C'!$Y$8:$Y$110,'Calendario C'!$T$8:$T$110,$H29,'Calendario C'!$M$8:$M$110,$H$28),"-")</f>
        <v>-</v>
      </c>
      <c r="BA29" s="14" t="str">
        <f aca="false">IF(AND($H29&lt;&gt;"",$H$29&lt;&gt;"",$H29&lt;&gt;$H$29,IFERROR(VLOOKUP($H29,areaCercaPuntiClassificaSquadra,3,FALSE()),-1)=IFERROR(VLOOKUP($H$29,areaCercaPuntiClassificaSquadra,3,FALSE()),-2)),SUMIFS('Calendario C'!$R$8:$R$110,'Calendario C'!$M$8:$M$110,$H29,'Calendario C'!$T$8:$T$110,$H$29)+SUMIFS('Calendario C'!$Y$8:$Y$110,'Calendario C'!$T$8:$T$110,$H29,'Calendario C'!$M$8:$M$110,$H$29),"-")</f>
        <v>-</v>
      </c>
      <c r="BB29" s="14" t="str">
        <f aca="false">IF(AND($H29&lt;&gt;"",$H$30&lt;&gt;"",$H29&lt;&gt;$H$30,IFERROR(VLOOKUP($H29,areaCercaPuntiClassificaSquadra,3,FALSE()),-1)=IFERROR(VLOOKUP($H$30,areaCercaPuntiClassificaSquadra,3,FALSE()),-2)),SUMIFS('Calendario C'!$R$8:$R$110,'Calendario C'!$M$8:$M$110,$H29,'Calendario C'!$T$8:$T$110,$H$30)+SUMIFS('Calendario C'!$Y$8:$Y$110,'Calendario C'!$T$8:$T$110,$H29,'Calendario C'!$M$8:$M$110,$H$30),"-")</f>
        <v>-</v>
      </c>
      <c r="BC29" s="14" t="str">
        <f aca="false">IF(AND($H29&lt;&gt;"",$H$31&lt;&gt;"",$H29&lt;&gt;$H$31,IFERROR(VLOOKUP($H29,areaCercaPuntiClassificaSquadra,3,FALSE()),-1)=IFERROR(VLOOKUP($H$31,areaCercaPuntiClassificaSquadra,3,FALSE()),-2)),SUMIFS('Calendario C'!$R$8:$R$110,'Calendario C'!$M$8:$M$110,$H29,'Calendario C'!$T$8:$T$110,$H$31)+SUMIFS('Calendario C'!$Y$8:$Y$110,'Calendario C'!$T$8:$T$110,$H29,'Calendario C'!$M$8:$M$110,$H$31),"-")</f>
        <v>-</v>
      </c>
      <c r="BD29" s="14" t="str">
        <f aca="false">IF(AND($H29&lt;&gt;"",$H$32&lt;&gt;"",$H29&lt;&gt;$H$32,IFERROR(VLOOKUP($H29,areaCercaPuntiClassificaSquadra,3,FALSE()),-1)=IFERROR(VLOOKUP($H$32,areaCercaPuntiClassificaSquadra,3,FALSE()),-2)),SUMIFS('Calendario C'!$R$8:$R$110,'Calendario C'!$M$8:$M$110,$H29,'Calendario C'!$T$8:$T$110,$H$32)+SUMIFS('Calendario C'!$Y$8:$Y$110,'Calendario C'!$T$8:$T$110,$H29,'Calendario C'!$M$8:$M$110,$H$32),"-")</f>
        <v>-</v>
      </c>
      <c r="BE29" s="14" t="str">
        <f aca="false">IF(AND($H29&lt;&gt;"",$H$33&lt;&gt;"",$H29&lt;&gt;$H$33,IFERROR(VLOOKUP($H29,areaCercaPuntiClassificaSquadra,3,FALSE()),-1)=IFERROR(VLOOKUP($H$33,areaCercaPuntiClassificaSquadra,3,FALSE()),-2)),SUMIFS('Calendario C'!$R$8:$R$110,'Calendario C'!$M$8:$M$110,$H29,'Calendario C'!$T$8:$T$110,$H$33)+SUMIFS('Calendario C'!$Y$8:$Y$110,'Calendario C'!$T$8:$T$110,$H29,'Calendario C'!$M$8:$M$110,$H$33),"-")</f>
        <v>-</v>
      </c>
      <c r="BF29" s="14" t="str">
        <f aca="false">IF(AND($H29&lt;&gt;"",$H$34&lt;&gt;"",$H29&lt;&gt;$H$34,IFERROR(VLOOKUP($H29,areaCercaPuntiClassificaSquadra,3,FALSE()),-1)=IFERROR(VLOOKUP($H$34,areaCercaPuntiClassificaSquadra,3,FALSE()),-2)),SUMIFS('Calendario C'!$R$8:$R$110,'Calendario C'!$M$8:$M$110,$H29,'Calendario C'!$T$8:$T$110,$H$34)+SUMIFS('Calendario C'!$Y$8:$Y$110,'Calendario C'!$T$8:$T$110,$H29,'Calendario C'!$M$8:$M$110,$H$34),"-")</f>
        <v>-</v>
      </c>
      <c r="BG29" s="14" t="str">
        <f aca="false">IF(AND($H29&lt;&gt;"",$H$35&lt;&gt;"",$H29&lt;&gt;$H$35,IFERROR(VLOOKUP($H29,areaCercaPuntiClassificaSquadra,3,FALSE()),-1)=IFERROR(VLOOKUP($H$35,areaCercaPuntiClassificaSquadra,3,FALSE()),-2)),SUMIFS('Calendario C'!$R$8:$R$110,'Calendario C'!$M$8:$M$110,$H29,'Calendario C'!$T$8:$T$110,$H$35)+SUMIFS('Calendario C'!$Y$8:$Y$110,'Calendario C'!$T$8:$T$110,$H29,'Calendario C'!$M$8:$M$110,$H$35),"-")</f>
        <v>-</v>
      </c>
    </row>
    <row r="30" customFormat="false" ht="15" hidden="false" customHeight="false" outlineLevel="0" collapsed="false">
      <c r="B30" s="7" t="s">
        <v>86</v>
      </c>
      <c r="C30" s="8" t="s">
        <v>87</v>
      </c>
      <c r="D30" s="9"/>
      <c r="E30" s="17" t="s">
        <v>83</v>
      </c>
      <c r="G30" s="18" t="str">
        <f aca="false">IF($C30="","",$E30&amp;(COUNTIFS(I$12:I$75,"&gt;"&amp;I30,E$12:E$75,"="&amp;E30,C$12:C$75,"&lt;&gt;")+COUNTIFS(I$12:I$75,"="&amp;I30,H$12:H$75,"&lt;="&amp;H30,E$12:E$75,"="&amp;E30,C$12:C$75,"&lt;&gt;")))</f>
        <v>C8</v>
      </c>
      <c r="H30" s="12" t="str">
        <f aca="false">IF($C30="","",IFERROR(LEFT($C30,FIND("-",$C30)-1),$C30))</f>
        <v>Vipere Vivaci</v>
      </c>
      <c r="I30" s="7" t="str">
        <f aca="false">TEXT(1000000000+J30,"|0000000000|")&amp;TEXT(SUM(Y30:AF30),"0000000000|")&amp;IF(SUM(AZ30:BG30)=0,"0000000000|",TEXT(ROUND(SUM(AQ30:AX30)/SUM(AZ30:BG30),4)*100000,"0000000000|"))&amp;IF(P30=0,"0000000000|",TEXT(ROUND(O30/P30,4)*100000,"0000000000|"))</f>
        <v>|1000000009|0000000000|0000092750|0000075830|</v>
      </c>
      <c r="J30" s="18" t="n">
        <f aca="false">L30*constPuntiVittoria+M30*constPuntiSconfitta+N30*constPuntiForfait+IF(D30="",0,D30)</f>
        <v>9</v>
      </c>
      <c r="K30" s="7" t="n">
        <f aca="false">SUM(L30:N30)</f>
        <v>7</v>
      </c>
      <c r="L30" s="7" t="n">
        <f aca="false">IF($H30="",0,SUMIF('Calendario C'!$M$8:$M$110,$H30,'Calendario C'!$N$8:$N$110)+SUMIF('Calendario C'!$T$8:$T$110,$H30,'Calendario C'!$U$8:$U$110))</f>
        <v>1</v>
      </c>
      <c r="M30" s="7" t="n">
        <f aca="false">IF($H30="",0,SUMIF('Calendario C'!$M$8:$M$110,$H30,'Calendario C'!$P$8:$P$110)+SUMIF('Calendario C'!$T$8:$T$110,$H30,'Calendario C'!$W$8:$W$110))</f>
        <v>6</v>
      </c>
      <c r="N30" s="7" t="n">
        <f aca="false">IF($H30="",0,SUMIF('Calendario C'!$M$8:$M$110,$H30,'Calendario C'!$O$8:$O$110)+SUMIF('Calendario C'!$T$8:$T$110,$H30,'Calendario C'!$V$8:$V$110))</f>
        <v>0</v>
      </c>
      <c r="O30" s="7" t="n">
        <f aca="false">IF($H30="",0,SUMIF('Calendario C'!$M$8:$M$110,$H30,'Calendario C'!$Q$8:$Q$110)+SUMIF('Calendario C'!$T$8:$T$110,$H30,'Calendario C'!$X$8:$X$110))</f>
        <v>386</v>
      </c>
      <c r="P30" s="7" t="n">
        <f aca="false">IF($H30="",0,SUMIF('Calendario C'!$M$8:$M$110,$H30,'Calendario C'!$R$8:$R$110)+SUMIF('Calendario C'!$T$8:$T$110,$H30,'Calendario C'!$Y$8:$Y$110))</f>
        <v>509</v>
      </c>
      <c r="Q30" s="7" t="n">
        <f aca="false">IF($H30="",0,SUMIF('Calendario C'!$M$8:$M$110,$H30,'Calendario C'!$S$8:$S$110)+SUMIF('Calendario C'!$T$8:$T$110,$H30,'Calendario C'!$Z$8:$Z$110))</f>
        <v>-123</v>
      </c>
      <c r="R30" s="7" t="n">
        <f aca="false">IF(K30=0,0,ROUND(O30/K30,2))</f>
        <v>55.14</v>
      </c>
      <c r="S30" s="7" t="n">
        <f aca="false">IF(K30=0,0,ROUND(P30/K30,2))</f>
        <v>72.71</v>
      </c>
      <c r="T30" s="7" t="n">
        <f aca="false">IF(K30=0,0,ROUND(Q30/K30,2))</f>
        <v>-17.57</v>
      </c>
      <c r="U30" s="7" t="str">
        <f aca="false">IF(COUNT(Y30:AF30)=0,"-",SUM(Y30:AF30)&amp;"-"&amp;SUM(AH30:AO30))</f>
        <v>0-1</v>
      </c>
      <c r="V30" s="7" t="str">
        <f aca="false">IF(COUNT(Y30:AF30)=0,"-",IF(SUM(AZ30:BG30)=0,TEXT(0,"0.0000"),TEXT(ROUND(SUM(AQ30:AX30)/SUM(AZ30:BG30),4),"0.0000")))</f>
        <v>0.9275</v>
      </c>
      <c r="W30" s="7" t="str">
        <f aca="false">IF(H30="","-",IF(P30=0,TEXT(0,"0.0000"),TEXT(ROUND(O30/P30,4),"0.0000")))</f>
        <v>0.7583</v>
      </c>
      <c r="X30" s="13" t="str">
        <f aca="false">$C30</f>
        <v>Vipere Vivaci-Vipereopoli VE</v>
      </c>
      <c r="Y30" s="14" t="str">
        <f aca="false">IF(AND($H30&lt;&gt;"",$H$28&lt;&gt;"",$H30&lt;&gt;$H$28,IFERROR(VLOOKUP($H30,areaCercaPuntiClassificaSquadra,3,FALSE()),-1)=IFERROR(VLOOKUP($H$28,areaCercaPuntiClassificaSquadra,3,FALSE()),-2)),SUMIFS('Calendario C'!$N$8:$N$110,'Calendario C'!$M$8:$M$110,$H30,'Calendario C'!$T$8:$T$110,$H$28)+SUMIFS('Calendario C'!$U$8:$U$110,'Calendario C'!$T$8:$T$110,$H30,'Calendario C'!$M$8:$M$110,$H$28),"-")</f>
        <v>-</v>
      </c>
      <c r="Z30" s="14" t="str">
        <f aca="false">IF(AND($H30&lt;&gt;"",$H$29&lt;&gt;"",$H30&lt;&gt;$H$29,IFERROR(VLOOKUP($H30,areaCercaPuntiClassificaSquadra,3,FALSE()),-1)=IFERROR(VLOOKUP($H$29,areaCercaPuntiClassificaSquadra,3,FALSE()),-2)),SUMIFS('Calendario C'!$N$8:$N$110,'Calendario C'!$M$8:$M$110,$H30,'Calendario C'!$T$8:$T$110,$H$29)+SUMIFS('Calendario C'!$U$8:$U$110,'Calendario C'!$T$8:$T$110,$H30,'Calendario C'!$M$8:$M$110,$H$29),"-")</f>
        <v>-</v>
      </c>
      <c r="AA30" s="14" t="str">
        <f aca="false">IF(AND($H30&lt;&gt;"",$H$30&lt;&gt;"",$H30&lt;&gt;$H$30,IFERROR(VLOOKUP($H30,areaCercaPuntiClassificaSquadra,3,FALSE()),-1)=IFERROR(VLOOKUP($H$30,areaCercaPuntiClassificaSquadra,3,FALSE()),-2)),SUMIFS('Calendario C'!$N$8:$N$110,'Calendario C'!$M$8:$M$110,$H30,'Calendario C'!$T$8:$T$110,$H$30)+SUMIFS('Calendario C'!$U$8:$U$110,'Calendario C'!$T$8:$T$110,$H30,'Calendario C'!$M$8:$M$110,$H$30),"-")</f>
        <v>-</v>
      </c>
      <c r="AB30" s="14" t="str">
        <f aca="false">IF(AND($H30&lt;&gt;"",$H$31&lt;&gt;"",$H30&lt;&gt;$H$31,IFERROR(VLOOKUP($H30,areaCercaPuntiClassificaSquadra,3,FALSE()),-1)=IFERROR(VLOOKUP($H$31,areaCercaPuntiClassificaSquadra,3,FALSE()),-2)),SUMIFS('Calendario C'!$N$8:$N$110,'Calendario C'!$M$8:$M$110,$H30,'Calendario C'!$T$8:$T$110,$H$31)+SUMIFS('Calendario C'!$U$8:$U$110,'Calendario C'!$T$8:$T$110,$H30,'Calendario C'!$M$8:$M$110,$H$31),"-")</f>
        <v>-</v>
      </c>
      <c r="AC30" s="14" t="str">
        <f aca="false">IF(AND($H30&lt;&gt;"",$H$32&lt;&gt;"",$H30&lt;&gt;$H$32,IFERROR(VLOOKUP($H30,areaCercaPuntiClassificaSquadra,3,FALSE()),-1)=IFERROR(VLOOKUP($H$32,areaCercaPuntiClassificaSquadra,3,FALSE()),-2)),SUMIFS('Calendario C'!$N$8:$N$110,'Calendario C'!$M$8:$M$110,$H30,'Calendario C'!$T$8:$T$110,$H$32)+SUMIFS('Calendario C'!$U$8:$U$110,'Calendario C'!$T$8:$T$110,$H30,'Calendario C'!$M$8:$M$110,$H$32),"-")</f>
        <v>-</v>
      </c>
      <c r="AD30" s="14" t="str">
        <f aca="false">IF(AND($H30&lt;&gt;"",$H$33&lt;&gt;"",$H30&lt;&gt;$H$33,IFERROR(VLOOKUP($H30,areaCercaPuntiClassificaSquadra,3,FALSE()),-1)=IFERROR(VLOOKUP($H$33,areaCercaPuntiClassificaSquadra,3,FALSE()),-2)),SUMIFS('Calendario C'!$N$8:$N$110,'Calendario C'!$M$8:$M$110,$H30,'Calendario C'!$T$8:$T$110,$H$33)+SUMIFS('Calendario C'!$U$8:$U$110,'Calendario C'!$T$8:$T$110,$H30,'Calendario C'!$M$8:$M$110,$H$33),"-")</f>
        <v>-</v>
      </c>
      <c r="AE30" s="14" t="str">
        <f aca="false">IF(AND($H30&lt;&gt;"",$H$34&lt;&gt;"",$H30&lt;&gt;$H$34,IFERROR(VLOOKUP($H30,areaCercaPuntiClassificaSquadra,3,FALSE()),-1)=IFERROR(VLOOKUP($H$34,areaCercaPuntiClassificaSquadra,3,FALSE()),-2)),SUMIFS('Calendario C'!$N$8:$N$110,'Calendario C'!$M$8:$M$110,$H30,'Calendario C'!$T$8:$T$110,$H$34)+SUMIFS('Calendario C'!$U$8:$U$110,'Calendario C'!$T$8:$T$110,$H30,'Calendario C'!$M$8:$M$110,$H$34),"-")</f>
        <v>-</v>
      </c>
      <c r="AF30" s="14" t="n">
        <f aca="false">IF(AND($H30&lt;&gt;"",$H$35&lt;&gt;"",$H30&lt;&gt;$H$35,IFERROR(VLOOKUP($H30,areaCercaPuntiClassificaSquadra,3,FALSE()),-1)=IFERROR(VLOOKUP($H$35,areaCercaPuntiClassificaSquadra,3,FALSE()),-2)),SUMIFS('Calendario C'!$N$8:$N$110,'Calendario C'!$M$8:$M$110,$H30,'Calendario C'!$T$8:$T$110,$H$35)+SUMIFS('Calendario C'!$U$8:$U$110,'Calendario C'!$T$8:$T$110,$H30,'Calendario C'!$M$8:$M$110,$H$35),"-")</f>
        <v>0</v>
      </c>
      <c r="AG30" s="13" t="str">
        <f aca="false">$C30</f>
        <v>Vipere Vivaci-Vipereopoli VE</v>
      </c>
      <c r="AH30" s="14" t="str">
        <f aca="false">IF(AND($H30&lt;&gt;"",$H$28&lt;&gt;"",$H30&lt;&gt;$H$28,IFERROR(VLOOKUP($H30,areaCercaPuntiClassificaSquadra,3,FALSE()),-1)=IFERROR(VLOOKUP($H$28,areaCercaPuntiClassificaSquadra,3,FALSE()),-2)),SUMIFS('Calendario C'!$P$8:$P$110,'Calendario C'!$M$8:$M$110,$H30,'Calendario C'!$T$8:$T$110,$H$28)+SUMIFS('Calendario C'!$W$8:$W$110,'Calendario C'!$T$8:$T$110,$H30,'Calendario C'!$M$8:$M$110,$H$28)+SUMIFS('Calendario C'!$O$8:$O$110,'Calendario C'!$M$8:$M$110,$H30,'Calendario C'!$T$8:$T$110,$H$28)+SUMIFS('Calendario C'!$V$8:$V$110,'Calendario C'!$T$8:$T$110,$H30,'Calendario C'!$M$8:$M$110,$H$28),"-")</f>
        <v>-</v>
      </c>
      <c r="AI30" s="14" t="str">
        <f aca="false">IF(AND($H30&lt;&gt;"",$H$29&lt;&gt;"",$H30&lt;&gt;$H$29,IFERROR(VLOOKUP($H30,areaCercaPuntiClassificaSquadra,3,FALSE()),-1)=IFERROR(VLOOKUP($H$29,areaCercaPuntiClassificaSquadra,3,FALSE()),-2)),SUMIFS('Calendario C'!$P$8:$P$110,'Calendario C'!$M$8:$M$110,$H30,'Calendario C'!$T$8:$T$110,$H$29)+SUMIFS('Calendario C'!$W$8:$W$110,'Calendario C'!$T$8:$T$110,$H30,'Calendario C'!$M$8:$M$110,$H$29)+SUMIFS('Calendario C'!$O$8:$O$110,'Calendario C'!$M$8:$M$110,$H30,'Calendario C'!$T$8:$T$110,$H$29)+SUMIFS('Calendario C'!$V$8:$V$110,'Calendario C'!$T$8:$T$110,$H30,'Calendario C'!$M$8:$M$110,$H$29),"-")</f>
        <v>-</v>
      </c>
      <c r="AJ30" s="14" t="str">
        <f aca="false">IF(AND($H30&lt;&gt;"",$H$30&lt;&gt;"",$H30&lt;&gt;$H$30,IFERROR(VLOOKUP($H30,areaCercaPuntiClassificaSquadra,3,FALSE()),-1)=IFERROR(VLOOKUP($H$30,areaCercaPuntiClassificaSquadra,3,FALSE()),-2)),SUMIFS('Calendario C'!$P$8:$P$110,'Calendario C'!$M$8:$M$110,$H30,'Calendario C'!$T$8:$T$110,$H$30)+SUMIFS('Calendario C'!$W$8:$W$110,'Calendario C'!$T$8:$T$110,$H30,'Calendario C'!$M$8:$M$110,$H$30)+SUMIFS('Calendario C'!$O$8:$O$110,'Calendario C'!$M$8:$M$110,$H30,'Calendario C'!$T$8:$T$110,$H$30)+SUMIFS('Calendario C'!$V$8:$V$110,'Calendario C'!$T$8:$T$110,$H30,'Calendario C'!$M$8:$M$110,$H$30),"-")</f>
        <v>-</v>
      </c>
      <c r="AK30" s="14" t="str">
        <f aca="false">IF(AND($H30&lt;&gt;"",$H$31&lt;&gt;"",$H30&lt;&gt;$H$31,IFERROR(VLOOKUP($H30,areaCercaPuntiClassificaSquadra,3,FALSE()),-1)=IFERROR(VLOOKUP($H$31,areaCercaPuntiClassificaSquadra,3,FALSE()),-2)),SUMIFS('Calendario C'!$P$8:$P$110,'Calendario C'!$M$8:$M$110,$H30,'Calendario C'!$T$8:$T$110,$H$31)+SUMIFS('Calendario C'!$W$8:$W$110,'Calendario C'!$T$8:$T$110,$H30,'Calendario C'!$M$8:$M$110,$H$31)+SUMIFS('Calendario C'!$O$8:$O$110,'Calendario C'!$M$8:$M$110,$H30,'Calendario C'!$T$8:$T$110,$H$31)+SUMIFS('Calendario C'!$V$8:$V$110,'Calendario C'!$T$8:$T$110,$H30,'Calendario C'!$M$8:$M$110,$H$31),"-")</f>
        <v>-</v>
      </c>
      <c r="AL30" s="14" t="str">
        <f aca="false">IF(AND($H30&lt;&gt;"",$H$32&lt;&gt;"",$H30&lt;&gt;$H$32,IFERROR(VLOOKUP($H30,areaCercaPuntiClassificaSquadra,3,FALSE()),-1)=IFERROR(VLOOKUP($H$32,areaCercaPuntiClassificaSquadra,3,FALSE()),-2)),SUMIFS('Calendario C'!$P$8:$P$110,'Calendario C'!$M$8:$M$110,$H30,'Calendario C'!$T$8:$T$110,$H$32)+SUMIFS('Calendario C'!$W$8:$W$110,'Calendario C'!$T$8:$T$110,$H30,'Calendario C'!$M$8:$M$110,$H$32)+SUMIFS('Calendario C'!$O$8:$O$110,'Calendario C'!$M$8:$M$110,$H30,'Calendario C'!$T$8:$T$110,$H$32)+SUMIFS('Calendario C'!$V$8:$V$110,'Calendario C'!$T$8:$T$110,$H30,'Calendario C'!$M$8:$M$110,$H$32),"-")</f>
        <v>-</v>
      </c>
      <c r="AM30" s="14" t="str">
        <f aca="false">IF(AND($H30&lt;&gt;"",$H$33&lt;&gt;"",$H30&lt;&gt;$H$33,IFERROR(VLOOKUP($H30,areaCercaPuntiClassificaSquadra,3,FALSE()),-1)=IFERROR(VLOOKUP($H$33,areaCercaPuntiClassificaSquadra,3,FALSE()),-2)),SUMIFS('Calendario C'!$P$8:$P$110,'Calendario C'!$M$8:$M$110,$H30,'Calendario C'!$T$8:$T$110,$H$33)+SUMIFS('Calendario C'!$W$8:$W$110,'Calendario C'!$T$8:$T$110,$H30,'Calendario C'!$M$8:$M$110,$H$33)+SUMIFS('Calendario C'!$O$8:$O$110,'Calendario C'!$M$8:$M$110,$H30,'Calendario C'!$T$8:$T$110,$H$33)+SUMIFS('Calendario C'!$V$8:$V$110,'Calendario C'!$T$8:$T$110,$H30,'Calendario C'!$M$8:$M$110,$H$33),"-")</f>
        <v>-</v>
      </c>
      <c r="AN30" s="14" t="str">
        <f aca="false">IF(AND($H30&lt;&gt;"",$H$34&lt;&gt;"",$H30&lt;&gt;$H$34,IFERROR(VLOOKUP($H30,areaCercaPuntiClassificaSquadra,3,FALSE()),-1)=IFERROR(VLOOKUP($H$34,areaCercaPuntiClassificaSquadra,3,FALSE()),-2)),SUMIFS('Calendario C'!$P$8:$P$110,'Calendario C'!$M$8:$M$110,$H30,'Calendario C'!$T$8:$T$110,$H$34)+SUMIFS('Calendario C'!$W$8:$W$110,'Calendario C'!$T$8:$T$110,$H30,'Calendario C'!$M$8:$M$110,$H$34)+SUMIFS('Calendario C'!$O$8:$O$110,'Calendario C'!$M$8:$M$110,$H30,'Calendario C'!$T$8:$T$110,$H$34)+SUMIFS('Calendario C'!$V$8:$V$110,'Calendario C'!$T$8:$T$110,$H30,'Calendario C'!$M$8:$M$110,$H$34),"-")</f>
        <v>-</v>
      </c>
      <c r="AO30" s="14" t="n">
        <f aca="false">IF(AND($H30&lt;&gt;"",$H$35&lt;&gt;"",$H30&lt;&gt;$H$35,IFERROR(VLOOKUP($H30,areaCercaPuntiClassificaSquadra,3,FALSE()),-1)=IFERROR(VLOOKUP($H$35,areaCercaPuntiClassificaSquadra,3,FALSE()),-2)),SUMIFS('Calendario C'!$P$8:$P$110,'Calendario C'!$M$8:$M$110,$H30,'Calendario C'!$T$8:$T$110,$H$35)+SUMIFS('Calendario C'!$W$8:$W$110,'Calendario C'!$T$8:$T$110,$H30,'Calendario C'!$M$8:$M$110,$H$35)+SUMIFS('Calendario C'!$O$8:$O$110,'Calendario C'!$M$8:$M$110,$H30,'Calendario C'!$T$8:$T$110,$H$35)+SUMIFS('Calendario C'!$V$8:$V$110,'Calendario C'!$T$8:$T$110,$H30,'Calendario C'!$M$8:$M$110,$H$35),"-")</f>
        <v>1</v>
      </c>
      <c r="AP30" s="13" t="str">
        <f aca="false">$C30</f>
        <v>Vipere Vivaci-Vipereopoli VE</v>
      </c>
      <c r="AQ30" s="14" t="str">
        <f aca="false">IF(AND($H30&lt;&gt;"",$H$28&lt;&gt;"",$H30&lt;&gt;$H$28,IFERROR(VLOOKUP($H30,areaCercaPuntiClassificaSquadra,3,FALSE()),-1)=IFERROR(VLOOKUP($H$28,areaCercaPuntiClassificaSquadra,3,FALSE()),-2)),SUMIFS('Calendario C'!$Q$8:$Q$110,'Calendario C'!$M$8:$M$110,$H30,'Calendario C'!$T$8:$T$110,$H$28)+SUMIFS('Calendario C'!$X$8:$X$110,'Calendario C'!$T$8:$T$110,$H30,'Calendario C'!$M$8:$M$110,$H$28),"-")</f>
        <v>-</v>
      </c>
      <c r="AR30" s="14" t="str">
        <f aca="false">IF(AND($H30&lt;&gt;"",$H$29&lt;&gt;"",$H30&lt;&gt;$H$29,IFERROR(VLOOKUP($H30,areaCercaPuntiClassificaSquadra,3,FALSE()),-1)=IFERROR(VLOOKUP($H$29,areaCercaPuntiClassificaSquadra,3,FALSE()),-2)),SUMIFS('Calendario C'!$Q$8:$Q$110,'Calendario C'!$M$8:$M$110,$H30,'Calendario C'!$T$8:$T$110,$H$29)+SUMIFS('Calendario C'!$X$8:$X$110,'Calendario C'!$T$8:$T$110,$H30,'Calendario C'!$M$8:$M$110,$H$29),"-")</f>
        <v>-</v>
      </c>
      <c r="AS30" s="14" t="str">
        <f aca="false">IF(AND($H30&lt;&gt;"",$H$30&lt;&gt;"",$H30&lt;&gt;$H$30,IFERROR(VLOOKUP($H30,areaCercaPuntiClassificaSquadra,3,FALSE()),-1)=IFERROR(VLOOKUP($H$30,areaCercaPuntiClassificaSquadra,3,FALSE()),-2)),SUMIFS('Calendario C'!$Q$8:$Q$110,'Calendario C'!$M$8:$M$110,$H30,'Calendario C'!$T$8:$T$110,$H$30)+SUMIFS('Calendario C'!$X$8:$X$110,'Calendario C'!$T$8:$T$110,$H30,'Calendario C'!$M$8:$M$110,$H$30),"-")</f>
        <v>-</v>
      </c>
      <c r="AT30" s="14" t="str">
        <f aca="false">IF(AND($H30&lt;&gt;"",$H$31&lt;&gt;"",$H30&lt;&gt;$H$31,IFERROR(VLOOKUP($H30,areaCercaPuntiClassificaSquadra,3,FALSE()),-1)=IFERROR(VLOOKUP($H$31,areaCercaPuntiClassificaSquadra,3,FALSE()),-2)),SUMIFS('Calendario C'!$Q$8:$Q$110,'Calendario C'!$M$8:$M$110,$H30,'Calendario C'!$T$8:$T$110,$H$31)+SUMIFS('Calendario C'!$X$8:$X$110,'Calendario C'!$T$8:$T$110,$H30,'Calendario C'!$M$8:$M$110,$H$31),"-")</f>
        <v>-</v>
      </c>
      <c r="AU30" s="14" t="str">
        <f aca="false">IF(AND($H30&lt;&gt;"",$H$32&lt;&gt;"",$H30&lt;&gt;$H$32,IFERROR(VLOOKUP($H30,areaCercaPuntiClassificaSquadra,3,FALSE()),-1)=IFERROR(VLOOKUP($H$32,areaCercaPuntiClassificaSquadra,3,FALSE()),-2)),SUMIFS('Calendario C'!$Q$8:$Q$110,'Calendario C'!$M$8:$M$110,$H30,'Calendario C'!$T$8:$T$110,$H$32)+SUMIFS('Calendario C'!$X$8:$X$110,'Calendario C'!$T$8:$T$110,$H30,'Calendario C'!$M$8:$M$110,$H$32),"-")</f>
        <v>-</v>
      </c>
      <c r="AV30" s="14" t="str">
        <f aca="false">IF(AND($H30&lt;&gt;"",$H$33&lt;&gt;"",$H30&lt;&gt;$H$33,IFERROR(VLOOKUP($H30,areaCercaPuntiClassificaSquadra,3,FALSE()),-1)=IFERROR(VLOOKUP($H$33,areaCercaPuntiClassificaSquadra,3,FALSE()),-2)),SUMIFS('Calendario C'!$Q$8:$Q$110,'Calendario C'!$M$8:$M$110,$H30,'Calendario C'!$T$8:$T$110,$H$33)+SUMIFS('Calendario C'!$X$8:$X$110,'Calendario C'!$T$8:$T$110,$H30,'Calendario C'!$M$8:$M$110,$H$33),"-")</f>
        <v>-</v>
      </c>
      <c r="AW30" s="14" t="str">
        <f aca="false">IF(AND($H30&lt;&gt;"",$H$34&lt;&gt;"",$H30&lt;&gt;$H$34,IFERROR(VLOOKUP($H30,areaCercaPuntiClassificaSquadra,3,FALSE()),-1)=IFERROR(VLOOKUP($H$34,areaCercaPuntiClassificaSquadra,3,FALSE()),-2)),SUMIFS('Calendario C'!$Q$8:$Q$110,'Calendario C'!$M$8:$M$110,$H30,'Calendario C'!$T$8:$T$110,$H$34)+SUMIFS('Calendario C'!$X$8:$X$110,'Calendario C'!$T$8:$T$110,$H30,'Calendario C'!$M$8:$M$110,$H$34),"-")</f>
        <v>-</v>
      </c>
      <c r="AX30" s="14" t="n">
        <f aca="false">IF(AND($H30&lt;&gt;"",$H$35&lt;&gt;"",$H30&lt;&gt;$H$35,IFERROR(VLOOKUP($H30,areaCercaPuntiClassificaSquadra,3,FALSE()),-1)=IFERROR(VLOOKUP($H$35,areaCercaPuntiClassificaSquadra,3,FALSE()),-2)),SUMIFS('Calendario C'!$Q$8:$Q$110,'Calendario C'!$M$8:$M$110,$H30,'Calendario C'!$T$8:$T$110,$H$35)+SUMIFS('Calendario C'!$X$8:$X$110,'Calendario C'!$T$8:$T$110,$H30,'Calendario C'!$M$8:$M$110,$H$35),"-")</f>
        <v>64</v>
      </c>
      <c r="AY30" s="13" t="str">
        <f aca="false">$C30</f>
        <v>Vipere Vivaci-Vipereopoli VE</v>
      </c>
      <c r="AZ30" s="14" t="str">
        <f aca="false">IF(AND($H30&lt;&gt;"",$H$28&lt;&gt;"",$H30&lt;&gt;$H$28,IFERROR(VLOOKUP($H30,areaCercaPuntiClassificaSquadra,3,FALSE()),-1)=IFERROR(VLOOKUP($H$28,areaCercaPuntiClassificaSquadra,3,FALSE()),-2)),SUMIFS('Calendario C'!$R$8:$R$110,'Calendario C'!$M$8:$M$110,$H30,'Calendario C'!$T$8:$T$110,$H$28)+SUMIFS('Calendario C'!$Y$8:$Y$110,'Calendario C'!$T$8:$T$110,$H30,'Calendario C'!$M$8:$M$110,$H$28),"-")</f>
        <v>-</v>
      </c>
      <c r="BA30" s="14" t="str">
        <f aca="false">IF(AND($H30&lt;&gt;"",$H$29&lt;&gt;"",$H30&lt;&gt;$H$29,IFERROR(VLOOKUP($H30,areaCercaPuntiClassificaSquadra,3,FALSE()),-1)=IFERROR(VLOOKUP($H$29,areaCercaPuntiClassificaSquadra,3,FALSE()),-2)),SUMIFS('Calendario C'!$R$8:$R$110,'Calendario C'!$M$8:$M$110,$H30,'Calendario C'!$T$8:$T$110,$H$29)+SUMIFS('Calendario C'!$Y$8:$Y$110,'Calendario C'!$T$8:$T$110,$H30,'Calendario C'!$M$8:$M$110,$H$29),"-")</f>
        <v>-</v>
      </c>
      <c r="BB30" s="14" t="str">
        <f aca="false">IF(AND($H30&lt;&gt;"",$H$30&lt;&gt;"",$H30&lt;&gt;$H$30,IFERROR(VLOOKUP($H30,areaCercaPuntiClassificaSquadra,3,FALSE()),-1)=IFERROR(VLOOKUP($H$30,areaCercaPuntiClassificaSquadra,3,FALSE()),-2)),SUMIFS('Calendario C'!$R$8:$R$110,'Calendario C'!$M$8:$M$110,$H30,'Calendario C'!$T$8:$T$110,$H$30)+SUMIFS('Calendario C'!$Y$8:$Y$110,'Calendario C'!$T$8:$T$110,$H30,'Calendario C'!$M$8:$M$110,$H$30),"-")</f>
        <v>-</v>
      </c>
      <c r="BC30" s="14" t="str">
        <f aca="false">IF(AND($H30&lt;&gt;"",$H$31&lt;&gt;"",$H30&lt;&gt;$H$31,IFERROR(VLOOKUP($H30,areaCercaPuntiClassificaSquadra,3,FALSE()),-1)=IFERROR(VLOOKUP($H$31,areaCercaPuntiClassificaSquadra,3,FALSE()),-2)),SUMIFS('Calendario C'!$R$8:$R$110,'Calendario C'!$M$8:$M$110,$H30,'Calendario C'!$T$8:$T$110,$H$31)+SUMIFS('Calendario C'!$Y$8:$Y$110,'Calendario C'!$T$8:$T$110,$H30,'Calendario C'!$M$8:$M$110,$H$31),"-")</f>
        <v>-</v>
      </c>
      <c r="BD30" s="14" t="str">
        <f aca="false">IF(AND($H30&lt;&gt;"",$H$32&lt;&gt;"",$H30&lt;&gt;$H$32,IFERROR(VLOOKUP($H30,areaCercaPuntiClassificaSquadra,3,FALSE()),-1)=IFERROR(VLOOKUP($H$32,areaCercaPuntiClassificaSquadra,3,FALSE()),-2)),SUMIFS('Calendario C'!$R$8:$R$110,'Calendario C'!$M$8:$M$110,$H30,'Calendario C'!$T$8:$T$110,$H$32)+SUMIFS('Calendario C'!$Y$8:$Y$110,'Calendario C'!$T$8:$T$110,$H30,'Calendario C'!$M$8:$M$110,$H$32),"-")</f>
        <v>-</v>
      </c>
      <c r="BE30" s="14" t="str">
        <f aca="false">IF(AND($H30&lt;&gt;"",$H$33&lt;&gt;"",$H30&lt;&gt;$H$33,IFERROR(VLOOKUP($H30,areaCercaPuntiClassificaSquadra,3,FALSE()),-1)=IFERROR(VLOOKUP($H$33,areaCercaPuntiClassificaSquadra,3,FALSE()),-2)),SUMIFS('Calendario C'!$R$8:$R$110,'Calendario C'!$M$8:$M$110,$H30,'Calendario C'!$T$8:$T$110,$H$33)+SUMIFS('Calendario C'!$Y$8:$Y$110,'Calendario C'!$T$8:$T$110,$H30,'Calendario C'!$M$8:$M$110,$H$33),"-")</f>
        <v>-</v>
      </c>
      <c r="BF30" s="14" t="str">
        <f aca="false">IF(AND($H30&lt;&gt;"",$H$34&lt;&gt;"",$H30&lt;&gt;$H$34,IFERROR(VLOOKUP($H30,areaCercaPuntiClassificaSquadra,3,FALSE()),-1)=IFERROR(VLOOKUP($H$34,areaCercaPuntiClassificaSquadra,3,FALSE()),-2)),SUMIFS('Calendario C'!$R$8:$R$110,'Calendario C'!$M$8:$M$110,$H30,'Calendario C'!$T$8:$T$110,$H$34)+SUMIFS('Calendario C'!$Y$8:$Y$110,'Calendario C'!$T$8:$T$110,$H30,'Calendario C'!$M$8:$M$110,$H$34),"-")</f>
        <v>-</v>
      </c>
      <c r="BG30" s="14" t="n">
        <f aca="false">IF(AND($H30&lt;&gt;"",$H$35&lt;&gt;"",$H30&lt;&gt;$H$35,IFERROR(VLOOKUP($H30,areaCercaPuntiClassificaSquadra,3,FALSE()),-1)=IFERROR(VLOOKUP($H$35,areaCercaPuntiClassificaSquadra,3,FALSE()),-2)),SUMIFS('Calendario C'!$R$8:$R$110,'Calendario C'!$M$8:$M$110,$H30,'Calendario C'!$T$8:$T$110,$H$35)+SUMIFS('Calendario C'!$Y$8:$Y$110,'Calendario C'!$T$8:$T$110,$H30,'Calendario C'!$M$8:$M$110,$H$35),"-")</f>
        <v>69</v>
      </c>
    </row>
    <row r="31" customFormat="false" ht="15" hidden="false" customHeight="false" outlineLevel="0" collapsed="false">
      <c r="B31" s="7" t="s">
        <v>88</v>
      </c>
      <c r="C31" s="8" t="s">
        <v>89</v>
      </c>
      <c r="D31" s="9"/>
      <c r="E31" s="17" t="s">
        <v>83</v>
      </c>
      <c r="G31" s="18" t="str">
        <f aca="false">IF($C31="","",$E31&amp;(COUNTIFS(I$12:I$75,"&gt;"&amp;I31,E$12:E$75,"="&amp;E31,C$12:C$75,"&lt;&gt;")+COUNTIFS(I$12:I$75,"="&amp;I31,H$12:H$75,"&lt;="&amp;H31,E$12:E$75,"="&amp;E31,C$12:C$75,"&lt;&gt;")))</f>
        <v>C1</v>
      </c>
      <c r="H31" s="12" t="str">
        <f aca="false">IF($C31="","",IFERROR(LEFT($C31,FIND("-",$C31)-1),$C31))</f>
        <v>Zebre Zelanti</v>
      </c>
      <c r="I31" s="7" t="str">
        <f aca="false">TEXT(1000000000+J31,"|0000000000|")&amp;TEXT(SUM(Y31:AF31),"0000000000|")&amp;IF(SUM(AZ31:BG31)=0,"0000000000|",TEXT(ROUND(SUM(AQ31:AX31)/SUM(AZ31:BG31),4)*100000,"0000000000|"))&amp;IF(P31=0,"0000000000|",TEXT(ROUND(O31/P31,4)*100000,"0000000000|"))</f>
        <v>|1000000021|0000000000|0000000000|0000121950|</v>
      </c>
      <c r="J31" s="18" t="n">
        <f aca="false">L31*constPuntiVittoria+M31*constPuntiSconfitta+N31*constPuntiForfait+IF(D31="",0,D31)</f>
        <v>21</v>
      </c>
      <c r="K31" s="7" t="n">
        <f aca="false">SUM(L31:N31)</f>
        <v>7</v>
      </c>
      <c r="L31" s="7" t="n">
        <f aca="false">IF($H31="",0,SUMIF('Calendario C'!$M$8:$M$110,$H31,'Calendario C'!$N$8:$N$110)+SUMIF('Calendario C'!$T$8:$T$110,$H31,'Calendario C'!$U$8:$U$110))</f>
        <v>7</v>
      </c>
      <c r="M31" s="7" t="n">
        <f aca="false">IF($H31="",0,SUMIF('Calendario C'!$M$8:$M$110,$H31,'Calendario C'!$P$8:$P$110)+SUMIF('Calendario C'!$T$8:$T$110,$H31,'Calendario C'!$W$8:$W$110))</f>
        <v>0</v>
      </c>
      <c r="N31" s="7" t="n">
        <f aca="false">IF($H31="",0,SUMIF('Calendario C'!$M$8:$M$110,$H31,'Calendario C'!$O$8:$O$110)+SUMIF('Calendario C'!$T$8:$T$110,$H31,'Calendario C'!$V$8:$V$110))</f>
        <v>0</v>
      </c>
      <c r="O31" s="7" t="n">
        <f aca="false">IF($H31="",0,SUMIF('Calendario C'!$M$8:$M$110,$H31,'Calendario C'!$Q$8:$Q$110)+SUMIF('Calendario C'!$T$8:$T$110,$H31,'Calendario C'!$X$8:$X$110))</f>
        <v>500</v>
      </c>
      <c r="P31" s="7" t="n">
        <f aca="false">IF($H31="",0,SUMIF('Calendario C'!$M$8:$M$110,$H31,'Calendario C'!$R$8:$R$110)+SUMIF('Calendario C'!$T$8:$T$110,$H31,'Calendario C'!$Y$8:$Y$110))</f>
        <v>410</v>
      </c>
      <c r="Q31" s="7" t="n">
        <f aca="false">IF($H31="",0,SUMIF('Calendario C'!$M$8:$M$110,$H31,'Calendario C'!$S$8:$S$110)+SUMIF('Calendario C'!$T$8:$T$110,$H31,'Calendario C'!$Z$8:$Z$110))</f>
        <v>90</v>
      </c>
      <c r="R31" s="7" t="n">
        <f aca="false">IF(K31=0,0,ROUND(O31/K31,2))</f>
        <v>71.43</v>
      </c>
      <c r="S31" s="7" t="n">
        <f aca="false">IF(K31=0,0,ROUND(P31/K31,2))</f>
        <v>58.57</v>
      </c>
      <c r="T31" s="7" t="n">
        <f aca="false">IF(K31=0,0,ROUND(Q31/K31,2))</f>
        <v>12.86</v>
      </c>
      <c r="U31" s="7" t="str">
        <f aca="false">IF(COUNT(Y31:AF31)=0,"-",SUM(Y31:AF31)&amp;"-"&amp;SUM(AH31:AO31))</f>
        <v>-</v>
      </c>
      <c r="V31" s="7" t="str">
        <f aca="false">IF(COUNT(Y31:AF31)=0,"-",IF(SUM(AZ31:BG31)=0,TEXT(0,"0.0000"),TEXT(ROUND(SUM(AQ31:AX31)/SUM(AZ31:BG31),4),"0.0000")))</f>
        <v>-</v>
      </c>
      <c r="W31" s="7" t="str">
        <f aca="false">IF(H31="","-",IF(P31=0,TEXT(0,"0.0000"),TEXT(ROUND(O31/P31,4),"0.0000")))</f>
        <v>1.2195</v>
      </c>
      <c r="X31" s="13" t="str">
        <f aca="false">$C31</f>
        <v>Zebre Zelanti-Zebreopoli ZE</v>
      </c>
      <c r="Y31" s="14" t="str">
        <f aca="false">IF(AND($H31&lt;&gt;"",$H$28&lt;&gt;"",$H31&lt;&gt;$H$28,IFERROR(VLOOKUP($H31,areaCercaPuntiClassificaSquadra,3,FALSE()),-1)=IFERROR(VLOOKUP($H$28,areaCercaPuntiClassificaSquadra,3,FALSE()),-2)),SUMIFS('Calendario C'!$N$8:$N$110,'Calendario C'!$M$8:$M$110,$H31,'Calendario C'!$T$8:$T$110,$H$28)+SUMIFS('Calendario C'!$U$8:$U$110,'Calendario C'!$T$8:$T$110,$H31,'Calendario C'!$M$8:$M$110,$H$28),"-")</f>
        <v>-</v>
      </c>
      <c r="Z31" s="14" t="str">
        <f aca="false">IF(AND($H31&lt;&gt;"",$H$29&lt;&gt;"",$H31&lt;&gt;$H$29,IFERROR(VLOOKUP($H31,areaCercaPuntiClassificaSquadra,3,FALSE()),-1)=IFERROR(VLOOKUP($H$29,areaCercaPuntiClassificaSquadra,3,FALSE()),-2)),SUMIFS('Calendario C'!$N$8:$N$110,'Calendario C'!$M$8:$M$110,$H31,'Calendario C'!$T$8:$T$110,$H$29)+SUMIFS('Calendario C'!$U$8:$U$110,'Calendario C'!$T$8:$T$110,$H31,'Calendario C'!$M$8:$M$110,$H$29),"-")</f>
        <v>-</v>
      </c>
      <c r="AA31" s="14" t="str">
        <f aca="false">IF(AND($H31&lt;&gt;"",$H$30&lt;&gt;"",$H31&lt;&gt;$H$30,IFERROR(VLOOKUP($H31,areaCercaPuntiClassificaSquadra,3,FALSE()),-1)=IFERROR(VLOOKUP($H$30,areaCercaPuntiClassificaSquadra,3,FALSE()),-2)),SUMIFS('Calendario C'!$N$8:$N$110,'Calendario C'!$M$8:$M$110,$H31,'Calendario C'!$T$8:$T$110,$H$30)+SUMIFS('Calendario C'!$U$8:$U$110,'Calendario C'!$T$8:$T$110,$H31,'Calendario C'!$M$8:$M$110,$H$30),"-")</f>
        <v>-</v>
      </c>
      <c r="AB31" s="14" t="str">
        <f aca="false">IF(AND($H31&lt;&gt;"",$H$31&lt;&gt;"",$H31&lt;&gt;$H$31,IFERROR(VLOOKUP($H31,areaCercaPuntiClassificaSquadra,3,FALSE()),-1)=IFERROR(VLOOKUP($H$31,areaCercaPuntiClassificaSquadra,3,FALSE()),-2)),SUMIFS('Calendario C'!$N$8:$N$110,'Calendario C'!$M$8:$M$110,$H31,'Calendario C'!$T$8:$T$110,$H$31)+SUMIFS('Calendario C'!$U$8:$U$110,'Calendario C'!$T$8:$T$110,$H31,'Calendario C'!$M$8:$M$110,$H$31),"-")</f>
        <v>-</v>
      </c>
      <c r="AC31" s="14" t="str">
        <f aca="false">IF(AND($H31&lt;&gt;"",$H$32&lt;&gt;"",$H31&lt;&gt;$H$32,IFERROR(VLOOKUP($H31,areaCercaPuntiClassificaSquadra,3,FALSE()),-1)=IFERROR(VLOOKUP($H$32,areaCercaPuntiClassificaSquadra,3,FALSE()),-2)),SUMIFS('Calendario C'!$N$8:$N$110,'Calendario C'!$M$8:$M$110,$H31,'Calendario C'!$T$8:$T$110,$H$32)+SUMIFS('Calendario C'!$U$8:$U$110,'Calendario C'!$T$8:$T$110,$H31,'Calendario C'!$M$8:$M$110,$H$32),"-")</f>
        <v>-</v>
      </c>
      <c r="AD31" s="14" t="str">
        <f aca="false">IF(AND($H31&lt;&gt;"",$H$33&lt;&gt;"",$H31&lt;&gt;$H$33,IFERROR(VLOOKUP($H31,areaCercaPuntiClassificaSquadra,3,FALSE()),-1)=IFERROR(VLOOKUP($H$33,areaCercaPuntiClassificaSquadra,3,FALSE()),-2)),SUMIFS('Calendario C'!$N$8:$N$110,'Calendario C'!$M$8:$M$110,$H31,'Calendario C'!$T$8:$T$110,$H$33)+SUMIFS('Calendario C'!$U$8:$U$110,'Calendario C'!$T$8:$T$110,$H31,'Calendario C'!$M$8:$M$110,$H$33),"-")</f>
        <v>-</v>
      </c>
      <c r="AE31" s="14" t="str">
        <f aca="false">IF(AND($H31&lt;&gt;"",$H$34&lt;&gt;"",$H31&lt;&gt;$H$34,IFERROR(VLOOKUP($H31,areaCercaPuntiClassificaSquadra,3,FALSE()),-1)=IFERROR(VLOOKUP($H$34,areaCercaPuntiClassificaSquadra,3,FALSE()),-2)),SUMIFS('Calendario C'!$N$8:$N$110,'Calendario C'!$M$8:$M$110,$H31,'Calendario C'!$T$8:$T$110,$H$34)+SUMIFS('Calendario C'!$U$8:$U$110,'Calendario C'!$T$8:$T$110,$H31,'Calendario C'!$M$8:$M$110,$H$34),"-")</f>
        <v>-</v>
      </c>
      <c r="AF31" s="14" t="str">
        <f aca="false">IF(AND($H31&lt;&gt;"",$H$35&lt;&gt;"",$H31&lt;&gt;$H$35,IFERROR(VLOOKUP($H31,areaCercaPuntiClassificaSquadra,3,FALSE()),-1)=IFERROR(VLOOKUP($H$35,areaCercaPuntiClassificaSquadra,3,FALSE()),-2)),SUMIFS('Calendario C'!$N$8:$N$110,'Calendario C'!$M$8:$M$110,$H31,'Calendario C'!$T$8:$T$110,$H$35)+SUMIFS('Calendario C'!$U$8:$U$110,'Calendario C'!$T$8:$T$110,$H31,'Calendario C'!$M$8:$M$110,$H$35),"-")</f>
        <v>-</v>
      </c>
      <c r="AG31" s="13" t="str">
        <f aca="false">$C31</f>
        <v>Zebre Zelanti-Zebreopoli ZE</v>
      </c>
      <c r="AH31" s="14" t="str">
        <f aca="false">IF(AND($H31&lt;&gt;"",$H$28&lt;&gt;"",$H31&lt;&gt;$H$28,IFERROR(VLOOKUP($H31,areaCercaPuntiClassificaSquadra,3,FALSE()),-1)=IFERROR(VLOOKUP($H$28,areaCercaPuntiClassificaSquadra,3,FALSE()),-2)),SUMIFS('Calendario C'!$P$8:$P$110,'Calendario C'!$M$8:$M$110,$H31,'Calendario C'!$T$8:$T$110,$H$28)+SUMIFS('Calendario C'!$W$8:$W$110,'Calendario C'!$T$8:$T$110,$H31,'Calendario C'!$M$8:$M$110,$H$28)+SUMIFS('Calendario C'!$O$8:$O$110,'Calendario C'!$M$8:$M$110,$H31,'Calendario C'!$T$8:$T$110,$H$28)+SUMIFS('Calendario C'!$V$8:$V$110,'Calendario C'!$T$8:$T$110,$H31,'Calendario C'!$M$8:$M$110,$H$28),"-")</f>
        <v>-</v>
      </c>
      <c r="AI31" s="14" t="str">
        <f aca="false">IF(AND($H31&lt;&gt;"",$H$29&lt;&gt;"",$H31&lt;&gt;$H$29,IFERROR(VLOOKUP($H31,areaCercaPuntiClassificaSquadra,3,FALSE()),-1)=IFERROR(VLOOKUP($H$29,areaCercaPuntiClassificaSquadra,3,FALSE()),-2)),SUMIFS('Calendario C'!$P$8:$P$110,'Calendario C'!$M$8:$M$110,$H31,'Calendario C'!$T$8:$T$110,$H$29)+SUMIFS('Calendario C'!$W$8:$W$110,'Calendario C'!$T$8:$T$110,$H31,'Calendario C'!$M$8:$M$110,$H$29)+SUMIFS('Calendario C'!$O$8:$O$110,'Calendario C'!$M$8:$M$110,$H31,'Calendario C'!$T$8:$T$110,$H$29)+SUMIFS('Calendario C'!$V$8:$V$110,'Calendario C'!$T$8:$T$110,$H31,'Calendario C'!$M$8:$M$110,$H$29),"-")</f>
        <v>-</v>
      </c>
      <c r="AJ31" s="14" t="str">
        <f aca="false">IF(AND($H31&lt;&gt;"",$H$30&lt;&gt;"",$H31&lt;&gt;$H$30,IFERROR(VLOOKUP($H31,areaCercaPuntiClassificaSquadra,3,FALSE()),-1)=IFERROR(VLOOKUP($H$30,areaCercaPuntiClassificaSquadra,3,FALSE()),-2)),SUMIFS('Calendario C'!$P$8:$P$110,'Calendario C'!$M$8:$M$110,$H31,'Calendario C'!$T$8:$T$110,$H$30)+SUMIFS('Calendario C'!$W$8:$W$110,'Calendario C'!$T$8:$T$110,$H31,'Calendario C'!$M$8:$M$110,$H$30)+SUMIFS('Calendario C'!$O$8:$O$110,'Calendario C'!$M$8:$M$110,$H31,'Calendario C'!$T$8:$T$110,$H$30)+SUMIFS('Calendario C'!$V$8:$V$110,'Calendario C'!$T$8:$T$110,$H31,'Calendario C'!$M$8:$M$110,$H$30),"-")</f>
        <v>-</v>
      </c>
      <c r="AK31" s="14" t="str">
        <f aca="false">IF(AND($H31&lt;&gt;"",$H$31&lt;&gt;"",$H31&lt;&gt;$H$31,IFERROR(VLOOKUP($H31,areaCercaPuntiClassificaSquadra,3,FALSE()),-1)=IFERROR(VLOOKUP($H$31,areaCercaPuntiClassificaSquadra,3,FALSE()),-2)),SUMIFS('Calendario C'!$P$8:$P$110,'Calendario C'!$M$8:$M$110,$H31,'Calendario C'!$T$8:$T$110,$H$31)+SUMIFS('Calendario C'!$W$8:$W$110,'Calendario C'!$T$8:$T$110,$H31,'Calendario C'!$M$8:$M$110,$H$31)+SUMIFS('Calendario C'!$O$8:$O$110,'Calendario C'!$M$8:$M$110,$H31,'Calendario C'!$T$8:$T$110,$H$31)+SUMIFS('Calendario C'!$V$8:$V$110,'Calendario C'!$T$8:$T$110,$H31,'Calendario C'!$M$8:$M$110,$H$31),"-")</f>
        <v>-</v>
      </c>
      <c r="AL31" s="14" t="str">
        <f aca="false">IF(AND($H31&lt;&gt;"",$H$32&lt;&gt;"",$H31&lt;&gt;$H$32,IFERROR(VLOOKUP($H31,areaCercaPuntiClassificaSquadra,3,FALSE()),-1)=IFERROR(VLOOKUP($H$32,areaCercaPuntiClassificaSquadra,3,FALSE()),-2)),SUMIFS('Calendario C'!$P$8:$P$110,'Calendario C'!$M$8:$M$110,$H31,'Calendario C'!$T$8:$T$110,$H$32)+SUMIFS('Calendario C'!$W$8:$W$110,'Calendario C'!$T$8:$T$110,$H31,'Calendario C'!$M$8:$M$110,$H$32)+SUMIFS('Calendario C'!$O$8:$O$110,'Calendario C'!$M$8:$M$110,$H31,'Calendario C'!$T$8:$T$110,$H$32)+SUMIFS('Calendario C'!$V$8:$V$110,'Calendario C'!$T$8:$T$110,$H31,'Calendario C'!$M$8:$M$110,$H$32),"-")</f>
        <v>-</v>
      </c>
      <c r="AM31" s="14" t="str">
        <f aca="false">IF(AND($H31&lt;&gt;"",$H$33&lt;&gt;"",$H31&lt;&gt;$H$33,IFERROR(VLOOKUP($H31,areaCercaPuntiClassificaSquadra,3,FALSE()),-1)=IFERROR(VLOOKUP($H$33,areaCercaPuntiClassificaSquadra,3,FALSE()),-2)),SUMIFS('Calendario C'!$P$8:$P$110,'Calendario C'!$M$8:$M$110,$H31,'Calendario C'!$T$8:$T$110,$H$33)+SUMIFS('Calendario C'!$W$8:$W$110,'Calendario C'!$T$8:$T$110,$H31,'Calendario C'!$M$8:$M$110,$H$33)+SUMIFS('Calendario C'!$O$8:$O$110,'Calendario C'!$M$8:$M$110,$H31,'Calendario C'!$T$8:$T$110,$H$33)+SUMIFS('Calendario C'!$V$8:$V$110,'Calendario C'!$T$8:$T$110,$H31,'Calendario C'!$M$8:$M$110,$H$33),"-")</f>
        <v>-</v>
      </c>
      <c r="AN31" s="14" t="str">
        <f aca="false">IF(AND($H31&lt;&gt;"",$H$34&lt;&gt;"",$H31&lt;&gt;$H$34,IFERROR(VLOOKUP($H31,areaCercaPuntiClassificaSquadra,3,FALSE()),-1)=IFERROR(VLOOKUP($H$34,areaCercaPuntiClassificaSquadra,3,FALSE()),-2)),SUMIFS('Calendario C'!$P$8:$P$110,'Calendario C'!$M$8:$M$110,$H31,'Calendario C'!$T$8:$T$110,$H$34)+SUMIFS('Calendario C'!$W$8:$W$110,'Calendario C'!$T$8:$T$110,$H31,'Calendario C'!$M$8:$M$110,$H$34)+SUMIFS('Calendario C'!$O$8:$O$110,'Calendario C'!$M$8:$M$110,$H31,'Calendario C'!$T$8:$T$110,$H$34)+SUMIFS('Calendario C'!$V$8:$V$110,'Calendario C'!$T$8:$T$110,$H31,'Calendario C'!$M$8:$M$110,$H$34),"-")</f>
        <v>-</v>
      </c>
      <c r="AO31" s="14" t="str">
        <f aca="false">IF(AND($H31&lt;&gt;"",$H$35&lt;&gt;"",$H31&lt;&gt;$H$35,IFERROR(VLOOKUP($H31,areaCercaPuntiClassificaSquadra,3,FALSE()),-1)=IFERROR(VLOOKUP($H$35,areaCercaPuntiClassificaSquadra,3,FALSE()),-2)),SUMIFS('Calendario C'!$P$8:$P$110,'Calendario C'!$M$8:$M$110,$H31,'Calendario C'!$T$8:$T$110,$H$35)+SUMIFS('Calendario C'!$W$8:$W$110,'Calendario C'!$T$8:$T$110,$H31,'Calendario C'!$M$8:$M$110,$H$35)+SUMIFS('Calendario C'!$O$8:$O$110,'Calendario C'!$M$8:$M$110,$H31,'Calendario C'!$T$8:$T$110,$H$35)+SUMIFS('Calendario C'!$V$8:$V$110,'Calendario C'!$T$8:$T$110,$H31,'Calendario C'!$M$8:$M$110,$H$35),"-")</f>
        <v>-</v>
      </c>
      <c r="AP31" s="13" t="str">
        <f aca="false">$C31</f>
        <v>Zebre Zelanti-Zebreopoli ZE</v>
      </c>
      <c r="AQ31" s="14" t="str">
        <f aca="false">IF(AND($H31&lt;&gt;"",$H$28&lt;&gt;"",$H31&lt;&gt;$H$28,IFERROR(VLOOKUP($H31,areaCercaPuntiClassificaSquadra,3,FALSE()),-1)=IFERROR(VLOOKUP($H$28,areaCercaPuntiClassificaSquadra,3,FALSE()),-2)),SUMIFS('Calendario C'!$Q$8:$Q$110,'Calendario C'!$M$8:$M$110,$H31,'Calendario C'!$T$8:$T$110,$H$28)+SUMIFS('Calendario C'!$X$8:$X$110,'Calendario C'!$T$8:$T$110,$H31,'Calendario C'!$M$8:$M$110,$H$28),"-")</f>
        <v>-</v>
      </c>
      <c r="AR31" s="14" t="str">
        <f aca="false">IF(AND($H31&lt;&gt;"",$H$29&lt;&gt;"",$H31&lt;&gt;$H$29,IFERROR(VLOOKUP($H31,areaCercaPuntiClassificaSquadra,3,FALSE()),-1)=IFERROR(VLOOKUP($H$29,areaCercaPuntiClassificaSquadra,3,FALSE()),-2)),SUMIFS('Calendario C'!$Q$8:$Q$110,'Calendario C'!$M$8:$M$110,$H31,'Calendario C'!$T$8:$T$110,$H$29)+SUMIFS('Calendario C'!$X$8:$X$110,'Calendario C'!$T$8:$T$110,$H31,'Calendario C'!$M$8:$M$110,$H$29),"-")</f>
        <v>-</v>
      </c>
      <c r="AS31" s="14" t="str">
        <f aca="false">IF(AND($H31&lt;&gt;"",$H$30&lt;&gt;"",$H31&lt;&gt;$H$30,IFERROR(VLOOKUP($H31,areaCercaPuntiClassificaSquadra,3,FALSE()),-1)=IFERROR(VLOOKUP($H$30,areaCercaPuntiClassificaSquadra,3,FALSE()),-2)),SUMIFS('Calendario C'!$Q$8:$Q$110,'Calendario C'!$M$8:$M$110,$H31,'Calendario C'!$T$8:$T$110,$H$30)+SUMIFS('Calendario C'!$X$8:$X$110,'Calendario C'!$T$8:$T$110,$H31,'Calendario C'!$M$8:$M$110,$H$30),"-")</f>
        <v>-</v>
      </c>
      <c r="AT31" s="14" t="str">
        <f aca="false">IF(AND($H31&lt;&gt;"",$H$31&lt;&gt;"",$H31&lt;&gt;$H$31,IFERROR(VLOOKUP($H31,areaCercaPuntiClassificaSquadra,3,FALSE()),-1)=IFERROR(VLOOKUP($H$31,areaCercaPuntiClassificaSquadra,3,FALSE()),-2)),SUMIFS('Calendario C'!$Q$8:$Q$110,'Calendario C'!$M$8:$M$110,$H31,'Calendario C'!$T$8:$T$110,$H$31)+SUMIFS('Calendario C'!$X$8:$X$110,'Calendario C'!$T$8:$T$110,$H31,'Calendario C'!$M$8:$M$110,$H$31),"-")</f>
        <v>-</v>
      </c>
      <c r="AU31" s="14" t="str">
        <f aca="false">IF(AND($H31&lt;&gt;"",$H$32&lt;&gt;"",$H31&lt;&gt;$H$32,IFERROR(VLOOKUP($H31,areaCercaPuntiClassificaSquadra,3,FALSE()),-1)=IFERROR(VLOOKUP($H$32,areaCercaPuntiClassificaSquadra,3,FALSE()),-2)),SUMIFS('Calendario C'!$Q$8:$Q$110,'Calendario C'!$M$8:$M$110,$H31,'Calendario C'!$T$8:$T$110,$H$32)+SUMIFS('Calendario C'!$X$8:$X$110,'Calendario C'!$T$8:$T$110,$H31,'Calendario C'!$M$8:$M$110,$H$32),"-")</f>
        <v>-</v>
      </c>
      <c r="AV31" s="14" t="str">
        <f aca="false">IF(AND($H31&lt;&gt;"",$H$33&lt;&gt;"",$H31&lt;&gt;$H$33,IFERROR(VLOOKUP($H31,areaCercaPuntiClassificaSquadra,3,FALSE()),-1)=IFERROR(VLOOKUP($H$33,areaCercaPuntiClassificaSquadra,3,FALSE()),-2)),SUMIFS('Calendario C'!$Q$8:$Q$110,'Calendario C'!$M$8:$M$110,$H31,'Calendario C'!$T$8:$T$110,$H$33)+SUMIFS('Calendario C'!$X$8:$X$110,'Calendario C'!$T$8:$T$110,$H31,'Calendario C'!$M$8:$M$110,$H$33),"-")</f>
        <v>-</v>
      </c>
      <c r="AW31" s="14" t="str">
        <f aca="false">IF(AND($H31&lt;&gt;"",$H$34&lt;&gt;"",$H31&lt;&gt;$H$34,IFERROR(VLOOKUP($H31,areaCercaPuntiClassificaSquadra,3,FALSE()),-1)=IFERROR(VLOOKUP($H$34,areaCercaPuntiClassificaSquadra,3,FALSE()),-2)),SUMIFS('Calendario C'!$Q$8:$Q$110,'Calendario C'!$M$8:$M$110,$H31,'Calendario C'!$T$8:$T$110,$H$34)+SUMIFS('Calendario C'!$X$8:$X$110,'Calendario C'!$T$8:$T$110,$H31,'Calendario C'!$M$8:$M$110,$H$34),"-")</f>
        <v>-</v>
      </c>
      <c r="AX31" s="14" t="str">
        <f aca="false">IF(AND($H31&lt;&gt;"",$H$35&lt;&gt;"",$H31&lt;&gt;$H$35,IFERROR(VLOOKUP($H31,areaCercaPuntiClassificaSquadra,3,FALSE()),-1)=IFERROR(VLOOKUP($H$35,areaCercaPuntiClassificaSquadra,3,FALSE()),-2)),SUMIFS('Calendario C'!$Q$8:$Q$110,'Calendario C'!$M$8:$M$110,$H31,'Calendario C'!$T$8:$T$110,$H$35)+SUMIFS('Calendario C'!$X$8:$X$110,'Calendario C'!$T$8:$T$110,$H31,'Calendario C'!$M$8:$M$110,$H$35),"-")</f>
        <v>-</v>
      </c>
      <c r="AY31" s="13" t="str">
        <f aca="false">$C31</f>
        <v>Zebre Zelanti-Zebreopoli ZE</v>
      </c>
      <c r="AZ31" s="14" t="str">
        <f aca="false">IF(AND($H31&lt;&gt;"",$H$28&lt;&gt;"",$H31&lt;&gt;$H$28,IFERROR(VLOOKUP($H31,areaCercaPuntiClassificaSquadra,3,FALSE()),-1)=IFERROR(VLOOKUP($H$28,areaCercaPuntiClassificaSquadra,3,FALSE()),-2)),SUMIFS('Calendario C'!$R$8:$R$110,'Calendario C'!$M$8:$M$110,$H31,'Calendario C'!$T$8:$T$110,$H$28)+SUMIFS('Calendario C'!$Y$8:$Y$110,'Calendario C'!$T$8:$T$110,$H31,'Calendario C'!$M$8:$M$110,$H$28),"-")</f>
        <v>-</v>
      </c>
      <c r="BA31" s="14" t="str">
        <f aca="false">IF(AND($H31&lt;&gt;"",$H$29&lt;&gt;"",$H31&lt;&gt;$H$29,IFERROR(VLOOKUP($H31,areaCercaPuntiClassificaSquadra,3,FALSE()),-1)=IFERROR(VLOOKUP($H$29,areaCercaPuntiClassificaSquadra,3,FALSE()),-2)),SUMIFS('Calendario C'!$R$8:$R$110,'Calendario C'!$M$8:$M$110,$H31,'Calendario C'!$T$8:$T$110,$H$29)+SUMIFS('Calendario C'!$Y$8:$Y$110,'Calendario C'!$T$8:$T$110,$H31,'Calendario C'!$M$8:$M$110,$H$29),"-")</f>
        <v>-</v>
      </c>
      <c r="BB31" s="14" t="str">
        <f aca="false">IF(AND($H31&lt;&gt;"",$H$30&lt;&gt;"",$H31&lt;&gt;$H$30,IFERROR(VLOOKUP($H31,areaCercaPuntiClassificaSquadra,3,FALSE()),-1)=IFERROR(VLOOKUP($H$30,areaCercaPuntiClassificaSquadra,3,FALSE()),-2)),SUMIFS('Calendario C'!$R$8:$R$110,'Calendario C'!$M$8:$M$110,$H31,'Calendario C'!$T$8:$T$110,$H$30)+SUMIFS('Calendario C'!$Y$8:$Y$110,'Calendario C'!$T$8:$T$110,$H31,'Calendario C'!$M$8:$M$110,$H$30),"-")</f>
        <v>-</v>
      </c>
      <c r="BC31" s="14" t="str">
        <f aca="false">IF(AND($H31&lt;&gt;"",$H$31&lt;&gt;"",$H31&lt;&gt;$H$31,IFERROR(VLOOKUP($H31,areaCercaPuntiClassificaSquadra,3,FALSE()),-1)=IFERROR(VLOOKUP($H$31,areaCercaPuntiClassificaSquadra,3,FALSE()),-2)),SUMIFS('Calendario C'!$R$8:$R$110,'Calendario C'!$M$8:$M$110,$H31,'Calendario C'!$T$8:$T$110,$H$31)+SUMIFS('Calendario C'!$Y$8:$Y$110,'Calendario C'!$T$8:$T$110,$H31,'Calendario C'!$M$8:$M$110,$H$31),"-")</f>
        <v>-</v>
      </c>
      <c r="BD31" s="14" t="str">
        <f aca="false">IF(AND($H31&lt;&gt;"",$H$32&lt;&gt;"",$H31&lt;&gt;$H$32,IFERROR(VLOOKUP($H31,areaCercaPuntiClassificaSquadra,3,FALSE()),-1)=IFERROR(VLOOKUP($H$32,areaCercaPuntiClassificaSquadra,3,FALSE()),-2)),SUMIFS('Calendario C'!$R$8:$R$110,'Calendario C'!$M$8:$M$110,$H31,'Calendario C'!$T$8:$T$110,$H$32)+SUMIFS('Calendario C'!$Y$8:$Y$110,'Calendario C'!$T$8:$T$110,$H31,'Calendario C'!$M$8:$M$110,$H$32),"-")</f>
        <v>-</v>
      </c>
      <c r="BE31" s="14" t="str">
        <f aca="false">IF(AND($H31&lt;&gt;"",$H$33&lt;&gt;"",$H31&lt;&gt;$H$33,IFERROR(VLOOKUP($H31,areaCercaPuntiClassificaSquadra,3,FALSE()),-1)=IFERROR(VLOOKUP($H$33,areaCercaPuntiClassificaSquadra,3,FALSE()),-2)),SUMIFS('Calendario C'!$R$8:$R$110,'Calendario C'!$M$8:$M$110,$H31,'Calendario C'!$T$8:$T$110,$H$33)+SUMIFS('Calendario C'!$Y$8:$Y$110,'Calendario C'!$T$8:$T$110,$H31,'Calendario C'!$M$8:$M$110,$H$33),"-")</f>
        <v>-</v>
      </c>
      <c r="BF31" s="14" t="str">
        <f aca="false">IF(AND($H31&lt;&gt;"",$H$34&lt;&gt;"",$H31&lt;&gt;$H$34,IFERROR(VLOOKUP($H31,areaCercaPuntiClassificaSquadra,3,FALSE()),-1)=IFERROR(VLOOKUP($H$34,areaCercaPuntiClassificaSquadra,3,FALSE()),-2)),SUMIFS('Calendario C'!$R$8:$R$110,'Calendario C'!$M$8:$M$110,$H31,'Calendario C'!$T$8:$T$110,$H$34)+SUMIFS('Calendario C'!$Y$8:$Y$110,'Calendario C'!$T$8:$T$110,$H31,'Calendario C'!$M$8:$M$110,$H$34),"-")</f>
        <v>-</v>
      </c>
      <c r="BG31" s="14" t="str">
        <f aca="false">IF(AND($H31&lt;&gt;"",$H$35&lt;&gt;"",$H31&lt;&gt;$H$35,IFERROR(VLOOKUP($H31,areaCercaPuntiClassificaSquadra,3,FALSE()),-1)=IFERROR(VLOOKUP($H$35,areaCercaPuntiClassificaSquadra,3,FALSE()),-2)),SUMIFS('Calendario C'!$R$8:$R$110,'Calendario C'!$M$8:$M$110,$H31,'Calendario C'!$T$8:$T$110,$H$35)+SUMIFS('Calendario C'!$Y$8:$Y$110,'Calendario C'!$T$8:$T$110,$H31,'Calendario C'!$M$8:$M$110,$H$35),"-")</f>
        <v>-</v>
      </c>
    </row>
    <row r="32" customFormat="false" ht="15" hidden="false" customHeight="false" outlineLevel="0" collapsed="false">
      <c r="B32" s="7" t="s">
        <v>90</v>
      </c>
      <c r="C32" s="8" t="s">
        <v>91</v>
      </c>
      <c r="D32" s="9"/>
      <c r="E32" s="17" t="s">
        <v>83</v>
      </c>
      <c r="G32" s="18" t="str">
        <f aca="false">IF($C32="","",$E32&amp;(COUNTIFS(I$12:I$75,"&gt;"&amp;I32,E$12:E$75,"="&amp;E32,C$12:C$75,"&lt;&gt;")+COUNTIFS(I$12:I$75,"="&amp;I32,H$12:H$75,"&lt;="&amp;H32,E$12:E$75,"="&amp;E32,C$12:C$75,"&lt;&gt;")))</f>
        <v>C3</v>
      </c>
      <c r="H32" s="12" t="str">
        <f aca="false">IF($C32="","",IFERROR(LEFT($C32,FIND("-",$C32)-1),$C32))</f>
        <v>Albatri Astuti</v>
      </c>
      <c r="I32" s="7" t="str">
        <f aca="false">TEXT(1000000000+J32,"|0000000000|")&amp;TEXT(SUM(Y32:AF32),"0000000000|")&amp;IF(SUM(AZ32:BG32)=0,"0000000000|",TEXT(ROUND(SUM(AQ32:AX32)/SUM(AZ32:BG32),4)*100000,"0000000000|"))&amp;IF(P32=0,"0000000000|",TEXT(ROUND(O32/P32,4)*100000,"0000000000|"))</f>
        <v>|1000000017|0000000000|0000000000|0000105770|</v>
      </c>
      <c r="J32" s="18" t="n">
        <f aca="false">L32*constPuntiVittoria+M32*constPuntiSconfitta+N32*constPuntiForfait+IF(D32="",0,D32)</f>
        <v>17</v>
      </c>
      <c r="K32" s="7" t="n">
        <f aca="false">SUM(L32:N32)</f>
        <v>7</v>
      </c>
      <c r="L32" s="7" t="n">
        <f aca="false">IF($H32="",0,SUMIF('Calendario C'!$M$8:$M$110,$H32,'Calendario C'!$N$8:$N$110)+SUMIF('Calendario C'!$T$8:$T$110,$H32,'Calendario C'!$U$8:$U$110))</f>
        <v>5</v>
      </c>
      <c r="M32" s="7" t="n">
        <f aca="false">IF($H32="",0,SUMIF('Calendario C'!$M$8:$M$110,$H32,'Calendario C'!$P$8:$P$110)+SUMIF('Calendario C'!$T$8:$T$110,$H32,'Calendario C'!$W$8:$W$110))</f>
        <v>2</v>
      </c>
      <c r="N32" s="7" t="n">
        <f aca="false">IF($H32="",0,SUMIF('Calendario C'!$M$8:$M$110,$H32,'Calendario C'!$O$8:$O$110)+SUMIF('Calendario C'!$T$8:$T$110,$H32,'Calendario C'!$V$8:$V$110))</f>
        <v>0</v>
      </c>
      <c r="O32" s="7" t="n">
        <f aca="false">IF($H32="",0,SUMIF('Calendario C'!$M$8:$M$110,$H32,'Calendario C'!$Q$8:$Q$110)+SUMIF('Calendario C'!$T$8:$T$110,$H32,'Calendario C'!$X$8:$X$110))</f>
        <v>440</v>
      </c>
      <c r="P32" s="7" t="n">
        <f aca="false">IF($H32="",0,SUMIF('Calendario C'!$M$8:$M$110,$H32,'Calendario C'!$R$8:$R$110)+SUMIF('Calendario C'!$T$8:$T$110,$H32,'Calendario C'!$Y$8:$Y$110))</f>
        <v>416</v>
      </c>
      <c r="Q32" s="7" t="n">
        <f aca="false">IF($H32="",0,SUMIF('Calendario C'!$M$8:$M$110,$H32,'Calendario C'!$S$8:$S$110)+SUMIF('Calendario C'!$T$8:$T$110,$H32,'Calendario C'!$Z$8:$Z$110))</f>
        <v>24</v>
      </c>
      <c r="R32" s="7" t="n">
        <f aca="false">IF(K32=0,0,ROUND(O32/K32,2))</f>
        <v>62.86</v>
      </c>
      <c r="S32" s="7" t="n">
        <f aca="false">IF(K32=0,0,ROUND(P32/K32,2))</f>
        <v>59.43</v>
      </c>
      <c r="T32" s="7" t="n">
        <f aca="false">IF(K32=0,0,ROUND(Q32/K32,2))</f>
        <v>3.43</v>
      </c>
      <c r="U32" s="7" t="str">
        <f aca="false">IF(COUNT(Y32:AF32)=0,"-",SUM(Y32:AF32)&amp;"-"&amp;SUM(AH32:AO32))</f>
        <v>-</v>
      </c>
      <c r="V32" s="7" t="str">
        <f aca="false">IF(COUNT(Y32:AF32)=0,"-",IF(SUM(AZ32:BG32)=0,TEXT(0,"0.0000"),TEXT(ROUND(SUM(AQ32:AX32)/SUM(AZ32:BG32),4),"0.0000")))</f>
        <v>-</v>
      </c>
      <c r="W32" s="7" t="str">
        <f aca="false">IF(H32="","-",IF(P32=0,TEXT(0,"0.0000"),TEXT(ROUND(O32/P32,4),"0.0000")))</f>
        <v>1.0577</v>
      </c>
      <c r="X32" s="13" t="str">
        <f aca="false">$C32</f>
        <v>Albatri Astuti-Albatriopoli AI</v>
      </c>
      <c r="Y32" s="14" t="str">
        <f aca="false">IF(AND($H32&lt;&gt;"",$H$28&lt;&gt;"",$H32&lt;&gt;$H$28,IFERROR(VLOOKUP($H32,areaCercaPuntiClassificaSquadra,3,FALSE()),-1)=IFERROR(VLOOKUP($H$28,areaCercaPuntiClassificaSquadra,3,FALSE()),-2)),SUMIFS('Calendario C'!$N$8:$N$110,'Calendario C'!$M$8:$M$110,$H32,'Calendario C'!$T$8:$T$110,$H$28)+SUMIFS('Calendario C'!$U$8:$U$110,'Calendario C'!$T$8:$T$110,$H32,'Calendario C'!$M$8:$M$110,$H$28),"-")</f>
        <v>-</v>
      </c>
      <c r="Z32" s="14" t="str">
        <f aca="false">IF(AND($H32&lt;&gt;"",$H$29&lt;&gt;"",$H32&lt;&gt;$H$29,IFERROR(VLOOKUP($H32,areaCercaPuntiClassificaSquadra,3,FALSE()),-1)=IFERROR(VLOOKUP($H$29,areaCercaPuntiClassificaSquadra,3,FALSE()),-2)),SUMIFS('Calendario C'!$N$8:$N$110,'Calendario C'!$M$8:$M$110,$H32,'Calendario C'!$T$8:$T$110,$H$29)+SUMIFS('Calendario C'!$U$8:$U$110,'Calendario C'!$T$8:$T$110,$H32,'Calendario C'!$M$8:$M$110,$H$29),"-")</f>
        <v>-</v>
      </c>
      <c r="AA32" s="14" t="str">
        <f aca="false">IF(AND($H32&lt;&gt;"",$H$30&lt;&gt;"",$H32&lt;&gt;$H$30,IFERROR(VLOOKUP($H32,areaCercaPuntiClassificaSquadra,3,FALSE()),-1)=IFERROR(VLOOKUP($H$30,areaCercaPuntiClassificaSquadra,3,FALSE()),-2)),SUMIFS('Calendario C'!$N$8:$N$110,'Calendario C'!$M$8:$M$110,$H32,'Calendario C'!$T$8:$T$110,$H$30)+SUMIFS('Calendario C'!$U$8:$U$110,'Calendario C'!$T$8:$T$110,$H32,'Calendario C'!$M$8:$M$110,$H$30),"-")</f>
        <v>-</v>
      </c>
      <c r="AB32" s="14" t="str">
        <f aca="false">IF(AND($H32&lt;&gt;"",$H$31&lt;&gt;"",$H32&lt;&gt;$H$31,IFERROR(VLOOKUP($H32,areaCercaPuntiClassificaSquadra,3,FALSE()),-1)=IFERROR(VLOOKUP($H$31,areaCercaPuntiClassificaSquadra,3,FALSE()),-2)),SUMIFS('Calendario C'!$N$8:$N$110,'Calendario C'!$M$8:$M$110,$H32,'Calendario C'!$T$8:$T$110,$H$31)+SUMIFS('Calendario C'!$U$8:$U$110,'Calendario C'!$T$8:$T$110,$H32,'Calendario C'!$M$8:$M$110,$H$31),"-")</f>
        <v>-</v>
      </c>
      <c r="AC32" s="14" t="str">
        <f aca="false">IF(AND($H32&lt;&gt;"",$H$32&lt;&gt;"",$H32&lt;&gt;$H$32,IFERROR(VLOOKUP($H32,areaCercaPuntiClassificaSquadra,3,FALSE()),-1)=IFERROR(VLOOKUP($H$32,areaCercaPuntiClassificaSquadra,3,FALSE()),-2)),SUMIFS('Calendario C'!$N$8:$N$110,'Calendario C'!$M$8:$M$110,$H32,'Calendario C'!$T$8:$T$110,$H$32)+SUMIFS('Calendario C'!$U$8:$U$110,'Calendario C'!$T$8:$T$110,$H32,'Calendario C'!$M$8:$M$110,$H$32),"-")</f>
        <v>-</v>
      </c>
      <c r="AD32" s="14" t="str">
        <f aca="false">IF(AND($H32&lt;&gt;"",$H$33&lt;&gt;"",$H32&lt;&gt;$H$33,IFERROR(VLOOKUP($H32,areaCercaPuntiClassificaSquadra,3,FALSE()),-1)=IFERROR(VLOOKUP($H$33,areaCercaPuntiClassificaSquadra,3,FALSE()),-2)),SUMIFS('Calendario C'!$N$8:$N$110,'Calendario C'!$M$8:$M$110,$H32,'Calendario C'!$T$8:$T$110,$H$33)+SUMIFS('Calendario C'!$U$8:$U$110,'Calendario C'!$T$8:$T$110,$H32,'Calendario C'!$M$8:$M$110,$H$33),"-")</f>
        <v>-</v>
      </c>
      <c r="AE32" s="14" t="str">
        <f aca="false">IF(AND($H32&lt;&gt;"",$H$34&lt;&gt;"",$H32&lt;&gt;$H$34,IFERROR(VLOOKUP($H32,areaCercaPuntiClassificaSquadra,3,FALSE()),-1)=IFERROR(VLOOKUP($H$34,areaCercaPuntiClassificaSquadra,3,FALSE()),-2)),SUMIFS('Calendario C'!$N$8:$N$110,'Calendario C'!$M$8:$M$110,$H32,'Calendario C'!$T$8:$T$110,$H$34)+SUMIFS('Calendario C'!$U$8:$U$110,'Calendario C'!$T$8:$T$110,$H32,'Calendario C'!$M$8:$M$110,$H$34),"-")</f>
        <v>-</v>
      </c>
      <c r="AF32" s="14" t="str">
        <f aca="false">IF(AND($H32&lt;&gt;"",$H$35&lt;&gt;"",$H32&lt;&gt;$H$35,IFERROR(VLOOKUP($H32,areaCercaPuntiClassificaSquadra,3,FALSE()),-1)=IFERROR(VLOOKUP($H$35,areaCercaPuntiClassificaSquadra,3,FALSE()),-2)),SUMIFS('Calendario C'!$N$8:$N$110,'Calendario C'!$M$8:$M$110,$H32,'Calendario C'!$T$8:$T$110,$H$35)+SUMIFS('Calendario C'!$U$8:$U$110,'Calendario C'!$T$8:$T$110,$H32,'Calendario C'!$M$8:$M$110,$H$35),"-")</f>
        <v>-</v>
      </c>
      <c r="AG32" s="13" t="str">
        <f aca="false">$C32</f>
        <v>Albatri Astuti-Albatriopoli AI</v>
      </c>
      <c r="AH32" s="14" t="str">
        <f aca="false">IF(AND($H32&lt;&gt;"",$H$28&lt;&gt;"",$H32&lt;&gt;$H$28,IFERROR(VLOOKUP($H32,areaCercaPuntiClassificaSquadra,3,FALSE()),-1)=IFERROR(VLOOKUP($H$28,areaCercaPuntiClassificaSquadra,3,FALSE()),-2)),SUMIFS('Calendario C'!$P$8:$P$110,'Calendario C'!$M$8:$M$110,$H32,'Calendario C'!$T$8:$T$110,$H$28)+SUMIFS('Calendario C'!$W$8:$W$110,'Calendario C'!$T$8:$T$110,$H32,'Calendario C'!$M$8:$M$110,$H$28)+SUMIFS('Calendario C'!$O$8:$O$110,'Calendario C'!$M$8:$M$110,$H32,'Calendario C'!$T$8:$T$110,$H$28)+SUMIFS('Calendario C'!$V$8:$V$110,'Calendario C'!$T$8:$T$110,$H32,'Calendario C'!$M$8:$M$110,$H$28),"-")</f>
        <v>-</v>
      </c>
      <c r="AI32" s="14" t="str">
        <f aca="false">IF(AND($H32&lt;&gt;"",$H$29&lt;&gt;"",$H32&lt;&gt;$H$29,IFERROR(VLOOKUP($H32,areaCercaPuntiClassificaSquadra,3,FALSE()),-1)=IFERROR(VLOOKUP($H$29,areaCercaPuntiClassificaSquadra,3,FALSE()),-2)),SUMIFS('Calendario C'!$P$8:$P$110,'Calendario C'!$M$8:$M$110,$H32,'Calendario C'!$T$8:$T$110,$H$29)+SUMIFS('Calendario C'!$W$8:$W$110,'Calendario C'!$T$8:$T$110,$H32,'Calendario C'!$M$8:$M$110,$H$29)+SUMIFS('Calendario C'!$O$8:$O$110,'Calendario C'!$M$8:$M$110,$H32,'Calendario C'!$T$8:$T$110,$H$29)+SUMIFS('Calendario C'!$V$8:$V$110,'Calendario C'!$T$8:$T$110,$H32,'Calendario C'!$M$8:$M$110,$H$29),"-")</f>
        <v>-</v>
      </c>
      <c r="AJ32" s="14" t="str">
        <f aca="false">IF(AND($H32&lt;&gt;"",$H$30&lt;&gt;"",$H32&lt;&gt;$H$30,IFERROR(VLOOKUP($H32,areaCercaPuntiClassificaSquadra,3,FALSE()),-1)=IFERROR(VLOOKUP($H$30,areaCercaPuntiClassificaSquadra,3,FALSE()),-2)),SUMIFS('Calendario C'!$P$8:$P$110,'Calendario C'!$M$8:$M$110,$H32,'Calendario C'!$T$8:$T$110,$H$30)+SUMIFS('Calendario C'!$W$8:$W$110,'Calendario C'!$T$8:$T$110,$H32,'Calendario C'!$M$8:$M$110,$H$30)+SUMIFS('Calendario C'!$O$8:$O$110,'Calendario C'!$M$8:$M$110,$H32,'Calendario C'!$T$8:$T$110,$H$30)+SUMIFS('Calendario C'!$V$8:$V$110,'Calendario C'!$T$8:$T$110,$H32,'Calendario C'!$M$8:$M$110,$H$30),"-")</f>
        <v>-</v>
      </c>
      <c r="AK32" s="14" t="str">
        <f aca="false">IF(AND($H32&lt;&gt;"",$H$31&lt;&gt;"",$H32&lt;&gt;$H$31,IFERROR(VLOOKUP($H32,areaCercaPuntiClassificaSquadra,3,FALSE()),-1)=IFERROR(VLOOKUP($H$31,areaCercaPuntiClassificaSquadra,3,FALSE()),-2)),SUMIFS('Calendario C'!$P$8:$P$110,'Calendario C'!$M$8:$M$110,$H32,'Calendario C'!$T$8:$T$110,$H$31)+SUMIFS('Calendario C'!$W$8:$W$110,'Calendario C'!$T$8:$T$110,$H32,'Calendario C'!$M$8:$M$110,$H$31)+SUMIFS('Calendario C'!$O$8:$O$110,'Calendario C'!$M$8:$M$110,$H32,'Calendario C'!$T$8:$T$110,$H$31)+SUMIFS('Calendario C'!$V$8:$V$110,'Calendario C'!$T$8:$T$110,$H32,'Calendario C'!$M$8:$M$110,$H$31),"-")</f>
        <v>-</v>
      </c>
      <c r="AL32" s="14" t="str">
        <f aca="false">IF(AND($H32&lt;&gt;"",$H$32&lt;&gt;"",$H32&lt;&gt;$H$32,IFERROR(VLOOKUP($H32,areaCercaPuntiClassificaSquadra,3,FALSE()),-1)=IFERROR(VLOOKUP($H$32,areaCercaPuntiClassificaSquadra,3,FALSE()),-2)),SUMIFS('Calendario C'!$P$8:$P$110,'Calendario C'!$M$8:$M$110,$H32,'Calendario C'!$T$8:$T$110,$H$32)+SUMIFS('Calendario C'!$W$8:$W$110,'Calendario C'!$T$8:$T$110,$H32,'Calendario C'!$M$8:$M$110,$H$32)+SUMIFS('Calendario C'!$O$8:$O$110,'Calendario C'!$M$8:$M$110,$H32,'Calendario C'!$T$8:$T$110,$H$32)+SUMIFS('Calendario C'!$V$8:$V$110,'Calendario C'!$T$8:$T$110,$H32,'Calendario C'!$M$8:$M$110,$H$32),"-")</f>
        <v>-</v>
      </c>
      <c r="AM32" s="14" t="str">
        <f aca="false">IF(AND($H32&lt;&gt;"",$H$33&lt;&gt;"",$H32&lt;&gt;$H$33,IFERROR(VLOOKUP($H32,areaCercaPuntiClassificaSquadra,3,FALSE()),-1)=IFERROR(VLOOKUP($H$33,areaCercaPuntiClassificaSquadra,3,FALSE()),-2)),SUMIFS('Calendario C'!$P$8:$P$110,'Calendario C'!$M$8:$M$110,$H32,'Calendario C'!$T$8:$T$110,$H$33)+SUMIFS('Calendario C'!$W$8:$W$110,'Calendario C'!$T$8:$T$110,$H32,'Calendario C'!$M$8:$M$110,$H$33)+SUMIFS('Calendario C'!$O$8:$O$110,'Calendario C'!$M$8:$M$110,$H32,'Calendario C'!$T$8:$T$110,$H$33)+SUMIFS('Calendario C'!$V$8:$V$110,'Calendario C'!$T$8:$T$110,$H32,'Calendario C'!$M$8:$M$110,$H$33),"-")</f>
        <v>-</v>
      </c>
      <c r="AN32" s="14" t="str">
        <f aca="false">IF(AND($H32&lt;&gt;"",$H$34&lt;&gt;"",$H32&lt;&gt;$H$34,IFERROR(VLOOKUP($H32,areaCercaPuntiClassificaSquadra,3,FALSE()),-1)=IFERROR(VLOOKUP($H$34,areaCercaPuntiClassificaSquadra,3,FALSE()),-2)),SUMIFS('Calendario C'!$P$8:$P$110,'Calendario C'!$M$8:$M$110,$H32,'Calendario C'!$T$8:$T$110,$H$34)+SUMIFS('Calendario C'!$W$8:$W$110,'Calendario C'!$T$8:$T$110,$H32,'Calendario C'!$M$8:$M$110,$H$34)+SUMIFS('Calendario C'!$O$8:$O$110,'Calendario C'!$M$8:$M$110,$H32,'Calendario C'!$T$8:$T$110,$H$34)+SUMIFS('Calendario C'!$V$8:$V$110,'Calendario C'!$T$8:$T$110,$H32,'Calendario C'!$M$8:$M$110,$H$34),"-")</f>
        <v>-</v>
      </c>
      <c r="AO32" s="14" t="str">
        <f aca="false">IF(AND($H32&lt;&gt;"",$H$35&lt;&gt;"",$H32&lt;&gt;$H$35,IFERROR(VLOOKUP($H32,areaCercaPuntiClassificaSquadra,3,FALSE()),-1)=IFERROR(VLOOKUP($H$35,areaCercaPuntiClassificaSquadra,3,FALSE()),-2)),SUMIFS('Calendario C'!$P$8:$P$110,'Calendario C'!$M$8:$M$110,$H32,'Calendario C'!$T$8:$T$110,$H$35)+SUMIFS('Calendario C'!$W$8:$W$110,'Calendario C'!$T$8:$T$110,$H32,'Calendario C'!$M$8:$M$110,$H$35)+SUMIFS('Calendario C'!$O$8:$O$110,'Calendario C'!$M$8:$M$110,$H32,'Calendario C'!$T$8:$T$110,$H$35)+SUMIFS('Calendario C'!$V$8:$V$110,'Calendario C'!$T$8:$T$110,$H32,'Calendario C'!$M$8:$M$110,$H$35),"-")</f>
        <v>-</v>
      </c>
      <c r="AP32" s="13" t="str">
        <f aca="false">$C32</f>
        <v>Albatri Astuti-Albatriopoli AI</v>
      </c>
      <c r="AQ32" s="14" t="str">
        <f aca="false">IF(AND($H32&lt;&gt;"",$H$28&lt;&gt;"",$H32&lt;&gt;$H$28,IFERROR(VLOOKUP($H32,areaCercaPuntiClassificaSquadra,3,FALSE()),-1)=IFERROR(VLOOKUP($H$28,areaCercaPuntiClassificaSquadra,3,FALSE()),-2)),SUMIFS('Calendario C'!$Q$8:$Q$110,'Calendario C'!$M$8:$M$110,$H32,'Calendario C'!$T$8:$T$110,$H$28)+SUMIFS('Calendario C'!$X$8:$X$110,'Calendario C'!$T$8:$T$110,$H32,'Calendario C'!$M$8:$M$110,$H$28),"-")</f>
        <v>-</v>
      </c>
      <c r="AR32" s="14" t="str">
        <f aca="false">IF(AND($H32&lt;&gt;"",$H$29&lt;&gt;"",$H32&lt;&gt;$H$29,IFERROR(VLOOKUP($H32,areaCercaPuntiClassificaSquadra,3,FALSE()),-1)=IFERROR(VLOOKUP($H$29,areaCercaPuntiClassificaSquadra,3,FALSE()),-2)),SUMIFS('Calendario C'!$Q$8:$Q$110,'Calendario C'!$M$8:$M$110,$H32,'Calendario C'!$T$8:$T$110,$H$29)+SUMIFS('Calendario C'!$X$8:$X$110,'Calendario C'!$T$8:$T$110,$H32,'Calendario C'!$M$8:$M$110,$H$29),"-")</f>
        <v>-</v>
      </c>
      <c r="AS32" s="14" t="str">
        <f aca="false">IF(AND($H32&lt;&gt;"",$H$30&lt;&gt;"",$H32&lt;&gt;$H$30,IFERROR(VLOOKUP($H32,areaCercaPuntiClassificaSquadra,3,FALSE()),-1)=IFERROR(VLOOKUP($H$30,areaCercaPuntiClassificaSquadra,3,FALSE()),-2)),SUMIFS('Calendario C'!$Q$8:$Q$110,'Calendario C'!$M$8:$M$110,$H32,'Calendario C'!$T$8:$T$110,$H$30)+SUMIFS('Calendario C'!$X$8:$X$110,'Calendario C'!$T$8:$T$110,$H32,'Calendario C'!$M$8:$M$110,$H$30),"-")</f>
        <v>-</v>
      </c>
      <c r="AT32" s="14" t="str">
        <f aca="false">IF(AND($H32&lt;&gt;"",$H$31&lt;&gt;"",$H32&lt;&gt;$H$31,IFERROR(VLOOKUP($H32,areaCercaPuntiClassificaSquadra,3,FALSE()),-1)=IFERROR(VLOOKUP($H$31,areaCercaPuntiClassificaSquadra,3,FALSE()),-2)),SUMIFS('Calendario C'!$Q$8:$Q$110,'Calendario C'!$M$8:$M$110,$H32,'Calendario C'!$T$8:$T$110,$H$31)+SUMIFS('Calendario C'!$X$8:$X$110,'Calendario C'!$T$8:$T$110,$H32,'Calendario C'!$M$8:$M$110,$H$31),"-")</f>
        <v>-</v>
      </c>
      <c r="AU32" s="14" t="str">
        <f aca="false">IF(AND($H32&lt;&gt;"",$H$32&lt;&gt;"",$H32&lt;&gt;$H$32,IFERROR(VLOOKUP($H32,areaCercaPuntiClassificaSquadra,3,FALSE()),-1)=IFERROR(VLOOKUP($H$32,areaCercaPuntiClassificaSquadra,3,FALSE()),-2)),SUMIFS('Calendario C'!$Q$8:$Q$110,'Calendario C'!$M$8:$M$110,$H32,'Calendario C'!$T$8:$T$110,$H$32)+SUMIFS('Calendario C'!$X$8:$X$110,'Calendario C'!$T$8:$T$110,$H32,'Calendario C'!$M$8:$M$110,$H$32),"-")</f>
        <v>-</v>
      </c>
      <c r="AV32" s="14" t="str">
        <f aca="false">IF(AND($H32&lt;&gt;"",$H$33&lt;&gt;"",$H32&lt;&gt;$H$33,IFERROR(VLOOKUP($H32,areaCercaPuntiClassificaSquadra,3,FALSE()),-1)=IFERROR(VLOOKUP($H$33,areaCercaPuntiClassificaSquadra,3,FALSE()),-2)),SUMIFS('Calendario C'!$Q$8:$Q$110,'Calendario C'!$M$8:$M$110,$H32,'Calendario C'!$T$8:$T$110,$H$33)+SUMIFS('Calendario C'!$X$8:$X$110,'Calendario C'!$T$8:$T$110,$H32,'Calendario C'!$M$8:$M$110,$H$33),"-")</f>
        <v>-</v>
      </c>
      <c r="AW32" s="14" t="str">
        <f aca="false">IF(AND($H32&lt;&gt;"",$H$34&lt;&gt;"",$H32&lt;&gt;$H$34,IFERROR(VLOOKUP($H32,areaCercaPuntiClassificaSquadra,3,FALSE()),-1)=IFERROR(VLOOKUP($H$34,areaCercaPuntiClassificaSquadra,3,FALSE()),-2)),SUMIFS('Calendario C'!$Q$8:$Q$110,'Calendario C'!$M$8:$M$110,$H32,'Calendario C'!$T$8:$T$110,$H$34)+SUMIFS('Calendario C'!$X$8:$X$110,'Calendario C'!$T$8:$T$110,$H32,'Calendario C'!$M$8:$M$110,$H$34),"-")</f>
        <v>-</v>
      </c>
      <c r="AX32" s="14" t="str">
        <f aca="false">IF(AND($H32&lt;&gt;"",$H$35&lt;&gt;"",$H32&lt;&gt;$H$35,IFERROR(VLOOKUP($H32,areaCercaPuntiClassificaSquadra,3,FALSE()),-1)=IFERROR(VLOOKUP($H$35,areaCercaPuntiClassificaSquadra,3,FALSE()),-2)),SUMIFS('Calendario C'!$Q$8:$Q$110,'Calendario C'!$M$8:$M$110,$H32,'Calendario C'!$T$8:$T$110,$H$35)+SUMIFS('Calendario C'!$X$8:$X$110,'Calendario C'!$T$8:$T$110,$H32,'Calendario C'!$M$8:$M$110,$H$35),"-")</f>
        <v>-</v>
      </c>
      <c r="AY32" s="13" t="str">
        <f aca="false">$C32</f>
        <v>Albatri Astuti-Albatriopoli AI</v>
      </c>
      <c r="AZ32" s="14" t="str">
        <f aca="false">IF(AND($H32&lt;&gt;"",$H$28&lt;&gt;"",$H32&lt;&gt;$H$28,IFERROR(VLOOKUP($H32,areaCercaPuntiClassificaSquadra,3,FALSE()),-1)=IFERROR(VLOOKUP($H$28,areaCercaPuntiClassificaSquadra,3,FALSE()),-2)),SUMIFS('Calendario C'!$R$8:$R$110,'Calendario C'!$M$8:$M$110,$H32,'Calendario C'!$T$8:$T$110,$H$28)+SUMIFS('Calendario C'!$Y$8:$Y$110,'Calendario C'!$T$8:$T$110,$H32,'Calendario C'!$M$8:$M$110,$H$28),"-")</f>
        <v>-</v>
      </c>
      <c r="BA32" s="14" t="str">
        <f aca="false">IF(AND($H32&lt;&gt;"",$H$29&lt;&gt;"",$H32&lt;&gt;$H$29,IFERROR(VLOOKUP($H32,areaCercaPuntiClassificaSquadra,3,FALSE()),-1)=IFERROR(VLOOKUP($H$29,areaCercaPuntiClassificaSquadra,3,FALSE()),-2)),SUMIFS('Calendario C'!$R$8:$R$110,'Calendario C'!$M$8:$M$110,$H32,'Calendario C'!$T$8:$T$110,$H$29)+SUMIFS('Calendario C'!$Y$8:$Y$110,'Calendario C'!$T$8:$T$110,$H32,'Calendario C'!$M$8:$M$110,$H$29),"-")</f>
        <v>-</v>
      </c>
      <c r="BB32" s="14" t="str">
        <f aca="false">IF(AND($H32&lt;&gt;"",$H$30&lt;&gt;"",$H32&lt;&gt;$H$30,IFERROR(VLOOKUP($H32,areaCercaPuntiClassificaSquadra,3,FALSE()),-1)=IFERROR(VLOOKUP($H$30,areaCercaPuntiClassificaSquadra,3,FALSE()),-2)),SUMIFS('Calendario C'!$R$8:$R$110,'Calendario C'!$M$8:$M$110,$H32,'Calendario C'!$T$8:$T$110,$H$30)+SUMIFS('Calendario C'!$Y$8:$Y$110,'Calendario C'!$T$8:$T$110,$H32,'Calendario C'!$M$8:$M$110,$H$30),"-")</f>
        <v>-</v>
      </c>
      <c r="BC32" s="14" t="str">
        <f aca="false">IF(AND($H32&lt;&gt;"",$H$31&lt;&gt;"",$H32&lt;&gt;$H$31,IFERROR(VLOOKUP($H32,areaCercaPuntiClassificaSquadra,3,FALSE()),-1)=IFERROR(VLOOKUP($H$31,areaCercaPuntiClassificaSquadra,3,FALSE()),-2)),SUMIFS('Calendario C'!$R$8:$R$110,'Calendario C'!$M$8:$M$110,$H32,'Calendario C'!$T$8:$T$110,$H$31)+SUMIFS('Calendario C'!$Y$8:$Y$110,'Calendario C'!$T$8:$T$110,$H32,'Calendario C'!$M$8:$M$110,$H$31),"-")</f>
        <v>-</v>
      </c>
      <c r="BD32" s="14" t="str">
        <f aca="false">IF(AND($H32&lt;&gt;"",$H$32&lt;&gt;"",$H32&lt;&gt;$H$32,IFERROR(VLOOKUP($H32,areaCercaPuntiClassificaSquadra,3,FALSE()),-1)=IFERROR(VLOOKUP($H$32,areaCercaPuntiClassificaSquadra,3,FALSE()),-2)),SUMIFS('Calendario C'!$R$8:$R$110,'Calendario C'!$M$8:$M$110,$H32,'Calendario C'!$T$8:$T$110,$H$32)+SUMIFS('Calendario C'!$Y$8:$Y$110,'Calendario C'!$T$8:$T$110,$H32,'Calendario C'!$M$8:$M$110,$H$32),"-")</f>
        <v>-</v>
      </c>
      <c r="BE32" s="14" t="str">
        <f aca="false">IF(AND($H32&lt;&gt;"",$H$33&lt;&gt;"",$H32&lt;&gt;$H$33,IFERROR(VLOOKUP($H32,areaCercaPuntiClassificaSquadra,3,FALSE()),-1)=IFERROR(VLOOKUP($H$33,areaCercaPuntiClassificaSquadra,3,FALSE()),-2)),SUMIFS('Calendario C'!$R$8:$R$110,'Calendario C'!$M$8:$M$110,$H32,'Calendario C'!$T$8:$T$110,$H$33)+SUMIFS('Calendario C'!$Y$8:$Y$110,'Calendario C'!$T$8:$T$110,$H32,'Calendario C'!$M$8:$M$110,$H$33),"-")</f>
        <v>-</v>
      </c>
      <c r="BF32" s="14" t="str">
        <f aca="false">IF(AND($H32&lt;&gt;"",$H$34&lt;&gt;"",$H32&lt;&gt;$H$34,IFERROR(VLOOKUP($H32,areaCercaPuntiClassificaSquadra,3,FALSE()),-1)=IFERROR(VLOOKUP($H$34,areaCercaPuntiClassificaSquadra,3,FALSE()),-2)),SUMIFS('Calendario C'!$R$8:$R$110,'Calendario C'!$M$8:$M$110,$H32,'Calendario C'!$T$8:$T$110,$H$34)+SUMIFS('Calendario C'!$Y$8:$Y$110,'Calendario C'!$T$8:$T$110,$H32,'Calendario C'!$M$8:$M$110,$H$34),"-")</f>
        <v>-</v>
      </c>
      <c r="BG32" s="14" t="str">
        <f aca="false">IF(AND($H32&lt;&gt;"",$H$35&lt;&gt;"",$H32&lt;&gt;$H$35,IFERROR(VLOOKUP($H32,areaCercaPuntiClassificaSquadra,3,FALSE()),-1)=IFERROR(VLOOKUP($H$35,areaCercaPuntiClassificaSquadra,3,FALSE()),-2)),SUMIFS('Calendario C'!$R$8:$R$110,'Calendario C'!$M$8:$M$110,$H32,'Calendario C'!$T$8:$T$110,$H$35)+SUMIFS('Calendario C'!$Y$8:$Y$110,'Calendario C'!$T$8:$T$110,$H32,'Calendario C'!$M$8:$M$110,$H$35),"-")</f>
        <v>-</v>
      </c>
    </row>
    <row r="33" customFormat="false" ht="15" hidden="false" customHeight="false" outlineLevel="0" collapsed="false">
      <c r="B33" s="7" t="s">
        <v>92</v>
      </c>
      <c r="C33" s="8" t="s">
        <v>93</v>
      </c>
      <c r="D33" s="9"/>
      <c r="E33" s="17" t="s">
        <v>83</v>
      </c>
      <c r="G33" s="18" t="str">
        <f aca="false">IF($C33="","",$E33&amp;(COUNTIFS(I$12:I$75,"&gt;"&amp;I33,E$12:E$75,"="&amp;E33,C$12:C$75,"&lt;&gt;")+COUNTIFS(I$12:I$75,"="&amp;I33,H$12:H$75,"&lt;="&amp;H33,E$12:E$75,"="&amp;E33,C$12:C$75,"&lt;&gt;")))</f>
        <v>C4</v>
      </c>
      <c r="H33" s="12" t="str">
        <f aca="false">IF($C33="","",IFERROR(LEFT($C33,FIND("-",$C33)-1),$C33))</f>
        <v>Bisonti Baldanzosi</v>
      </c>
      <c r="I33" s="7" t="str">
        <f aca="false">TEXT(1000000000+J33,"|0000000000|")&amp;TEXT(SUM(Y33:AF33),"0000000000|")&amp;IF(SUM(AZ33:BG33)=0,"0000000000|",TEXT(ROUND(SUM(AQ33:AX33)/SUM(AZ33:BG33),4)*100000,"0000000000|"))&amp;IF(P33=0,"0000000000|",TEXT(ROUND(O33/P33,4)*100000,"0000000000|"))</f>
        <v>|1000000013|0000000001|0000111540|0000109450|</v>
      </c>
      <c r="J33" s="18" t="n">
        <f aca="false">L33*constPuntiVittoria+M33*constPuntiSconfitta+N33*constPuntiForfait+IF(D33="",0,D33)</f>
        <v>13</v>
      </c>
      <c r="K33" s="7" t="n">
        <f aca="false">SUM(L33:N33)</f>
        <v>7</v>
      </c>
      <c r="L33" s="7" t="n">
        <f aca="false">IF($H33="",0,SUMIF('Calendario C'!$M$8:$M$110,$H33,'Calendario C'!$N$8:$N$110)+SUMIF('Calendario C'!$T$8:$T$110,$H33,'Calendario C'!$U$8:$U$110))</f>
        <v>3</v>
      </c>
      <c r="M33" s="7" t="n">
        <f aca="false">IF($H33="",0,SUMIF('Calendario C'!$M$8:$M$110,$H33,'Calendario C'!$P$8:$P$110)+SUMIF('Calendario C'!$T$8:$T$110,$H33,'Calendario C'!$W$8:$W$110))</f>
        <v>4</v>
      </c>
      <c r="N33" s="7" t="n">
        <f aca="false">IF($H33="",0,SUMIF('Calendario C'!$M$8:$M$110,$H33,'Calendario C'!$O$8:$O$110)+SUMIF('Calendario C'!$T$8:$T$110,$H33,'Calendario C'!$V$8:$V$110))</f>
        <v>0</v>
      </c>
      <c r="O33" s="7" t="n">
        <f aca="false">IF($H33="",0,SUMIF('Calendario C'!$M$8:$M$110,$H33,'Calendario C'!$Q$8:$Q$110)+SUMIF('Calendario C'!$T$8:$T$110,$H33,'Calendario C'!$X$8:$X$110))</f>
        <v>417</v>
      </c>
      <c r="P33" s="7" t="n">
        <f aca="false">IF($H33="",0,SUMIF('Calendario C'!$M$8:$M$110,$H33,'Calendario C'!$R$8:$R$110)+SUMIF('Calendario C'!$T$8:$T$110,$H33,'Calendario C'!$Y$8:$Y$110))</f>
        <v>381</v>
      </c>
      <c r="Q33" s="7" t="n">
        <f aca="false">IF($H33="",0,SUMIF('Calendario C'!$M$8:$M$110,$H33,'Calendario C'!$S$8:$S$110)+SUMIF('Calendario C'!$T$8:$T$110,$H33,'Calendario C'!$Z$8:$Z$110))</f>
        <v>36</v>
      </c>
      <c r="R33" s="7" t="n">
        <f aca="false">IF(K33=0,0,ROUND(O33/K33,2))</f>
        <v>59.57</v>
      </c>
      <c r="S33" s="7" t="n">
        <f aca="false">IF(K33=0,0,ROUND(P33/K33,2))</f>
        <v>54.43</v>
      </c>
      <c r="T33" s="7" t="n">
        <f aca="false">IF(K33=0,0,ROUND(Q33/K33,2))</f>
        <v>5.14</v>
      </c>
      <c r="U33" s="7" t="str">
        <f aca="false">IF(COUNT(Y33:AF33)=0,"-",SUM(Y33:AF33)&amp;"-"&amp;SUM(AH33:AO33))</f>
        <v>1-0</v>
      </c>
      <c r="V33" s="7" t="str">
        <f aca="false">IF(COUNT(Y33:AF33)=0,"-",IF(SUM(AZ33:BG33)=0,TEXT(0,"0.0000"),TEXT(ROUND(SUM(AQ33:AX33)/SUM(AZ33:BG33),4),"0.0000")))</f>
        <v>1.1154</v>
      </c>
      <c r="W33" s="7" t="str">
        <f aca="false">IF(H33="","-",IF(P33=0,TEXT(0,"0.0000"),TEXT(ROUND(O33/P33,4),"0.0000")))</f>
        <v>1.0945</v>
      </c>
      <c r="X33" s="13" t="str">
        <f aca="false">$C33</f>
        <v>Bisonti Baldanzosi-Bisontiopoli BI</v>
      </c>
      <c r="Y33" s="14" t="str">
        <f aca="false">IF(AND($H33&lt;&gt;"",$H$28&lt;&gt;"",$H33&lt;&gt;$H$28,IFERROR(VLOOKUP($H33,areaCercaPuntiClassificaSquadra,3,FALSE()),-1)=IFERROR(VLOOKUP($H$28,areaCercaPuntiClassificaSquadra,3,FALSE()),-2)),SUMIFS('Calendario C'!$N$8:$N$110,'Calendario C'!$M$8:$M$110,$H33,'Calendario C'!$T$8:$T$110,$H$28)+SUMIFS('Calendario C'!$U$8:$U$110,'Calendario C'!$T$8:$T$110,$H33,'Calendario C'!$M$8:$M$110,$H$28),"-")</f>
        <v>-</v>
      </c>
      <c r="Z33" s="14" t="str">
        <f aca="false">IF(AND($H33&lt;&gt;"",$H$29&lt;&gt;"",$H33&lt;&gt;$H$29,IFERROR(VLOOKUP($H33,areaCercaPuntiClassificaSquadra,3,FALSE()),-1)=IFERROR(VLOOKUP($H$29,areaCercaPuntiClassificaSquadra,3,FALSE()),-2)),SUMIFS('Calendario C'!$N$8:$N$110,'Calendario C'!$M$8:$M$110,$H33,'Calendario C'!$T$8:$T$110,$H$29)+SUMIFS('Calendario C'!$U$8:$U$110,'Calendario C'!$T$8:$T$110,$H33,'Calendario C'!$M$8:$M$110,$H$29),"-")</f>
        <v>-</v>
      </c>
      <c r="AA33" s="14" t="str">
        <f aca="false">IF(AND($H33&lt;&gt;"",$H$30&lt;&gt;"",$H33&lt;&gt;$H$30,IFERROR(VLOOKUP($H33,areaCercaPuntiClassificaSquadra,3,FALSE()),-1)=IFERROR(VLOOKUP($H$30,areaCercaPuntiClassificaSquadra,3,FALSE()),-2)),SUMIFS('Calendario C'!$N$8:$N$110,'Calendario C'!$M$8:$M$110,$H33,'Calendario C'!$T$8:$T$110,$H$30)+SUMIFS('Calendario C'!$U$8:$U$110,'Calendario C'!$T$8:$T$110,$H33,'Calendario C'!$M$8:$M$110,$H$30),"-")</f>
        <v>-</v>
      </c>
      <c r="AB33" s="14" t="str">
        <f aca="false">IF(AND($H33&lt;&gt;"",$H$31&lt;&gt;"",$H33&lt;&gt;$H$31,IFERROR(VLOOKUP($H33,areaCercaPuntiClassificaSquadra,3,FALSE()),-1)=IFERROR(VLOOKUP($H$31,areaCercaPuntiClassificaSquadra,3,FALSE()),-2)),SUMIFS('Calendario C'!$N$8:$N$110,'Calendario C'!$M$8:$M$110,$H33,'Calendario C'!$T$8:$T$110,$H$31)+SUMIFS('Calendario C'!$U$8:$U$110,'Calendario C'!$T$8:$T$110,$H33,'Calendario C'!$M$8:$M$110,$H$31),"-")</f>
        <v>-</v>
      </c>
      <c r="AC33" s="14" t="str">
        <f aca="false">IF(AND($H33&lt;&gt;"",$H$32&lt;&gt;"",$H33&lt;&gt;$H$32,IFERROR(VLOOKUP($H33,areaCercaPuntiClassificaSquadra,3,FALSE()),-1)=IFERROR(VLOOKUP($H$32,areaCercaPuntiClassificaSquadra,3,FALSE()),-2)),SUMIFS('Calendario C'!$N$8:$N$110,'Calendario C'!$M$8:$M$110,$H33,'Calendario C'!$T$8:$T$110,$H$32)+SUMIFS('Calendario C'!$U$8:$U$110,'Calendario C'!$T$8:$T$110,$H33,'Calendario C'!$M$8:$M$110,$H$32),"-")</f>
        <v>-</v>
      </c>
      <c r="AD33" s="14" t="str">
        <f aca="false">IF(AND($H33&lt;&gt;"",$H$33&lt;&gt;"",$H33&lt;&gt;$H$33,IFERROR(VLOOKUP($H33,areaCercaPuntiClassificaSquadra,3,FALSE()),-1)=IFERROR(VLOOKUP($H$33,areaCercaPuntiClassificaSquadra,3,FALSE()),-2)),SUMIFS('Calendario C'!$N$8:$N$110,'Calendario C'!$M$8:$M$110,$H33,'Calendario C'!$T$8:$T$110,$H$33)+SUMIFS('Calendario C'!$U$8:$U$110,'Calendario C'!$T$8:$T$110,$H33,'Calendario C'!$M$8:$M$110,$H$33),"-")</f>
        <v>-</v>
      </c>
      <c r="AE33" s="14" t="n">
        <f aca="false">IF(AND($H33&lt;&gt;"",$H$34&lt;&gt;"",$H33&lt;&gt;$H$34,IFERROR(VLOOKUP($H33,areaCercaPuntiClassificaSquadra,3,FALSE()),-1)=IFERROR(VLOOKUP($H$34,areaCercaPuntiClassificaSquadra,3,FALSE()),-2)),SUMIFS('Calendario C'!$N$8:$N$110,'Calendario C'!$M$8:$M$110,$H33,'Calendario C'!$T$8:$T$110,$H$34)+SUMIFS('Calendario C'!$U$8:$U$110,'Calendario C'!$T$8:$T$110,$H33,'Calendario C'!$M$8:$M$110,$H$34),"-")</f>
        <v>1</v>
      </c>
      <c r="AF33" s="14" t="str">
        <f aca="false">IF(AND($H33&lt;&gt;"",$H$35&lt;&gt;"",$H33&lt;&gt;$H$35,IFERROR(VLOOKUP($H33,areaCercaPuntiClassificaSquadra,3,FALSE()),-1)=IFERROR(VLOOKUP($H$35,areaCercaPuntiClassificaSquadra,3,FALSE()),-2)),SUMIFS('Calendario C'!$N$8:$N$110,'Calendario C'!$M$8:$M$110,$H33,'Calendario C'!$T$8:$T$110,$H$35)+SUMIFS('Calendario C'!$U$8:$U$110,'Calendario C'!$T$8:$T$110,$H33,'Calendario C'!$M$8:$M$110,$H$35),"-")</f>
        <v>-</v>
      </c>
      <c r="AG33" s="13" t="str">
        <f aca="false">$C33</f>
        <v>Bisonti Baldanzosi-Bisontiopoli BI</v>
      </c>
      <c r="AH33" s="14" t="str">
        <f aca="false">IF(AND($H33&lt;&gt;"",$H$28&lt;&gt;"",$H33&lt;&gt;$H$28,IFERROR(VLOOKUP($H33,areaCercaPuntiClassificaSquadra,3,FALSE()),-1)=IFERROR(VLOOKUP($H$28,areaCercaPuntiClassificaSquadra,3,FALSE()),-2)),SUMIFS('Calendario C'!$P$8:$P$110,'Calendario C'!$M$8:$M$110,$H33,'Calendario C'!$T$8:$T$110,$H$28)+SUMIFS('Calendario C'!$W$8:$W$110,'Calendario C'!$T$8:$T$110,$H33,'Calendario C'!$M$8:$M$110,$H$28)+SUMIFS('Calendario C'!$O$8:$O$110,'Calendario C'!$M$8:$M$110,$H33,'Calendario C'!$T$8:$T$110,$H$28)+SUMIFS('Calendario C'!$V$8:$V$110,'Calendario C'!$T$8:$T$110,$H33,'Calendario C'!$M$8:$M$110,$H$28),"-")</f>
        <v>-</v>
      </c>
      <c r="AI33" s="14" t="str">
        <f aca="false">IF(AND($H33&lt;&gt;"",$H$29&lt;&gt;"",$H33&lt;&gt;$H$29,IFERROR(VLOOKUP($H33,areaCercaPuntiClassificaSquadra,3,FALSE()),-1)=IFERROR(VLOOKUP($H$29,areaCercaPuntiClassificaSquadra,3,FALSE()),-2)),SUMIFS('Calendario C'!$P$8:$P$110,'Calendario C'!$M$8:$M$110,$H33,'Calendario C'!$T$8:$T$110,$H$29)+SUMIFS('Calendario C'!$W$8:$W$110,'Calendario C'!$T$8:$T$110,$H33,'Calendario C'!$M$8:$M$110,$H$29)+SUMIFS('Calendario C'!$O$8:$O$110,'Calendario C'!$M$8:$M$110,$H33,'Calendario C'!$T$8:$T$110,$H$29)+SUMIFS('Calendario C'!$V$8:$V$110,'Calendario C'!$T$8:$T$110,$H33,'Calendario C'!$M$8:$M$110,$H$29),"-")</f>
        <v>-</v>
      </c>
      <c r="AJ33" s="14" t="str">
        <f aca="false">IF(AND($H33&lt;&gt;"",$H$30&lt;&gt;"",$H33&lt;&gt;$H$30,IFERROR(VLOOKUP($H33,areaCercaPuntiClassificaSquadra,3,FALSE()),-1)=IFERROR(VLOOKUP($H$30,areaCercaPuntiClassificaSquadra,3,FALSE()),-2)),SUMIFS('Calendario C'!$P$8:$P$110,'Calendario C'!$M$8:$M$110,$H33,'Calendario C'!$T$8:$T$110,$H$30)+SUMIFS('Calendario C'!$W$8:$W$110,'Calendario C'!$T$8:$T$110,$H33,'Calendario C'!$M$8:$M$110,$H$30)+SUMIFS('Calendario C'!$O$8:$O$110,'Calendario C'!$M$8:$M$110,$H33,'Calendario C'!$T$8:$T$110,$H$30)+SUMIFS('Calendario C'!$V$8:$V$110,'Calendario C'!$T$8:$T$110,$H33,'Calendario C'!$M$8:$M$110,$H$30),"-")</f>
        <v>-</v>
      </c>
      <c r="AK33" s="14" t="str">
        <f aca="false">IF(AND($H33&lt;&gt;"",$H$31&lt;&gt;"",$H33&lt;&gt;$H$31,IFERROR(VLOOKUP($H33,areaCercaPuntiClassificaSquadra,3,FALSE()),-1)=IFERROR(VLOOKUP($H$31,areaCercaPuntiClassificaSquadra,3,FALSE()),-2)),SUMIFS('Calendario C'!$P$8:$P$110,'Calendario C'!$M$8:$M$110,$H33,'Calendario C'!$T$8:$T$110,$H$31)+SUMIFS('Calendario C'!$W$8:$W$110,'Calendario C'!$T$8:$T$110,$H33,'Calendario C'!$M$8:$M$110,$H$31)+SUMIFS('Calendario C'!$O$8:$O$110,'Calendario C'!$M$8:$M$110,$H33,'Calendario C'!$T$8:$T$110,$H$31)+SUMIFS('Calendario C'!$V$8:$V$110,'Calendario C'!$T$8:$T$110,$H33,'Calendario C'!$M$8:$M$110,$H$31),"-")</f>
        <v>-</v>
      </c>
      <c r="AL33" s="14" t="str">
        <f aca="false">IF(AND($H33&lt;&gt;"",$H$32&lt;&gt;"",$H33&lt;&gt;$H$32,IFERROR(VLOOKUP($H33,areaCercaPuntiClassificaSquadra,3,FALSE()),-1)=IFERROR(VLOOKUP($H$32,areaCercaPuntiClassificaSquadra,3,FALSE()),-2)),SUMIFS('Calendario C'!$P$8:$P$110,'Calendario C'!$M$8:$M$110,$H33,'Calendario C'!$T$8:$T$110,$H$32)+SUMIFS('Calendario C'!$W$8:$W$110,'Calendario C'!$T$8:$T$110,$H33,'Calendario C'!$M$8:$M$110,$H$32)+SUMIFS('Calendario C'!$O$8:$O$110,'Calendario C'!$M$8:$M$110,$H33,'Calendario C'!$T$8:$T$110,$H$32)+SUMIFS('Calendario C'!$V$8:$V$110,'Calendario C'!$T$8:$T$110,$H33,'Calendario C'!$M$8:$M$110,$H$32),"-")</f>
        <v>-</v>
      </c>
      <c r="AM33" s="14" t="str">
        <f aca="false">IF(AND($H33&lt;&gt;"",$H$33&lt;&gt;"",$H33&lt;&gt;$H$33,IFERROR(VLOOKUP($H33,areaCercaPuntiClassificaSquadra,3,FALSE()),-1)=IFERROR(VLOOKUP($H$33,areaCercaPuntiClassificaSquadra,3,FALSE()),-2)),SUMIFS('Calendario C'!$P$8:$P$110,'Calendario C'!$M$8:$M$110,$H33,'Calendario C'!$T$8:$T$110,$H$33)+SUMIFS('Calendario C'!$W$8:$W$110,'Calendario C'!$T$8:$T$110,$H33,'Calendario C'!$M$8:$M$110,$H$33)+SUMIFS('Calendario C'!$O$8:$O$110,'Calendario C'!$M$8:$M$110,$H33,'Calendario C'!$T$8:$T$110,$H$33)+SUMIFS('Calendario C'!$V$8:$V$110,'Calendario C'!$T$8:$T$110,$H33,'Calendario C'!$M$8:$M$110,$H$33),"-")</f>
        <v>-</v>
      </c>
      <c r="AN33" s="14" t="n">
        <f aca="false">IF(AND($H33&lt;&gt;"",$H$34&lt;&gt;"",$H33&lt;&gt;$H$34,IFERROR(VLOOKUP($H33,areaCercaPuntiClassificaSquadra,3,FALSE()),-1)=IFERROR(VLOOKUP($H$34,areaCercaPuntiClassificaSquadra,3,FALSE()),-2)),SUMIFS('Calendario C'!$P$8:$P$110,'Calendario C'!$M$8:$M$110,$H33,'Calendario C'!$T$8:$T$110,$H$34)+SUMIFS('Calendario C'!$W$8:$W$110,'Calendario C'!$T$8:$T$110,$H33,'Calendario C'!$M$8:$M$110,$H$34)+SUMIFS('Calendario C'!$O$8:$O$110,'Calendario C'!$M$8:$M$110,$H33,'Calendario C'!$T$8:$T$110,$H$34)+SUMIFS('Calendario C'!$V$8:$V$110,'Calendario C'!$T$8:$T$110,$H33,'Calendario C'!$M$8:$M$110,$H$34),"-")</f>
        <v>0</v>
      </c>
      <c r="AO33" s="14" t="str">
        <f aca="false">IF(AND($H33&lt;&gt;"",$H$35&lt;&gt;"",$H33&lt;&gt;$H$35,IFERROR(VLOOKUP($H33,areaCercaPuntiClassificaSquadra,3,FALSE()),-1)=IFERROR(VLOOKUP($H$35,areaCercaPuntiClassificaSquadra,3,FALSE()),-2)),SUMIFS('Calendario C'!$P$8:$P$110,'Calendario C'!$M$8:$M$110,$H33,'Calendario C'!$T$8:$T$110,$H$35)+SUMIFS('Calendario C'!$W$8:$W$110,'Calendario C'!$T$8:$T$110,$H33,'Calendario C'!$M$8:$M$110,$H$35)+SUMIFS('Calendario C'!$O$8:$O$110,'Calendario C'!$M$8:$M$110,$H33,'Calendario C'!$T$8:$T$110,$H$35)+SUMIFS('Calendario C'!$V$8:$V$110,'Calendario C'!$T$8:$T$110,$H33,'Calendario C'!$M$8:$M$110,$H$35),"-")</f>
        <v>-</v>
      </c>
      <c r="AP33" s="13" t="str">
        <f aca="false">$C33</f>
        <v>Bisonti Baldanzosi-Bisontiopoli BI</v>
      </c>
      <c r="AQ33" s="14" t="str">
        <f aca="false">IF(AND($H33&lt;&gt;"",$H$28&lt;&gt;"",$H33&lt;&gt;$H$28,IFERROR(VLOOKUP($H33,areaCercaPuntiClassificaSquadra,3,FALSE()),-1)=IFERROR(VLOOKUP($H$28,areaCercaPuntiClassificaSquadra,3,FALSE()),-2)),SUMIFS('Calendario C'!$Q$8:$Q$110,'Calendario C'!$M$8:$M$110,$H33,'Calendario C'!$T$8:$T$110,$H$28)+SUMIFS('Calendario C'!$X$8:$X$110,'Calendario C'!$T$8:$T$110,$H33,'Calendario C'!$M$8:$M$110,$H$28),"-")</f>
        <v>-</v>
      </c>
      <c r="AR33" s="14" t="str">
        <f aca="false">IF(AND($H33&lt;&gt;"",$H$29&lt;&gt;"",$H33&lt;&gt;$H$29,IFERROR(VLOOKUP($H33,areaCercaPuntiClassificaSquadra,3,FALSE()),-1)=IFERROR(VLOOKUP($H$29,areaCercaPuntiClassificaSquadra,3,FALSE()),-2)),SUMIFS('Calendario C'!$Q$8:$Q$110,'Calendario C'!$M$8:$M$110,$H33,'Calendario C'!$T$8:$T$110,$H$29)+SUMIFS('Calendario C'!$X$8:$X$110,'Calendario C'!$T$8:$T$110,$H33,'Calendario C'!$M$8:$M$110,$H$29),"-")</f>
        <v>-</v>
      </c>
      <c r="AS33" s="14" t="str">
        <f aca="false">IF(AND($H33&lt;&gt;"",$H$30&lt;&gt;"",$H33&lt;&gt;$H$30,IFERROR(VLOOKUP($H33,areaCercaPuntiClassificaSquadra,3,FALSE()),-1)=IFERROR(VLOOKUP($H$30,areaCercaPuntiClassificaSquadra,3,FALSE()),-2)),SUMIFS('Calendario C'!$Q$8:$Q$110,'Calendario C'!$M$8:$M$110,$H33,'Calendario C'!$T$8:$T$110,$H$30)+SUMIFS('Calendario C'!$X$8:$X$110,'Calendario C'!$T$8:$T$110,$H33,'Calendario C'!$M$8:$M$110,$H$30),"-")</f>
        <v>-</v>
      </c>
      <c r="AT33" s="14" t="str">
        <f aca="false">IF(AND($H33&lt;&gt;"",$H$31&lt;&gt;"",$H33&lt;&gt;$H$31,IFERROR(VLOOKUP($H33,areaCercaPuntiClassificaSquadra,3,FALSE()),-1)=IFERROR(VLOOKUP($H$31,areaCercaPuntiClassificaSquadra,3,FALSE()),-2)),SUMIFS('Calendario C'!$Q$8:$Q$110,'Calendario C'!$M$8:$M$110,$H33,'Calendario C'!$T$8:$T$110,$H$31)+SUMIFS('Calendario C'!$X$8:$X$110,'Calendario C'!$T$8:$T$110,$H33,'Calendario C'!$M$8:$M$110,$H$31),"-")</f>
        <v>-</v>
      </c>
      <c r="AU33" s="14" t="str">
        <f aca="false">IF(AND($H33&lt;&gt;"",$H$32&lt;&gt;"",$H33&lt;&gt;$H$32,IFERROR(VLOOKUP($H33,areaCercaPuntiClassificaSquadra,3,FALSE()),-1)=IFERROR(VLOOKUP($H$32,areaCercaPuntiClassificaSquadra,3,FALSE()),-2)),SUMIFS('Calendario C'!$Q$8:$Q$110,'Calendario C'!$M$8:$M$110,$H33,'Calendario C'!$T$8:$T$110,$H$32)+SUMIFS('Calendario C'!$X$8:$X$110,'Calendario C'!$T$8:$T$110,$H33,'Calendario C'!$M$8:$M$110,$H$32),"-")</f>
        <v>-</v>
      </c>
      <c r="AV33" s="14" t="str">
        <f aca="false">IF(AND($H33&lt;&gt;"",$H$33&lt;&gt;"",$H33&lt;&gt;$H$33,IFERROR(VLOOKUP($H33,areaCercaPuntiClassificaSquadra,3,FALSE()),-1)=IFERROR(VLOOKUP($H$33,areaCercaPuntiClassificaSquadra,3,FALSE()),-2)),SUMIFS('Calendario C'!$Q$8:$Q$110,'Calendario C'!$M$8:$M$110,$H33,'Calendario C'!$T$8:$T$110,$H$33)+SUMIFS('Calendario C'!$X$8:$X$110,'Calendario C'!$T$8:$T$110,$H33,'Calendario C'!$M$8:$M$110,$H$33),"-")</f>
        <v>-</v>
      </c>
      <c r="AW33" s="14" t="n">
        <f aca="false">IF(AND($H33&lt;&gt;"",$H$34&lt;&gt;"",$H33&lt;&gt;$H$34,IFERROR(VLOOKUP($H33,areaCercaPuntiClassificaSquadra,3,FALSE()),-1)=IFERROR(VLOOKUP($H$34,areaCercaPuntiClassificaSquadra,3,FALSE()),-2)),SUMIFS('Calendario C'!$Q$8:$Q$110,'Calendario C'!$M$8:$M$110,$H33,'Calendario C'!$T$8:$T$110,$H$34)+SUMIFS('Calendario C'!$X$8:$X$110,'Calendario C'!$T$8:$T$110,$H33,'Calendario C'!$M$8:$M$110,$H$34),"-")</f>
        <v>58</v>
      </c>
      <c r="AX33" s="14" t="str">
        <f aca="false">IF(AND($H33&lt;&gt;"",$H$35&lt;&gt;"",$H33&lt;&gt;$H$35,IFERROR(VLOOKUP($H33,areaCercaPuntiClassificaSquadra,3,FALSE()),-1)=IFERROR(VLOOKUP($H$35,areaCercaPuntiClassificaSquadra,3,FALSE()),-2)),SUMIFS('Calendario C'!$Q$8:$Q$110,'Calendario C'!$M$8:$M$110,$H33,'Calendario C'!$T$8:$T$110,$H$35)+SUMIFS('Calendario C'!$X$8:$X$110,'Calendario C'!$T$8:$T$110,$H33,'Calendario C'!$M$8:$M$110,$H$35),"-")</f>
        <v>-</v>
      </c>
      <c r="AY33" s="13" t="str">
        <f aca="false">$C33</f>
        <v>Bisonti Baldanzosi-Bisontiopoli BI</v>
      </c>
      <c r="AZ33" s="14" t="str">
        <f aca="false">IF(AND($H33&lt;&gt;"",$H$28&lt;&gt;"",$H33&lt;&gt;$H$28,IFERROR(VLOOKUP($H33,areaCercaPuntiClassificaSquadra,3,FALSE()),-1)=IFERROR(VLOOKUP($H$28,areaCercaPuntiClassificaSquadra,3,FALSE()),-2)),SUMIFS('Calendario C'!$R$8:$R$110,'Calendario C'!$M$8:$M$110,$H33,'Calendario C'!$T$8:$T$110,$H$28)+SUMIFS('Calendario C'!$Y$8:$Y$110,'Calendario C'!$T$8:$T$110,$H33,'Calendario C'!$M$8:$M$110,$H$28),"-")</f>
        <v>-</v>
      </c>
      <c r="BA33" s="14" t="str">
        <f aca="false">IF(AND($H33&lt;&gt;"",$H$29&lt;&gt;"",$H33&lt;&gt;$H$29,IFERROR(VLOOKUP($H33,areaCercaPuntiClassificaSquadra,3,FALSE()),-1)=IFERROR(VLOOKUP($H$29,areaCercaPuntiClassificaSquadra,3,FALSE()),-2)),SUMIFS('Calendario C'!$R$8:$R$110,'Calendario C'!$M$8:$M$110,$H33,'Calendario C'!$T$8:$T$110,$H$29)+SUMIFS('Calendario C'!$Y$8:$Y$110,'Calendario C'!$T$8:$T$110,$H33,'Calendario C'!$M$8:$M$110,$H$29),"-")</f>
        <v>-</v>
      </c>
      <c r="BB33" s="14" t="str">
        <f aca="false">IF(AND($H33&lt;&gt;"",$H$30&lt;&gt;"",$H33&lt;&gt;$H$30,IFERROR(VLOOKUP($H33,areaCercaPuntiClassificaSquadra,3,FALSE()),-1)=IFERROR(VLOOKUP($H$30,areaCercaPuntiClassificaSquadra,3,FALSE()),-2)),SUMIFS('Calendario C'!$R$8:$R$110,'Calendario C'!$M$8:$M$110,$H33,'Calendario C'!$T$8:$T$110,$H$30)+SUMIFS('Calendario C'!$Y$8:$Y$110,'Calendario C'!$T$8:$T$110,$H33,'Calendario C'!$M$8:$M$110,$H$30),"-")</f>
        <v>-</v>
      </c>
      <c r="BC33" s="14" t="str">
        <f aca="false">IF(AND($H33&lt;&gt;"",$H$31&lt;&gt;"",$H33&lt;&gt;$H$31,IFERROR(VLOOKUP($H33,areaCercaPuntiClassificaSquadra,3,FALSE()),-1)=IFERROR(VLOOKUP($H$31,areaCercaPuntiClassificaSquadra,3,FALSE()),-2)),SUMIFS('Calendario C'!$R$8:$R$110,'Calendario C'!$M$8:$M$110,$H33,'Calendario C'!$T$8:$T$110,$H$31)+SUMIFS('Calendario C'!$Y$8:$Y$110,'Calendario C'!$T$8:$T$110,$H33,'Calendario C'!$M$8:$M$110,$H$31),"-")</f>
        <v>-</v>
      </c>
      <c r="BD33" s="14" t="str">
        <f aca="false">IF(AND($H33&lt;&gt;"",$H$32&lt;&gt;"",$H33&lt;&gt;$H$32,IFERROR(VLOOKUP($H33,areaCercaPuntiClassificaSquadra,3,FALSE()),-1)=IFERROR(VLOOKUP($H$32,areaCercaPuntiClassificaSquadra,3,FALSE()),-2)),SUMIFS('Calendario C'!$R$8:$R$110,'Calendario C'!$M$8:$M$110,$H33,'Calendario C'!$T$8:$T$110,$H$32)+SUMIFS('Calendario C'!$Y$8:$Y$110,'Calendario C'!$T$8:$T$110,$H33,'Calendario C'!$M$8:$M$110,$H$32),"-")</f>
        <v>-</v>
      </c>
      <c r="BE33" s="14" t="str">
        <f aca="false">IF(AND($H33&lt;&gt;"",$H$33&lt;&gt;"",$H33&lt;&gt;$H$33,IFERROR(VLOOKUP($H33,areaCercaPuntiClassificaSquadra,3,FALSE()),-1)=IFERROR(VLOOKUP($H$33,areaCercaPuntiClassificaSquadra,3,FALSE()),-2)),SUMIFS('Calendario C'!$R$8:$R$110,'Calendario C'!$M$8:$M$110,$H33,'Calendario C'!$T$8:$T$110,$H$33)+SUMIFS('Calendario C'!$Y$8:$Y$110,'Calendario C'!$T$8:$T$110,$H33,'Calendario C'!$M$8:$M$110,$H$33),"-")</f>
        <v>-</v>
      </c>
      <c r="BF33" s="14" t="n">
        <f aca="false">IF(AND($H33&lt;&gt;"",$H$34&lt;&gt;"",$H33&lt;&gt;$H$34,IFERROR(VLOOKUP($H33,areaCercaPuntiClassificaSquadra,3,FALSE()),-1)=IFERROR(VLOOKUP($H$34,areaCercaPuntiClassificaSquadra,3,FALSE()),-2)),SUMIFS('Calendario C'!$R$8:$R$110,'Calendario C'!$M$8:$M$110,$H33,'Calendario C'!$T$8:$T$110,$H$34)+SUMIFS('Calendario C'!$Y$8:$Y$110,'Calendario C'!$T$8:$T$110,$H33,'Calendario C'!$M$8:$M$110,$H$34),"-")</f>
        <v>52</v>
      </c>
      <c r="BG33" s="14" t="str">
        <f aca="false">IF(AND($H33&lt;&gt;"",$H$35&lt;&gt;"",$H33&lt;&gt;$H$35,IFERROR(VLOOKUP($H33,areaCercaPuntiClassificaSquadra,3,FALSE()),-1)=IFERROR(VLOOKUP($H$35,areaCercaPuntiClassificaSquadra,3,FALSE()),-2)),SUMIFS('Calendario C'!$R$8:$R$110,'Calendario C'!$M$8:$M$110,$H33,'Calendario C'!$T$8:$T$110,$H$35)+SUMIFS('Calendario C'!$Y$8:$Y$110,'Calendario C'!$T$8:$T$110,$H33,'Calendario C'!$M$8:$M$110,$H$35),"-")</f>
        <v>-</v>
      </c>
    </row>
    <row r="34" customFormat="false" ht="15" hidden="false" customHeight="false" outlineLevel="0" collapsed="false">
      <c r="B34" s="7" t="s">
        <v>94</v>
      </c>
      <c r="C34" s="8" t="s">
        <v>95</v>
      </c>
      <c r="D34" s="9"/>
      <c r="E34" s="17" t="s">
        <v>83</v>
      </c>
      <c r="G34" s="18" t="str">
        <f aca="false">IF($C34="","",$E34&amp;(COUNTIFS(I$12:I$75,"&gt;"&amp;I34,E$12:E$75,"="&amp;E34,C$12:C$75,"&lt;&gt;")+COUNTIFS(I$12:I$75,"="&amp;I34,H$12:H$75,"&lt;="&amp;H34,E$12:E$75,"="&amp;E34,C$12:C$75,"&lt;&gt;")))</f>
        <v>C5</v>
      </c>
      <c r="H34" s="12" t="str">
        <f aca="false">IF($C34="","",IFERROR(LEFT($C34,FIND("-",$C34)-1),$C34))</f>
        <v>Cinghiali Caparbi</v>
      </c>
      <c r="I34" s="7" t="str">
        <f aca="false">TEXT(1000000000+J34,"|0000000000|")&amp;TEXT(SUM(Y34:AF34),"0000000000|")&amp;IF(SUM(AZ34:BG34)=0,"0000000000|",TEXT(ROUND(SUM(AQ34:AX34)/SUM(AZ34:BG34),4)*100000,"0000000000|"))&amp;IF(P34=0,"0000000000|",TEXT(ROUND(O34/P34,4)*100000,"0000000000|"))</f>
        <v>|1000000013|0000000000|0000089660|0000110940|</v>
      </c>
      <c r="J34" s="18" t="n">
        <f aca="false">L34*constPuntiVittoria+M34*constPuntiSconfitta+N34*constPuntiForfait+IF(D34="",0,D34)</f>
        <v>13</v>
      </c>
      <c r="K34" s="7" t="n">
        <f aca="false">SUM(L34:N34)</f>
        <v>7</v>
      </c>
      <c r="L34" s="7" t="n">
        <f aca="false">IF($H34="",0,SUMIF('Calendario C'!$M$8:$M$110,$H34,'Calendario C'!$N$8:$N$110)+SUMIF('Calendario C'!$T$8:$T$110,$H34,'Calendario C'!$U$8:$U$110))</f>
        <v>3</v>
      </c>
      <c r="M34" s="7" t="n">
        <f aca="false">IF($H34="",0,SUMIF('Calendario C'!$M$8:$M$110,$H34,'Calendario C'!$P$8:$P$110)+SUMIF('Calendario C'!$T$8:$T$110,$H34,'Calendario C'!$W$8:$W$110))</f>
        <v>4</v>
      </c>
      <c r="N34" s="7" t="n">
        <f aca="false">IF($H34="",0,SUMIF('Calendario C'!$M$8:$M$110,$H34,'Calendario C'!$O$8:$O$110)+SUMIF('Calendario C'!$T$8:$T$110,$H34,'Calendario C'!$V$8:$V$110))</f>
        <v>0</v>
      </c>
      <c r="O34" s="7" t="n">
        <f aca="false">IF($H34="",0,SUMIF('Calendario C'!$M$8:$M$110,$H34,'Calendario C'!$Q$8:$Q$110)+SUMIF('Calendario C'!$T$8:$T$110,$H34,'Calendario C'!$X$8:$X$110))</f>
        <v>436</v>
      </c>
      <c r="P34" s="7" t="n">
        <f aca="false">IF($H34="",0,SUMIF('Calendario C'!$M$8:$M$110,$H34,'Calendario C'!$R$8:$R$110)+SUMIF('Calendario C'!$T$8:$T$110,$H34,'Calendario C'!$Y$8:$Y$110))</f>
        <v>393</v>
      </c>
      <c r="Q34" s="7" t="n">
        <f aca="false">IF($H34="",0,SUMIF('Calendario C'!$M$8:$M$110,$H34,'Calendario C'!$S$8:$S$110)+SUMIF('Calendario C'!$T$8:$T$110,$H34,'Calendario C'!$Z$8:$Z$110))</f>
        <v>43</v>
      </c>
      <c r="R34" s="7" t="n">
        <f aca="false">IF(K34=0,0,ROUND(O34/K34,2))</f>
        <v>62.29</v>
      </c>
      <c r="S34" s="7" t="n">
        <f aca="false">IF(K34=0,0,ROUND(P34/K34,2))</f>
        <v>56.14</v>
      </c>
      <c r="T34" s="7" t="n">
        <f aca="false">IF(K34=0,0,ROUND(Q34/K34,2))</f>
        <v>6.14</v>
      </c>
      <c r="U34" s="7" t="str">
        <f aca="false">IF(COUNT(Y34:AF34)=0,"-",SUM(Y34:AF34)&amp;"-"&amp;SUM(AH34:AO34))</f>
        <v>0-1</v>
      </c>
      <c r="V34" s="7" t="str">
        <f aca="false">IF(COUNT(Y34:AF34)=0,"-",IF(SUM(AZ34:BG34)=0,TEXT(0,"0.0000"),TEXT(ROUND(SUM(AQ34:AX34)/SUM(AZ34:BG34),4),"0.0000")))</f>
        <v>0.8966</v>
      </c>
      <c r="W34" s="7" t="str">
        <f aca="false">IF(H34="","-",IF(P34=0,TEXT(0,"0.0000"),TEXT(ROUND(O34/P34,4),"0.0000")))</f>
        <v>1.1094</v>
      </c>
      <c r="X34" s="13" t="str">
        <f aca="false">$C34</f>
        <v>Cinghiali Caparbi-Cinghialiopoli CI</v>
      </c>
      <c r="Y34" s="14" t="str">
        <f aca="false">IF(AND($H34&lt;&gt;"",$H$28&lt;&gt;"",$H34&lt;&gt;$H$28,IFERROR(VLOOKUP($H34,areaCercaPuntiClassificaSquadra,3,FALSE()),-1)=IFERROR(VLOOKUP($H$28,areaCercaPuntiClassificaSquadra,3,FALSE()),-2)),SUMIFS('Calendario C'!$N$8:$N$110,'Calendario C'!$M$8:$M$110,$H34,'Calendario C'!$T$8:$T$110,$H$28)+SUMIFS('Calendario C'!$U$8:$U$110,'Calendario C'!$T$8:$T$110,$H34,'Calendario C'!$M$8:$M$110,$H$28),"-")</f>
        <v>-</v>
      </c>
      <c r="Z34" s="14" t="str">
        <f aca="false">IF(AND($H34&lt;&gt;"",$H$29&lt;&gt;"",$H34&lt;&gt;$H$29,IFERROR(VLOOKUP($H34,areaCercaPuntiClassificaSquadra,3,FALSE()),-1)=IFERROR(VLOOKUP($H$29,areaCercaPuntiClassificaSquadra,3,FALSE()),-2)),SUMIFS('Calendario C'!$N$8:$N$110,'Calendario C'!$M$8:$M$110,$H34,'Calendario C'!$T$8:$T$110,$H$29)+SUMIFS('Calendario C'!$U$8:$U$110,'Calendario C'!$T$8:$T$110,$H34,'Calendario C'!$M$8:$M$110,$H$29),"-")</f>
        <v>-</v>
      </c>
      <c r="AA34" s="14" t="str">
        <f aca="false">IF(AND($H34&lt;&gt;"",$H$30&lt;&gt;"",$H34&lt;&gt;$H$30,IFERROR(VLOOKUP($H34,areaCercaPuntiClassificaSquadra,3,FALSE()),-1)=IFERROR(VLOOKUP($H$30,areaCercaPuntiClassificaSquadra,3,FALSE()),-2)),SUMIFS('Calendario C'!$N$8:$N$110,'Calendario C'!$M$8:$M$110,$H34,'Calendario C'!$T$8:$T$110,$H$30)+SUMIFS('Calendario C'!$U$8:$U$110,'Calendario C'!$T$8:$T$110,$H34,'Calendario C'!$M$8:$M$110,$H$30),"-")</f>
        <v>-</v>
      </c>
      <c r="AB34" s="14" t="str">
        <f aca="false">IF(AND($H34&lt;&gt;"",$H$31&lt;&gt;"",$H34&lt;&gt;$H$31,IFERROR(VLOOKUP($H34,areaCercaPuntiClassificaSquadra,3,FALSE()),-1)=IFERROR(VLOOKUP($H$31,areaCercaPuntiClassificaSquadra,3,FALSE()),-2)),SUMIFS('Calendario C'!$N$8:$N$110,'Calendario C'!$M$8:$M$110,$H34,'Calendario C'!$T$8:$T$110,$H$31)+SUMIFS('Calendario C'!$U$8:$U$110,'Calendario C'!$T$8:$T$110,$H34,'Calendario C'!$M$8:$M$110,$H$31),"-")</f>
        <v>-</v>
      </c>
      <c r="AC34" s="14" t="str">
        <f aca="false">IF(AND($H34&lt;&gt;"",$H$32&lt;&gt;"",$H34&lt;&gt;$H$32,IFERROR(VLOOKUP($H34,areaCercaPuntiClassificaSquadra,3,FALSE()),-1)=IFERROR(VLOOKUP($H$32,areaCercaPuntiClassificaSquadra,3,FALSE()),-2)),SUMIFS('Calendario C'!$N$8:$N$110,'Calendario C'!$M$8:$M$110,$H34,'Calendario C'!$T$8:$T$110,$H$32)+SUMIFS('Calendario C'!$U$8:$U$110,'Calendario C'!$T$8:$T$110,$H34,'Calendario C'!$M$8:$M$110,$H$32),"-")</f>
        <v>-</v>
      </c>
      <c r="AD34" s="14" t="n">
        <f aca="false">IF(AND($H34&lt;&gt;"",$H$33&lt;&gt;"",$H34&lt;&gt;$H$33,IFERROR(VLOOKUP($H34,areaCercaPuntiClassificaSquadra,3,FALSE()),-1)=IFERROR(VLOOKUP($H$33,areaCercaPuntiClassificaSquadra,3,FALSE()),-2)),SUMIFS('Calendario C'!$N$8:$N$110,'Calendario C'!$M$8:$M$110,$H34,'Calendario C'!$T$8:$T$110,$H$33)+SUMIFS('Calendario C'!$U$8:$U$110,'Calendario C'!$T$8:$T$110,$H34,'Calendario C'!$M$8:$M$110,$H$33),"-")</f>
        <v>0</v>
      </c>
      <c r="AE34" s="14" t="str">
        <f aca="false">IF(AND($H34&lt;&gt;"",$H$34&lt;&gt;"",$H34&lt;&gt;$H$34,IFERROR(VLOOKUP($H34,areaCercaPuntiClassificaSquadra,3,FALSE()),-1)=IFERROR(VLOOKUP($H$34,areaCercaPuntiClassificaSquadra,3,FALSE()),-2)),SUMIFS('Calendario C'!$N$8:$N$110,'Calendario C'!$M$8:$M$110,$H34,'Calendario C'!$T$8:$T$110,$H$34)+SUMIFS('Calendario C'!$U$8:$U$110,'Calendario C'!$T$8:$T$110,$H34,'Calendario C'!$M$8:$M$110,$H$34),"-")</f>
        <v>-</v>
      </c>
      <c r="AF34" s="14" t="str">
        <f aca="false">IF(AND($H34&lt;&gt;"",$H$35&lt;&gt;"",$H34&lt;&gt;$H$35,IFERROR(VLOOKUP($H34,areaCercaPuntiClassificaSquadra,3,FALSE()),-1)=IFERROR(VLOOKUP($H$35,areaCercaPuntiClassificaSquadra,3,FALSE()),-2)),SUMIFS('Calendario C'!$N$8:$N$110,'Calendario C'!$M$8:$M$110,$H34,'Calendario C'!$T$8:$T$110,$H$35)+SUMIFS('Calendario C'!$U$8:$U$110,'Calendario C'!$T$8:$T$110,$H34,'Calendario C'!$M$8:$M$110,$H$35),"-")</f>
        <v>-</v>
      </c>
      <c r="AG34" s="13" t="str">
        <f aca="false">$C34</f>
        <v>Cinghiali Caparbi-Cinghialiopoli CI</v>
      </c>
      <c r="AH34" s="14" t="str">
        <f aca="false">IF(AND($H34&lt;&gt;"",$H$28&lt;&gt;"",$H34&lt;&gt;$H$28,IFERROR(VLOOKUP($H34,areaCercaPuntiClassificaSquadra,3,FALSE()),-1)=IFERROR(VLOOKUP($H$28,areaCercaPuntiClassificaSquadra,3,FALSE()),-2)),SUMIFS('Calendario C'!$P$8:$P$110,'Calendario C'!$M$8:$M$110,$H34,'Calendario C'!$T$8:$T$110,$H$28)+SUMIFS('Calendario C'!$W$8:$W$110,'Calendario C'!$T$8:$T$110,$H34,'Calendario C'!$M$8:$M$110,$H$28)+SUMIFS('Calendario C'!$O$8:$O$110,'Calendario C'!$M$8:$M$110,$H34,'Calendario C'!$T$8:$T$110,$H$28)+SUMIFS('Calendario C'!$V$8:$V$110,'Calendario C'!$T$8:$T$110,$H34,'Calendario C'!$M$8:$M$110,$H$28),"-")</f>
        <v>-</v>
      </c>
      <c r="AI34" s="14" t="str">
        <f aca="false">IF(AND($H34&lt;&gt;"",$H$29&lt;&gt;"",$H34&lt;&gt;$H$29,IFERROR(VLOOKUP($H34,areaCercaPuntiClassificaSquadra,3,FALSE()),-1)=IFERROR(VLOOKUP($H$29,areaCercaPuntiClassificaSquadra,3,FALSE()),-2)),SUMIFS('Calendario C'!$P$8:$P$110,'Calendario C'!$M$8:$M$110,$H34,'Calendario C'!$T$8:$T$110,$H$29)+SUMIFS('Calendario C'!$W$8:$W$110,'Calendario C'!$T$8:$T$110,$H34,'Calendario C'!$M$8:$M$110,$H$29)+SUMIFS('Calendario C'!$O$8:$O$110,'Calendario C'!$M$8:$M$110,$H34,'Calendario C'!$T$8:$T$110,$H$29)+SUMIFS('Calendario C'!$V$8:$V$110,'Calendario C'!$T$8:$T$110,$H34,'Calendario C'!$M$8:$M$110,$H$29),"-")</f>
        <v>-</v>
      </c>
      <c r="AJ34" s="14" t="str">
        <f aca="false">IF(AND($H34&lt;&gt;"",$H$30&lt;&gt;"",$H34&lt;&gt;$H$30,IFERROR(VLOOKUP($H34,areaCercaPuntiClassificaSquadra,3,FALSE()),-1)=IFERROR(VLOOKUP($H$30,areaCercaPuntiClassificaSquadra,3,FALSE()),-2)),SUMIFS('Calendario C'!$P$8:$P$110,'Calendario C'!$M$8:$M$110,$H34,'Calendario C'!$T$8:$T$110,$H$30)+SUMIFS('Calendario C'!$W$8:$W$110,'Calendario C'!$T$8:$T$110,$H34,'Calendario C'!$M$8:$M$110,$H$30)+SUMIFS('Calendario C'!$O$8:$O$110,'Calendario C'!$M$8:$M$110,$H34,'Calendario C'!$T$8:$T$110,$H$30)+SUMIFS('Calendario C'!$V$8:$V$110,'Calendario C'!$T$8:$T$110,$H34,'Calendario C'!$M$8:$M$110,$H$30),"-")</f>
        <v>-</v>
      </c>
      <c r="AK34" s="14" t="str">
        <f aca="false">IF(AND($H34&lt;&gt;"",$H$31&lt;&gt;"",$H34&lt;&gt;$H$31,IFERROR(VLOOKUP($H34,areaCercaPuntiClassificaSquadra,3,FALSE()),-1)=IFERROR(VLOOKUP($H$31,areaCercaPuntiClassificaSquadra,3,FALSE()),-2)),SUMIFS('Calendario C'!$P$8:$P$110,'Calendario C'!$M$8:$M$110,$H34,'Calendario C'!$T$8:$T$110,$H$31)+SUMIFS('Calendario C'!$W$8:$W$110,'Calendario C'!$T$8:$T$110,$H34,'Calendario C'!$M$8:$M$110,$H$31)+SUMIFS('Calendario C'!$O$8:$O$110,'Calendario C'!$M$8:$M$110,$H34,'Calendario C'!$T$8:$T$110,$H$31)+SUMIFS('Calendario C'!$V$8:$V$110,'Calendario C'!$T$8:$T$110,$H34,'Calendario C'!$M$8:$M$110,$H$31),"-")</f>
        <v>-</v>
      </c>
      <c r="AL34" s="14" t="str">
        <f aca="false">IF(AND($H34&lt;&gt;"",$H$32&lt;&gt;"",$H34&lt;&gt;$H$32,IFERROR(VLOOKUP($H34,areaCercaPuntiClassificaSquadra,3,FALSE()),-1)=IFERROR(VLOOKUP($H$32,areaCercaPuntiClassificaSquadra,3,FALSE()),-2)),SUMIFS('Calendario C'!$P$8:$P$110,'Calendario C'!$M$8:$M$110,$H34,'Calendario C'!$T$8:$T$110,$H$32)+SUMIFS('Calendario C'!$W$8:$W$110,'Calendario C'!$T$8:$T$110,$H34,'Calendario C'!$M$8:$M$110,$H$32)+SUMIFS('Calendario C'!$O$8:$O$110,'Calendario C'!$M$8:$M$110,$H34,'Calendario C'!$T$8:$T$110,$H$32)+SUMIFS('Calendario C'!$V$8:$V$110,'Calendario C'!$T$8:$T$110,$H34,'Calendario C'!$M$8:$M$110,$H$32),"-")</f>
        <v>-</v>
      </c>
      <c r="AM34" s="14" t="n">
        <f aca="false">IF(AND($H34&lt;&gt;"",$H$33&lt;&gt;"",$H34&lt;&gt;$H$33,IFERROR(VLOOKUP($H34,areaCercaPuntiClassificaSquadra,3,FALSE()),-1)=IFERROR(VLOOKUP($H$33,areaCercaPuntiClassificaSquadra,3,FALSE()),-2)),SUMIFS('Calendario C'!$P$8:$P$110,'Calendario C'!$M$8:$M$110,$H34,'Calendario C'!$T$8:$T$110,$H$33)+SUMIFS('Calendario C'!$W$8:$W$110,'Calendario C'!$T$8:$T$110,$H34,'Calendario C'!$M$8:$M$110,$H$33)+SUMIFS('Calendario C'!$O$8:$O$110,'Calendario C'!$M$8:$M$110,$H34,'Calendario C'!$T$8:$T$110,$H$33)+SUMIFS('Calendario C'!$V$8:$V$110,'Calendario C'!$T$8:$T$110,$H34,'Calendario C'!$M$8:$M$110,$H$33),"-")</f>
        <v>1</v>
      </c>
      <c r="AN34" s="14" t="str">
        <f aca="false">IF(AND($H34&lt;&gt;"",$H$34&lt;&gt;"",$H34&lt;&gt;$H$34,IFERROR(VLOOKUP($H34,areaCercaPuntiClassificaSquadra,3,FALSE()),-1)=IFERROR(VLOOKUP($H$34,areaCercaPuntiClassificaSquadra,3,FALSE()),-2)),SUMIFS('Calendario C'!$P$8:$P$110,'Calendario C'!$M$8:$M$110,$H34,'Calendario C'!$T$8:$T$110,$H$34)+SUMIFS('Calendario C'!$W$8:$W$110,'Calendario C'!$T$8:$T$110,$H34,'Calendario C'!$M$8:$M$110,$H$34)+SUMIFS('Calendario C'!$O$8:$O$110,'Calendario C'!$M$8:$M$110,$H34,'Calendario C'!$T$8:$T$110,$H$34)+SUMIFS('Calendario C'!$V$8:$V$110,'Calendario C'!$T$8:$T$110,$H34,'Calendario C'!$M$8:$M$110,$H$34),"-")</f>
        <v>-</v>
      </c>
      <c r="AO34" s="14" t="str">
        <f aca="false">IF(AND($H34&lt;&gt;"",$H$35&lt;&gt;"",$H34&lt;&gt;$H$35,IFERROR(VLOOKUP($H34,areaCercaPuntiClassificaSquadra,3,FALSE()),-1)=IFERROR(VLOOKUP($H$35,areaCercaPuntiClassificaSquadra,3,FALSE()),-2)),SUMIFS('Calendario C'!$P$8:$P$110,'Calendario C'!$M$8:$M$110,$H34,'Calendario C'!$T$8:$T$110,$H$35)+SUMIFS('Calendario C'!$W$8:$W$110,'Calendario C'!$T$8:$T$110,$H34,'Calendario C'!$M$8:$M$110,$H$35)+SUMIFS('Calendario C'!$O$8:$O$110,'Calendario C'!$M$8:$M$110,$H34,'Calendario C'!$T$8:$T$110,$H$35)+SUMIFS('Calendario C'!$V$8:$V$110,'Calendario C'!$T$8:$T$110,$H34,'Calendario C'!$M$8:$M$110,$H$35),"-")</f>
        <v>-</v>
      </c>
      <c r="AP34" s="13" t="str">
        <f aca="false">$C34</f>
        <v>Cinghiali Caparbi-Cinghialiopoli CI</v>
      </c>
      <c r="AQ34" s="14" t="str">
        <f aca="false">IF(AND($H34&lt;&gt;"",$H$28&lt;&gt;"",$H34&lt;&gt;$H$28,IFERROR(VLOOKUP($H34,areaCercaPuntiClassificaSquadra,3,FALSE()),-1)=IFERROR(VLOOKUP($H$28,areaCercaPuntiClassificaSquadra,3,FALSE()),-2)),SUMIFS('Calendario C'!$Q$8:$Q$110,'Calendario C'!$M$8:$M$110,$H34,'Calendario C'!$T$8:$T$110,$H$28)+SUMIFS('Calendario C'!$X$8:$X$110,'Calendario C'!$T$8:$T$110,$H34,'Calendario C'!$M$8:$M$110,$H$28),"-")</f>
        <v>-</v>
      </c>
      <c r="AR34" s="14" t="str">
        <f aca="false">IF(AND($H34&lt;&gt;"",$H$29&lt;&gt;"",$H34&lt;&gt;$H$29,IFERROR(VLOOKUP($H34,areaCercaPuntiClassificaSquadra,3,FALSE()),-1)=IFERROR(VLOOKUP($H$29,areaCercaPuntiClassificaSquadra,3,FALSE()),-2)),SUMIFS('Calendario C'!$Q$8:$Q$110,'Calendario C'!$M$8:$M$110,$H34,'Calendario C'!$T$8:$T$110,$H$29)+SUMIFS('Calendario C'!$X$8:$X$110,'Calendario C'!$T$8:$T$110,$H34,'Calendario C'!$M$8:$M$110,$H$29),"-")</f>
        <v>-</v>
      </c>
      <c r="AS34" s="14" t="str">
        <f aca="false">IF(AND($H34&lt;&gt;"",$H$30&lt;&gt;"",$H34&lt;&gt;$H$30,IFERROR(VLOOKUP($H34,areaCercaPuntiClassificaSquadra,3,FALSE()),-1)=IFERROR(VLOOKUP($H$30,areaCercaPuntiClassificaSquadra,3,FALSE()),-2)),SUMIFS('Calendario C'!$Q$8:$Q$110,'Calendario C'!$M$8:$M$110,$H34,'Calendario C'!$T$8:$T$110,$H$30)+SUMIFS('Calendario C'!$X$8:$X$110,'Calendario C'!$T$8:$T$110,$H34,'Calendario C'!$M$8:$M$110,$H$30),"-")</f>
        <v>-</v>
      </c>
      <c r="AT34" s="14" t="str">
        <f aca="false">IF(AND($H34&lt;&gt;"",$H$31&lt;&gt;"",$H34&lt;&gt;$H$31,IFERROR(VLOOKUP($H34,areaCercaPuntiClassificaSquadra,3,FALSE()),-1)=IFERROR(VLOOKUP($H$31,areaCercaPuntiClassificaSquadra,3,FALSE()),-2)),SUMIFS('Calendario C'!$Q$8:$Q$110,'Calendario C'!$M$8:$M$110,$H34,'Calendario C'!$T$8:$T$110,$H$31)+SUMIFS('Calendario C'!$X$8:$X$110,'Calendario C'!$T$8:$T$110,$H34,'Calendario C'!$M$8:$M$110,$H$31),"-")</f>
        <v>-</v>
      </c>
      <c r="AU34" s="14" t="str">
        <f aca="false">IF(AND($H34&lt;&gt;"",$H$32&lt;&gt;"",$H34&lt;&gt;$H$32,IFERROR(VLOOKUP($H34,areaCercaPuntiClassificaSquadra,3,FALSE()),-1)=IFERROR(VLOOKUP($H$32,areaCercaPuntiClassificaSquadra,3,FALSE()),-2)),SUMIFS('Calendario C'!$Q$8:$Q$110,'Calendario C'!$M$8:$M$110,$H34,'Calendario C'!$T$8:$T$110,$H$32)+SUMIFS('Calendario C'!$X$8:$X$110,'Calendario C'!$T$8:$T$110,$H34,'Calendario C'!$M$8:$M$110,$H$32),"-")</f>
        <v>-</v>
      </c>
      <c r="AV34" s="14" t="n">
        <f aca="false">IF(AND($H34&lt;&gt;"",$H$33&lt;&gt;"",$H34&lt;&gt;$H$33,IFERROR(VLOOKUP($H34,areaCercaPuntiClassificaSquadra,3,FALSE()),-1)=IFERROR(VLOOKUP($H$33,areaCercaPuntiClassificaSquadra,3,FALSE()),-2)),SUMIFS('Calendario C'!$Q$8:$Q$110,'Calendario C'!$M$8:$M$110,$H34,'Calendario C'!$T$8:$T$110,$H$33)+SUMIFS('Calendario C'!$X$8:$X$110,'Calendario C'!$T$8:$T$110,$H34,'Calendario C'!$M$8:$M$110,$H$33),"-")</f>
        <v>52</v>
      </c>
      <c r="AW34" s="14" t="str">
        <f aca="false">IF(AND($H34&lt;&gt;"",$H$34&lt;&gt;"",$H34&lt;&gt;$H$34,IFERROR(VLOOKUP($H34,areaCercaPuntiClassificaSquadra,3,FALSE()),-1)=IFERROR(VLOOKUP($H$34,areaCercaPuntiClassificaSquadra,3,FALSE()),-2)),SUMIFS('Calendario C'!$Q$8:$Q$110,'Calendario C'!$M$8:$M$110,$H34,'Calendario C'!$T$8:$T$110,$H$34)+SUMIFS('Calendario C'!$X$8:$X$110,'Calendario C'!$T$8:$T$110,$H34,'Calendario C'!$M$8:$M$110,$H$34),"-")</f>
        <v>-</v>
      </c>
      <c r="AX34" s="14" t="str">
        <f aca="false">IF(AND($H34&lt;&gt;"",$H$35&lt;&gt;"",$H34&lt;&gt;$H$35,IFERROR(VLOOKUP($H34,areaCercaPuntiClassificaSquadra,3,FALSE()),-1)=IFERROR(VLOOKUP($H$35,areaCercaPuntiClassificaSquadra,3,FALSE()),-2)),SUMIFS('Calendario C'!$Q$8:$Q$110,'Calendario C'!$M$8:$M$110,$H34,'Calendario C'!$T$8:$T$110,$H$35)+SUMIFS('Calendario C'!$X$8:$X$110,'Calendario C'!$T$8:$T$110,$H34,'Calendario C'!$M$8:$M$110,$H$35),"-")</f>
        <v>-</v>
      </c>
      <c r="AY34" s="13" t="str">
        <f aca="false">$C34</f>
        <v>Cinghiali Caparbi-Cinghialiopoli CI</v>
      </c>
      <c r="AZ34" s="14" t="str">
        <f aca="false">IF(AND($H34&lt;&gt;"",$H$28&lt;&gt;"",$H34&lt;&gt;$H$28,IFERROR(VLOOKUP($H34,areaCercaPuntiClassificaSquadra,3,FALSE()),-1)=IFERROR(VLOOKUP($H$28,areaCercaPuntiClassificaSquadra,3,FALSE()),-2)),SUMIFS('Calendario C'!$R$8:$R$110,'Calendario C'!$M$8:$M$110,$H34,'Calendario C'!$T$8:$T$110,$H$28)+SUMIFS('Calendario C'!$Y$8:$Y$110,'Calendario C'!$T$8:$T$110,$H34,'Calendario C'!$M$8:$M$110,$H$28),"-")</f>
        <v>-</v>
      </c>
      <c r="BA34" s="14" t="str">
        <f aca="false">IF(AND($H34&lt;&gt;"",$H$29&lt;&gt;"",$H34&lt;&gt;$H$29,IFERROR(VLOOKUP($H34,areaCercaPuntiClassificaSquadra,3,FALSE()),-1)=IFERROR(VLOOKUP($H$29,areaCercaPuntiClassificaSquadra,3,FALSE()),-2)),SUMIFS('Calendario C'!$R$8:$R$110,'Calendario C'!$M$8:$M$110,$H34,'Calendario C'!$T$8:$T$110,$H$29)+SUMIFS('Calendario C'!$Y$8:$Y$110,'Calendario C'!$T$8:$T$110,$H34,'Calendario C'!$M$8:$M$110,$H$29),"-")</f>
        <v>-</v>
      </c>
      <c r="BB34" s="14" t="str">
        <f aca="false">IF(AND($H34&lt;&gt;"",$H$30&lt;&gt;"",$H34&lt;&gt;$H$30,IFERROR(VLOOKUP($H34,areaCercaPuntiClassificaSquadra,3,FALSE()),-1)=IFERROR(VLOOKUP($H$30,areaCercaPuntiClassificaSquadra,3,FALSE()),-2)),SUMIFS('Calendario C'!$R$8:$R$110,'Calendario C'!$M$8:$M$110,$H34,'Calendario C'!$T$8:$T$110,$H$30)+SUMIFS('Calendario C'!$Y$8:$Y$110,'Calendario C'!$T$8:$T$110,$H34,'Calendario C'!$M$8:$M$110,$H$30),"-")</f>
        <v>-</v>
      </c>
      <c r="BC34" s="14" t="str">
        <f aca="false">IF(AND($H34&lt;&gt;"",$H$31&lt;&gt;"",$H34&lt;&gt;$H$31,IFERROR(VLOOKUP($H34,areaCercaPuntiClassificaSquadra,3,FALSE()),-1)=IFERROR(VLOOKUP($H$31,areaCercaPuntiClassificaSquadra,3,FALSE()),-2)),SUMIFS('Calendario C'!$R$8:$R$110,'Calendario C'!$M$8:$M$110,$H34,'Calendario C'!$T$8:$T$110,$H$31)+SUMIFS('Calendario C'!$Y$8:$Y$110,'Calendario C'!$T$8:$T$110,$H34,'Calendario C'!$M$8:$M$110,$H$31),"-")</f>
        <v>-</v>
      </c>
      <c r="BD34" s="14" t="str">
        <f aca="false">IF(AND($H34&lt;&gt;"",$H$32&lt;&gt;"",$H34&lt;&gt;$H$32,IFERROR(VLOOKUP($H34,areaCercaPuntiClassificaSquadra,3,FALSE()),-1)=IFERROR(VLOOKUP($H$32,areaCercaPuntiClassificaSquadra,3,FALSE()),-2)),SUMIFS('Calendario C'!$R$8:$R$110,'Calendario C'!$M$8:$M$110,$H34,'Calendario C'!$T$8:$T$110,$H$32)+SUMIFS('Calendario C'!$Y$8:$Y$110,'Calendario C'!$T$8:$T$110,$H34,'Calendario C'!$M$8:$M$110,$H$32),"-")</f>
        <v>-</v>
      </c>
      <c r="BE34" s="14" t="n">
        <f aca="false">IF(AND($H34&lt;&gt;"",$H$33&lt;&gt;"",$H34&lt;&gt;$H$33,IFERROR(VLOOKUP($H34,areaCercaPuntiClassificaSquadra,3,FALSE()),-1)=IFERROR(VLOOKUP($H$33,areaCercaPuntiClassificaSquadra,3,FALSE()),-2)),SUMIFS('Calendario C'!$R$8:$R$110,'Calendario C'!$M$8:$M$110,$H34,'Calendario C'!$T$8:$T$110,$H$33)+SUMIFS('Calendario C'!$Y$8:$Y$110,'Calendario C'!$T$8:$T$110,$H34,'Calendario C'!$M$8:$M$110,$H$33),"-")</f>
        <v>58</v>
      </c>
      <c r="BF34" s="14" t="str">
        <f aca="false">IF(AND($H34&lt;&gt;"",$H$34&lt;&gt;"",$H34&lt;&gt;$H$34,IFERROR(VLOOKUP($H34,areaCercaPuntiClassificaSquadra,3,FALSE()),-1)=IFERROR(VLOOKUP($H$34,areaCercaPuntiClassificaSquadra,3,FALSE()),-2)),SUMIFS('Calendario C'!$R$8:$R$110,'Calendario C'!$M$8:$M$110,$H34,'Calendario C'!$T$8:$T$110,$H$34)+SUMIFS('Calendario C'!$Y$8:$Y$110,'Calendario C'!$T$8:$T$110,$H34,'Calendario C'!$M$8:$M$110,$H$34),"-")</f>
        <v>-</v>
      </c>
      <c r="BG34" s="14" t="str">
        <f aca="false">IF(AND($H34&lt;&gt;"",$H$35&lt;&gt;"",$H34&lt;&gt;$H$35,IFERROR(VLOOKUP($H34,areaCercaPuntiClassificaSquadra,3,FALSE()),-1)=IFERROR(VLOOKUP($H$35,areaCercaPuntiClassificaSquadra,3,FALSE()),-2)),SUMIFS('Calendario C'!$R$8:$R$110,'Calendario C'!$M$8:$M$110,$H34,'Calendario C'!$T$8:$T$110,$H$35)+SUMIFS('Calendario C'!$Y$8:$Y$110,'Calendario C'!$T$8:$T$110,$H34,'Calendario C'!$M$8:$M$110,$H$35),"-")</f>
        <v>-</v>
      </c>
    </row>
    <row r="35" customFormat="false" ht="15" hidden="false" customHeight="false" outlineLevel="0" collapsed="false">
      <c r="B35" s="7" t="s">
        <v>96</v>
      </c>
      <c r="C35" s="8" t="s">
        <v>97</v>
      </c>
      <c r="D35" s="9"/>
      <c r="E35" s="17" t="s">
        <v>83</v>
      </c>
      <c r="G35" s="18" t="str">
        <f aca="false">IF($C35="","",$E35&amp;(COUNTIFS(I$12:I$75,"&gt;"&amp;I35,E$12:E$75,"="&amp;E35,C$12:C$75,"&lt;&gt;")+COUNTIFS(I$12:I$75,"="&amp;I35,H$12:H$75,"&lt;="&amp;H35,E$12:E$75,"="&amp;E35,C$12:C$75,"&lt;&gt;")))</f>
        <v>C7</v>
      </c>
      <c r="H35" s="12" t="str">
        <f aca="false">IF($C35="","",IFERROR(LEFT($C35,FIND("-",$C35)-1),$C35))</f>
        <v>Dromedari Danzanti</v>
      </c>
      <c r="I35" s="7" t="str">
        <f aca="false">TEXT(1000000000+J35,"|0000000000|")&amp;TEXT(SUM(Y35:AF35),"0000000000|")&amp;IF(SUM(AZ35:BG35)=0,"0000000000|",TEXT(ROUND(SUM(AQ35:AX35)/SUM(AZ35:BG35),4)*100000,"0000000000|"))&amp;IF(P35=0,"0000000000|",TEXT(ROUND(O35/P35,4)*100000,"0000000000|"))</f>
        <v>|1000000009|0000000001|0000107810|0000070370|</v>
      </c>
      <c r="J35" s="18" t="n">
        <f aca="false">L35*constPuntiVittoria+M35*constPuntiSconfitta+N35*constPuntiForfait+IF(D35="",0,D35)</f>
        <v>9</v>
      </c>
      <c r="K35" s="7" t="n">
        <f aca="false">SUM(L35:N35)</f>
        <v>7</v>
      </c>
      <c r="L35" s="7" t="n">
        <f aca="false">IF($H35="",0,SUMIF('Calendario C'!$M$8:$M$110,$H35,'Calendario C'!$N$8:$N$110)+SUMIF('Calendario C'!$T$8:$T$110,$H35,'Calendario C'!$U$8:$U$110))</f>
        <v>1</v>
      </c>
      <c r="M35" s="7" t="n">
        <f aca="false">IF($H35="",0,SUMIF('Calendario C'!$M$8:$M$110,$H35,'Calendario C'!$P$8:$P$110)+SUMIF('Calendario C'!$T$8:$T$110,$H35,'Calendario C'!$W$8:$W$110))</f>
        <v>6</v>
      </c>
      <c r="N35" s="7" t="n">
        <f aca="false">IF($H35="",0,SUMIF('Calendario C'!$M$8:$M$110,$H35,'Calendario C'!$O$8:$O$110)+SUMIF('Calendario C'!$T$8:$T$110,$H35,'Calendario C'!$V$8:$V$110))</f>
        <v>0</v>
      </c>
      <c r="O35" s="7" t="n">
        <f aca="false">IF($H35="",0,SUMIF('Calendario C'!$M$8:$M$110,$H35,'Calendario C'!$Q$8:$Q$110)+SUMIF('Calendario C'!$T$8:$T$110,$H35,'Calendario C'!$X$8:$X$110))</f>
        <v>342</v>
      </c>
      <c r="P35" s="7" t="n">
        <f aca="false">IF($H35="",0,SUMIF('Calendario C'!$M$8:$M$110,$H35,'Calendario C'!$R$8:$R$110)+SUMIF('Calendario C'!$T$8:$T$110,$H35,'Calendario C'!$Y$8:$Y$110))</f>
        <v>486</v>
      </c>
      <c r="Q35" s="7" t="n">
        <f aca="false">IF($H35="",0,SUMIF('Calendario C'!$M$8:$M$110,$H35,'Calendario C'!$S$8:$S$110)+SUMIF('Calendario C'!$T$8:$T$110,$H35,'Calendario C'!$Z$8:$Z$110))</f>
        <v>-144</v>
      </c>
      <c r="R35" s="7" t="n">
        <f aca="false">IF(K35=0,0,ROUND(O35/K35,2))</f>
        <v>48.86</v>
      </c>
      <c r="S35" s="7" t="n">
        <f aca="false">IF(K35=0,0,ROUND(P35/K35,2))</f>
        <v>69.43</v>
      </c>
      <c r="T35" s="7" t="n">
        <f aca="false">IF(K35=0,0,ROUND(Q35/K35,2))</f>
        <v>-20.57</v>
      </c>
      <c r="U35" s="7" t="str">
        <f aca="false">IF(COUNT(Y35:AF35)=0,"-",SUM(Y35:AF35)&amp;"-"&amp;SUM(AH35:AO35))</f>
        <v>1-0</v>
      </c>
      <c r="V35" s="7" t="str">
        <f aca="false">IF(COUNT(Y35:AF35)=0,"-",IF(SUM(AZ35:BG35)=0,TEXT(0,"0.0000"),TEXT(ROUND(SUM(AQ35:AX35)/SUM(AZ35:BG35),4),"0.0000")))</f>
        <v>1.0781</v>
      </c>
      <c r="W35" s="7" t="str">
        <f aca="false">IF(H35="","-",IF(P35=0,TEXT(0,"0.0000"),TEXT(ROUND(O35/P35,4),"0.0000")))</f>
        <v>0.7037</v>
      </c>
      <c r="X35" s="13" t="str">
        <f aca="false">$C35</f>
        <v>Dromedari Danzanti-Dromedariopoli DI</v>
      </c>
      <c r="Y35" s="14" t="str">
        <f aca="false">IF(AND($H35&lt;&gt;"",$H$28&lt;&gt;"",$H35&lt;&gt;$H$28,IFERROR(VLOOKUP($H35,areaCercaPuntiClassificaSquadra,3,FALSE()),-1)=IFERROR(VLOOKUP($H$28,areaCercaPuntiClassificaSquadra,3,FALSE()),-2)),SUMIFS('Calendario C'!$N$8:$N$110,'Calendario C'!$M$8:$M$110,$H35,'Calendario C'!$T$8:$T$110,$H$28)+SUMIFS('Calendario C'!$U$8:$U$110,'Calendario C'!$T$8:$T$110,$H35,'Calendario C'!$M$8:$M$110,$H$28),"-")</f>
        <v>-</v>
      </c>
      <c r="Z35" s="14" t="str">
        <f aca="false">IF(AND($H35&lt;&gt;"",$H$29&lt;&gt;"",$H35&lt;&gt;$H$29,IFERROR(VLOOKUP($H35,areaCercaPuntiClassificaSquadra,3,FALSE()),-1)=IFERROR(VLOOKUP($H$29,areaCercaPuntiClassificaSquadra,3,FALSE()),-2)),SUMIFS('Calendario C'!$N$8:$N$110,'Calendario C'!$M$8:$M$110,$H35,'Calendario C'!$T$8:$T$110,$H$29)+SUMIFS('Calendario C'!$U$8:$U$110,'Calendario C'!$T$8:$T$110,$H35,'Calendario C'!$M$8:$M$110,$H$29),"-")</f>
        <v>-</v>
      </c>
      <c r="AA35" s="14" t="n">
        <f aca="false">IF(AND($H35&lt;&gt;"",$H$30&lt;&gt;"",$H35&lt;&gt;$H$30,IFERROR(VLOOKUP($H35,areaCercaPuntiClassificaSquadra,3,FALSE()),-1)=IFERROR(VLOOKUP($H$30,areaCercaPuntiClassificaSquadra,3,FALSE()),-2)),SUMIFS('Calendario C'!$N$8:$N$110,'Calendario C'!$M$8:$M$110,$H35,'Calendario C'!$T$8:$T$110,$H$30)+SUMIFS('Calendario C'!$U$8:$U$110,'Calendario C'!$T$8:$T$110,$H35,'Calendario C'!$M$8:$M$110,$H$30),"-")</f>
        <v>1</v>
      </c>
      <c r="AB35" s="14" t="str">
        <f aca="false">IF(AND($H35&lt;&gt;"",$H$31&lt;&gt;"",$H35&lt;&gt;$H$31,IFERROR(VLOOKUP($H35,areaCercaPuntiClassificaSquadra,3,FALSE()),-1)=IFERROR(VLOOKUP($H$31,areaCercaPuntiClassificaSquadra,3,FALSE()),-2)),SUMIFS('Calendario C'!$N$8:$N$110,'Calendario C'!$M$8:$M$110,$H35,'Calendario C'!$T$8:$T$110,$H$31)+SUMIFS('Calendario C'!$U$8:$U$110,'Calendario C'!$T$8:$T$110,$H35,'Calendario C'!$M$8:$M$110,$H$31),"-")</f>
        <v>-</v>
      </c>
      <c r="AC35" s="14" t="str">
        <f aca="false">IF(AND($H35&lt;&gt;"",$H$32&lt;&gt;"",$H35&lt;&gt;$H$32,IFERROR(VLOOKUP($H35,areaCercaPuntiClassificaSquadra,3,FALSE()),-1)=IFERROR(VLOOKUP($H$32,areaCercaPuntiClassificaSquadra,3,FALSE()),-2)),SUMIFS('Calendario C'!$N$8:$N$110,'Calendario C'!$M$8:$M$110,$H35,'Calendario C'!$T$8:$T$110,$H$32)+SUMIFS('Calendario C'!$U$8:$U$110,'Calendario C'!$T$8:$T$110,$H35,'Calendario C'!$M$8:$M$110,$H$32),"-")</f>
        <v>-</v>
      </c>
      <c r="AD35" s="14" t="str">
        <f aca="false">IF(AND($H35&lt;&gt;"",$H$33&lt;&gt;"",$H35&lt;&gt;$H$33,IFERROR(VLOOKUP($H35,areaCercaPuntiClassificaSquadra,3,FALSE()),-1)=IFERROR(VLOOKUP($H$33,areaCercaPuntiClassificaSquadra,3,FALSE()),-2)),SUMIFS('Calendario C'!$N$8:$N$110,'Calendario C'!$M$8:$M$110,$H35,'Calendario C'!$T$8:$T$110,$H$33)+SUMIFS('Calendario C'!$U$8:$U$110,'Calendario C'!$T$8:$T$110,$H35,'Calendario C'!$M$8:$M$110,$H$33),"-")</f>
        <v>-</v>
      </c>
      <c r="AE35" s="14" t="str">
        <f aca="false">IF(AND($H35&lt;&gt;"",$H$34&lt;&gt;"",$H35&lt;&gt;$H$34,IFERROR(VLOOKUP($H35,areaCercaPuntiClassificaSquadra,3,FALSE()),-1)=IFERROR(VLOOKUP($H$34,areaCercaPuntiClassificaSquadra,3,FALSE()),-2)),SUMIFS('Calendario C'!$N$8:$N$110,'Calendario C'!$M$8:$M$110,$H35,'Calendario C'!$T$8:$T$110,$H$34)+SUMIFS('Calendario C'!$U$8:$U$110,'Calendario C'!$T$8:$T$110,$H35,'Calendario C'!$M$8:$M$110,$H$34),"-")</f>
        <v>-</v>
      </c>
      <c r="AF35" s="14" t="str">
        <f aca="false">IF(AND($H35&lt;&gt;"",$H$35&lt;&gt;"",$H35&lt;&gt;$H$35,IFERROR(VLOOKUP($H35,areaCercaPuntiClassificaSquadra,3,FALSE()),-1)=IFERROR(VLOOKUP($H$35,areaCercaPuntiClassificaSquadra,3,FALSE()),-2)),SUMIFS('Calendario C'!$N$8:$N$110,'Calendario C'!$M$8:$M$110,$H35,'Calendario C'!$T$8:$T$110,$H$35)+SUMIFS('Calendario C'!$U$8:$U$110,'Calendario C'!$T$8:$T$110,$H35,'Calendario C'!$M$8:$M$110,$H$35),"-")</f>
        <v>-</v>
      </c>
      <c r="AG35" s="13" t="str">
        <f aca="false">$C35</f>
        <v>Dromedari Danzanti-Dromedariopoli DI</v>
      </c>
      <c r="AH35" s="14" t="str">
        <f aca="false">IF(AND($H35&lt;&gt;"",$H$28&lt;&gt;"",$H35&lt;&gt;$H$28,IFERROR(VLOOKUP($H35,areaCercaPuntiClassificaSquadra,3,FALSE()),-1)=IFERROR(VLOOKUP($H$28,areaCercaPuntiClassificaSquadra,3,FALSE()),-2)),SUMIFS('Calendario C'!$P$8:$P$110,'Calendario C'!$M$8:$M$110,$H35,'Calendario C'!$T$8:$T$110,$H$28)+SUMIFS('Calendario C'!$W$8:$W$110,'Calendario C'!$T$8:$T$110,$H35,'Calendario C'!$M$8:$M$110,$H$28)+SUMIFS('Calendario C'!$O$8:$O$110,'Calendario C'!$M$8:$M$110,$H35,'Calendario C'!$T$8:$T$110,$H$28)+SUMIFS('Calendario C'!$V$8:$V$110,'Calendario C'!$T$8:$T$110,$H35,'Calendario C'!$M$8:$M$110,$H$28),"-")</f>
        <v>-</v>
      </c>
      <c r="AI35" s="14" t="str">
        <f aca="false">IF(AND($H35&lt;&gt;"",$H$29&lt;&gt;"",$H35&lt;&gt;$H$29,IFERROR(VLOOKUP($H35,areaCercaPuntiClassificaSquadra,3,FALSE()),-1)=IFERROR(VLOOKUP($H$29,areaCercaPuntiClassificaSquadra,3,FALSE()),-2)),SUMIFS('Calendario C'!$P$8:$P$110,'Calendario C'!$M$8:$M$110,$H35,'Calendario C'!$T$8:$T$110,$H$29)+SUMIFS('Calendario C'!$W$8:$W$110,'Calendario C'!$T$8:$T$110,$H35,'Calendario C'!$M$8:$M$110,$H$29)+SUMIFS('Calendario C'!$O$8:$O$110,'Calendario C'!$M$8:$M$110,$H35,'Calendario C'!$T$8:$T$110,$H$29)+SUMIFS('Calendario C'!$V$8:$V$110,'Calendario C'!$T$8:$T$110,$H35,'Calendario C'!$M$8:$M$110,$H$29),"-")</f>
        <v>-</v>
      </c>
      <c r="AJ35" s="14" t="n">
        <f aca="false">IF(AND($H35&lt;&gt;"",$H$30&lt;&gt;"",$H35&lt;&gt;$H$30,IFERROR(VLOOKUP($H35,areaCercaPuntiClassificaSquadra,3,FALSE()),-1)=IFERROR(VLOOKUP($H$30,areaCercaPuntiClassificaSquadra,3,FALSE()),-2)),SUMIFS('Calendario C'!$P$8:$P$110,'Calendario C'!$M$8:$M$110,$H35,'Calendario C'!$T$8:$T$110,$H$30)+SUMIFS('Calendario C'!$W$8:$W$110,'Calendario C'!$T$8:$T$110,$H35,'Calendario C'!$M$8:$M$110,$H$30)+SUMIFS('Calendario C'!$O$8:$O$110,'Calendario C'!$M$8:$M$110,$H35,'Calendario C'!$T$8:$T$110,$H$30)+SUMIFS('Calendario C'!$V$8:$V$110,'Calendario C'!$T$8:$T$110,$H35,'Calendario C'!$M$8:$M$110,$H$30),"-")</f>
        <v>0</v>
      </c>
      <c r="AK35" s="14" t="str">
        <f aca="false">IF(AND($H35&lt;&gt;"",$H$31&lt;&gt;"",$H35&lt;&gt;$H$31,IFERROR(VLOOKUP($H35,areaCercaPuntiClassificaSquadra,3,FALSE()),-1)=IFERROR(VLOOKUP($H$31,areaCercaPuntiClassificaSquadra,3,FALSE()),-2)),SUMIFS('Calendario C'!$P$8:$P$110,'Calendario C'!$M$8:$M$110,$H35,'Calendario C'!$T$8:$T$110,$H$31)+SUMIFS('Calendario C'!$W$8:$W$110,'Calendario C'!$T$8:$T$110,$H35,'Calendario C'!$M$8:$M$110,$H$31)+SUMIFS('Calendario C'!$O$8:$O$110,'Calendario C'!$M$8:$M$110,$H35,'Calendario C'!$T$8:$T$110,$H$31)+SUMIFS('Calendario C'!$V$8:$V$110,'Calendario C'!$T$8:$T$110,$H35,'Calendario C'!$M$8:$M$110,$H$31),"-")</f>
        <v>-</v>
      </c>
      <c r="AL35" s="14" t="str">
        <f aca="false">IF(AND($H35&lt;&gt;"",$H$32&lt;&gt;"",$H35&lt;&gt;$H$32,IFERROR(VLOOKUP($H35,areaCercaPuntiClassificaSquadra,3,FALSE()),-1)=IFERROR(VLOOKUP($H$32,areaCercaPuntiClassificaSquadra,3,FALSE()),-2)),SUMIFS('Calendario C'!$P$8:$P$110,'Calendario C'!$M$8:$M$110,$H35,'Calendario C'!$T$8:$T$110,$H$32)+SUMIFS('Calendario C'!$W$8:$W$110,'Calendario C'!$T$8:$T$110,$H35,'Calendario C'!$M$8:$M$110,$H$32)+SUMIFS('Calendario C'!$O$8:$O$110,'Calendario C'!$M$8:$M$110,$H35,'Calendario C'!$T$8:$T$110,$H$32)+SUMIFS('Calendario C'!$V$8:$V$110,'Calendario C'!$T$8:$T$110,$H35,'Calendario C'!$M$8:$M$110,$H$32),"-")</f>
        <v>-</v>
      </c>
      <c r="AM35" s="14" t="str">
        <f aca="false">IF(AND($H35&lt;&gt;"",$H$33&lt;&gt;"",$H35&lt;&gt;$H$33,IFERROR(VLOOKUP($H35,areaCercaPuntiClassificaSquadra,3,FALSE()),-1)=IFERROR(VLOOKUP($H$33,areaCercaPuntiClassificaSquadra,3,FALSE()),-2)),SUMIFS('Calendario C'!$P$8:$P$110,'Calendario C'!$M$8:$M$110,$H35,'Calendario C'!$T$8:$T$110,$H$33)+SUMIFS('Calendario C'!$W$8:$W$110,'Calendario C'!$T$8:$T$110,$H35,'Calendario C'!$M$8:$M$110,$H$33)+SUMIFS('Calendario C'!$O$8:$O$110,'Calendario C'!$M$8:$M$110,$H35,'Calendario C'!$T$8:$T$110,$H$33)+SUMIFS('Calendario C'!$V$8:$V$110,'Calendario C'!$T$8:$T$110,$H35,'Calendario C'!$M$8:$M$110,$H$33),"-")</f>
        <v>-</v>
      </c>
      <c r="AN35" s="14" t="str">
        <f aca="false">IF(AND($H35&lt;&gt;"",$H$34&lt;&gt;"",$H35&lt;&gt;$H$34,IFERROR(VLOOKUP($H35,areaCercaPuntiClassificaSquadra,3,FALSE()),-1)=IFERROR(VLOOKUP($H$34,areaCercaPuntiClassificaSquadra,3,FALSE()),-2)),SUMIFS('Calendario C'!$P$8:$P$110,'Calendario C'!$M$8:$M$110,$H35,'Calendario C'!$T$8:$T$110,$H$34)+SUMIFS('Calendario C'!$W$8:$W$110,'Calendario C'!$T$8:$T$110,$H35,'Calendario C'!$M$8:$M$110,$H$34)+SUMIFS('Calendario C'!$O$8:$O$110,'Calendario C'!$M$8:$M$110,$H35,'Calendario C'!$T$8:$T$110,$H$34)+SUMIFS('Calendario C'!$V$8:$V$110,'Calendario C'!$T$8:$T$110,$H35,'Calendario C'!$M$8:$M$110,$H$34),"-")</f>
        <v>-</v>
      </c>
      <c r="AO35" s="14" t="str">
        <f aca="false">IF(AND($H35&lt;&gt;"",$H$35&lt;&gt;"",$H35&lt;&gt;$H$35,IFERROR(VLOOKUP($H35,areaCercaPuntiClassificaSquadra,3,FALSE()),-1)=IFERROR(VLOOKUP($H$35,areaCercaPuntiClassificaSquadra,3,FALSE()),-2)),SUMIFS('Calendario C'!$P$8:$P$110,'Calendario C'!$M$8:$M$110,$H35,'Calendario C'!$T$8:$T$110,$H$35)+SUMIFS('Calendario C'!$W$8:$W$110,'Calendario C'!$T$8:$T$110,$H35,'Calendario C'!$M$8:$M$110,$H$35)+SUMIFS('Calendario C'!$O$8:$O$110,'Calendario C'!$M$8:$M$110,$H35,'Calendario C'!$T$8:$T$110,$H$35)+SUMIFS('Calendario C'!$V$8:$V$110,'Calendario C'!$T$8:$T$110,$H35,'Calendario C'!$M$8:$M$110,$H$35),"-")</f>
        <v>-</v>
      </c>
      <c r="AP35" s="13" t="str">
        <f aca="false">$C35</f>
        <v>Dromedari Danzanti-Dromedariopoli DI</v>
      </c>
      <c r="AQ35" s="14" t="str">
        <f aca="false">IF(AND($H35&lt;&gt;"",$H$28&lt;&gt;"",$H35&lt;&gt;$H$28,IFERROR(VLOOKUP($H35,areaCercaPuntiClassificaSquadra,3,FALSE()),-1)=IFERROR(VLOOKUP($H$28,areaCercaPuntiClassificaSquadra,3,FALSE()),-2)),SUMIFS('Calendario C'!$Q$8:$Q$110,'Calendario C'!$M$8:$M$110,$H35,'Calendario C'!$T$8:$T$110,$H$28)+SUMIFS('Calendario C'!$X$8:$X$110,'Calendario C'!$T$8:$T$110,$H35,'Calendario C'!$M$8:$M$110,$H$28),"-")</f>
        <v>-</v>
      </c>
      <c r="AR35" s="14" t="str">
        <f aca="false">IF(AND($H35&lt;&gt;"",$H$29&lt;&gt;"",$H35&lt;&gt;$H$29,IFERROR(VLOOKUP($H35,areaCercaPuntiClassificaSquadra,3,FALSE()),-1)=IFERROR(VLOOKUP($H$29,areaCercaPuntiClassificaSquadra,3,FALSE()),-2)),SUMIFS('Calendario C'!$Q$8:$Q$110,'Calendario C'!$M$8:$M$110,$H35,'Calendario C'!$T$8:$T$110,$H$29)+SUMIFS('Calendario C'!$X$8:$X$110,'Calendario C'!$T$8:$T$110,$H35,'Calendario C'!$M$8:$M$110,$H$29),"-")</f>
        <v>-</v>
      </c>
      <c r="AS35" s="14" t="n">
        <f aca="false">IF(AND($H35&lt;&gt;"",$H$30&lt;&gt;"",$H35&lt;&gt;$H$30,IFERROR(VLOOKUP($H35,areaCercaPuntiClassificaSquadra,3,FALSE()),-1)=IFERROR(VLOOKUP($H$30,areaCercaPuntiClassificaSquadra,3,FALSE()),-2)),SUMIFS('Calendario C'!$Q$8:$Q$110,'Calendario C'!$M$8:$M$110,$H35,'Calendario C'!$T$8:$T$110,$H$30)+SUMIFS('Calendario C'!$X$8:$X$110,'Calendario C'!$T$8:$T$110,$H35,'Calendario C'!$M$8:$M$110,$H$30),"-")</f>
        <v>69</v>
      </c>
      <c r="AT35" s="14" t="str">
        <f aca="false">IF(AND($H35&lt;&gt;"",$H$31&lt;&gt;"",$H35&lt;&gt;$H$31,IFERROR(VLOOKUP($H35,areaCercaPuntiClassificaSquadra,3,FALSE()),-1)=IFERROR(VLOOKUP($H$31,areaCercaPuntiClassificaSquadra,3,FALSE()),-2)),SUMIFS('Calendario C'!$Q$8:$Q$110,'Calendario C'!$M$8:$M$110,$H35,'Calendario C'!$T$8:$T$110,$H$31)+SUMIFS('Calendario C'!$X$8:$X$110,'Calendario C'!$T$8:$T$110,$H35,'Calendario C'!$M$8:$M$110,$H$31),"-")</f>
        <v>-</v>
      </c>
      <c r="AU35" s="14" t="str">
        <f aca="false">IF(AND($H35&lt;&gt;"",$H$32&lt;&gt;"",$H35&lt;&gt;$H$32,IFERROR(VLOOKUP($H35,areaCercaPuntiClassificaSquadra,3,FALSE()),-1)=IFERROR(VLOOKUP($H$32,areaCercaPuntiClassificaSquadra,3,FALSE()),-2)),SUMIFS('Calendario C'!$Q$8:$Q$110,'Calendario C'!$M$8:$M$110,$H35,'Calendario C'!$T$8:$T$110,$H$32)+SUMIFS('Calendario C'!$X$8:$X$110,'Calendario C'!$T$8:$T$110,$H35,'Calendario C'!$M$8:$M$110,$H$32),"-")</f>
        <v>-</v>
      </c>
      <c r="AV35" s="14" t="str">
        <f aca="false">IF(AND($H35&lt;&gt;"",$H$33&lt;&gt;"",$H35&lt;&gt;$H$33,IFERROR(VLOOKUP($H35,areaCercaPuntiClassificaSquadra,3,FALSE()),-1)=IFERROR(VLOOKUP($H$33,areaCercaPuntiClassificaSquadra,3,FALSE()),-2)),SUMIFS('Calendario C'!$Q$8:$Q$110,'Calendario C'!$M$8:$M$110,$H35,'Calendario C'!$T$8:$T$110,$H$33)+SUMIFS('Calendario C'!$X$8:$X$110,'Calendario C'!$T$8:$T$110,$H35,'Calendario C'!$M$8:$M$110,$H$33),"-")</f>
        <v>-</v>
      </c>
      <c r="AW35" s="14" t="str">
        <f aca="false">IF(AND($H35&lt;&gt;"",$H$34&lt;&gt;"",$H35&lt;&gt;$H$34,IFERROR(VLOOKUP($H35,areaCercaPuntiClassificaSquadra,3,FALSE()),-1)=IFERROR(VLOOKUP($H$34,areaCercaPuntiClassificaSquadra,3,FALSE()),-2)),SUMIFS('Calendario C'!$Q$8:$Q$110,'Calendario C'!$M$8:$M$110,$H35,'Calendario C'!$T$8:$T$110,$H$34)+SUMIFS('Calendario C'!$X$8:$X$110,'Calendario C'!$T$8:$T$110,$H35,'Calendario C'!$M$8:$M$110,$H$34),"-")</f>
        <v>-</v>
      </c>
      <c r="AX35" s="14" t="str">
        <f aca="false">IF(AND($H35&lt;&gt;"",$H$35&lt;&gt;"",$H35&lt;&gt;$H$35,IFERROR(VLOOKUP($H35,areaCercaPuntiClassificaSquadra,3,FALSE()),-1)=IFERROR(VLOOKUP($H$35,areaCercaPuntiClassificaSquadra,3,FALSE()),-2)),SUMIFS('Calendario C'!$Q$8:$Q$110,'Calendario C'!$M$8:$M$110,$H35,'Calendario C'!$T$8:$T$110,$H$35)+SUMIFS('Calendario C'!$X$8:$X$110,'Calendario C'!$T$8:$T$110,$H35,'Calendario C'!$M$8:$M$110,$H$35),"-")</f>
        <v>-</v>
      </c>
      <c r="AY35" s="13" t="str">
        <f aca="false">$C35</f>
        <v>Dromedari Danzanti-Dromedariopoli DI</v>
      </c>
      <c r="AZ35" s="14" t="str">
        <f aca="false">IF(AND($H35&lt;&gt;"",$H$28&lt;&gt;"",$H35&lt;&gt;$H$28,IFERROR(VLOOKUP($H35,areaCercaPuntiClassificaSquadra,3,FALSE()),-1)=IFERROR(VLOOKUP($H$28,areaCercaPuntiClassificaSquadra,3,FALSE()),-2)),SUMIFS('Calendario C'!$R$8:$R$110,'Calendario C'!$M$8:$M$110,$H35,'Calendario C'!$T$8:$T$110,$H$28)+SUMIFS('Calendario C'!$Y$8:$Y$110,'Calendario C'!$T$8:$T$110,$H35,'Calendario C'!$M$8:$M$110,$H$28),"-")</f>
        <v>-</v>
      </c>
      <c r="BA35" s="14" t="str">
        <f aca="false">IF(AND($H35&lt;&gt;"",$H$29&lt;&gt;"",$H35&lt;&gt;$H$29,IFERROR(VLOOKUP($H35,areaCercaPuntiClassificaSquadra,3,FALSE()),-1)=IFERROR(VLOOKUP($H$29,areaCercaPuntiClassificaSquadra,3,FALSE()),-2)),SUMIFS('Calendario C'!$R$8:$R$110,'Calendario C'!$M$8:$M$110,$H35,'Calendario C'!$T$8:$T$110,$H$29)+SUMIFS('Calendario C'!$Y$8:$Y$110,'Calendario C'!$T$8:$T$110,$H35,'Calendario C'!$M$8:$M$110,$H$29),"-")</f>
        <v>-</v>
      </c>
      <c r="BB35" s="14" t="n">
        <f aca="false">IF(AND($H35&lt;&gt;"",$H$30&lt;&gt;"",$H35&lt;&gt;$H$30,IFERROR(VLOOKUP($H35,areaCercaPuntiClassificaSquadra,3,FALSE()),-1)=IFERROR(VLOOKUP($H$30,areaCercaPuntiClassificaSquadra,3,FALSE()),-2)),SUMIFS('Calendario C'!$R$8:$R$110,'Calendario C'!$M$8:$M$110,$H35,'Calendario C'!$T$8:$T$110,$H$30)+SUMIFS('Calendario C'!$Y$8:$Y$110,'Calendario C'!$T$8:$T$110,$H35,'Calendario C'!$M$8:$M$110,$H$30),"-")</f>
        <v>64</v>
      </c>
      <c r="BC35" s="14" t="str">
        <f aca="false">IF(AND($H35&lt;&gt;"",$H$31&lt;&gt;"",$H35&lt;&gt;$H$31,IFERROR(VLOOKUP($H35,areaCercaPuntiClassificaSquadra,3,FALSE()),-1)=IFERROR(VLOOKUP($H$31,areaCercaPuntiClassificaSquadra,3,FALSE()),-2)),SUMIFS('Calendario C'!$R$8:$R$110,'Calendario C'!$M$8:$M$110,$H35,'Calendario C'!$T$8:$T$110,$H$31)+SUMIFS('Calendario C'!$Y$8:$Y$110,'Calendario C'!$T$8:$T$110,$H35,'Calendario C'!$M$8:$M$110,$H$31),"-")</f>
        <v>-</v>
      </c>
      <c r="BD35" s="14" t="str">
        <f aca="false">IF(AND($H35&lt;&gt;"",$H$32&lt;&gt;"",$H35&lt;&gt;$H$32,IFERROR(VLOOKUP($H35,areaCercaPuntiClassificaSquadra,3,FALSE()),-1)=IFERROR(VLOOKUP($H$32,areaCercaPuntiClassificaSquadra,3,FALSE()),-2)),SUMIFS('Calendario C'!$R$8:$R$110,'Calendario C'!$M$8:$M$110,$H35,'Calendario C'!$T$8:$T$110,$H$32)+SUMIFS('Calendario C'!$Y$8:$Y$110,'Calendario C'!$T$8:$T$110,$H35,'Calendario C'!$M$8:$M$110,$H$32),"-")</f>
        <v>-</v>
      </c>
      <c r="BE35" s="14" t="str">
        <f aca="false">IF(AND($H35&lt;&gt;"",$H$33&lt;&gt;"",$H35&lt;&gt;$H$33,IFERROR(VLOOKUP($H35,areaCercaPuntiClassificaSquadra,3,FALSE()),-1)=IFERROR(VLOOKUP($H$33,areaCercaPuntiClassificaSquadra,3,FALSE()),-2)),SUMIFS('Calendario C'!$R$8:$R$110,'Calendario C'!$M$8:$M$110,$H35,'Calendario C'!$T$8:$T$110,$H$33)+SUMIFS('Calendario C'!$Y$8:$Y$110,'Calendario C'!$T$8:$T$110,$H35,'Calendario C'!$M$8:$M$110,$H$33),"-")</f>
        <v>-</v>
      </c>
      <c r="BF35" s="14" t="str">
        <f aca="false">IF(AND($H35&lt;&gt;"",$H$34&lt;&gt;"",$H35&lt;&gt;$H$34,IFERROR(VLOOKUP($H35,areaCercaPuntiClassificaSquadra,3,FALSE()),-1)=IFERROR(VLOOKUP($H$34,areaCercaPuntiClassificaSquadra,3,FALSE()),-2)),SUMIFS('Calendario C'!$R$8:$R$110,'Calendario C'!$M$8:$M$110,$H35,'Calendario C'!$T$8:$T$110,$H$34)+SUMIFS('Calendario C'!$Y$8:$Y$110,'Calendario C'!$T$8:$T$110,$H35,'Calendario C'!$M$8:$M$110,$H$34),"-")</f>
        <v>-</v>
      </c>
      <c r="BG35" s="14" t="str">
        <f aca="false">IF(AND($H35&lt;&gt;"",$H$35&lt;&gt;"",$H35&lt;&gt;$H$35,IFERROR(VLOOKUP($H35,areaCercaPuntiClassificaSquadra,3,FALSE()),-1)=IFERROR(VLOOKUP($H$35,areaCercaPuntiClassificaSquadra,3,FALSE()),-2)),SUMIFS('Calendario C'!$R$8:$R$110,'Calendario C'!$M$8:$M$110,$H35,'Calendario C'!$T$8:$T$110,$H$35)+SUMIFS('Calendario C'!$Y$8:$Y$110,'Calendario C'!$T$8:$T$110,$H35,'Calendario C'!$M$8:$M$110,$H$35),"-")</f>
        <v>-</v>
      </c>
    </row>
    <row r="36" customFormat="false" ht="15" hidden="false" customHeight="false" outlineLevel="0" collapsed="false">
      <c r="B36" s="7" t="s">
        <v>98</v>
      </c>
      <c r="C36" s="8" t="s">
        <v>99</v>
      </c>
      <c r="D36" s="9"/>
      <c r="E36" s="19" t="s">
        <v>100</v>
      </c>
      <c r="G36" s="20" t="str">
        <f aca="false">IF($C36="","",$E36&amp;(COUNTIFS(I$12:I$75,"&gt;"&amp;I36,E$12:E$75,"="&amp;E36,C$12:C$75,"&lt;&gt;")+COUNTIFS(I$12:I$75,"="&amp;I36,H$12:H$75,"&lt;="&amp;H36,E$12:E$75,"="&amp;E36,C$12:C$75,"&lt;&gt;")))</f>
        <v>D1</v>
      </c>
      <c r="H36" s="12" t="str">
        <f aca="false">IF($C36="","",IFERROR(LEFT($C36,FIND("-",$C36)-1),$C36))</f>
        <v>Elefanti Esuberanti</v>
      </c>
      <c r="I36" s="7" t="str">
        <f aca="false">TEXT(1000000000+J36,"|0000000000|")&amp;TEXT(SUM(Y36:AF36),"0000000000|")&amp;IF(SUM(AZ36:BG36)=0,"0000000000|",TEXT(ROUND(SUM(AQ36:AX36)/SUM(AZ36:BG36),4)*100000,"0000000000|"))&amp;IF(P36=0,"0000000000|",TEXT(ROUND(O36/P36,4)*100000,"0000000000|"))</f>
        <v>|1000000021|0000000000|0000000000|0000129600|</v>
      </c>
      <c r="J36" s="20" t="n">
        <f aca="false">L36*constPuntiVittoria+M36*constPuntiSconfitta+N36*constPuntiForfait+IF(D36="",0,D36)</f>
        <v>21</v>
      </c>
      <c r="K36" s="7" t="n">
        <f aca="false">SUM(L36:N36)</f>
        <v>7</v>
      </c>
      <c r="L36" s="7" t="n">
        <f aca="false">IF($H36="",0,SUMIF('Calendario D'!$M$8:$M$110,$H36,'Calendario D'!$N$8:$N$110)+SUMIF('Calendario D'!$T$8:$T$110,$H36,'Calendario D'!$U$8:$U$110))</f>
        <v>7</v>
      </c>
      <c r="M36" s="7" t="n">
        <f aca="false">IF($H36="",0,SUMIF('Calendario D'!$M$8:$M$110,$H36,'Calendario D'!$P$8:$P$110)+SUMIF('Calendario D'!$T$8:$T$110,$H36,'Calendario D'!$W$8:$W$110))</f>
        <v>0</v>
      </c>
      <c r="N36" s="7" t="n">
        <f aca="false">IF($H36="",0,SUMIF('Calendario D'!$M$8:$M$110,$H36,'Calendario D'!$O$8:$O$110)+SUMIF('Calendario D'!$T$8:$T$110,$H36,'Calendario D'!$V$8:$V$110))</f>
        <v>0</v>
      </c>
      <c r="O36" s="7" t="n">
        <f aca="false">IF($H36="",0,SUMIF('Calendario D'!$M$8:$M$110,$H36,'Calendario D'!$Q$8:$Q$110)+SUMIF('Calendario D'!$T$8:$T$110,$H36,'Calendario D'!$X$8:$X$110))</f>
        <v>486</v>
      </c>
      <c r="P36" s="7" t="n">
        <f aca="false">IF($H36="",0,SUMIF('Calendario D'!$M$8:$M$110,$H36,'Calendario D'!$R$8:$R$110)+SUMIF('Calendario D'!$T$8:$T$110,$H36,'Calendario D'!$Y$8:$Y$110))</f>
        <v>375</v>
      </c>
      <c r="Q36" s="7" t="n">
        <f aca="false">IF($H36="",0,SUMIF('Calendario D'!$M$8:$M$110,$H36,'Calendario D'!$S$8:$S$110)+SUMIF('Calendario D'!$T$8:$T$110,$H36,'Calendario D'!$Z$8:$Z$110))</f>
        <v>111</v>
      </c>
      <c r="R36" s="7" t="n">
        <f aca="false">IF(K36=0,0,ROUND(O36/K36,2))</f>
        <v>69.43</v>
      </c>
      <c r="S36" s="7" t="n">
        <f aca="false">IF(K36=0,0,ROUND(P36/K36,2))</f>
        <v>53.57</v>
      </c>
      <c r="T36" s="7" t="n">
        <f aca="false">IF(K36=0,0,ROUND(Q36/K36,2))</f>
        <v>15.86</v>
      </c>
      <c r="U36" s="7" t="str">
        <f aca="false">IF(COUNT(Y36:AF36)=0,"-",SUM(Y36:AF36)&amp;"-"&amp;SUM(AH36:AO36))</f>
        <v>-</v>
      </c>
      <c r="V36" s="7" t="str">
        <f aca="false">IF(COUNT(Y36:AF36)=0,"-",IF(SUM(AZ36:BG36)=0,TEXT(0,"0.0000"),TEXT(ROUND(SUM(AQ36:AX36)/SUM(AZ36:BG36),4),"0.0000")))</f>
        <v>-</v>
      </c>
      <c r="W36" s="7" t="str">
        <f aca="false">IF(H36="","-",IF(P36=0,TEXT(0,"0.0000"),TEXT(ROUND(O36/P36,4),"0.0000")))</f>
        <v>1.2960</v>
      </c>
      <c r="X36" s="13" t="str">
        <f aca="false">$C36</f>
        <v>Elefanti Esuberanti-Elefantiopoli EI</v>
      </c>
      <c r="Y36" s="14" t="str">
        <f aca="false">IF(AND($H36&lt;&gt;"",$H$36&lt;&gt;"",$H36&lt;&gt;$H$36,IFERROR(VLOOKUP($H36,areaCercaPuntiClassificaSquadra,3,FALSE()),-1)=IFERROR(VLOOKUP($H$36,areaCercaPuntiClassificaSquadra,3,FALSE()),-2)),SUMIFS('Calendario D'!$N$8:$N$110,'Calendario D'!$M$8:$M$110,$H36,'Calendario D'!$T$8:$T$110,$H$36)+SUMIFS('Calendario D'!$U$8:$U$110,'Calendario D'!$T$8:$T$110,$H36,'Calendario D'!$M$8:$M$110,$H$36),"-")</f>
        <v>-</v>
      </c>
      <c r="Z36" s="14" t="str">
        <f aca="false">IF(AND($H36&lt;&gt;"",$H$37&lt;&gt;"",$H36&lt;&gt;$H$37,IFERROR(VLOOKUP($H36,areaCercaPuntiClassificaSquadra,3,FALSE()),-1)=IFERROR(VLOOKUP($H$37,areaCercaPuntiClassificaSquadra,3,FALSE()),-2)),SUMIFS('Calendario D'!$N$8:$N$110,'Calendario D'!$M$8:$M$110,$H36,'Calendario D'!$T$8:$T$110,$H$37)+SUMIFS('Calendario D'!$U$8:$U$110,'Calendario D'!$T$8:$T$110,$H36,'Calendario D'!$M$8:$M$110,$H$37),"-")</f>
        <v>-</v>
      </c>
      <c r="AA36" s="14" t="str">
        <f aca="false">IF(AND($H36&lt;&gt;"",$H$38&lt;&gt;"",$H36&lt;&gt;$H$38,IFERROR(VLOOKUP($H36,areaCercaPuntiClassificaSquadra,3,FALSE()),-1)=IFERROR(VLOOKUP($H$38,areaCercaPuntiClassificaSquadra,3,FALSE()),-2)),SUMIFS('Calendario D'!$N$8:$N$110,'Calendario D'!$M$8:$M$110,$H36,'Calendario D'!$T$8:$T$110,$H$38)+SUMIFS('Calendario D'!$U$8:$U$110,'Calendario D'!$T$8:$T$110,$H36,'Calendario D'!$M$8:$M$110,$H$38),"-")</f>
        <v>-</v>
      </c>
      <c r="AB36" s="14" t="str">
        <f aca="false">IF(AND($H36&lt;&gt;"",$H$39&lt;&gt;"",$H36&lt;&gt;$H$39,IFERROR(VLOOKUP($H36,areaCercaPuntiClassificaSquadra,3,FALSE()),-1)=IFERROR(VLOOKUP($H$39,areaCercaPuntiClassificaSquadra,3,FALSE()),-2)),SUMIFS('Calendario D'!$N$8:$N$110,'Calendario D'!$M$8:$M$110,$H36,'Calendario D'!$T$8:$T$110,$H$39)+SUMIFS('Calendario D'!$U$8:$U$110,'Calendario D'!$T$8:$T$110,$H36,'Calendario D'!$M$8:$M$110,$H$39),"-")</f>
        <v>-</v>
      </c>
      <c r="AC36" s="14" t="str">
        <f aca="false">IF(AND($H36&lt;&gt;"",$H$40&lt;&gt;"",$H36&lt;&gt;$H$40,IFERROR(VLOOKUP($H36,areaCercaPuntiClassificaSquadra,3,FALSE()),-1)=IFERROR(VLOOKUP($H$40,areaCercaPuntiClassificaSquadra,3,FALSE()),-2)),SUMIFS('Calendario D'!$N$8:$N$110,'Calendario D'!$M$8:$M$110,$H36,'Calendario D'!$T$8:$T$110,$H$40)+SUMIFS('Calendario D'!$U$8:$U$110,'Calendario D'!$T$8:$T$110,$H36,'Calendario D'!$M$8:$M$110,$H$40),"-")</f>
        <v>-</v>
      </c>
      <c r="AD36" s="14" t="str">
        <f aca="false">IF(AND($H36&lt;&gt;"",$H$41&lt;&gt;"",$H36&lt;&gt;$H$41,IFERROR(VLOOKUP($H36,areaCercaPuntiClassificaSquadra,3,FALSE()),-1)=IFERROR(VLOOKUP($H$41,areaCercaPuntiClassificaSquadra,3,FALSE()),-2)),SUMIFS('Calendario D'!$N$8:$N$110,'Calendario D'!$M$8:$M$110,$H36,'Calendario D'!$T$8:$T$110,$H$41)+SUMIFS('Calendario D'!$U$8:$U$110,'Calendario D'!$T$8:$T$110,$H36,'Calendario D'!$M$8:$M$110,$H$41),"-")</f>
        <v>-</v>
      </c>
      <c r="AE36" s="14" t="str">
        <f aca="false">IF(AND($H36&lt;&gt;"",$H$42&lt;&gt;"",$H36&lt;&gt;$H$42,IFERROR(VLOOKUP($H36,areaCercaPuntiClassificaSquadra,3,FALSE()),-1)=IFERROR(VLOOKUP($H$42,areaCercaPuntiClassificaSquadra,3,FALSE()),-2)),SUMIFS('Calendario D'!$N$8:$N$110,'Calendario D'!$M$8:$M$110,$H36,'Calendario D'!$T$8:$T$110,$H$42)+SUMIFS('Calendario D'!$U$8:$U$110,'Calendario D'!$T$8:$T$110,$H36,'Calendario D'!$M$8:$M$110,$H$42),"-")</f>
        <v>-</v>
      </c>
      <c r="AF36" s="14" t="str">
        <f aca="false">IF(AND($H36&lt;&gt;"",$H$43&lt;&gt;"",$H36&lt;&gt;$H$43,IFERROR(VLOOKUP($H36,areaCercaPuntiClassificaSquadra,3,FALSE()),-1)=IFERROR(VLOOKUP($H$43,areaCercaPuntiClassificaSquadra,3,FALSE()),-2)),SUMIFS('Calendario D'!$N$8:$N$110,'Calendario D'!$M$8:$M$110,$H36,'Calendario D'!$T$8:$T$110,$H$43)+SUMIFS('Calendario D'!$U$8:$U$110,'Calendario D'!$T$8:$T$110,$H36,'Calendario D'!$M$8:$M$110,$H$43),"-")</f>
        <v>-</v>
      </c>
      <c r="AG36" s="13" t="str">
        <f aca="false">$C36</f>
        <v>Elefanti Esuberanti-Elefantiopoli EI</v>
      </c>
      <c r="AH36" s="14" t="str">
        <f aca="false">IF(AND($H36&lt;&gt;"",$H$36&lt;&gt;"",$H36&lt;&gt;$H$36,IFERROR(VLOOKUP($H36,areaCercaPuntiClassificaSquadra,3,FALSE()),-1)=IFERROR(VLOOKUP($H$36,areaCercaPuntiClassificaSquadra,3,FALSE()),-2)),SUMIFS('Calendario D'!$P$8:$P$110,'Calendario D'!$M$8:$M$110,$H36,'Calendario D'!$T$8:$T$110,$H$36)+SUMIFS('Calendario D'!$W$8:$W$110,'Calendario D'!$T$8:$T$110,$H36,'Calendario D'!$M$8:$M$110,$H$36)+SUMIFS('Calendario D'!$O$8:$O$110,'Calendario D'!$M$8:$M$110,$H36,'Calendario D'!$T$8:$T$110,$H$36)+SUMIFS('Calendario D'!$V$8:$V$110,'Calendario D'!$T$8:$T$110,$H36,'Calendario D'!$M$8:$M$110,$H$36),"-")</f>
        <v>-</v>
      </c>
      <c r="AI36" s="14" t="str">
        <f aca="false">IF(AND($H36&lt;&gt;"",$H$37&lt;&gt;"",$H36&lt;&gt;$H$37,IFERROR(VLOOKUP($H36,areaCercaPuntiClassificaSquadra,3,FALSE()),-1)=IFERROR(VLOOKUP($H$37,areaCercaPuntiClassificaSquadra,3,FALSE()),-2)),SUMIFS('Calendario D'!$P$8:$P$110,'Calendario D'!$M$8:$M$110,$H36,'Calendario D'!$T$8:$T$110,$H$37)+SUMIFS('Calendario D'!$W$8:$W$110,'Calendario D'!$T$8:$T$110,$H36,'Calendario D'!$M$8:$M$110,$H$37)+SUMIFS('Calendario D'!$O$8:$O$110,'Calendario D'!$M$8:$M$110,$H36,'Calendario D'!$T$8:$T$110,$H$37)+SUMIFS('Calendario D'!$V$8:$V$110,'Calendario D'!$T$8:$T$110,$H36,'Calendario D'!$M$8:$M$110,$H$37),"-")</f>
        <v>-</v>
      </c>
      <c r="AJ36" s="14" t="str">
        <f aca="false">IF(AND($H36&lt;&gt;"",$H$38&lt;&gt;"",$H36&lt;&gt;$H$38,IFERROR(VLOOKUP($H36,areaCercaPuntiClassificaSquadra,3,FALSE()),-1)=IFERROR(VLOOKUP($H$38,areaCercaPuntiClassificaSquadra,3,FALSE()),-2)),SUMIFS('Calendario D'!$P$8:$P$110,'Calendario D'!$M$8:$M$110,$H36,'Calendario D'!$T$8:$T$110,$H$38)+SUMIFS('Calendario D'!$W$8:$W$110,'Calendario D'!$T$8:$T$110,$H36,'Calendario D'!$M$8:$M$110,$H$38)+SUMIFS('Calendario D'!$O$8:$O$110,'Calendario D'!$M$8:$M$110,$H36,'Calendario D'!$T$8:$T$110,$H$38)+SUMIFS('Calendario D'!$V$8:$V$110,'Calendario D'!$T$8:$T$110,$H36,'Calendario D'!$M$8:$M$110,$H$38),"-")</f>
        <v>-</v>
      </c>
      <c r="AK36" s="14" t="str">
        <f aca="false">IF(AND($H36&lt;&gt;"",$H$39&lt;&gt;"",$H36&lt;&gt;$H$39,IFERROR(VLOOKUP($H36,areaCercaPuntiClassificaSquadra,3,FALSE()),-1)=IFERROR(VLOOKUP($H$39,areaCercaPuntiClassificaSquadra,3,FALSE()),-2)),SUMIFS('Calendario D'!$P$8:$P$110,'Calendario D'!$M$8:$M$110,$H36,'Calendario D'!$T$8:$T$110,$H$39)+SUMIFS('Calendario D'!$W$8:$W$110,'Calendario D'!$T$8:$T$110,$H36,'Calendario D'!$M$8:$M$110,$H$39)+SUMIFS('Calendario D'!$O$8:$O$110,'Calendario D'!$M$8:$M$110,$H36,'Calendario D'!$T$8:$T$110,$H$39)+SUMIFS('Calendario D'!$V$8:$V$110,'Calendario D'!$T$8:$T$110,$H36,'Calendario D'!$M$8:$M$110,$H$39),"-")</f>
        <v>-</v>
      </c>
      <c r="AL36" s="14" t="str">
        <f aca="false">IF(AND($H36&lt;&gt;"",$H$40&lt;&gt;"",$H36&lt;&gt;$H$40,IFERROR(VLOOKUP($H36,areaCercaPuntiClassificaSquadra,3,FALSE()),-1)=IFERROR(VLOOKUP($H$40,areaCercaPuntiClassificaSquadra,3,FALSE()),-2)),SUMIFS('Calendario D'!$P$8:$P$110,'Calendario D'!$M$8:$M$110,$H36,'Calendario D'!$T$8:$T$110,$H$40)+SUMIFS('Calendario D'!$W$8:$W$110,'Calendario D'!$T$8:$T$110,$H36,'Calendario D'!$M$8:$M$110,$H$40)+SUMIFS('Calendario D'!$O$8:$O$110,'Calendario D'!$M$8:$M$110,$H36,'Calendario D'!$T$8:$T$110,$H$40)+SUMIFS('Calendario D'!$V$8:$V$110,'Calendario D'!$T$8:$T$110,$H36,'Calendario D'!$M$8:$M$110,$H$40),"-")</f>
        <v>-</v>
      </c>
      <c r="AM36" s="14" t="str">
        <f aca="false">IF(AND($H36&lt;&gt;"",$H$41&lt;&gt;"",$H36&lt;&gt;$H$41,IFERROR(VLOOKUP($H36,areaCercaPuntiClassificaSquadra,3,FALSE()),-1)=IFERROR(VLOOKUP($H$41,areaCercaPuntiClassificaSquadra,3,FALSE()),-2)),SUMIFS('Calendario D'!$P$8:$P$110,'Calendario D'!$M$8:$M$110,$H36,'Calendario D'!$T$8:$T$110,$H$41)+SUMIFS('Calendario D'!$W$8:$W$110,'Calendario D'!$T$8:$T$110,$H36,'Calendario D'!$M$8:$M$110,$H$41)+SUMIFS('Calendario D'!$O$8:$O$110,'Calendario D'!$M$8:$M$110,$H36,'Calendario D'!$T$8:$T$110,$H$41)+SUMIFS('Calendario D'!$V$8:$V$110,'Calendario D'!$T$8:$T$110,$H36,'Calendario D'!$M$8:$M$110,$H$41),"-")</f>
        <v>-</v>
      </c>
      <c r="AN36" s="14" t="str">
        <f aca="false">IF(AND($H36&lt;&gt;"",$H$42&lt;&gt;"",$H36&lt;&gt;$H$42,IFERROR(VLOOKUP($H36,areaCercaPuntiClassificaSquadra,3,FALSE()),-1)=IFERROR(VLOOKUP($H$42,areaCercaPuntiClassificaSquadra,3,FALSE()),-2)),SUMIFS('Calendario D'!$P$8:$P$110,'Calendario D'!$M$8:$M$110,$H36,'Calendario D'!$T$8:$T$110,$H$42)+SUMIFS('Calendario D'!$W$8:$W$110,'Calendario D'!$T$8:$T$110,$H36,'Calendario D'!$M$8:$M$110,$H$42)+SUMIFS('Calendario D'!$O$8:$O$110,'Calendario D'!$M$8:$M$110,$H36,'Calendario D'!$T$8:$T$110,$H$42)+SUMIFS('Calendario D'!$V$8:$V$110,'Calendario D'!$T$8:$T$110,$H36,'Calendario D'!$M$8:$M$110,$H$42),"-")</f>
        <v>-</v>
      </c>
      <c r="AO36" s="14" t="str">
        <f aca="false">IF(AND($H36&lt;&gt;"",$H$43&lt;&gt;"",$H36&lt;&gt;$H$43,IFERROR(VLOOKUP($H36,areaCercaPuntiClassificaSquadra,3,FALSE()),-1)=IFERROR(VLOOKUP($H$43,areaCercaPuntiClassificaSquadra,3,FALSE()),-2)),SUMIFS('Calendario D'!$P$8:$P$110,'Calendario D'!$M$8:$M$110,$H36,'Calendario D'!$T$8:$T$110,$H$43)+SUMIFS('Calendario D'!$W$8:$W$110,'Calendario D'!$T$8:$T$110,$H36,'Calendario D'!$M$8:$M$110,$H$43)+SUMIFS('Calendario D'!$O$8:$O$110,'Calendario D'!$M$8:$M$110,$H36,'Calendario D'!$T$8:$T$110,$H$43)+SUMIFS('Calendario D'!$V$8:$V$110,'Calendario D'!$T$8:$T$110,$H36,'Calendario D'!$M$8:$M$110,$H$43),"-")</f>
        <v>-</v>
      </c>
      <c r="AP36" s="13" t="str">
        <f aca="false">$C36</f>
        <v>Elefanti Esuberanti-Elefantiopoli EI</v>
      </c>
      <c r="AQ36" s="14" t="str">
        <f aca="false">IF(AND($H36&lt;&gt;"",$H$36&lt;&gt;"",$H36&lt;&gt;$H$36,IFERROR(VLOOKUP($H36,areaCercaPuntiClassificaSquadra,3,FALSE()),-1)=IFERROR(VLOOKUP($H$36,areaCercaPuntiClassificaSquadra,3,FALSE()),-2)),SUMIFS('Calendario D'!$Q$8:$Q$110,'Calendario D'!$M$8:$M$110,$H36,'Calendario D'!$T$8:$T$110,$H$36)+SUMIFS('Calendario D'!$X$8:$X$110,'Calendario D'!$T$8:$T$110,$H36,'Calendario D'!$M$8:$M$110,$H$36),"-")</f>
        <v>-</v>
      </c>
      <c r="AR36" s="14" t="str">
        <f aca="false">IF(AND($H36&lt;&gt;"",$H$37&lt;&gt;"",$H36&lt;&gt;$H$37,IFERROR(VLOOKUP($H36,areaCercaPuntiClassificaSquadra,3,FALSE()),-1)=IFERROR(VLOOKUP($H$37,areaCercaPuntiClassificaSquadra,3,FALSE()),-2)),SUMIFS('Calendario D'!$Q$8:$Q$110,'Calendario D'!$M$8:$M$110,$H36,'Calendario D'!$T$8:$T$110,$H$37)+SUMIFS('Calendario D'!$X$8:$X$110,'Calendario D'!$T$8:$T$110,$H36,'Calendario D'!$M$8:$M$110,$H$37),"-")</f>
        <v>-</v>
      </c>
      <c r="AS36" s="14" t="str">
        <f aca="false">IF(AND($H36&lt;&gt;"",$H$38&lt;&gt;"",$H36&lt;&gt;$H$38,IFERROR(VLOOKUP($H36,areaCercaPuntiClassificaSquadra,3,FALSE()),-1)=IFERROR(VLOOKUP($H$38,areaCercaPuntiClassificaSquadra,3,FALSE()),-2)),SUMIFS('Calendario D'!$Q$8:$Q$110,'Calendario D'!$M$8:$M$110,$H36,'Calendario D'!$T$8:$T$110,$H$38)+SUMIFS('Calendario D'!$X$8:$X$110,'Calendario D'!$T$8:$T$110,$H36,'Calendario D'!$M$8:$M$110,$H$38),"-")</f>
        <v>-</v>
      </c>
      <c r="AT36" s="14" t="str">
        <f aca="false">IF(AND($H36&lt;&gt;"",$H$39&lt;&gt;"",$H36&lt;&gt;$H$39,IFERROR(VLOOKUP($H36,areaCercaPuntiClassificaSquadra,3,FALSE()),-1)=IFERROR(VLOOKUP($H$39,areaCercaPuntiClassificaSquadra,3,FALSE()),-2)),SUMIFS('Calendario D'!$Q$8:$Q$110,'Calendario D'!$M$8:$M$110,$H36,'Calendario D'!$T$8:$T$110,$H$39)+SUMIFS('Calendario D'!$X$8:$X$110,'Calendario D'!$T$8:$T$110,$H36,'Calendario D'!$M$8:$M$110,$H$39),"-")</f>
        <v>-</v>
      </c>
      <c r="AU36" s="14" t="str">
        <f aca="false">IF(AND($H36&lt;&gt;"",$H$40&lt;&gt;"",$H36&lt;&gt;$H$40,IFERROR(VLOOKUP($H36,areaCercaPuntiClassificaSquadra,3,FALSE()),-1)=IFERROR(VLOOKUP($H$40,areaCercaPuntiClassificaSquadra,3,FALSE()),-2)),SUMIFS('Calendario D'!$Q$8:$Q$110,'Calendario D'!$M$8:$M$110,$H36,'Calendario D'!$T$8:$T$110,$H$40)+SUMIFS('Calendario D'!$X$8:$X$110,'Calendario D'!$T$8:$T$110,$H36,'Calendario D'!$M$8:$M$110,$H$40),"-")</f>
        <v>-</v>
      </c>
      <c r="AV36" s="14" t="str">
        <f aca="false">IF(AND($H36&lt;&gt;"",$H$41&lt;&gt;"",$H36&lt;&gt;$H$41,IFERROR(VLOOKUP($H36,areaCercaPuntiClassificaSquadra,3,FALSE()),-1)=IFERROR(VLOOKUP($H$41,areaCercaPuntiClassificaSquadra,3,FALSE()),-2)),SUMIFS('Calendario D'!$Q$8:$Q$110,'Calendario D'!$M$8:$M$110,$H36,'Calendario D'!$T$8:$T$110,$H$41)+SUMIFS('Calendario D'!$X$8:$X$110,'Calendario D'!$T$8:$T$110,$H36,'Calendario D'!$M$8:$M$110,$H$41),"-")</f>
        <v>-</v>
      </c>
      <c r="AW36" s="14" t="str">
        <f aca="false">IF(AND($H36&lt;&gt;"",$H$42&lt;&gt;"",$H36&lt;&gt;$H$42,IFERROR(VLOOKUP($H36,areaCercaPuntiClassificaSquadra,3,FALSE()),-1)=IFERROR(VLOOKUP($H$42,areaCercaPuntiClassificaSquadra,3,FALSE()),-2)),SUMIFS('Calendario D'!$Q$8:$Q$110,'Calendario D'!$M$8:$M$110,$H36,'Calendario D'!$T$8:$T$110,$H$42)+SUMIFS('Calendario D'!$X$8:$X$110,'Calendario D'!$T$8:$T$110,$H36,'Calendario D'!$M$8:$M$110,$H$42),"-")</f>
        <v>-</v>
      </c>
      <c r="AX36" s="14" t="str">
        <f aca="false">IF(AND($H36&lt;&gt;"",$H$43&lt;&gt;"",$H36&lt;&gt;$H$43,IFERROR(VLOOKUP($H36,areaCercaPuntiClassificaSquadra,3,FALSE()),-1)=IFERROR(VLOOKUP($H$43,areaCercaPuntiClassificaSquadra,3,FALSE()),-2)),SUMIFS('Calendario D'!$Q$8:$Q$110,'Calendario D'!$M$8:$M$110,$H36,'Calendario D'!$T$8:$T$110,$H$43)+SUMIFS('Calendario D'!$X$8:$X$110,'Calendario D'!$T$8:$T$110,$H36,'Calendario D'!$M$8:$M$110,$H$43),"-")</f>
        <v>-</v>
      </c>
      <c r="AY36" s="13" t="str">
        <f aca="false">$C36</f>
        <v>Elefanti Esuberanti-Elefantiopoli EI</v>
      </c>
      <c r="AZ36" s="14" t="str">
        <f aca="false">IF(AND($H36&lt;&gt;"",$H$36&lt;&gt;"",$H36&lt;&gt;$H$36,IFERROR(VLOOKUP($H36,areaCercaPuntiClassificaSquadra,3,FALSE()),-1)=IFERROR(VLOOKUP($H$36,areaCercaPuntiClassificaSquadra,3,FALSE()),-2)),SUMIFS('Calendario D'!$R$8:$R$110,'Calendario D'!$M$8:$M$110,$H36,'Calendario D'!$T$8:$T$110,$H$36)+SUMIFS('Calendario D'!$Y$8:$Y$110,'Calendario D'!$T$8:$T$110,$H36,'Calendario D'!$M$8:$M$110,$H$36),"-")</f>
        <v>-</v>
      </c>
      <c r="BA36" s="14" t="str">
        <f aca="false">IF(AND($H36&lt;&gt;"",$H$37&lt;&gt;"",$H36&lt;&gt;$H$37,IFERROR(VLOOKUP($H36,areaCercaPuntiClassificaSquadra,3,FALSE()),-1)=IFERROR(VLOOKUP($H$37,areaCercaPuntiClassificaSquadra,3,FALSE()),-2)),SUMIFS('Calendario D'!$R$8:$R$110,'Calendario D'!$M$8:$M$110,$H36,'Calendario D'!$T$8:$T$110,$H$37)+SUMIFS('Calendario D'!$Y$8:$Y$110,'Calendario D'!$T$8:$T$110,$H36,'Calendario D'!$M$8:$M$110,$H$37),"-")</f>
        <v>-</v>
      </c>
      <c r="BB36" s="14" t="str">
        <f aca="false">IF(AND($H36&lt;&gt;"",$H$38&lt;&gt;"",$H36&lt;&gt;$H$38,IFERROR(VLOOKUP($H36,areaCercaPuntiClassificaSquadra,3,FALSE()),-1)=IFERROR(VLOOKUP($H$38,areaCercaPuntiClassificaSquadra,3,FALSE()),-2)),SUMIFS('Calendario D'!$R$8:$R$110,'Calendario D'!$M$8:$M$110,$H36,'Calendario D'!$T$8:$T$110,$H$38)+SUMIFS('Calendario D'!$Y$8:$Y$110,'Calendario D'!$T$8:$T$110,$H36,'Calendario D'!$M$8:$M$110,$H$38),"-")</f>
        <v>-</v>
      </c>
      <c r="BC36" s="14" t="str">
        <f aca="false">IF(AND($H36&lt;&gt;"",$H$39&lt;&gt;"",$H36&lt;&gt;$H$39,IFERROR(VLOOKUP($H36,areaCercaPuntiClassificaSquadra,3,FALSE()),-1)=IFERROR(VLOOKUP($H$39,areaCercaPuntiClassificaSquadra,3,FALSE()),-2)),SUMIFS('Calendario D'!$R$8:$R$110,'Calendario D'!$M$8:$M$110,$H36,'Calendario D'!$T$8:$T$110,$H$39)+SUMIFS('Calendario D'!$Y$8:$Y$110,'Calendario D'!$T$8:$T$110,$H36,'Calendario D'!$M$8:$M$110,$H$39),"-")</f>
        <v>-</v>
      </c>
      <c r="BD36" s="14" t="str">
        <f aca="false">IF(AND($H36&lt;&gt;"",$H$40&lt;&gt;"",$H36&lt;&gt;$H$40,IFERROR(VLOOKUP($H36,areaCercaPuntiClassificaSquadra,3,FALSE()),-1)=IFERROR(VLOOKUP($H$40,areaCercaPuntiClassificaSquadra,3,FALSE()),-2)),SUMIFS('Calendario D'!$R$8:$R$110,'Calendario D'!$M$8:$M$110,$H36,'Calendario D'!$T$8:$T$110,$H$40)+SUMIFS('Calendario D'!$Y$8:$Y$110,'Calendario D'!$T$8:$T$110,$H36,'Calendario D'!$M$8:$M$110,$H$40),"-")</f>
        <v>-</v>
      </c>
      <c r="BE36" s="14" t="str">
        <f aca="false">IF(AND($H36&lt;&gt;"",$H$41&lt;&gt;"",$H36&lt;&gt;$H$41,IFERROR(VLOOKUP($H36,areaCercaPuntiClassificaSquadra,3,FALSE()),-1)=IFERROR(VLOOKUP($H$41,areaCercaPuntiClassificaSquadra,3,FALSE()),-2)),SUMIFS('Calendario D'!$R$8:$R$110,'Calendario D'!$M$8:$M$110,$H36,'Calendario D'!$T$8:$T$110,$H$41)+SUMIFS('Calendario D'!$Y$8:$Y$110,'Calendario D'!$T$8:$T$110,$H36,'Calendario D'!$M$8:$M$110,$H$41),"-")</f>
        <v>-</v>
      </c>
      <c r="BF36" s="14" t="str">
        <f aca="false">IF(AND($H36&lt;&gt;"",$H$42&lt;&gt;"",$H36&lt;&gt;$H$42,IFERROR(VLOOKUP($H36,areaCercaPuntiClassificaSquadra,3,FALSE()),-1)=IFERROR(VLOOKUP($H$42,areaCercaPuntiClassificaSquadra,3,FALSE()),-2)),SUMIFS('Calendario D'!$R$8:$R$110,'Calendario D'!$M$8:$M$110,$H36,'Calendario D'!$T$8:$T$110,$H$42)+SUMIFS('Calendario D'!$Y$8:$Y$110,'Calendario D'!$T$8:$T$110,$H36,'Calendario D'!$M$8:$M$110,$H$42),"-")</f>
        <v>-</v>
      </c>
      <c r="BG36" s="14" t="str">
        <f aca="false">IF(AND($H36&lt;&gt;"",$H$43&lt;&gt;"",$H36&lt;&gt;$H$43,IFERROR(VLOOKUP($H36,areaCercaPuntiClassificaSquadra,3,FALSE()),-1)=IFERROR(VLOOKUP($H$43,areaCercaPuntiClassificaSquadra,3,FALSE()),-2)),SUMIFS('Calendario D'!$R$8:$R$110,'Calendario D'!$M$8:$M$110,$H36,'Calendario D'!$T$8:$T$110,$H$43)+SUMIFS('Calendario D'!$Y$8:$Y$110,'Calendario D'!$T$8:$T$110,$H36,'Calendario D'!$M$8:$M$110,$H$43),"-")</f>
        <v>-</v>
      </c>
    </row>
    <row r="37" customFormat="false" ht="15" hidden="false" customHeight="false" outlineLevel="0" collapsed="false">
      <c r="B37" s="7" t="s">
        <v>101</v>
      </c>
      <c r="C37" s="8" t="s">
        <v>102</v>
      </c>
      <c r="D37" s="9"/>
      <c r="E37" s="19" t="s">
        <v>100</v>
      </c>
      <c r="G37" s="20" t="str">
        <f aca="false">IF($C37="","",$E37&amp;(COUNTIFS(I$12:I$75,"&gt;"&amp;I37,E$12:E$75,"="&amp;E37,C$12:C$75,"&lt;&gt;")+COUNTIFS(I$12:I$75,"="&amp;I37,H$12:H$75,"&lt;="&amp;H37,E$12:E$75,"="&amp;E37,C$12:C$75,"&lt;&gt;")))</f>
        <v>D4</v>
      </c>
      <c r="H37" s="12" t="str">
        <f aca="false">IF($C37="","",IFERROR(LEFT($C37,FIND("-",$C37)-1),$C37))</f>
        <v>Fenicotteri Focosi</v>
      </c>
      <c r="I37" s="7" t="str">
        <f aca="false">TEXT(1000000000+J37,"|0000000000|")&amp;TEXT(SUM(Y37:AF37),"0000000000|")&amp;IF(SUM(AZ37:BG37)=0,"0000000000|",TEXT(ROUND(SUM(AQ37:AX37)/SUM(AZ37:BG37),4)*100000,"0000000000|"))&amp;IF(P37=0,"0000000000|",TEXT(ROUND(O37/P37,4)*100000,"0000000000|"))</f>
        <v>|1000000015|0000000000|0000000000|0000103730|</v>
      </c>
      <c r="J37" s="20" t="n">
        <f aca="false">L37*constPuntiVittoria+M37*constPuntiSconfitta+N37*constPuntiForfait+IF(D37="",0,D37)</f>
        <v>15</v>
      </c>
      <c r="K37" s="7" t="n">
        <f aca="false">SUM(L37:N37)</f>
        <v>7</v>
      </c>
      <c r="L37" s="7" t="n">
        <f aca="false">IF($H37="",0,SUMIF('Calendario D'!$M$8:$M$110,$H37,'Calendario D'!$N$8:$N$110)+SUMIF('Calendario D'!$T$8:$T$110,$H37,'Calendario D'!$U$8:$U$110))</f>
        <v>4</v>
      </c>
      <c r="M37" s="7" t="n">
        <f aca="false">IF($H37="",0,SUMIF('Calendario D'!$M$8:$M$110,$H37,'Calendario D'!$P$8:$P$110)+SUMIF('Calendario D'!$T$8:$T$110,$H37,'Calendario D'!$W$8:$W$110))</f>
        <v>3</v>
      </c>
      <c r="N37" s="7" t="n">
        <f aca="false">IF($H37="",0,SUMIF('Calendario D'!$M$8:$M$110,$H37,'Calendario D'!$O$8:$O$110)+SUMIF('Calendario D'!$T$8:$T$110,$H37,'Calendario D'!$V$8:$V$110))</f>
        <v>0</v>
      </c>
      <c r="O37" s="7" t="n">
        <f aca="false">IF($H37="",0,SUMIF('Calendario D'!$M$8:$M$110,$H37,'Calendario D'!$Q$8:$Q$110)+SUMIF('Calendario D'!$T$8:$T$110,$H37,'Calendario D'!$X$8:$X$110))</f>
        <v>445</v>
      </c>
      <c r="P37" s="7" t="n">
        <f aca="false">IF($H37="",0,SUMIF('Calendario D'!$M$8:$M$110,$H37,'Calendario D'!$R$8:$R$110)+SUMIF('Calendario D'!$T$8:$T$110,$H37,'Calendario D'!$Y$8:$Y$110))</f>
        <v>429</v>
      </c>
      <c r="Q37" s="7" t="n">
        <f aca="false">IF($H37="",0,SUMIF('Calendario D'!$M$8:$M$110,$H37,'Calendario D'!$S$8:$S$110)+SUMIF('Calendario D'!$T$8:$T$110,$H37,'Calendario D'!$Z$8:$Z$110))</f>
        <v>16</v>
      </c>
      <c r="R37" s="7" t="n">
        <f aca="false">IF(K37=0,0,ROUND(O37/K37,2))</f>
        <v>63.57</v>
      </c>
      <c r="S37" s="7" t="n">
        <f aca="false">IF(K37=0,0,ROUND(P37/K37,2))</f>
        <v>61.29</v>
      </c>
      <c r="T37" s="7" t="n">
        <f aca="false">IF(K37=0,0,ROUND(Q37/K37,2))</f>
        <v>2.29</v>
      </c>
      <c r="U37" s="7" t="str">
        <f aca="false">IF(COUNT(Y37:AF37)=0,"-",SUM(Y37:AF37)&amp;"-"&amp;SUM(AH37:AO37))</f>
        <v>-</v>
      </c>
      <c r="V37" s="7" t="str">
        <f aca="false">IF(COUNT(Y37:AF37)=0,"-",IF(SUM(AZ37:BG37)=0,TEXT(0,"0.0000"),TEXT(ROUND(SUM(AQ37:AX37)/SUM(AZ37:BG37),4),"0.0000")))</f>
        <v>-</v>
      </c>
      <c r="W37" s="7" t="str">
        <f aca="false">IF(H37="","-",IF(P37=0,TEXT(0,"0.0000"),TEXT(ROUND(O37/P37,4),"0.0000")))</f>
        <v>1.0373</v>
      </c>
      <c r="X37" s="13" t="str">
        <f aca="false">$C37</f>
        <v>Fenicotteri Focosi-Fenicotteriopoli FI</v>
      </c>
      <c r="Y37" s="14" t="str">
        <f aca="false">IF(AND($H37&lt;&gt;"",$H$36&lt;&gt;"",$H37&lt;&gt;$H$36,IFERROR(VLOOKUP($H37,areaCercaPuntiClassificaSquadra,3,FALSE()),-1)=IFERROR(VLOOKUP($H$36,areaCercaPuntiClassificaSquadra,3,FALSE()),-2)),SUMIFS('Calendario D'!$N$8:$N$110,'Calendario D'!$M$8:$M$110,$H37,'Calendario D'!$T$8:$T$110,$H$36)+SUMIFS('Calendario D'!$U$8:$U$110,'Calendario D'!$T$8:$T$110,$H37,'Calendario D'!$M$8:$M$110,$H$36),"-")</f>
        <v>-</v>
      </c>
      <c r="Z37" s="14" t="str">
        <f aca="false">IF(AND($H37&lt;&gt;"",$H$37&lt;&gt;"",$H37&lt;&gt;$H$37,IFERROR(VLOOKUP($H37,areaCercaPuntiClassificaSquadra,3,FALSE()),-1)=IFERROR(VLOOKUP($H$37,areaCercaPuntiClassificaSquadra,3,FALSE()),-2)),SUMIFS('Calendario D'!$N$8:$N$110,'Calendario D'!$M$8:$M$110,$H37,'Calendario D'!$T$8:$T$110,$H$37)+SUMIFS('Calendario D'!$U$8:$U$110,'Calendario D'!$T$8:$T$110,$H37,'Calendario D'!$M$8:$M$110,$H$37),"-")</f>
        <v>-</v>
      </c>
      <c r="AA37" s="14" t="str">
        <f aca="false">IF(AND($H37&lt;&gt;"",$H$38&lt;&gt;"",$H37&lt;&gt;$H$38,IFERROR(VLOOKUP($H37,areaCercaPuntiClassificaSquadra,3,FALSE()),-1)=IFERROR(VLOOKUP($H$38,areaCercaPuntiClassificaSquadra,3,FALSE()),-2)),SUMIFS('Calendario D'!$N$8:$N$110,'Calendario D'!$M$8:$M$110,$H37,'Calendario D'!$T$8:$T$110,$H$38)+SUMIFS('Calendario D'!$U$8:$U$110,'Calendario D'!$T$8:$T$110,$H37,'Calendario D'!$M$8:$M$110,$H$38),"-")</f>
        <v>-</v>
      </c>
      <c r="AB37" s="14" t="str">
        <f aca="false">IF(AND($H37&lt;&gt;"",$H$39&lt;&gt;"",$H37&lt;&gt;$H$39,IFERROR(VLOOKUP($H37,areaCercaPuntiClassificaSquadra,3,FALSE()),-1)=IFERROR(VLOOKUP($H$39,areaCercaPuntiClassificaSquadra,3,FALSE()),-2)),SUMIFS('Calendario D'!$N$8:$N$110,'Calendario D'!$M$8:$M$110,$H37,'Calendario D'!$T$8:$T$110,$H$39)+SUMIFS('Calendario D'!$U$8:$U$110,'Calendario D'!$T$8:$T$110,$H37,'Calendario D'!$M$8:$M$110,$H$39),"-")</f>
        <v>-</v>
      </c>
      <c r="AC37" s="14" t="str">
        <f aca="false">IF(AND($H37&lt;&gt;"",$H$40&lt;&gt;"",$H37&lt;&gt;$H$40,IFERROR(VLOOKUP($H37,areaCercaPuntiClassificaSquadra,3,FALSE()),-1)=IFERROR(VLOOKUP($H$40,areaCercaPuntiClassificaSquadra,3,FALSE()),-2)),SUMIFS('Calendario D'!$N$8:$N$110,'Calendario D'!$M$8:$M$110,$H37,'Calendario D'!$T$8:$T$110,$H$40)+SUMIFS('Calendario D'!$U$8:$U$110,'Calendario D'!$T$8:$T$110,$H37,'Calendario D'!$M$8:$M$110,$H$40),"-")</f>
        <v>-</v>
      </c>
      <c r="AD37" s="14" t="str">
        <f aca="false">IF(AND($H37&lt;&gt;"",$H$41&lt;&gt;"",$H37&lt;&gt;$H$41,IFERROR(VLOOKUP($H37,areaCercaPuntiClassificaSquadra,3,FALSE()),-1)=IFERROR(VLOOKUP($H$41,areaCercaPuntiClassificaSquadra,3,FALSE()),-2)),SUMIFS('Calendario D'!$N$8:$N$110,'Calendario D'!$M$8:$M$110,$H37,'Calendario D'!$T$8:$T$110,$H$41)+SUMIFS('Calendario D'!$U$8:$U$110,'Calendario D'!$T$8:$T$110,$H37,'Calendario D'!$M$8:$M$110,$H$41),"-")</f>
        <v>-</v>
      </c>
      <c r="AE37" s="14" t="str">
        <f aca="false">IF(AND($H37&lt;&gt;"",$H$42&lt;&gt;"",$H37&lt;&gt;$H$42,IFERROR(VLOOKUP($H37,areaCercaPuntiClassificaSquadra,3,FALSE()),-1)=IFERROR(VLOOKUP($H$42,areaCercaPuntiClassificaSquadra,3,FALSE()),-2)),SUMIFS('Calendario D'!$N$8:$N$110,'Calendario D'!$M$8:$M$110,$H37,'Calendario D'!$T$8:$T$110,$H$42)+SUMIFS('Calendario D'!$U$8:$U$110,'Calendario D'!$T$8:$T$110,$H37,'Calendario D'!$M$8:$M$110,$H$42),"-")</f>
        <v>-</v>
      </c>
      <c r="AF37" s="14" t="str">
        <f aca="false">IF(AND($H37&lt;&gt;"",$H$43&lt;&gt;"",$H37&lt;&gt;$H$43,IFERROR(VLOOKUP($H37,areaCercaPuntiClassificaSquadra,3,FALSE()),-1)=IFERROR(VLOOKUP($H$43,areaCercaPuntiClassificaSquadra,3,FALSE()),-2)),SUMIFS('Calendario D'!$N$8:$N$110,'Calendario D'!$M$8:$M$110,$H37,'Calendario D'!$T$8:$T$110,$H$43)+SUMIFS('Calendario D'!$U$8:$U$110,'Calendario D'!$T$8:$T$110,$H37,'Calendario D'!$M$8:$M$110,$H$43),"-")</f>
        <v>-</v>
      </c>
      <c r="AG37" s="13" t="str">
        <f aca="false">$C37</f>
        <v>Fenicotteri Focosi-Fenicotteriopoli FI</v>
      </c>
      <c r="AH37" s="14" t="str">
        <f aca="false">IF(AND($H37&lt;&gt;"",$H$36&lt;&gt;"",$H37&lt;&gt;$H$36,IFERROR(VLOOKUP($H37,areaCercaPuntiClassificaSquadra,3,FALSE()),-1)=IFERROR(VLOOKUP($H$36,areaCercaPuntiClassificaSquadra,3,FALSE()),-2)),SUMIFS('Calendario D'!$P$8:$P$110,'Calendario D'!$M$8:$M$110,$H37,'Calendario D'!$T$8:$T$110,$H$36)+SUMIFS('Calendario D'!$W$8:$W$110,'Calendario D'!$T$8:$T$110,$H37,'Calendario D'!$M$8:$M$110,$H$36)+SUMIFS('Calendario D'!$O$8:$O$110,'Calendario D'!$M$8:$M$110,$H37,'Calendario D'!$T$8:$T$110,$H$36)+SUMIFS('Calendario D'!$V$8:$V$110,'Calendario D'!$T$8:$T$110,$H37,'Calendario D'!$M$8:$M$110,$H$36),"-")</f>
        <v>-</v>
      </c>
      <c r="AI37" s="14" t="str">
        <f aca="false">IF(AND($H37&lt;&gt;"",$H$37&lt;&gt;"",$H37&lt;&gt;$H$37,IFERROR(VLOOKUP($H37,areaCercaPuntiClassificaSquadra,3,FALSE()),-1)=IFERROR(VLOOKUP($H$37,areaCercaPuntiClassificaSquadra,3,FALSE()),-2)),SUMIFS('Calendario D'!$P$8:$P$110,'Calendario D'!$M$8:$M$110,$H37,'Calendario D'!$T$8:$T$110,$H$37)+SUMIFS('Calendario D'!$W$8:$W$110,'Calendario D'!$T$8:$T$110,$H37,'Calendario D'!$M$8:$M$110,$H$37)+SUMIFS('Calendario D'!$O$8:$O$110,'Calendario D'!$M$8:$M$110,$H37,'Calendario D'!$T$8:$T$110,$H$37)+SUMIFS('Calendario D'!$V$8:$V$110,'Calendario D'!$T$8:$T$110,$H37,'Calendario D'!$M$8:$M$110,$H$37),"-")</f>
        <v>-</v>
      </c>
      <c r="AJ37" s="14" t="str">
        <f aca="false">IF(AND($H37&lt;&gt;"",$H$38&lt;&gt;"",$H37&lt;&gt;$H$38,IFERROR(VLOOKUP($H37,areaCercaPuntiClassificaSquadra,3,FALSE()),-1)=IFERROR(VLOOKUP($H$38,areaCercaPuntiClassificaSquadra,3,FALSE()),-2)),SUMIFS('Calendario D'!$P$8:$P$110,'Calendario D'!$M$8:$M$110,$H37,'Calendario D'!$T$8:$T$110,$H$38)+SUMIFS('Calendario D'!$W$8:$W$110,'Calendario D'!$T$8:$T$110,$H37,'Calendario D'!$M$8:$M$110,$H$38)+SUMIFS('Calendario D'!$O$8:$O$110,'Calendario D'!$M$8:$M$110,$H37,'Calendario D'!$T$8:$T$110,$H$38)+SUMIFS('Calendario D'!$V$8:$V$110,'Calendario D'!$T$8:$T$110,$H37,'Calendario D'!$M$8:$M$110,$H$38),"-")</f>
        <v>-</v>
      </c>
      <c r="AK37" s="14" t="str">
        <f aca="false">IF(AND($H37&lt;&gt;"",$H$39&lt;&gt;"",$H37&lt;&gt;$H$39,IFERROR(VLOOKUP($H37,areaCercaPuntiClassificaSquadra,3,FALSE()),-1)=IFERROR(VLOOKUP($H$39,areaCercaPuntiClassificaSquadra,3,FALSE()),-2)),SUMIFS('Calendario D'!$P$8:$P$110,'Calendario D'!$M$8:$M$110,$H37,'Calendario D'!$T$8:$T$110,$H$39)+SUMIFS('Calendario D'!$W$8:$W$110,'Calendario D'!$T$8:$T$110,$H37,'Calendario D'!$M$8:$M$110,$H$39)+SUMIFS('Calendario D'!$O$8:$O$110,'Calendario D'!$M$8:$M$110,$H37,'Calendario D'!$T$8:$T$110,$H$39)+SUMIFS('Calendario D'!$V$8:$V$110,'Calendario D'!$T$8:$T$110,$H37,'Calendario D'!$M$8:$M$110,$H$39),"-")</f>
        <v>-</v>
      </c>
      <c r="AL37" s="14" t="str">
        <f aca="false">IF(AND($H37&lt;&gt;"",$H$40&lt;&gt;"",$H37&lt;&gt;$H$40,IFERROR(VLOOKUP($H37,areaCercaPuntiClassificaSquadra,3,FALSE()),-1)=IFERROR(VLOOKUP($H$40,areaCercaPuntiClassificaSquadra,3,FALSE()),-2)),SUMIFS('Calendario D'!$P$8:$P$110,'Calendario D'!$M$8:$M$110,$H37,'Calendario D'!$T$8:$T$110,$H$40)+SUMIFS('Calendario D'!$W$8:$W$110,'Calendario D'!$T$8:$T$110,$H37,'Calendario D'!$M$8:$M$110,$H$40)+SUMIFS('Calendario D'!$O$8:$O$110,'Calendario D'!$M$8:$M$110,$H37,'Calendario D'!$T$8:$T$110,$H$40)+SUMIFS('Calendario D'!$V$8:$V$110,'Calendario D'!$T$8:$T$110,$H37,'Calendario D'!$M$8:$M$110,$H$40),"-")</f>
        <v>-</v>
      </c>
      <c r="AM37" s="14" t="str">
        <f aca="false">IF(AND($H37&lt;&gt;"",$H$41&lt;&gt;"",$H37&lt;&gt;$H$41,IFERROR(VLOOKUP($H37,areaCercaPuntiClassificaSquadra,3,FALSE()),-1)=IFERROR(VLOOKUP($H$41,areaCercaPuntiClassificaSquadra,3,FALSE()),-2)),SUMIFS('Calendario D'!$P$8:$P$110,'Calendario D'!$M$8:$M$110,$H37,'Calendario D'!$T$8:$T$110,$H$41)+SUMIFS('Calendario D'!$W$8:$W$110,'Calendario D'!$T$8:$T$110,$H37,'Calendario D'!$M$8:$M$110,$H$41)+SUMIFS('Calendario D'!$O$8:$O$110,'Calendario D'!$M$8:$M$110,$H37,'Calendario D'!$T$8:$T$110,$H$41)+SUMIFS('Calendario D'!$V$8:$V$110,'Calendario D'!$T$8:$T$110,$H37,'Calendario D'!$M$8:$M$110,$H$41),"-")</f>
        <v>-</v>
      </c>
      <c r="AN37" s="14" t="str">
        <f aca="false">IF(AND($H37&lt;&gt;"",$H$42&lt;&gt;"",$H37&lt;&gt;$H$42,IFERROR(VLOOKUP($H37,areaCercaPuntiClassificaSquadra,3,FALSE()),-1)=IFERROR(VLOOKUP($H$42,areaCercaPuntiClassificaSquadra,3,FALSE()),-2)),SUMIFS('Calendario D'!$P$8:$P$110,'Calendario D'!$M$8:$M$110,$H37,'Calendario D'!$T$8:$T$110,$H$42)+SUMIFS('Calendario D'!$W$8:$W$110,'Calendario D'!$T$8:$T$110,$H37,'Calendario D'!$M$8:$M$110,$H$42)+SUMIFS('Calendario D'!$O$8:$O$110,'Calendario D'!$M$8:$M$110,$H37,'Calendario D'!$T$8:$T$110,$H$42)+SUMIFS('Calendario D'!$V$8:$V$110,'Calendario D'!$T$8:$T$110,$H37,'Calendario D'!$M$8:$M$110,$H$42),"-")</f>
        <v>-</v>
      </c>
      <c r="AO37" s="14" t="str">
        <f aca="false">IF(AND($H37&lt;&gt;"",$H$43&lt;&gt;"",$H37&lt;&gt;$H$43,IFERROR(VLOOKUP($H37,areaCercaPuntiClassificaSquadra,3,FALSE()),-1)=IFERROR(VLOOKUP($H$43,areaCercaPuntiClassificaSquadra,3,FALSE()),-2)),SUMIFS('Calendario D'!$P$8:$P$110,'Calendario D'!$M$8:$M$110,$H37,'Calendario D'!$T$8:$T$110,$H$43)+SUMIFS('Calendario D'!$W$8:$W$110,'Calendario D'!$T$8:$T$110,$H37,'Calendario D'!$M$8:$M$110,$H$43)+SUMIFS('Calendario D'!$O$8:$O$110,'Calendario D'!$M$8:$M$110,$H37,'Calendario D'!$T$8:$T$110,$H$43)+SUMIFS('Calendario D'!$V$8:$V$110,'Calendario D'!$T$8:$T$110,$H37,'Calendario D'!$M$8:$M$110,$H$43),"-")</f>
        <v>-</v>
      </c>
      <c r="AP37" s="13" t="str">
        <f aca="false">$C37</f>
        <v>Fenicotteri Focosi-Fenicotteriopoli FI</v>
      </c>
      <c r="AQ37" s="14" t="str">
        <f aca="false">IF(AND($H37&lt;&gt;"",$H$36&lt;&gt;"",$H37&lt;&gt;$H$36,IFERROR(VLOOKUP($H37,areaCercaPuntiClassificaSquadra,3,FALSE()),-1)=IFERROR(VLOOKUP($H$36,areaCercaPuntiClassificaSquadra,3,FALSE()),-2)),SUMIFS('Calendario D'!$Q$8:$Q$110,'Calendario D'!$M$8:$M$110,$H37,'Calendario D'!$T$8:$T$110,$H$36)+SUMIFS('Calendario D'!$X$8:$X$110,'Calendario D'!$T$8:$T$110,$H37,'Calendario D'!$M$8:$M$110,$H$36),"-")</f>
        <v>-</v>
      </c>
      <c r="AR37" s="14" t="str">
        <f aca="false">IF(AND($H37&lt;&gt;"",$H$37&lt;&gt;"",$H37&lt;&gt;$H$37,IFERROR(VLOOKUP($H37,areaCercaPuntiClassificaSquadra,3,FALSE()),-1)=IFERROR(VLOOKUP($H$37,areaCercaPuntiClassificaSquadra,3,FALSE()),-2)),SUMIFS('Calendario D'!$Q$8:$Q$110,'Calendario D'!$M$8:$M$110,$H37,'Calendario D'!$T$8:$T$110,$H$37)+SUMIFS('Calendario D'!$X$8:$X$110,'Calendario D'!$T$8:$T$110,$H37,'Calendario D'!$M$8:$M$110,$H$37),"-")</f>
        <v>-</v>
      </c>
      <c r="AS37" s="14" t="str">
        <f aca="false">IF(AND($H37&lt;&gt;"",$H$38&lt;&gt;"",$H37&lt;&gt;$H$38,IFERROR(VLOOKUP($H37,areaCercaPuntiClassificaSquadra,3,FALSE()),-1)=IFERROR(VLOOKUP($H$38,areaCercaPuntiClassificaSquadra,3,FALSE()),-2)),SUMIFS('Calendario D'!$Q$8:$Q$110,'Calendario D'!$M$8:$M$110,$H37,'Calendario D'!$T$8:$T$110,$H$38)+SUMIFS('Calendario D'!$X$8:$X$110,'Calendario D'!$T$8:$T$110,$H37,'Calendario D'!$M$8:$M$110,$H$38),"-")</f>
        <v>-</v>
      </c>
      <c r="AT37" s="14" t="str">
        <f aca="false">IF(AND($H37&lt;&gt;"",$H$39&lt;&gt;"",$H37&lt;&gt;$H$39,IFERROR(VLOOKUP($H37,areaCercaPuntiClassificaSquadra,3,FALSE()),-1)=IFERROR(VLOOKUP($H$39,areaCercaPuntiClassificaSquadra,3,FALSE()),-2)),SUMIFS('Calendario D'!$Q$8:$Q$110,'Calendario D'!$M$8:$M$110,$H37,'Calendario D'!$T$8:$T$110,$H$39)+SUMIFS('Calendario D'!$X$8:$X$110,'Calendario D'!$T$8:$T$110,$H37,'Calendario D'!$M$8:$M$110,$H$39),"-")</f>
        <v>-</v>
      </c>
      <c r="AU37" s="14" t="str">
        <f aca="false">IF(AND($H37&lt;&gt;"",$H$40&lt;&gt;"",$H37&lt;&gt;$H$40,IFERROR(VLOOKUP($H37,areaCercaPuntiClassificaSquadra,3,FALSE()),-1)=IFERROR(VLOOKUP($H$40,areaCercaPuntiClassificaSquadra,3,FALSE()),-2)),SUMIFS('Calendario D'!$Q$8:$Q$110,'Calendario D'!$M$8:$M$110,$H37,'Calendario D'!$T$8:$T$110,$H$40)+SUMIFS('Calendario D'!$X$8:$X$110,'Calendario D'!$T$8:$T$110,$H37,'Calendario D'!$M$8:$M$110,$H$40),"-")</f>
        <v>-</v>
      </c>
      <c r="AV37" s="14" t="str">
        <f aca="false">IF(AND($H37&lt;&gt;"",$H$41&lt;&gt;"",$H37&lt;&gt;$H$41,IFERROR(VLOOKUP($H37,areaCercaPuntiClassificaSquadra,3,FALSE()),-1)=IFERROR(VLOOKUP($H$41,areaCercaPuntiClassificaSquadra,3,FALSE()),-2)),SUMIFS('Calendario D'!$Q$8:$Q$110,'Calendario D'!$M$8:$M$110,$H37,'Calendario D'!$T$8:$T$110,$H$41)+SUMIFS('Calendario D'!$X$8:$X$110,'Calendario D'!$T$8:$T$110,$H37,'Calendario D'!$M$8:$M$110,$H$41),"-")</f>
        <v>-</v>
      </c>
      <c r="AW37" s="14" t="str">
        <f aca="false">IF(AND($H37&lt;&gt;"",$H$42&lt;&gt;"",$H37&lt;&gt;$H$42,IFERROR(VLOOKUP($H37,areaCercaPuntiClassificaSquadra,3,FALSE()),-1)=IFERROR(VLOOKUP($H$42,areaCercaPuntiClassificaSquadra,3,FALSE()),-2)),SUMIFS('Calendario D'!$Q$8:$Q$110,'Calendario D'!$M$8:$M$110,$H37,'Calendario D'!$T$8:$T$110,$H$42)+SUMIFS('Calendario D'!$X$8:$X$110,'Calendario D'!$T$8:$T$110,$H37,'Calendario D'!$M$8:$M$110,$H$42),"-")</f>
        <v>-</v>
      </c>
      <c r="AX37" s="14" t="str">
        <f aca="false">IF(AND($H37&lt;&gt;"",$H$43&lt;&gt;"",$H37&lt;&gt;$H$43,IFERROR(VLOOKUP($H37,areaCercaPuntiClassificaSquadra,3,FALSE()),-1)=IFERROR(VLOOKUP($H$43,areaCercaPuntiClassificaSquadra,3,FALSE()),-2)),SUMIFS('Calendario D'!$Q$8:$Q$110,'Calendario D'!$M$8:$M$110,$H37,'Calendario D'!$T$8:$T$110,$H$43)+SUMIFS('Calendario D'!$X$8:$X$110,'Calendario D'!$T$8:$T$110,$H37,'Calendario D'!$M$8:$M$110,$H$43),"-")</f>
        <v>-</v>
      </c>
      <c r="AY37" s="13" t="str">
        <f aca="false">$C37</f>
        <v>Fenicotteri Focosi-Fenicotteriopoli FI</v>
      </c>
      <c r="AZ37" s="14" t="str">
        <f aca="false">IF(AND($H37&lt;&gt;"",$H$36&lt;&gt;"",$H37&lt;&gt;$H$36,IFERROR(VLOOKUP($H37,areaCercaPuntiClassificaSquadra,3,FALSE()),-1)=IFERROR(VLOOKUP($H$36,areaCercaPuntiClassificaSquadra,3,FALSE()),-2)),SUMIFS('Calendario D'!$R$8:$R$110,'Calendario D'!$M$8:$M$110,$H37,'Calendario D'!$T$8:$T$110,$H$36)+SUMIFS('Calendario D'!$Y$8:$Y$110,'Calendario D'!$T$8:$T$110,$H37,'Calendario D'!$M$8:$M$110,$H$36),"-")</f>
        <v>-</v>
      </c>
      <c r="BA37" s="14" t="str">
        <f aca="false">IF(AND($H37&lt;&gt;"",$H$37&lt;&gt;"",$H37&lt;&gt;$H$37,IFERROR(VLOOKUP($H37,areaCercaPuntiClassificaSquadra,3,FALSE()),-1)=IFERROR(VLOOKUP($H$37,areaCercaPuntiClassificaSquadra,3,FALSE()),-2)),SUMIFS('Calendario D'!$R$8:$R$110,'Calendario D'!$M$8:$M$110,$H37,'Calendario D'!$T$8:$T$110,$H$37)+SUMIFS('Calendario D'!$Y$8:$Y$110,'Calendario D'!$T$8:$T$110,$H37,'Calendario D'!$M$8:$M$110,$H$37),"-")</f>
        <v>-</v>
      </c>
      <c r="BB37" s="14" t="str">
        <f aca="false">IF(AND($H37&lt;&gt;"",$H$38&lt;&gt;"",$H37&lt;&gt;$H$38,IFERROR(VLOOKUP($H37,areaCercaPuntiClassificaSquadra,3,FALSE()),-1)=IFERROR(VLOOKUP($H$38,areaCercaPuntiClassificaSquadra,3,FALSE()),-2)),SUMIFS('Calendario D'!$R$8:$R$110,'Calendario D'!$M$8:$M$110,$H37,'Calendario D'!$T$8:$T$110,$H$38)+SUMIFS('Calendario D'!$Y$8:$Y$110,'Calendario D'!$T$8:$T$110,$H37,'Calendario D'!$M$8:$M$110,$H$38),"-")</f>
        <v>-</v>
      </c>
      <c r="BC37" s="14" t="str">
        <f aca="false">IF(AND($H37&lt;&gt;"",$H$39&lt;&gt;"",$H37&lt;&gt;$H$39,IFERROR(VLOOKUP($H37,areaCercaPuntiClassificaSquadra,3,FALSE()),-1)=IFERROR(VLOOKUP($H$39,areaCercaPuntiClassificaSquadra,3,FALSE()),-2)),SUMIFS('Calendario D'!$R$8:$R$110,'Calendario D'!$M$8:$M$110,$H37,'Calendario D'!$T$8:$T$110,$H$39)+SUMIFS('Calendario D'!$Y$8:$Y$110,'Calendario D'!$T$8:$T$110,$H37,'Calendario D'!$M$8:$M$110,$H$39),"-")</f>
        <v>-</v>
      </c>
      <c r="BD37" s="14" t="str">
        <f aca="false">IF(AND($H37&lt;&gt;"",$H$40&lt;&gt;"",$H37&lt;&gt;$H$40,IFERROR(VLOOKUP($H37,areaCercaPuntiClassificaSquadra,3,FALSE()),-1)=IFERROR(VLOOKUP($H$40,areaCercaPuntiClassificaSquadra,3,FALSE()),-2)),SUMIFS('Calendario D'!$R$8:$R$110,'Calendario D'!$M$8:$M$110,$H37,'Calendario D'!$T$8:$T$110,$H$40)+SUMIFS('Calendario D'!$Y$8:$Y$110,'Calendario D'!$T$8:$T$110,$H37,'Calendario D'!$M$8:$M$110,$H$40),"-")</f>
        <v>-</v>
      </c>
      <c r="BE37" s="14" t="str">
        <f aca="false">IF(AND($H37&lt;&gt;"",$H$41&lt;&gt;"",$H37&lt;&gt;$H$41,IFERROR(VLOOKUP($H37,areaCercaPuntiClassificaSquadra,3,FALSE()),-1)=IFERROR(VLOOKUP($H$41,areaCercaPuntiClassificaSquadra,3,FALSE()),-2)),SUMIFS('Calendario D'!$R$8:$R$110,'Calendario D'!$M$8:$M$110,$H37,'Calendario D'!$T$8:$T$110,$H$41)+SUMIFS('Calendario D'!$Y$8:$Y$110,'Calendario D'!$T$8:$T$110,$H37,'Calendario D'!$M$8:$M$110,$H$41),"-")</f>
        <v>-</v>
      </c>
      <c r="BF37" s="14" t="str">
        <f aca="false">IF(AND($H37&lt;&gt;"",$H$42&lt;&gt;"",$H37&lt;&gt;$H$42,IFERROR(VLOOKUP($H37,areaCercaPuntiClassificaSquadra,3,FALSE()),-1)=IFERROR(VLOOKUP($H$42,areaCercaPuntiClassificaSquadra,3,FALSE()),-2)),SUMIFS('Calendario D'!$R$8:$R$110,'Calendario D'!$M$8:$M$110,$H37,'Calendario D'!$T$8:$T$110,$H$42)+SUMIFS('Calendario D'!$Y$8:$Y$110,'Calendario D'!$T$8:$T$110,$H37,'Calendario D'!$M$8:$M$110,$H$42),"-")</f>
        <v>-</v>
      </c>
      <c r="BG37" s="14" t="str">
        <f aca="false">IF(AND($H37&lt;&gt;"",$H$43&lt;&gt;"",$H37&lt;&gt;$H$43,IFERROR(VLOOKUP($H37,areaCercaPuntiClassificaSquadra,3,FALSE()),-1)=IFERROR(VLOOKUP($H$43,areaCercaPuntiClassificaSquadra,3,FALSE()),-2)),SUMIFS('Calendario D'!$R$8:$R$110,'Calendario D'!$M$8:$M$110,$H37,'Calendario D'!$T$8:$T$110,$H$43)+SUMIFS('Calendario D'!$Y$8:$Y$110,'Calendario D'!$T$8:$T$110,$H37,'Calendario D'!$M$8:$M$110,$H$43),"-")</f>
        <v>-</v>
      </c>
    </row>
    <row r="38" customFormat="false" ht="15" hidden="false" customHeight="false" outlineLevel="0" collapsed="false">
      <c r="B38" s="7" t="s">
        <v>103</v>
      </c>
      <c r="C38" s="8" t="s">
        <v>104</v>
      </c>
      <c r="D38" s="9"/>
      <c r="E38" s="19" t="s">
        <v>100</v>
      </c>
      <c r="G38" s="20" t="str">
        <f aca="false">IF($C38="","",$E38&amp;(COUNTIFS(I$12:I$75,"&gt;"&amp;I38,E$12:E$75,"="&amp;E38,C$12:C$75,"&lt;&gt;")+COUNTIFS(I$12:I$75,"="&amp;I38,H$12:H$75,"&lt;="&amp;H38,E$12:E$75,"="&amp;E38,C$12:C$75,"&lt;&gt;")))</f>
        <v>D8</v>
      </c>
      <c r="H38" s="12" t="str">
        <f aca="false">IF($C38="","",IFERROR(LEFT($C38,FIND("-",$C38)-1),$C38))</f>
        <v>Ghepardi Guizzanti</v>
      </c>
      <c r="I38" s="7" t="str">
        <f aca="false">TEXT(1000000000+J38,"|0000000000|")&amp;TEXT(SUM(Y38:AF38),"0000000000|")&amp;IF(SUM(AZ38:BG38)=0,"0000000000|",TEXT(ROUND(SUM(AQ38:AX38)/SUM(AZ38:BG38),4)*100000,"0000000000|"))&amp;IF(P38=0,"0000000000|",TEXT(ROUND(O38/P38,4)*100000,"0000000000|"))</f>
        <v>|1000000009|0000000001|0000096880|0000068070|</v>
      </c>
      <c r="J38" s="20" t="n">
        <f aca="false">L38*constPuntiVittoria+M38*constPuntiSconfitta+N38*constPuntiForfait+IF(D38="",0,D38)</f>
        <v>9</v>
      </c>
      <c r="K38" s="7" t="n">
        <f aca="false">SUM(L38:N38)</f>
        <v>7</v>
      </c>
      <c r="L38" s="7" t="n">
        <f aca="false">IF($H38="",0,SUMIF('Calendario D'!$M$8:$M$110,$H38,'Calendario D'!$N$8:$N$110)+SUMIF('Calendario D'!$T$8:$T$110,$H38,'Calendario D'!$U$8:$U$110))</f>
        <v>1</v>
      </c>
      <c r="M38" s="7" t="n">
        <f aca="false">IF($H38="",0,SUMIF('Calendario D'!$M$8:$M$110,$H38,'Calendario D'!$P$8:$P$110)+SUMIF('Calendario D'!$T$8:$T$110,$H38,'Calendario D'!$W$8:$W$110))</f>
        <v>6</v>
      </c>
      <c r="N38" s="7" t="n">
        <f aca="false">IF($H38="",0,SUMIF('Calendario D'!$M$8:$M$110,$H38,'Calendario D'!$O$8:$O$110)+SUMIF('Calendario D'!$T$8:$T$110,$H38,'Calendario D'!$V$8:$V$110))</f>
        <v>0</v>
      </c>
      <c r="O38" s="7" t="n">
        <f aca="false">IF($H38="",0,SUMIF('Calendario D'!$M$8:$M$110,$H38,'Calendario D'!$Q$8:$Q$110)+SUMIF('Calendario D'!$T$8:$T$110,$H38,'Calendario D'!$X$8:$X$110))</f>
        <v>339</v>
      </c>
      <c r="P38" s="7" t="n">
        <f aca="false">IF($H38="",0,SUMIF('Calendario D'!$M$8:$M$110,$H38,'Calendario D'!$R$8:$R$110)+SUMIF('Calendario D'!$T$8:$T$110,$H38,'Calendario D'!$Y$8:$Y$110))</f>
        <v>498</v>
      </c>
      <c r="Q38" s="7" t="n">
        <f aca="false">IF($H38="",0,SUMIF('Calendario D'!$M$8:$M$110,$H38,'Calendario D'!$S$8:$S$110)+SUMIF('Calendario D'!$T$8:$T$110,$H38,'Calendario D'!$Z$8:$Z$110))</f>
        <v>-159</v>
      </c>
      <c r="R38" s="7" t="n">
        <f aca="false">IF(K38=0,0,ROUND(O38/K38,2))</f>
        <v>48.43</v>
      </c>
      <c r="S38" s="7" t="n">
        <f aca="false">IF(K38=0,0,ROUND(P38/K38,2))</f>
        <v>71.14</v>
      </c>
      <c r="T38" s="7" t="n">
        <f aca="false">IF(K38=0,0,ROUND(Q38/K38,2))</f>
        <v>-22.71</v>
      </c>
      <c r="U38" s="7" t="str">
        <f aca="false">IF(COUNT(Y38:AF38)=0,"-",SUM(Y38:AF38)&amp;"-"&amp;SUM(AH38:AO38))</f>
        <v>1-1</v>
      </c>
      <c r="V38" s="7" t="str">
        <f aca="false">IF(COUNT(Y38:AF38)=0,"-",IF(SUM(AZ38:BG38)=0,TEXT(0,"0.0000"),TEXT(ROUND(SUM(AQ38:AX38)/SUM(AZ38:BG38),4),"0.0000")))</f>
        <v>0.9688</v>
      </c>
      <c r="W38" s="7" t="str">
        <f aca="false">IF(H38="","-",IF(P38=0,TEXT(0,"0.0000"),TEXT(ROUND(O38/P38,4),"0.0000")))</f>
        <v>0.6807</v>
      </c>
      <c r="X38" s="13" t="str">
        <f aca="false">$C38</f>
        <v>Ghepardi Guizzanti-Ghepardiopoli GI</v>
      </c>
      <c r="Y38" s="14" t="str">
        <f aca="false">IF(AND($H38&lt;&gt;"",$H$36&lt;&gt;"",$H38&lt;&gt;$H$36,IFERROR(VLOOKUP($H38,areaCercaPuntiClassificaSquadra,3,FALSE()),-1)=IFERROR(VLOOKUP($H$36,areaCercaPuntiClassificaSquadra,3,FALSE()),-2)),SUMIFS('Calendario D'!$N$8:$N$110,'Calendario D'!$M$8:$M$110,$H38,'Calendario D'!$T$8:$T$110,$H$36)+SUMIFS('Calendario D'!$U$8:$U$110,'Calendario D'!$T$8:$T$110,$H38,'Calendario D'!$M$8:$M$110,$H$36),"-")</f>
        <v>-</v>
      </c>
      <c r="Z38" s="14" t="str">
        <f aca="false">IF(AND($H38&lt;&gt;"",$H$37&lt;&gt;"",$H38&lt;&gt;$H$37,IFERROR(VLOOKUP($H38,areaCercaPuntiClassificaSquadra,3,FALSE()),-1)=IFERROR(VLOOKUP($H$37,areaCercaPuntiClassificaSquadra,3,FALSE()),-2)),SUMIFS('Calendario D'!$N$8:$N$110,'Calendario D'!$M$8:$M$110,$H38,'Calendario D'!$T$8:$T$110,$H$37)+SUMIFS('Calendario D'!$U$8:$U$110,'Calendario D'!$T$8:$T$110,$H38,'Calendario D'!$M$8:$M$110,$H$37),"-")</f>
        <v>-</v>
      </c>
      <c r="AA38" s="14" t="str">
        <f aca="false">IF(AND($H38&lt;&gt;"",$H$38&lt;&gt;"",$H38&lt;&gt;$H$38,IFERROR(VLOOKUP($H38,areaCercaPuntiClassificaSquadra,3,FALSE()),-1)=IFERROR(VLOOKUP($H$38,areaCercaPuntiClassificaSquadra,3,FALSE()),-2)),SUMIFS('Calendario D'!$N$8:$N$110,'Calendario D'!$M$8:$M$110,$H38,'Calendario D'!$T$8:$T$110,$H$38)+SUMIFS('Calendario D'!$U$8:$U$110,'Calendario D'!$T$8:$T$110,$H38,'Calendario D'!$M$8:$M$110,$H$38),"-")</f>
        <v>-</v>
      </c>
      <c r="AB38" s="14" t="str">
        <f aca="false">IF(AND($H38&lt;&gt;"",$H$39&lt;&gt;"",$H38&lt;&gt;$H$39,IFERROR(VLOOKUP($H38,areaCercaPuntiClassificaSquadra,3,FALSE()),-1)=IFERROR(VLOOKUP($H$39,areaCercaPuntiClassificaSquadra,3,FALSE()),-2)),SUMIFS('Calendario D'!$N$8:$N$110,'Calendario D'!$M$8:$M$110,$H38,'Calendario D'!$T$8:$T$110,$H$39)+SUMIFS('Calendario D'!$U$8:$U$110,'Calendario D'!$T$8:$T$110,$H38,'Calendario D'!$M$8:$M$110,$H$39),"-")</f>
        <v>-</v>
      </c>
      <c r="AC38" s="14" t="str">
        <f aca="false">IF(AND($H38&lt;&gt;"",$H$40&lt;&gt;"",$H38&lt;&gt;$H$40,IFERROR(VLOOKUP($H38,areaCercaPuntiClassificaSquadra,3,FALSE()),-1)=IFERROR(VLOOKUP($H$40,areaCercaPuntiClassificaSquadra,3,FALSE()),-2)),SUMIFS('Calendario D'!$N$8:$N$110,'Calendario D'!$M$8:$M$110,$H38,'Calendario D'!$T$8:$T$110,$H$40)+SUMIFS('Calendario D'!$U$8:$U$110,'Calendario D'!$T$8:$T$110,$H38,'Calendario D'!$M$8:$M$110,$H$40),"-")</f>
        <v>-</v>
      </c>
      <c r="AD38" s="14" t="str">
        <f aca="false">IF(AND($H38&lt;&gt;"",$H$41&lt;&gt;"",$H38&lt;&gt;$H$41,IFERROR(VLOOKUP($H38,areaCercaPuntiClassificaSquadra,3,FALSE()),-1)=IFERROR(VLOOKUP($H$41,areaCercaPuntiClassificaSquadra,3,FALSE()),-2)),SUMIFS('Calendario D'!$N$8:$N$110,'Calendario D'!$M$8:$M$110,$H38,'Calendario D'!$T$8:$T$110,$H$41)+SUMIFS('Calendario D'!$U$8:$U$110,'Calendario D'!$T$8:$T$110,$H38,'Calendario D'!$M$8:$M$110,$H$41),"-")</f>
        <v>-</v>
      </c>
      <c r="AE38" s="14" t="n">
        <f aca="false">IF(AND($H38&lt;&gt;"",$H$42&lt;&gt;"",$H38&lt;&gt;$H$42,IFERROR(VLOOKUP($H38,areaCercaPuntiClassificaSquadra,3,FALSE()),-1)=IFERROR(VLOOKUP($H$42,areaCercaPuntiClassificaSquadra,3,FALSE()),-2)),SUMIFS('Calendario D'!$N$8:$N$110,'Calendario D'!$M$8:$M$110,$H38,'Calendario D'!$T$8:$T$110,$H$42)+SUMIFS('Calendario D'!$U$8:$U$110,'Calendario D'!$T$8:$T$110,$H38,'Calendario D'!$M$8:$M$110,$H$42),"-")</f>
        <v>1</v>
      </c>
      <c r="AF38" s="14" t="n">
        <f aca="false">IF(AND($H38&lt;&gt;"",$H$43&lt;&gt;"",$H38&lt;&gt;$H$43,IFERROR(VLOOKUP($H38,areaCercaPuntiClassificaSquadra,3,FALSE()),-1)=IFERROR(VLOOKUP($H$43,areaCercaPuntiClassificaSquadra,3,FALSE()),-2)),SUMIFS('Calendario D'!$N$8:$N$110,'Calendario D'!$M$8:$M$110,$H38,'Calendario D'!$T$8:$T$110,$H$43)+SUMIFS('Calendario D'!$U$8:$U$110,'Calendario D'!$T$8:$T$110,$H38,'Calendario D'!$M$8:$M$110,$H$43),"-")</f>
        <v>0</v>
      </c>
      <c r="AG38" s="13" t="str">
        <f aca="false">$C38</f>
        <v>Ghepardi Guizzanti-Ghepardiopoli GI</v>
      </c>
      <c r="AH38" s="14" t="str">
        <f aca="false">IF(AND($H38&lt;&gt;"",$H$36&lt;&gt;"",$H38&lt;&gt;$H$36,IFERROR(VLOOKUP($H38,areaCercaPuntiClassificaSquadra,3,FALSE()),-1)=IFERROR(VLOOKUP($H$36,areaCercaPuntiClassificaSquadra,3,FALSE()),-2)),SUMIFS('Calendario D'!$P$8:$P$110,'Calendario D'!$M$8:$M$110,$H38,'Calendario D'!$T$8:$T$110,$H$36)+SUMIFS('Calendario D'!$W$8:$W$110,'Calendario D'!$T$8:$T$110,$H38,'Calendario D'!$M$8:$M$110,$H$36)+SUMIFS('Calendario D'!$O$8:$O$110,'Calendario D'!$M$8:$M$110,$H38,'Calendario D'!$T$8:$T$110,$H$36)+SUMIFS('Calendario D'!$V$8:$V$110,'Calendario D'!$T$8:$T$110,$H38,'Calendario D'!$M$8:$M$110,$H$36),"-")</f>
        <v>-</v>
      </c>
      <c r="AI38" s="14" t="str">
        <f aca="false">IF(AND($H38&lt;&gt;"",$H$37&lt;&gt;"",$H38&lt;&gt;$H$37,IFERROR(VLOOKUP($H38,areaCercaPuntiClassificaSquadra,3,FALSE()),-1)=IFERROR(VLOOKUP($H$37,areaCercaPuntiClassificaSquadra,3,FALSE()),-2)),SUMIFS('Calendario D'!$P$8:$P$110,'Calendario D'!$M$8:$M$110,$H38,'Calendario D'!$T$8:$T$110,$H$37)+SUMIFS('Calendario D'!$W$8:$W$110,'Calendario D'!$T$8:$T$110,$H38,'Calendario D'!$M$8:$M$110,$H$37)+SUMIFS('Calendario D'!$O$8:$O$110,'Calendario D'!$M$8:$M$110,$H38,'Calendario D'!$T$8:$T$110,$H$37)+SUMIFS('Calendario D'!$V$8:$V$110,'Calendario D'!$T$8:$T$110,$H38,'Calendario D'!$M$8:$M$110,$H$37),"-")</f>
        <v>-</v>
      </c>
      <c r="AJ38" s="14" t="str">
        <f aca="false">IF(AND($H38&lt;&gt;"",$H$38&lt;&gt;"",$H38&lt;&gt;$H$38,IFERROR(VLOOKUP($H38,areaCercaPuntiClassificaSquadra,3,FALSE()),-1)=IFERROR(VLOOKUP($H$38,areaCercaPuntiClassificaSquadra,3,FALSE()),-2)),SUMIFS('Calendario D'!$P$8:$P$110,'Calendario D'!$M$8:$M$110,$H38,'Calendario D'!$T$8:$T$110,$H$38)+SUMIFS('Calendario D'!$W$8:$W$110,'Calendario D'!$T$8:$T$110,$H38,'Calendario D'!$M$8:$M$110,$H$38)+SUMIFS('Calendario D'!$O$8:$O$110,'Calendario D'!$M$8:$M$110,$H38,'Calendario D'!$T$8:$T$110,$H$38)+SUMIFS('Calendario D'!$V$8:$V$110,'Calendario D'!$T$8:$T$110,$H38,'Calendario D'!$M$8:$M$110,$H$38),"-")</f>
        <v>-</v>
      </c>
      <c r="AK38" s="14" t="str">
        <f aca="false">IF(AND($H38&lt;&gt;"",$H$39&lt;&gt;"",$H38&lt;&gt;$H$39,IFERROR(VLOOKUP($H38,areaCercaPuntiClassificaSquadra,3,FALSE()),-1)=IFERROR(VLOOKUP($H$39,areaCercaPuntiClassificaSquadra,3,FALSE()),-2)),SUMIFS('Calendario D'!$P$8:$P$110,'Calendario D'!$M$8:$M$110,$H38,'Calendario D'!$T$8:$T$110,$H$39)+SUMIFS('Calendario D'!$W$8:$W$110,'Calendario D'!$T$8:$T$110,$H38,'Calendario D'!$M$8:$M$110,$H$39)+SUMIFS('Calendario D'!$O$8:$O$110,'Calendario D'!$M$8:$M$110,$H38,'Calendario D'!$T$8:$T$110,$H$39)+SUMIFS('Calendario D'!$V$8:$V$110,'Calendario D'!$T$8:$T$110,$H38,'Calendario D'!$M$8:$M$110,$H$39),"-")</f>
        <v>-</v>
      </c>
      <c r="AL38" s="14" t="str">
        <f aca="false">IF(AND($H38&lt;&gt;"",$H$40&lt;&gt;"",$H38&lt;&gt;$H$40,IFERROR(VLOOKUP($H38,areaCercaPuntiClassificaSquadra,3,FALSE()),-1)=IFERROR(VLOOKUP($H$40,areaCercaPuntiClassificaSquadra,3,FALSE()),-2)),SUMIFS('Calendario D'!$P$8:$P$110,'Calendario D'!$M$8:$M$110,$H38,'Calendario D'!$T$8:$T$110,$H$40)+SUMIFS('Calendario D'!$W$8:$W$110,'Calendario D'!$T$8:$T$110,$H38,'Calendario D'!$M$8:$M$110,$H$40)+SUMIFS('Calendario D'!$O$8:$O$110,'Calendario D'!$M$8:$M$110,$H38,'Calendario D'!$T$8:$T$110,$H$40)+SUMIFS('Calendario D'!$V$8:$V$110,'Calendario D'!$T$8:$T$110,$H38,'Calendario D'!$M$8:$M$110,$H$40),"-")</f>
        <v>-</v>
      </c>
      <c r="AM38" s="14" t="str">
        <f aca="false">IF(AND($H38&lt;&gt;"",$H$41&lt;&gt;"",$H38&lt;&gt;$H$41,IFERROR(VLOOKUP($H38,areaCercaPuntiClassificaSquadra,3,FALSE()),-1)=IFERROR(VLOOKUP($H$41,areaCercaPuntiClassificaSquadra,3,FALSE()),-2)),SUMIFS('Calendario D'!$P$8:$P$110,'Calendario D'!$M$8:$M$110,$H38,'Calendario D'!$T$8:$T$110,$H$41)+SUMIFS('Calendario D'!$W$8:$W$110,'Calendario D'!$T$8:$T$110,$H38,'Calendario D'!$M$8:$M$110,$H$41)+SUMIFS('Calendario D'!$O$8:$O$110,'Calendario D'!$M$8:$M$110,$H38,'Calendario D'!$T$8:$T$110,$H$41)+SUMIFS('Calendario D'!$V$8:$V$110,'Calendario D'!$T$8:$T$110,$H38,'Calendario D'!$M$8:$M$110,$H$41),"-")</f>
        <v>-</v>
      </c>
      <c r="AN38" s="14" t="n">
        <f aca="false">IF(AND($H38&lt;&gt;"",$H$42&lt;&gt;"",$H38&lt;&gt;$H$42,IFERROR(VLOOKUP($H38,areaCercaPuntiClassificaSquadra,3,FALSE()),-1)=IFERROR(VLOOKUP($H$42,areaCercaPuntiClassificaSquadra,3,FALSE()),-2)),SUMIFS('Calendario D'!$P$8:$P$110,'Calendario D'!$M$8:$M$110,$H38,'Calendario D'!$T$8:$T$110,$H$42)+SUMIFS('Calendario D'!$W$8:$W$110,'Calendario D'!$T$8:$T$110,$H38,'Calendario D'!$M$8:$M$110,$H$42)+SUMIFS('Calendario D'!$O$8:$O$110,'Calendario D'!$M$8:$M$110,$H38,'Calendario D'!$T$8:$T$110,$H$42)+SUMIFS('Calendario D'!$V$8:$V$110,'Calendario D'!$T$8:$T$110,$H38,'Calendario D'!$M$8:$M$110,$H$42),"-")</f>
        <v>0</v>
      </c>
      <c r="AO38" s="14" t="n">
        <f aca="false">IF(AND($H38&lt;&gt;"",$H$43&lt;&gt;"",$H38&lt;&gt;$H$43,IFERROR(VLOOKUP($H38,areaCercaPuntiClassificaSquadra,3,FALSE()),-1)=IFERROR(VLOOKUP($H$43,areaCercaPuntiClassificaSquadra,3,FALSE()),-2)),SUMIFS('Calendario D'!$P$8:$P$110,'Calendario D'!$M$8:$M$110,$H38,'Calendario D'!$T$8:$T$110,$H$43)+SUMIFS('Calendario D'!$W$8:$W$110,'Calendario D'!$T$8:$T$110,$H38,'Calendario D'!$M$8:$M$110,$H$43)+SUMIFS('Calendario D'!$O$8:$O$110,'Calendario D'!$M$8:$M$110,$H38,'Calendario D'!$T$8:$T$110,$H$43)+SUMIFS('Calendario D'!$V$8:$V$110,'Calendario D'!$T$8:$T$110,$H38,'Calendario D'!$M$8:$M$110,$H$43),"-")</f>
        <v>1</v>
      </c>
      <c r="AP38" s="13" t="str">
        <f aca="false">$C38</f>
        <v>Ghepardi Guizzanti-Ghepardiopoli GI</v>
      </c>
      <c r="AQ38" s="14" t="str">
        <f aca="false">IF(AND($H38&lt;&gt;"",$H$36&lt;&gt;"",$H38&lt;&gt;$H$36,IFERROR(VLOOKUP($H38,areaCercaPuntiClassificaSquadra,3,FALSE()),-1)=IFERROR(VLOOKUP($H$36,areaCercaPuntiClassificaSquadra,3,FALSE()),-2)),SUMIFS('Calendario D'!$Q$8:$Q$110,'Calendario D'!$M$8:$M$110,$H38,'Calendario D'!$T$8:$T$110,$H$36)+SUMIFS('Calendario D'!$X$8:$X$110,'Calendario D'!$T$8:$T$110,$H38,'Calendario D'!$M$8:$M$110,$H$36),"-")</f>
        <v>-</v>
      </c>
      <c r="AR38" s="14" t="str">
        <f aca="false">IF(AND($H38&lt;&gt;"",$H$37&lt;&gt;"",$H38&lt;&gt;$H$37,IFERROR(VLOOKUP($H38,areaCercaPuntiClassificaSquadra,3,FALSE()),-1)=IFERROR(VLOOKUP($H$37,areaCercaPuntiClassificaSquadra,3,FALSE()),-2)),SUMIFS('Calendario D'!$Q$8:$Q$110,'Calendario D'!$M$8:$M$110,$H38,'Calendario D'!$T$8:$T$110,$H$37)+SUMIFS('Calendario D'!$X$8:$X$110,'Calendario D'!$T$8:$T$110,$H38,'Calendario D'!$M$8:$M$110,$H$37),"-")</f>
        <v>-</v>
      </c>
      <c r="AS38" s="14" t="str">
        <f aca="false">IF(AND($H38&lt;&gt;"",$H$38&lt;&gt;"",$H38&lt;&gt;$H$38,IFERROR(VLOOKUP($H38,areaCercaPuntiClassificaSquadra,3,FALSE()),-1)=IFERROR(VLOOKUP($H$38,areaCercaPuntiClassificaSquadra,3,FALSE()),-2)),SUMIFS('Calendario D'!$Q$8:$Q$110,'Calendario D'!$M$8:$M$110,$H38,'Calendario D'!$T$8:$T$110,$H$38)+SUMIFS('Calendario D'!$X$8:$X$110,'Calendario D'!$T$8:$T$110,$H38,'Calendario D'!$M$8:$M$110,$H$38),"-")</f>
        <v>-</v>
      </c>
      <c r="AT38" s="14" t="str">
        <f aca="false">IF(AND($H38&lt;&gt;"",$H$39&lt;&gt;"",$H38&lt;&gt;$H$39,IFERROR(VLOOKUP($H38,areaCercaPuntiClassificaSquadra,3,FALSE()),-1)=IFERROR(VLOOKUP($H$39,areaCercaPuntiClassificaSquadra,3,FALSE()),-2)),SUMIFS('Calendario D'!$Q$8:$Q$110,'Calendario D'!$M$8:$M$110,$H38,'Calendario D'!$T$8:$T$110,$H$39)+SUMIFS('Calendario D'!$X$8:$X$110,'Calendario D'!$T$8:$T$110,$H38,'Calendario D'!$M$8:$M$110,$H$39),"-")</f>
        <v>-</v>
      </c>
      <c r="AU38" s="14" t="str">
        <f aca="false">IF(AND($H38&lt;&gt;"",$H$40&lt;&gt;"",$H38&lt;&gt;$H$40,IFERROR(VLOOKUP($H38,areaCercaPuntiClassificaSquadra,3,FALSE()),-1)=IFERROR(VLOOKUP($H$40,areaCercaPuntiClassificaSquadra,3,FALSE()),-2)),SUMIFS('Calendario D'!$Q$8:$Q$110,'Calendario D'!$M$8:$M$110,$H38,'Calendario D'!$T$8:$T$110,$H$40)+SUMIFS('Calendario D'!$X$8:$X$110,'Calendario D'!$T$8:$T$110,$H38,'Calendario D'!$M$8:$M$110,$H$40),"-")</f>
        <v>-</v>
      </c>
      <c r="AV38" s="14" t="str">
        <f aca="false">IF(AND($H38&lt;&gt;"",$H$41&lt;&gt;"",$H38&lt;&gt;$H$41,IFERROR(VLOOKUP($H38,areaCercaPuntiClassificaSquadra,3,FALSE()),-1)=IFERROR(VLOOKUP($H$41,areaCercaPuntiClassificaSquadra,3,FALSE()),-2)),SUMIFS('Calendario D'!$Q$8:$Q$110,'Calendario D'!$M$8:$M$110,$H38,'Calendario D'!$T$8:$T$110,$H$41)+SUMIFS('Calendario D'!$X$8:$X$110,'Calendario D'!$T$8:$T$110,$H38,'Calendario D'!$M$8:$M$110,$H$41),"-")</f>
        <v>-</v>
      </c>
      <c r="AW38" s="14" t="n">
        <f aca="false">IF(AND($H38&lt;&gt;"",$H$42&lt;&gt;"",$H38&lt;&gt;$H$42,IFERROR(VLOOKUP($H38,areaCercaPuntiClassificaSquadra,3,FALSE()),-1)=IFERROR(VLOOKUP($H$42,areaCercaPuntiClassificaSquadra,3,FALSE()),-2)),SUMIFS('Calendario D'!$Q$8:$Q$110,'Calendario D'!$M$8:$M$110,$H38,'Calendario D'!$T$8:$T$110,$H$42)+SUMIFS('Calendario D'!$X$8:$X$110,'Calendario D'!$T$8:$T$110,$H38,'Calendario D'!$M$8:$M$110,$H$42),"-")</f>
        <v>69</v>
      </c>
      <c r="AX38" s="14" t="n">
        <f aca="false">IF(AND($H38&lt;&gt;"",$H$43&lt;&gt;"",$H38&lt;&gt;$H$43,IFERROR(VLOOKUP($H38,areaCercaPuntiClassificaSquadra,3,FALSE()),-1)=IFERROR(VLOOKUP($H$43,areaCercaPuntiClassificaSquadra,3,FALSE()),-2)),SUMIFS('Calendario D'!$Q$8:$Q$110,'Calendario D'!$M$8:$M$110,$H38,'Calendario D'!$T$8:$T$110,$H$43)+SUMIFS('Calendario D'!$X$8:$X$110,'Calendario D'!$T$8:$T$110,$H38,'Calendario D'!$M$8:$M$110,$H$43),"-")</f>
        <v>55</v>
      </c>
      <c r="AY38" s="13" t="str">
        <f aca="false">$C38</f>
        <v>Ghepardi Guizzanti-Ghepardiopoli GI</v>
      </c>
      <c r="AZ38" s="14" t="str">
        <f aca="false">IF(AND($H38&lt;&gt;"",$H$36&lt;&gt;"",$H38&lt;&gt;$H$36,IFERROR(VLOOKUP($H38,areaCercaPuntiClassificaSquadra,3,FALSE()),-1)=IFERROR(VLOOKUP($H$36,areaCercaPuntiClassificaSquadra,3,FALSE()),-2)),SUMIFS('Calendario D'!$R$8:$R$110,'Calendario D'!$M$8:$M$110,$H38,'Calendario D'!$T$8:$T$110,$H$36)+SUMIFS('Calendario D'!$Y$8:$Y$110,'Calendario D'!$T$8:$T$110,$H38,'Calendario D'!$M$8:$M$110,$H$36),"-")</f>
        <v>-</v>
      </c>
      <c r="BA38" s="14" t="str">
        <f aca="false">IF(AND($H38&lt;&gt;"",$H$37&lt;&gt;"",$H38&lt;&gt;$H$37,IFERROR(VLOOKUP($H38,areaCercaPuntiClassificaSquadra,3,FALSE()),-1)=IFERROR(VLOOKUP($H$37,areaCercaPuntiClassificaSquadra,3,FALSE()),-2)),SUMIFS('Calendario D'!$R$8:$R$110,'Calendario D'!$M$8:$M$110,$H38,'Calendario D'!$T$8:$T$110,$H$37)+SUMIFS('Calendario D'!$Y$8:$Y$110,'Calendario D'!$T$8:$T$110,$H38,'Calendario D'!$M$8:$M$110,$H$37),"-")</f>
        <v>-</v>
      </c>
      <c r="BB38" s="14" t="str">
        <f aca="false">IF(AND($H38&lt;&gt;"",$H$38&lt;&gt;"",$H38&lt;&gt;$H$38,IFERROR(VLOOKUP($H38,areaCercaPuntiClassificaSquadra,3,FALSE()),-1)=IFERROR(VLOOKUP($H$38,areaCercaPuntiClassificaSquadra,3,FALSE()),-2)),SUMIFS('Calendario D'!$R$8:$R$110,'Calendario D'!$M$8:$M$110,$H38,'Calendario D'!$T$8:$T$110,$H$38)+SUMIFS('Calendario D'!$Y$8:$Y$110,'Calendario D'!$T$8:$T$110,$H38,'Calendario D'!$M$8:$M$110,$H$38),"-")</f>
        <v>-</v>
      </c>
      <c r="BC38" s="14" t="str">
        <f aca="false">IF(AND($H38&lt;&gt;"",$H$39&lt;&gt;"",$H38&lt;&gt;$H$39,IFERROR(VLOOKUP($H38,areaCercaPuntiClassificaSquadra,3,FALSE()),-1)=IFERROR(VLOOKUP($H$39,areaCercaPuntiClassificaSquadra,3,FALSE()),-2)),SUMIFS('Calendario D'!$R$8:$R$110,'Calendario D'!$M$8:$M$110,$H38,'Calendario D'!$T$8:$T$110,$H$39)+SUMIFS('Calendario D'!$Y$8:$Y$110,'Calendario D'!$T$8:$T$110,$H38,'Calendario D'!$M$8:$M$110,$H$39),"-")</f>
        <v>-</v>
      </c>
      <c r="BD38" s="14" t="str">
        <f aca="false">IF(AND($H38&lt;&gt;"",$H$40&lt;&gt;"",$H38&lt;&gt;$H$40,IFERROR(VLOOKUP($H38,areaCercaPuntiClassificaSquadra,3,FALSE()),-1)=IFERROR(VLOOKUP($H$40,areaCercaPuntiClassificaSquadra,3,FALSE()),-2)),SUMIFS('Calendario D'!$R$8:$R$110,'Calendario D'!$M$8:$M$110,$H38,'Calendario D'!$T$8:$T$110,$H$40)+SUMIFS('Calendario D'!$Y$8:$Y$110,'Calendario D'!$T$8:$T$110,$H38,'Calendario D'!$M$8:$M$110,$H$40),"-")</f>
        <v>-</v>
      </c>
      <c r="BE38" s="14" t="str">
        <f aca="false">IF(AND($H38&lt;&gt;"",$H$41&lt;&gt;"",$H38&lt;&gt;$H$41,IFERROR(VLOOKUP($H38,areaCercaPuntiClassificaSquadra,3,FALSE()),-1)=IFERROR(VLOOKUP($H$41,areaCercaPuntiClassificaSquadra,3,FALSE()),-2)),SUMIFS('Calendario D'!$R$8:$R$110,'Calendario D'!$M$8:$M$110,$H38,'Calendario D'!$T$8:$T$110,$H$41)+SUMIFS('Calendario D'!$Y$8:$Y$110,'Calendario D'!$T$8:$T$110,$H38,'Calendario D'!$M$8:$M$110,$H$41),"-")</f>
        <v>-</v>
      </c>
      <c r="BF38" s="14" t="n">
        <f aca="false">IF(AND($H38&lt;&gt;"",$H$42&lt;&gt;"",$H38&lt;&gt;$H$42,IFERROR(VLOOKUP($H38,areaCercaPuntiClassificaSquadra,3,FALSE()),-1)=IFERROR(VLOOKUP($H$42,areaCercaPuntiClassificaSquadra,3,FALSE()),-2)),SUMIFS('Calendario D'!$R$8:$R$110,'Calendario D'!$M$8:$M$110,$H38,'Calendario D'!$T$8:$T$110,$H$42)+SUMIFS('Calendario D'!$Y$8:$Y$110,'Calendario D'!$T$8:$T$110,$H38,'Calendario D'!$M$8:$M$110,$H$42),"-")</f>
        <v>61</v>
      </c>
      <c r="BG38" s="14" t="n">
        <f aca="false">IF(AND($H38&lt;&gt;"",$H$43&lt;&gt;"",$H38&lt;&gt;$H$43,IFERROR(VLOOKUP($H38,areaCercaPuntiClassificaSquadra,3,FALSE()),-1)=IFERROR(VLOOKUP($H$43,areaCercaPuntiClassificaSquadra,3,FALSE()),-2)),SUMIFS('Calendario D'!$R$8:$R$110,'Calendario D'!$M$8:$M$110,$H38,'Calendario D'!$T$8:$T$110,$H$43)+SUMIFS('Calendario D'!$Y$8:$Y$110,'Calendario D'!$T$8:$T$110,$H38,'Calendario D'!$M$8:$M$110,$H$43),"-")</f>
        <v>67</v>
      </c>
    </row>
    <row r="39" customFormat="false" ht="15" hidden="false" customHeight="false" outlineLevel="0" collapsed="false">
      <c r="B39" s="7" t="s">
        <v>105</v>
      </c>
      <c r="C39" s="8" t="s">
        <v>106</v>
      </c>
      <c r="D39" s="9"/>
      <c r="E39" s="19" t="s">
        <v>100</v>
      </c>
      <c r="G39" s="20" t="str">
        <f aca="false">IF($C39="","",$E39&amp;(COUNTIFS(I$12:I$75,"&gt;"&amp;I39,E$12:E$75,"="&amp;E39,C$12:C$75,"&lt;&gt;")+COUNTIFS(I$12:I$75,"="&amp;I39,H$12:H$75,"&lt;="&amp;H39,E$12:E$75,"="&amp;E39,C$12:C$75,"&lt;&gt;")))</f>
        <v>D3</v>
      </c>
      <c r="H39" s="12" t="str">
        <f aca="false">IF($C39="","",IFERROR(LEFT($C39,FIND("-",$C39)-1),$C39))</f>
        <v>Iguane Impavide</v>
      </c>
      <c r="I39" s="7" t="str">
        <f aca="false">TEXT(1000000000+J39,"|0000000000|")&amp;TEXT(SUM(Y39:AF39),"0000000000|")&amp;IF(SUM(AZ39:BG39)=0,"0000000000|",TEXT(ROUND(SUM(AQ39:AX39)/SUM(AZ39:BG39),4)*100000,"0000000000|"))&amp;IF(P39=0,"0000000000|",TEXT(ROUND(O39/P39,4)*100000,"0000000000|"))</f>
        <v>|1000000017|0000000000|0000000000|0000135710|</v>
      </c>
      <c r="J39" s="20" t="n">
        <f aca="false">L39*constPuntiVittoria+M39*constPuntiSconfitta+N39*constPuntiForfait+IF(D39="",0,D39)</f>
        <v>17</v>
      </c>
      <c r="K39" s="7" t="n">
        <f aca="false">SUM(L39:N39)</f>
        <v>7</v>
      </c>
      <c r="L39" s="7" t="n">
        <f aca="false">IF($H39="",0,SUMIF('Calendario D'!$M$8:$M$110,$H39,'Calendario D'!$N$8:$N$110)+SUMIF('Calendario D'!$T$8:$T$110,$H39,'Calendario D'!$U$8:$U$110))</f>
        <v>5</v>
      </c>
      <c r="M39" s="7" t="n">
        <f aca="false">IF($H39="",0,SUMIF('Calendario D'!$M$8:$M$110,$H39,'Calendario D'!$P$8:$P$110)+SUMIF('Calendario D'!$T$8:$T$110,$H39,'Calendario D'!$W$8:$W$110))</f>
        <v>2</v>
      </c>
      <c r="N39" s="7" t="n">
        <f aca="false">IF($H39="",0,SUMIF('Calendario D'!$M$8:$M$110,$H39,'Calendario D'!$O$8:$O$110)+SUMIF('Calendario D'!$T$8:$T$110,$H39,'Calendario D'!$V$8:$V$110))</f>
        <v>0</v>
      </c>
      <c r="O39" s="7" t="n">
        <f aca="false">IF($H39="",0,SUMIF('Calendario D'!$M$8:$M$110,$H39,'Calendario D'!$Q$8:$Q$110)+SUMIF('Calendario D'!$T$8:$T$110,$H39,'Calendario D'!$X$8:$X$110))</f>
        <v>475</v>
      </c>
      <c r="P39" s="7" t="n">
        <f aca="false">IF($H39="",0,SUMIF('Calendario D'!$M$8:$M$110,$H39,'Calendario D'!$R$8:$R$110)+SUMIF('Calendario D'!$T$8:$T$110,$H39,'Calendario D'!$Y$8:$Y$110))</f>
        <v>350</v>
      </c>
      <c r="Q39" s="7" t="n">
        <f aca="false">IF($H39="",0,SUMIF('Calendario D'!$M$8:$M$110,$H39,'Calendario D'!$S$8:$S$110)+SUMIF('Calendario D'!$T$8:$T$110,$H39,'Calendario D'!$Z$8:$Z$110))</f>
        <v>125</v>
      </c>
      <c r="R39" s="7" t="n">
        <f aca="false">IF(K39=0,0,ROUND(O39/K39,2))</f>
        <v>67.86</v>
      </c>
      <c r="S39" s="7" t="n">
        <f aca="false">IF(K39=0,0,ROUND(P39/K39,2))</f>
        <v>50</v>
      </c>
      <c r="T39" s="7" t="n">
        <f aca="false">IF(K39=0,0,ROUND(Q39/K39,2))</f>
        <v>17.86</v>
      </c>
      <c r="U39" s="7" t="str">
        <f aca="false">IF(COUNT(Y39:AF39)=0,"-",SUM(Y39:AF39)&amp;"-"&amp;SUM(AH39:AO39))</f>
        <v>-</v>
      </c>
      <c r="V39" s="7" t="str">
        <f aca="false">IF(COUNT(Y39:AF39)=0,"-",IF(SUM(AZ39:BG39)=0,TEXT(0,"0.0000"),TEXT(ROUND(SUM(AQ39:AX39)/SUM(AZ39:BG39),4),"0.0000")))</f>
        <v>-</v>
      </c>
      <c r="W39" s="7" t="str">
        <f aca="false">IF(H39="","-",IF(P39=0,TEXT(0,"0.0000"),TEXT(ROUND(O39/P39,4),"0.0000")))</f>
        <v>1.3571</v>
      </c>
      <c r="X39" s="13" t="str">
        <f aca="false">$C39</f>
        <v>Iguane Impavide-Iguaneopoli IE</v>
      </c>
      <c r="Y39" s="14" t="str">
        <f aca="false">IF(AND($H39&lt;&gt;"",$H$36&lt;&gt;"",$H39&lt;&gt;$H$36,IFERROR(VLOOKUP($H39,areaCercaPuntiClassificaSquadra,3,FALSE()),-1)=IFERROR(VLOOKUP($H$36,areaCercaPuntiClassificaSquadra,3,FALSE()),-2)),SUMIFS('Calendario D'!$N$8:$N$110,'Calendario D'!$M$8:$M$110,$H39,'Calendario D'!$T$8:$T$110,$H$36)+SUMIFS('Calendario D'!$U$8:$U$110,'Calendario D'!$T$8:$T$110,$H39,'Calendario D'!$M$8:$M$110,$H$36),"-")</f>
        <v>-</v>
      </c>
      <c r="Z39" s="14" t="str">
        <f aca="false">IF(AND($H39&lt;&gt;"",$H$37&lt;&gt;"",$H39&lt;&gt;$H$37,IFERROR(VLOOKUP($H39,areaCercaPuntiClassificaSquadra,3,FALSE()),-1)=IFERROR(VLOOKUP($H$37,areaCercaPuntiClassificaSquadra,3,FALSE()),-2)),SUMIFS('Calendario D'!$N$8:$N$110,'Calendario D'!$M$8:$M$110,$H39,'Calendario D'!$T$8:$T$110,$H$37)+SUMIFS('Calendario D'!$U$8:$U$110,'Calendario D'!$T$8:$T$110,$H39,'Calendario D'!$M$8:$M$110,$H$37),"-")</f>
        <v>-</v>
      </c>
      <c r="AA39" s="14" t="str">
        <f aca="false">IF(AND($H39&lt;&gt;"",$H$38&lt;&gt;"",$H39&lt;&gt;$H$38,IFERROR(VLOOKUP($H39,areaCercaPuntiClassificaSquadra,3,FALSE()),-1)=IFERROR(VLOOKUP($H$38,areaCercaPuntiClassificaSquadra,3,FALSE()),-2)),SUMIFS('Calendario D'!$N$8:$N$110,'Calendario D'!$M$8:$M$110,$H39,'Calendario D'!$T$8:$T$110,$H$38)+SUMIFS('Calendario D'!$U$8:$U$110,'Calendario D'!$T$8:$T$110,$H39,'Calendario D'!$M$8:$M$110,$H$38),"-")</f>
        <v>-</v>
      </c>
      <c r="AB39" s="14" t="str">
        <f aca="false">IF(AND($H39&lt;&gt;"",$H$39&lt;&gt;"",$H39&lt;&gt;$H$39,IFERROR(VLOOKUP($H39,areaCercaPuntiClassificaSquadra,3,FALSE()),-1)=IFERROR(VLOOKUP($H$39,areaCercaPuntiClassificaSquadra,3,FALSE()),-2)),SUMIFS('Calendario D'!$N$8:$N$110,'Calendario D'!$M$8:$M$110,$H39,'Calendario D'!$T$8:$T$110,$H$39)+SUMIFS('Calendario D'!$U$8:$U$110,'Calendario D'!$T$8:$T$110,$H39,'Calendario D'!$M$8:$M$110,$H$39),"-")</f>
        <v>-</v>
      </c>
      <c r="AC39" s="14" t="str">
        <f aca="false">IF(AND($H39&lt;&gt;"",$H$40&lt;&gt;"",$H39&lt;&gt;$H$40,IFERROR(VLOOKUP($H39,areaCercaPuntiClassificaSquadra,3,FALSE()),-1)=IFERROR(VLOOKUP($H$40,areaCercaPuntiClassificaSquadra,3,FALSE()),-2)),SUMIFS('Calendario D'!$N$8:$N$110,'Calendario D'!$M$8:$M$110,$H39,'Calendario D'!$T$8:$T$110,$H$40)+SUMIFS('Calendario D'!$U$8:$U$110,'Calendario D'!$T$8:$T$110,$H39,'Calendario D'!$M$8:$M$110,$H$40),"-")</f>
        <v>-</v>
      </c>
      <c r="AD39" s="14" t="str">
        <f aca="false">IF(AND($H39&lt;&gt;"",$H$41&lt;&gt;"",$H39&lt;&gt;$H$41,IFERROR(VLOOKUP($H39,areaCercaPuntiClassificaSquadra,3,FALSE()),-1)=IFERROR(VLOOKUP($H$41,areaCercaPuntiClassificaSquadra,3,FALSE()),-2)),SUMIFS('Calendario D'!$N$8:$N$110,'Calendario D'!$M$8:$M$110,$H39,'Calendario D'!$T$8:$T$110,$H$41)+SUMIFS('Calendario D'!$U$8:$U$110,'Calendario D'!$T$8:$T$110,$H39,'Calendario D'!$M$8:$M$110,$H$41),"-")</f>
        <v>-</v>
      </c>
      <c r="AE39" s="14" t="str">
        <f aca="false">IF(AND($H39&lt;&gt;"",$H$42&lt;&gt;"",$H39&lt;&gt;$H$42,IFERROR(VLOOKUP($H39,areaCercaPuntiClassificaSquadra,3,FALSE()),-1)=IFERROR(VLOOKUP($H$42,areaCercaPuntiClassificaSquadra,3,FALSE()),-2)),SUMIFS('Calendario D'!$N$8:$N$110,'Calendario D'!$M$8:$M$110,$H39,'Calendario D'!$T$8:$T$110,$H$42)+SUMIFS('Calendario D'!$U$8:$U$110,'Calendario D'!$T$8:$T$110,$H39,'Calendario D'!$M$8:$M$110,$H$42),"-")</f>
        <v>-</v>
      </c>
      <c r="AF39" s="14" t="str">
        <f aca="false">IF(AND($H39&lt;&gt;"",$H$43&lt;&gt;"",$H39&lt;&gt;$H$43,IFERROR(VLOOKUP($H39,areaCercaPuntiClassificaSquadra,3,FALSE()),-1)=IFERROR(VLOOKUP($H$43,areaCercaPuntiClassificaSquadra,3,FALSE()),-2)),SUMIFS('Calendario D'!$N$8:$N$110,'Calendario D'!$M$8:$M$110,$H39,'Calendario D'!$T$8:$T$110,$H$43)+SUMIFS('Calendario D'!$U$8:$U$110,'Calendario D'!$T$8:$T$110,$H39,'Calendario D'!$M$8:$M$110,$H$43),"-")</f>
        <v>-</v>
      </c>
      <c r="AG39" s="13" t="str">
        <f aca="false">$C39</f>
        <v>Iguane Impavide-Iguaneopoli IE</v>
      </c>
      <c r="AH39" s="14" t="str">
        <f aca="false">IF(AND($H39&lt;&gt;"",$H$36&lt;&gt;"",$H39&lt;&gt;$H$36,IFERROR(VLOOKUP($H39,areaCercaPuntiClassificaSquadra,3,FALSE()),-1)=IFERROR(VLOOKUP($H$36,areaCercaPuntiClassificaSquadra,3,FALSE()),-2)),SUMIFS('Calendario D'!$P$8:$P$110,'Calendario D'!$M$8:$M$110,$H39,'Calendario D'!$T$8:$T$110,$H$36)+SUMIFS('Calendario D'!$W$8:$W$110,'Calendario D'!$T$8:$T$110,$H39,'Calendario D'!$M$8:$M$110,$H$36)+SUMIFS('Calendario D'!$O$8:$O$110,'Calendario D'!$M$8:$M$110,$H39,'Calendario D'!$T$8:$T$110,$H$36)+SUMIFS('Calendario D'!$V$8:$V$110,'Calendario D'!$T$8:$T$110,$H39,'Calendario D'!$M$8:$M$110,$H$36),"-")</f>
        <v>-</v>
      </c>
      <c r="AI39" s="14" t="str">
        <f aca="false">IF(AND($H39&lt;&gt;"",$H$37&lt;&gt;"",$H39&lt;&gt;$H$37,IFERROR(VLOOKUP($H39,areaCercaPuntiClassificaSquadra,3,FALSE()),-1)=IFERROR(VLOOKUP($H$37,areaCercaPuntiClassificaSquadra,3,FALSE()),-2)),SUMIFS('Calendario D'!$P$8:$P$110,'Calendario D'!$M$8:$M$110,$H39,'Calendario D'!$T$8:$T$110,$H$37)+SUMIFS('Calendario D'!$W$8:$W$110,'Calendario D'!$T$8:$T$110,$H39,'Calendario D'!$M$8:$M$110,$H$37)+SUMIFS('Calendario D'!$O$8:$O$110,'Calendario D'!$M$8:$M$110,$H39,'Calendario D'!$T$8:$T$110,$H$37)+SUMIFS('Calendario D'!$V$8:$V$110,'Calendario D'!$T$8:$T$110,$H39,'Calendario D'!$M$8:$M$110,$H$37),"-")</f>
        <v>-</v>
      </c>
      <c r="AJ39" s="14" t="str">
        <f aca="false">IF(AND($H39&lt;&gt;"",$H$38&lt;&gt;"",$H39&lt;&gt;$H$38,IFERROR(VLOOKUP($H39,areaCercaPuntiClassificaSquadra,3,FALSE()),-1)=IFERROR(VLOOKUP($H$38,areaCercaPuntiClassificaSquadra,3,FALSE()),-2)),SUMIFS('Calendario D'!$P$8:$P$110,'Calendario D'!$M$8:$M$110,$H39,'Calendario D'!$T$8:$T$110,$H$38)+SUMIFS('Calendario D'!$W$8:$W$110,'Calendario D'!$T$8:$T$110,$H39,'Calendario D'!$M$8:$M$110,$H$38)+SUMIFS('Calendario D'!$O$8:$O$110,'Calendario D'!$M$8:$M$110,$H39,'Calendario D'!$T$8:$T$110,$H$38)+SUMIFS('Calendario D'!$V$8:$V$110,'Calendario D'!$T$8:$T$110,$H39,'Calendario D'!$M$8:$M$110,$H$38),"-")</f>
        <v>-</v>
      </c>
      <c r="AK39" s="14" t="str">
        <f aca="false">IF(AND($H39&lt;&gt;"",$H$39&lt;&gt;"",$H39&lt;&gt;$H$39,IFERROR(VLOOKUP($H39,areaCercaPuntiClassificaSquadra,3,FALSE()),-1)=IFERROR(VLOOKUP($H$39,areaCercaPuntiClassificaSquadra,3,FALSE()),-2)),SUMIFS('Calendario D'!$P$8:$P$110,'Calendario D'!$M$8:$M$110,$H39,'Calendario D'!$T$8:$T$110,$H$39)+SUMIFS('Calendario D'!$W$8:$W$110,'Calendario D'!$T$8:$T$110,$H39,'Calendario D'!$M$8:$M$110,$H$39)+SUMIFS('Calendario D'!$O$8:$O$110,'Calendario D'!$M$8:$M$110,$H39,'Calendario D'!$T$8:$T$110,$H$39)+SUMIFS('Calendario D'!$V$8:$V$110,'Calendario D'!$T$8:$T$110,$H39,'Calendario D'!$M$8:$M$110,$H$39),"-")</f>
        <v>-</v>
      </c>
      <c r="AL39" s="14" t="str">
        <f aca="false">IF(AND($H39&lt;&gt;"",$H$40&lt;&gt;"",$H39&lt;&gt;$H$40,IFERROR(VLOOKUP($H39,areaCercaPuntiClassificaSquadra,3,FALSE()),-1)=IFERROR(VLOOKUP($H$40,areaCercaPuntiClassificaSquadra,3,FALSE()),-2)),SUMIFS('Calendario D'!$P$8:$P$110,'Calendario D'!$M$8:$M$110,$H39,'Calendario D'!$T$8:$T$110,$H$40)+SUMIFS('Calendario D'!$W$8:$W$110,'Calendario D'!$T$8:$T$110,$H39,'Calendario D'!$M$8:$M$110,$H$40)+SUMIFS('Calendario D'!$O$8:$O$110,'Calendario D'!$M$8:$M$110,$H39,'Calendario D'!$T$8:$T$110,$H$40)+SUMIFS('Calendario D'!$V$8:$V$110,'Calendario D'!$T$8:$T$110,$H39,'Calendario D'!$M$8:$M$110,$H$40),"-")</f>
        <v>-</v>
      </c>
      <c r="AM39" s="14" t="str">
        <f aca="false">IF(AND($H39&lt;&gt;"",$H$41&lt;&gt;"",$H39&lt;&gt;$H$41,IFERROR(VLOOKUP($H39,areaCercaPuntiClassificaSquadra,3,FALSE()),-1)=IFERROR(VLOOKUP($H$41,areaCercaPuntiClassificaSquadra,3,FALSE()),-2)),SUMIFS('Calendario D'!$P$8:$P$110,'Calendario D'!$M$8:$M$110,$H39,'Calendario D'!$T$8:$T$110,$H$41)+SUMIFS('Calendario D'!$W$8:$W$110,'Calendario D'!$T$8:$T$110,$H39,'Calendario D'!$M$8:$M$110,$H$41)+SUMIFS('Calendario D'!$O$8:$O$110,'Calendario D'!$M$8:$M$110,$H39,'Calendario D'!$T$8:$T$110,$H$41)+SUMIFS('Calendario D'!$V$8:$V$110,'Calendario D'!$T$8:$T$110,$H39,'Calendario D'!$M$8:$M$110,$H$41),"-")</f>
        <v>-</v>
      </c>
      <c r="AN39" s="14" t="str">
        <f aca="false">IF(AND($H39&lt;&gt;"",$H$42&lt;&gt;"",$H39&lt;&gt;$H$42,IFERROR(VLOOKUP($H39,areaCercaPuntiClassificaSquadra,3,FALSE()),-1)=IFERROR(VLOOKUP($H$42,areaCercaPuntiClassificaSquadra,3,FALSE()),-2)),SUMIFS('Calendario D'!$P$8:$P$110,'Calendario D'!$M$8:$M$110,$H39,'Calendario D'!$T$8:$T$110,$H$42)+SUMIFS('Calendario D'!$W$8:$W$110,'Calendario D'!$T$8:$T$110,$H39,'Calendario D'!$M$8:$M$110,$H$42)+SUMIFS('Calendario D'!$O$8:$O$110,'Calendario D'!$M$8:$M$110,$H39,'Calendario D'!$T$8:$T$110,$H$42)+SUMIFS('Calendario D'!$V$8:$V$110,'Calendario D'!$T$8:$T$110,$H39,'Calendario D'!$M$8:$M$110,$H$42),"-")</f>
        <v>-</v>
      </c>
      <c r="AO39" s="14" t="str">
        <f aca="false">IF(AND($H39&lt;&gt;"",$H$43&lt;&gt;"",$H39&lt;&gt;$H$43,IFERROR(VLOOKUP($H39,areaCercaPuntiClassificaSquadra,3,FALSE()),-1)=IFERROR(VLOOKUP($H$43,areaCercaPuntiClassificaSquadra,3,FALSE()),-2)),SUMIFS('Calendario D'!$P$8:$P$110,'Calendario D'!$M$8:$M$110,$H39,'Calendario D'!$T$8:$T$110,$H$43)+SUMIFS('Calendario D'!$W$8:$W$110,'Calendario D'!$T$8:$T$110,$H39,'Calendario D'!$M$8:$M$110,$H$43)+SUMIFS('Calendario D'!$O$8:$O$110,'Calendario D'!$M$8:$M$110,$H39,'Calendario D'!$T$8:$T$110,$H$43)+SUMIFS('Calendario D'!$V$8:$V$110,'Calendario D'!$T$8:$T$110,$H39,'Calendario D'!$M$8:$M$110,$H$43),"-")</f>
        <v>-</v>
      </c>
      <c r="AP39" s="13" t="str">
        <f aca="false">$C39</f>
        <v>Iguane Impavide-Iguaneopoli IE</v>
      </c>
      <c r="AQ39" s="14" t="str">
        <f aca="false">IF(AND($H39&lt;&gt;"",$H$36&lt;&gt;"",$H39&lt;&gt;$H$36,IFERROR(VLOOKUP($H39,areaCercaPuntiClassificaSquadra,3,FALSE()),-1)=IFERROR(VLOOKUP($H$36,areaCercaPuntiClassificaSquadra,3,FALSE()),-2)),SUMIFS('Calendario D'!$Q$8:$Q$110,'Calendario D'!$M$8:$M$110,$H39,'Calendario D'!$T$8:$T$110,$H$36)+SUMIFS('Calendario D'!$X$8:$X$110,'Calendario D'!$T$8:$T$110,$H39,'Calendario D'!$M$8:$M$110,$H$36),"-")</f>
        <v>-</v>
      </c>
      <c r="AR39" s="14" t="str">
        <f aca="false">IF(AND($H39&lt;&gt;"",$H$37&lt;&gt;"",$H39&lt;&gt;$H$37,IFERROR(VLOOKUP($H39,areaCercaPuntiClassificaSquadra,3,FALSE()),-1)=IFERROR(VLOOKUP($H$37,areaCercaPuntiClassificaSquadra,3,FALSE()),-2)),SUMIFS('Calendario D'!$Q$8:$Q$110,'Calendario D'!$M$8:$M$110,$H39,'Calendario D'!$T$8:$T$110,$H$37)+SUMIFS('Calendario D'!$X$8:$X$110,'Calendario D'!$T$8:$T$110,$H39,'Calendario D'!$M$8:$M$110,$H$37),"-")</f>
        <v>-</v>
      </c>
      <c r="AS39" s="14" t="str">
        <f aca="false">IF(AND($H39&lt;&gt;"",$H$38&lt;&gt;"",$H39&lt;&gt;$H$38,IFERROR(VLOOKUP($H39,areaCercaPuntiClassificaSquadra,3,FALSE()),-1)=IFERROR(VLOOKUP($H$38,areaCercaPuntiClassificaSquadra,3,FALSE()),-2)),SUMIFS('Calendario D'!$Q$8:$Q$110,'Calendario D'!$M$8:$M$110,$H39,'Calendario D'!$T$8:$T$110,$H$38)+SUMIFS('Calendario D'!$X$8:$X$110,'Calendario D'!$T$8:$T$110,$H39,'Calendario D'!$M$8:$M$110,$H$38),"-")</f>
        <v>-</v>
      </c>
      <c r="AT39" s="14" t="str">
        <f aca="false">IF(AND($H39&lt;&gt;"",$H$39&lt;&gt;"",$H39&lt;&gt;$H$39,IFERROR(VLOOKUP($H39,areaCercaPuntiClassificaSquadra,3,FALSE()),-1)=IFERROR(VLOOKUP($H$39,areaCercaPuntiClassificaSquadra,3,FALSE()),-2)),SUMIFS('Calendario D'!$Q$8:$Q$110,'Calendario D'!$M$8:$M$110,$H39,'Calendario D'!$T$8:$T$110,$H$39)+SUMIFS('Calendario D'!$X$8:$X$110,'Calendario D'!$T$8:$T$110,$H39,'Calendario D'!$M$8:$M$110,$H$39),"-")</f>
        <v>-</v>
      </c>
      <c r="AU39" s="14" t="str">
        <f aca="false">IF(AND($H39&lt;&gt;"",$H$40&lt;&gt;"",$H39&lt;&gt;$H$40,IFERROR(VLOOKUP($H39,areaCercaPuntiClassificaSquadra,3,FALSE()),-1)=IFERROR(VLOOKUP($H$40,areaCercaPuntiClassificaSquadra,3,FALSE()),-2)),SUMIFS('Calendario D'!$Q$8:$Q$110,'Calendario D'!$M$8:$M$110,$H39,'Calendario D'!$T$8:$T$110,$H$40)+SUMIFS('Calendario D'!$X$8:$X$110,'Calendario D'!$T$8:$T$110,$H39,'Calendario D'!$M$8:$M$110,$H$40),"-")</f>
        <v>-</v>
      </c>
      <c r="AV39" s="14" t="str">
        <f aca="false">IF(AND($H39&lt;&gt;"",$H$41&lt;&gt;"",$H39&lt;&gt;$H$41,IFERROR(VLOOKUP($H39,areaCercaPuntiClassificaSquadra,3,FALSE()),-1)=IFERROR(VLOOKUP($H$41,areaCercaPuntiClassificaSquadra,3,FALSE()),-2)),SUMIFS('Calendario D'!$Q$8:$Q$110,'Calendario D'!$M$8:$M$110,$H39,'Calendario D'!$T$8:$T$110,$H$41)+SUMIFS('Calendario D'!$X$8:$X$110,'Calendario D'!$T$8:$T$110,$H39,'Calendario D'!$M$8:$M$110,$H$41),"-")</f>
        <v>-</v>
      </c>
      <c r="AW39" s="14" t="str">
        <f aca="false">IF(AND($H39&lt;&gt;"",$H$42&lt;&gt;"",$H39&lt;&gt;$H$42,IFERROR(VLOOKUP($H39,areaCercaPuntiClassificaSquadra,3,FALSE()),-1)=IFERROR(VLOOKUP($H$42,areaCercaPuntiClassificaSquadra,3,FALSE()),-2)),SUMIFS('Calendario D'!$Q$8:$Q$110,'Calendario D'!$M$8:$M$110,$H39,'Calendario D'!$T$8:$T$110,$H$42)+SUMIFS('Calendario D'!$X$8:$X$110,'Calendario D'!$T$8:$T$110,$H39,'Calendario D'!$M$8:$M$110,$H$42),"-")</f>
        <v>-</v>
      </c>
      <c r="AX39" s="14" t="str">
        <f aca="false">IF(AND($H39&lt;&gt;"",$H$43&lt;&gt;"",$H39&lt;&gt;$H$43,IFERROR(VLOOKUP($H39,areaCercaPuntiClassificaSquadra,3,FALSE()),-1)=IFERROR(VLOOKUP($H$43,areaCercaPuntiClassificaSquadra,3,FALSE()),-2)),SUMIFS('Calendario D'!$Q$8:$Q$110,'Calendario D'!$M$8:$M$110,$H39,'Calendario D'!$T$8:$T$110,$H$43)+SUMIFS('Calendario D'!$X$8:$X$110,'Calendario D'!$T$8:$T$110,$H39,'Calendario D'!$M$8:$M$110,$H$43),"-")</f>
        <v>-</v>
      </c>
      <c r="AY39" s="13" t="str">
        <f aca="false">$C39</f>
        <v>Iguane Impavide-Iguaneopoli IE</v>
      </c>
      <c r="AZ39" s="14" t="str">
        <f aca="false">IF(AND($H39&lt;&gt;"",$H$36&lt;&gt;"",$H39&lt;&gt;$H$36,IFERROR(VLOOKUP($H39,areaCercaPuntiClassificaSquadra,3,FALSE()),-1)=IFERROR(VLOOKUP($H$36,areaCercaPuntiClassificaSquadra,3,FALSE()),-2)),SUMIFS('Calendario D'!$R$8:$R$110,'Calendario D'!$M$8:$M$110,$H39,'Calendario D'!$T$8:$T$110,$H$36)+SUMIFS('Calendario D'!$Y$8:$Y$110,'Calendario D'!$T$8:$T$110,$H39,'Calendario D'!$M$8:$M$110,$H$36),"-")</f>
        <v>-</v>
      </c>
      <c r="BA39" s="14" t="str">
        <f aca="false">IF(AND($H39&lt;&gt;"",$H$37&lt;&gt;"",$H39&lt;&gt;$H$37,IFERROR(VLOOKUP($H39,areaCercaPuntiClassificaSquadra,3,FALSE()),-1)=IFERROR(VLOOKUP($H$37,areaCercaPuntiClassificaSquadra,3,FALSE()),-2)),SUMIFS('Calendario D'!$R$8:$R$110,'Calendario D'!$M$8:$M$110,$H39,'Calendario D'!$T$8:$T$110,$H$37)+SUMIFS('Calendario D'!$Y$8:$Y$110,'Calendario D'!$T$8:$T$110,$H39,'Calendario D'!$M$8:$M$110,$H$37),"-")</f>
        <v>-</v>
      </c>
      <c r="BB39" s="14" t="str">
        <f aca="false">IF(AND($H39&lt;&gt;"",$H$38&lt;&gt;"",$H39&lt;&gt;$H$38,IFERROR(VLOOKUP($H39,areaCercaPuntiClassificaSquadra,3,FALSE()),-1)=IFERROR(VLOOKUP($H$38,areaCercaPuntiClassificaSquadra,3,FALSE()),-2)),SUMIFS('Calendario D'!$R$8:$R$110,'Calendario D'!$M$8:$M$110,$H39,'Calendario D'!$T$8:$T$110,$H$38)+SUMIFS('Calendario D'!$Y$8:$Y$110,'Calendario D'!$T$8:$T$110,$H39,'Calendario D'!$M$8:$M$110,$H$38),"-")</f>
        <v>-</v>
      </c>
      <c r="BC39" s="14" t="str">
        <f aca="false">IF(AND($H39&lt;&gt;"",$H$39&lt;&gt;"",$H39&lt;&gt;$H$39,IFERROR(VLOOKUP($H39,areaCercaPuntiClassificaSquadra,3,FALSE()),-1)=IFERROR(VLOOKUP($H$39,areaCercaPuntiClassificaSquadra,3,FALSE()),-2)),SUMIFS('Calendario D'!$R$8:$R$110,'Calendario D'!$M$8:$M$110,$H39,'Calendario D'!$T$8:$T$110,$H$39)+SUMIFS('Calendario D'!$Y$8:$Y$110,'Calendario D'!$T$8:$T$110,$H39,'Calendario D'!$M$8:$M$110,$H$39),"-")</f>
        <v>-</v>
      </c>
      <c r="BD39" s="14" t="str">
        <f aca="false">IF(AND($H39&lt;&gt;"",$H$40&lt;&gt;"",$H39&lt;&gt;$H$40,IFERROR(VLOOKUP($H39,areaCercaPuntiClassificaSquadra,3,FALSE()),-1)=IFERROR(VLOOKUP($H$40,areaCercaPuntiClassificaSquadra,3,FALSE()),-2)),SUMIFS('Calendario D'!$R$8:$R$110,'Calendario D'!$M$8:$M$110,$H39,'Calendario D'!$T$8:$T$110,$H$40)+SUMIFS('Calendario D'!$Y$8:$Y$110,'Calendario D'!$T$8:$T$110,$H39,'Calendario D'!$M$8:$M$110,$H$40),"-")</f>
        <v>-</v>
      </c>
      <c r="BE39" s="14" t="str">
        <f aca="false">IF(AND($H39&lt;&gt;"",$H$41&lt;&gt;"",$H39&lt;&gt;$H$41,IFERROR(VLOOKUP($H39,areaCercaPuntiClassificaSquadra,3,FALSE()),-1)=IFERROR(VLOOKUP($H$41,areaCercaPuntiClassificaSquadra,3,FALSE()),-2)),SUMIFS('Calendario D'!$R$8:$R$110,'Calendario D'!$M$8:$M$110,$H39,'Calendario D'!$T$8:$T$110,$H$41)+SUMIFS('Calendario D'!$Y$8:$Y$110,'Calendario D'!$T$8:$T$110,$H39,'Calendario D'!$M$8:$M$110,$H$41),"-")</f>
        <v>-</v>
      </c>
      <c r="BF39" s="14" t="str">
        <f aca="false">IF(AND($H39&lt;&gt;"",$H$42&lt;&gt;"",$H39&lt;&gt;$H$42,IFERROR(VLOOKUP($H39,areaCercaPuntiClassificaSquadra,3,FALSE()),-1)=IFERROR(VLOOKUP($H$42,areaCercaPuntiClassificaSquadra,3,FALSE()),-2)),SUMIFS('Calendario D'!$R$8:$R$110,'Calendario D'!$M$8:$M$110,$H39,'Calendario D'!$T$8:$T$110,$H$42)+SUMIFS('Calendario D'!$Y$8:$Y$110,'Calendario D'!$T$8:$T$110,$H39,'Calendario D'!$M$8:$M$110,$H$42),"-")</f>
        <v>-</v>
      </c>
      <c r="BG39" s="14" t="str">
        <f aca="false">IF(AND($H39&lt;&gt;"",$H$43&lt;&gt;"",$H39&lt;&gt;$H$43,IFERROR(VLOOKUP($H39,areaCercaPuntiClassificaSquadra,3,FALSE()),-1)=IFERROR(VLOOKUP($H$43,areaCercaPuntiClassificaSquadra,3,FALSE()),-2)),SUMIFS('Calendario D'!$R$8:$R$110,'Calendario D'!$M$8:$M$110,$H39,'Calendario D'!$T$8:$T$110,$H$43)+SUMIFS('Calendario D'!$Y$8:$Y$110,'Calendario D'!$T$8:$T$110,$H39,'Calendario D'!$M$8:$M$110,$H$43),"-")</f>
        <v>-</v>
      </c>
    </row>
    <row r="40" customFormat="false" ht="15" hidden="false" customHeight="false" outlineLevel="0" collapsed="false">
      <c r="B40" s="7" t="s">
        <v>107</v>
      </c>
      <c r="C40" s="8" t="s">
        <v>108</v>
      </c>
      <c r="D40" s="9"/>
      <c r="E40" s="19" t="s">
        <v>100</v>
      </c>
      <c r="G40" s="20" t="str">
        <f aca="false">IF($C40="","",$E40&amp;(COUNTIFS(I$12:I$75,"&gt;"&amp;I40,E$12:E$75,"="&amp;E40,C$12:C$75,"&lt;&gt;")+COUNTIFS(I$12:I$75,"="&amp;I40,H$12:H$75,"&lt;="&amp;H40,E$12:E$75,"="&amp;E40,C$12:C$75,"&lt;&gt;")))</f>
        <v>D2</v>
      </c>
      <c r="H40" s="12" t="str">
        <f aca="false">IF($C40="","",IFERROR(LEFT($C40,FIND("-",$C40)-1),$C40))</f>
        <v>Lontre Loquaci</v>
      </c>
      <c r="I40" s="7" t="str">
        <f aca="false">TEXT(1000000000+J40,"|0000000000|")&amp;TEXT(SUM(Y40:AF40),"0000000000|")&amp;IF(SUM(AZ40:BG40)=0,"0000000000|",TEXT(ROUND(SUM(AQ40:AX40)/SUM(AZ40:BG40),4)*100000,"0000000000|"))&amp;IF(P40=0,"0000000000|",TEXT(ROUND(O40/P40,4)*100000,"0000000000|"))</f>
        <v>|1000000019|0000000000|0000000000|0000129710|</v>
      </c>
      <c r="J40" s="20" t="n">
        <f aca="false">L40*constPuntiVittoria+M40*constPuntiSconfitta+N40*constPuntiForfait+IF(D40="",0,D40)</f>
        <v>19</v>
      </c>
      <c r="K40" s="7" t="n">
        <f aca="false">SUM(L40:N40)</f>
        <v>7</v>
      </c>
      <c r="L40" s="7" t="n">
        <f aca="false">IF($H40="",0,SUMIF('Calendario D'!$M$8:$M$110,$H40,'Calendario D'!$N$8:$N$110)+SUMIF('Calendario D'!$T$8:$T$110,$H40,'Calendario D'!$U$8:$U$110))</f>
        <v>6</v>
      </c>
      <c r="M40" s="7" t="n">
        <f aca="false">IF($H40="",0,SUMIF('Calendario D'!$M$8:$M$110,$H40,'Calendario D'!$P$8:$P$110)+SUMIF('Calendario D'!$T$8:$T$110,$H40,'Calendario D'!$W$8:$W$110))</f>
        <v>1</v>
      </c>
      <c r="N40" s="7" t="n">
        <f aca="false">IF($H40="",0,SUMIF('Calendario D'!$M$8:$M$110,$H40,'Calendario D'!$O$8:$O$110)+SUMIF('Calendario D'!$T$8:$T$110,$H40,'Calendario D'!$V$8:$V$110))</f>
        <v>0</v>
      </c>
      <c r="O40" s="7" t="n">
        <f aca="false">IF($H40="",0,SUMIF('Calendario D'!$M$8:$M$110,$H40,'Calendario D'!$Q$8:$Q$110)+SUMIF('Calendario D'!$T$8:$T$110,$H40,'Calendario D'!$X$8:$X$110))</f>
        <v>489</v>
      </c>
      <c r="P40" s="7" t="n">
        <f aca="false">IF($H40="",0,SUMIF('Calendario D'!$M$8:$M$110,$H40,'Calendario D'!$R$8:$R$110)+SUMIF('Calendario D'!$T$8:$T$110,$H40,'Calendario D'!$Y$8:$Y$110))</f>
        <v>377</v>
      </c>
      <c r="Q40" s="7" t="n">
        <f aca="false">IF($H40="",0,SUMIF('Calendario D'!$M$8:$M$110,$H40,'Calendario D'!$S$8:$S$110)+SUMIF('Calendario D'!$T$8:$T$110,$H40,'Calendario D'!$Z$8:$Z$110))</f>
        <v>112</v>
      </c>
      <c r="R40" s="7" t="n">
        <f aca="false">IF(K40=0,0,ROUND(O40/K40,2))</f>
        <v>69.86</v>
      </c>
      <c r="S40" s="7" t="n">
        <f aca="false">IF(K40=0,0,ROUND(P40/K40,2))</f>
        <v>53.86</v>
      </c>
      <c r="T40" s="7" t="n">
        <f aca="false">IF(K40=0,0,ROUND(Q40/K40,2))</f>
        <v>16</v>
      </c>
      <c r="U40" s="7" t="str">
        <f aca="false">IF(COUNT(Y40:AF40)=0,"-",SUM(Y40:AF40)&amp;"-"&amp;SUM(AH40:AO40))</f>
        <v>-</v>
      </c>
      <c r="V40" s="7" t="str">
        <f aca="false">IF(COUNT(Y40:AF40)=0,"-",IF(SUM(AZ40:BG40)=0,TEXT(0,"0.0000"),TEXT(ROUND(SUM(AQ40:AX40)/SUM(AZ40:BG40),4),"0.0000")))</f>
        <v>-</v>
      </c>
      <c r="W40" s="7" t="str">
        <f aca="false">IF(H40="","-",IF(P40=0,TEXT(0,"0.0000"),TEXT(ROUND(O40/P40,4),"0.0000")))</f>
        <v>1.2971</v>
      </c>
      <c r="X40" s="13" t="str">
        <f aca="false">$C40</f>
        <v>Lontre Loquaci-Lontreopoli LE</v>
      </c>
      <c r="Y40" s="14" t="str">
        <f aca="false">IF(AND($H40&lt;&gt;"",$H$36&lt;&gt;"",$H40&lt;&gt;$H$36,IFERROR(VLOOKUP($H40,areaCercaPuntiClassificaSquadra,3,FALSE()),-1)=IFERROR(VLOOKUP($H$36,areaCercaPuntiClassificaSquadra,3,FALSE()),-2)),SUMIFS('Calendario D'!$N$8:$N$110,'Calendario D'!$M$8:$M$110,$H40,'Calendario D'!$T$8:$T$110,$H$36)+SUMIFS('Calendario D'!$U$8:$U$110,'Calendario D'!$T$8:$T$110,$H40,'Calendario D'!$M$8:$M$110,$H$36),"-")</f>
        <v>-</v>
      </c>
      <c r="Z40" s="14" t="str">
        <f aca="false">IF(AND($H40&lt;&gt;"",$H$37&lt;&gt;"",$H40&lt;&gt;$H$37,IFERROR(VLOOKUP($H40,areaCercaPuntiClassificaSquadra,3,FALSE()),-1)=IFERROR(VLOOKUP($H$37,areaCercaPuntiClassificaSquadra,3,FALSE()),-2)),SUMIFS('Calendario D'!$N$8:$N$110,'Calendario D'!$M$8:$M$110,$H40,'Calendario D'!$T$8:$T$110,$H$37)+SUMIFS('Calendario D'!$U$8:$U$110,'Calendario D'!$T$8:$T$110,$H40,'Calendario D'!$M$8:$M$110,$H$37),"-")</f>
        <v>-</v>
      </c>
      <c r="AA40" s="14" t="str">
        <f aca="false">IF(AND($H40&lt;&gt;"",$H$38&lt;&gt;"",$H40&lt;&gt;$H$38,IFERROR(VLOOKUP($H40,areaCercaPuntiClassificaSquadra,3,FALSE()),-1)=IFERROR(VLOOKUP($H$38,areaCercaPuntiClassificaSquadra,3,FALSE()),-2)),SUMIFS('Calendario D'!$N$8:$N$110,'Calendario D'!$M$8:$M$110,$H40,'Calendario D'!$T$8:$T$110,$H$38)+SUMIFS('Calendario D'!$U$8:$U$110,'Calendario D'!$T$8:$T$110,$H40,'Calendario D'!$M$8:$M$110,$H$38),"-")</f>
        <v>-</v>
      </c>
      <c r="AB40" s="14" t="str">
        <f aca="false">IF(AND($H40&lt;&gt;"",$H$39&lt;&gt;"",$H40&lt;&gt;$H$39,IFERROR(VLOOKUP($H40,areaCercaPuntiClassificaSquadra,3,FALSE()),-1)=IFERROR(VLOOKUP($H$39,areaCercaPuntiClassificaSquadra,3,FALSE()),-2)),SUMIFS('Calendario D'!$N$8:$N$110,'Calendario D'!$M$8:$M$110,$H40,'Calendario D'!$T$8:$T$110,$H$39)+SUMIFS('Calendario D'!$U$8:$U$110,'Calendario D'!$T$8:$T$110,$H40,'Calendario D'!$M$8:$M$110,$H$39),"-")</f>
        <v>-</v>
      </c>
      <c r="AC40" s="14" t="str">
        <f aca="false">IF(AND($H40&lt;&gt;"",$H$40&lt;&gt;"",$H40&lt;&gt;$H$40,IFERROR(VLOOKUP($H40,areaCercaPuntiClassificaSquadra,3,FALSE()),-1)=IFERROR(VLOOKUP($H$40,areaCercaPuntiClassificaSquadra,3,FALSE()),-2)),SUMIFS('Calendario D'!$N$8:$N$110,'Calendario D'!$M$8:$M$110,$H40,'Calendario D'!$T$8:$T$110,$H$40)+SUMIFS('Calendario D'!$U$8:$U$110,'Calendario D'!$T$8:$T$110,$H40,'Calendario D'!$M$8:$M$110,$H$40),"-")</f>
        <v>-</v>
      </c>
      <c r="AD40" s="14" t="str">
        <f aca="false">IF(AND($H40&lt;&gt;"",$H$41&lt;&gt;"",$H40&lt;&gt;$H$41,IFERROR(VLOOKUP($H40,areaCercaPuntiClassificaSquadra,3,FALSE()),-1)=IFERROR(VLOOKUP($H$41,areaCercaPuntiClassificaSquadra,3,FALSE()),-2)),SUMIFS('Calendario D'!$N$8:$N$110,'Calendario D'!$M$8:$M$110,$H40,'Calendario D'!$T$8:$T$110,$H$41)+SUMIFS('Calendario D'!$U$8:$U$110,'Calendario D'!$T$8:$T$110,$H40,'Calendario D'!$M$8:$M$110,$H$41),"-")</f>
        <v>-</v>
      </c>
      <c r="AE40" s="14" t="str">
        <f aca="false">IF(AND($H40&lt;&gt;"",$H$42&lt;&gt;"",$H40&lt;&gt;$H$42,IFERROR(VLOOKUP($H40,areaCercaPuntiClassificaSquadra,3,FALSE()),-1)=IFERROR(VLOOKUP($H$42,areaCercaPuntiClassificaSquadra,3,FALSE()),-2)),SUMIFS('Calendario D'!$N$8:$N$110,'Calendario D'!$M$8:$M$110,$H40,'Calendario D'!$T$8:$T$110,$H$42)+SUMIFS('Calendario D'!$U$8:$U$110,'Calendario D'!$T$8:$T$110,$H40,'Calendario D'!$M$8:$M$110,$H$42),"-")</f>
        <v>-</v>
      </c>
      <c r="AF40" s="14" t="str">
        <f aca="false">IF(AND($H40&lt;&gt;"",$H$43&lt;&gt;"",$H40&lt;&gt;$H$43,IFERROR(VLOOKUP($H40,areaCercaPuntiClassificaSquadra,3,FALSE()),-1)=IFERROR(VLOOKUP($H$43,areaCercaPuntiClassificaSquadra,3,FALSE()),-2)),SUMIFS('Calendario D'!$N$8:$N$110,'Calendario D'!$M$8:$M$110,$H40,'Calendario D'!$T$8:$T$110,$H$43)+SUMIFS('Calendario D'!$U$8:$U$110,'Calendario D'!$T$8:$T$110,$H40,'Calendario D'!$M$8:$M$110,$H$43),"-")</f>
        <v>-</v>
      </c>
      <c r="AG40" s="13" t="str">
        <f aca="false">$C40</f>
        <v>Lontre Loquaci-Lontreopoli LE</v>
      </c>
      <c r="AH40" s="14" t="str">
        <f aca="false">IF(AND($H40&lt;&gt;"",$H$36&lt;&gt;"",$H40&lt;&gt;$H$36,IFERROR(VLOOKUP($H40,areaCercaPuntiClassificaSquadra,3,FALSE()),-1)=IFERROR(VLOOKUP($H$36,areaCercaPuntiClassificaSquadra,3,FALSE()),-2)),SUMIFS('Calendario D'!$P$8:$P$110,'Calendario D'!$M$8:$M$110,$H40,'Calendario D'!$T$8:$T$110,$H$36)+SUMIFS('Calendario D'!$W$8:$W$110,'Calendario D'!$T$8:$T$110,$H40,'Calendario D'!$M$8:$M$110,$H$36)+SUMIFS('Calendario D'!$O$8:$O$110,'Calendario D'!$M$8:$M$110,$H40,'Calendario D'!$T$8:$T$110,$H$36)+SUMIFS('Calendario D'!$V$8:$V$110,'Calendario D'!$T$8:$T$110,$H40,'Calendario D'!$M$8:$M$110,$H$36),"-")</f>
        <v>-</v>
      </c>
      <c r="AI40" s="14" t="str">
        <f aca="false">IF(AND($H40&lt;&gt;"",$H$37&lt;&gt;"",$H40&lt;&gt;$H$37,IFERROR(VLOOKUP($H40,areaCercaPuntiClassificaSquadra,3,FALSE()),-1)=IFERROR(VLOOKUP($H$37,areaCercaPuntiClassificaSquadra,3,FALSE()),-2)),SUMIFS('Calendario D'!$P$8:$P$110,'Calendario D'!$M$8:$M$110,$H40,'Calendario D'!$T$8:$T$110,$H$37)+SUMIFS('Calendario D'!$W$8:$W$110,'Calendario D'!$T$8:$T$110,$H40,'Calendario D'!$M$8:$M$110,$H$37)+SUMIFS('Calendario D'!$O$8:$O$110,'Calendario D'!$M$8:$M$110,$H40,'Calendario D'!$T$8:$T$110,$H$37)+SUMIFS('Calendario D'!$V$8:$V$110,'Calendario D'!$T$8:$T$110,$H40,'Calendario D'!$M$8:$M$110,$H$37),"-")</f>
        <v>-</v>
      </c>
      <c r="AJ40" s="14" t="str">
        <f aca="false">IF(AND($H40&lt;&gt;"",$H$38&lt;&gt;"",$H40&lt;&gt;$H$38,IFERROR(VLOOKUP($H40,areaCercaPuntiClassificaSquadra,3,FALSE()),-1)=IFERROR(VLOOKUP($H$38,areaCercaPuntiClassificaSquadra,3,FALSE()),-2)),SUMIFS('Calendario D'!$P$8:$P$110,'Calendario D'!$M$8:$M$110,$H40,'Calendario D'!$T$8:$T$110,$H$38)+SUMIFS('Calendario D'!$W$8:$W$110,'Calendario D'!$T$8:$T$110,$H40,'Calendario D'!$M$8:$M$110,$H$38)+SUMIFS('Calendario D'!$O$8:$O$110,'Calendario D'!$M$8:$M$110,$H40,'Calendario D'!$T$8:$T$110,$H$38)+SUMIFS('Calendario D'!$V$8:$V$110,'Calendario D'!$T$8:$T$110,$H40,'Calendario D'!$M$8:$M$110,$H$38),"-")</f>
        <v>-</v>
      </c>
      <c r="AK40" s="14" t="str">
        <f aca="false">IF(AND($H40&lt;&gt;"",$H$39&lt;&gt;"",$H40&lt;&gt;$H$39,IFERROR(VLOOKUP($H40,areaCercaPuntiClassificaSquadra,3,FALSE()),-1)=IFERROR(VLOOKUP($H$39,areaCercaPuntiClassificaSquadra,3,FALSE()),-2)),SUMIFS('Calendario D'!$P$8:$P$110,'Calendario D'!$M$8:$M$110,$H40,'Calendario D'!$T$8:$T$110,$H$39)+SUMIFS('Calendario D'!$W$8:$W$110,'Calendario D'!$T$8:$T$110,$H40,'Calendario D'!$M$8:$M$110,$H$39)+SUMIFS('Calendario D'!$O$8:$O$110,'Calendario D'!$M$8:$M$110,$H40,'Calendario D'!$T$8:$T$110,$H$39)+SUMIFS('Calendario D'!$V$8:$V$110,'Calendario D'!$T$8:$T$110,$H40,'Calendario D'!$M$8:$M$110,$H$39),"-")</f>
        <v>-</v>
      </c>
      <c r="AL40" s="14" t="str">
        <f aca="false">IF(AND($H40&lt;&gt;"",$H$40&lt;&gt;"",$H40&lt;&gt;$H$40,IFERROR(VLOOKUP($H40,areaCercaPuntiClassificaSquadra,3,FALSE()),-1)=IFERROR(VLOOKUP($H$40,areaCercaPuntiClassificaSquadra,3,FALSE()),-2)),SUMIFS('Calendario D'!$P$8:$P$110,'Calendario D'!$M$8:$M$110,$H40,'Calendario D'!$T$8:$T$110,$H$40)+SUMIFS('Calendario D'!$W$8:$W$110,'Calendario D'!$T$8:$T$110,$H40,'Calendario D'!$M$8:$M$110,$H$40)+SUMIFS('Calendario D'!$O$8:$O$110,'Calendario D'!$M$8:$M$110,$H40,'Calendario D'!$T$8:$T$110,$H$40)+SUMIFS('Calendario D'!$V$8:$V$110,'Calendario D'!$T$8:$T$110,$H40,'Calendario D'!$M$8:$M$110,$H$40),"-")</f>
        <v>-</v>
      </c>
      <c r="AM40" s="14" t="str">
        <f aca="false">IF(AND($H40&lt;&gt;"",$H$41&lt;&gt;"",$H40&lt;&gt;$H$41,IFERROR(VLOOKUP($H40,areaCercaPuntiClassificaSquadra,3,FALSE()),-1)=IFERROR(VLOOKUP($H$41,areaCercaPuntiClassificaSquadra,3,FALSE()),-2)),SUMIFS('Calendario D'!$P$8:$P$110,'Calendario D'!$M$8:$M$110,$H40,'Calendario D'!$T$8:$T$110,$H$41)+SUMIFS('Calendario D'!$W$8:$W$110,'Calendario D'!$T$8:$T$110,$H40,'Calendario D'!$M$8:$M$110,$H$41)+SUMIFS('Calendario D'!$O$8:$O$110,'Calendario D'!$M$8:$M$110,$H40,'Calendario D'!$T$8:$T$110,$H$41)+SUMIFS('Calendario D'!$V$8:$V$110,'Calendario D'!$T$8:$T$110,$H40,'Calendario D'!$M$8:$M$110,$H$41),"-")</f>
        <v>-</v>
      </c>
      <c r="AN40" s="14" t="str">
        <f aca="false">IF(AND($H40&lt;&gt;"",$H$42&lt;&gt;"",$H40&lt;&gt;$H$42,IFERROR(VLOOKUP($H40,areaCercaPuntiClassificaSquadra,3,FALSE()),-1)=IFERROR(VLOOKUP($H$42,areaCercaPuntiClassificaSquadra,3,FALSE()),-2)),SUMIFS('Calendario D'!$P$8:$P$110,'Calendario D'!$M$8:$M$110,$H40,'Calendario D'!$T$8:$T$110,$H$42)+SUMIFS('Calendario D'!$W$8:$W$110,'Calendario D'!$T$8:$T$110,$H40,'Calendario D'!$M$8:$M$110,$H$42)+SUMIFS('Calendario D'!$O$8:$O$110,'Calendario D'!$M$8:$M$110,$H40,'Calendario D'!$T$8:$T$110,$H$42)+SUMIFS('Calendario D'!$V$8:$V$110,'Calendario D'!$T$8:$T$110,$H40,'Calendario D'!$M$8:$M$110,$H$42),"-")</f>
        <v>-</v>
      </c>
      <c r="AO40" s="14" t="str">
        <f aca="false">IF(AND($H40&lt;&gt;"",$H$43&lt;&gt;"",$H40&lt;&gt;$H$43,IFERROR(VLOOKUP($H40,areaCercaPuntiClassificaSquadra,3,FALSE()),-1)=IFERROR(VLOOKUP($H$43,areaCercaPuntiClassificaSquadra,3,FALSE()),-2)),SUMIFS('Calendario D'!$P$8:$P$110,'Calendario D'!$M$8:$M$110,$H40,'Calendario D'!$T$8:$T$110,$H$43)+SUMIFS('Calendario D'!$W$8:$W$110,'Calendario D'!$T$8:$T$110,$H40,'Calendario D'!$M$8:$M$110,$H$43)+SUMIFS('Calendario D'!$O$8:$O$110,'Calendario D'!$M$8:$M$110,$H40,'Calendario D'!$T$8:$T$110,$H$43)+SUMIFS('Calendario D'!$V$8:$V$110,'Calendario D'!$T$8:$T$110,$H40,'Calendario D'!$M$8:$M$110,$H$43),"-")</f>
        <v>-</v>
      </c>
      <c r="AP40" s="13" t="str">
        <f aca="false">$C40</f>
        <v>Lontre Loquaci-Lontreopoli LE</v>
      </c>
      <c r="AQ40" s="14" t="str">
        <f aca="false">IF(AND($H40&lt;&gt;"",$H$36&lt;&gt;"",$H40&lt;&gt;$H$36,IFERROR(VLOOKUP($H40,areaCercaPuntiClassificaSquadra,3,FALSE()),-1)=IFERROR(VLOOKUP($H$36,areaCercaPuntiClassificaSquadra,3,FALSE()),-2)),SUMIFS('Calendario D'!$Q$8:$Q$110,'Calendario D'!$M$8:$M$110,$H40,'Calendario D'!$T$8:$T$110,$H$36)+SUMIFS('Calendario D'!$X$8:$X$110,'Calendario D'!$T$8:$T$110,$H40,'Calendario D'!$M$8:$M$110,$H$36),"-")</f>
        <v>-</v>
      </c>
      <c r="AR40" s="14" t="str">
        <f aca="false">IF(AND($H40&lt;&gt;"",$H$37&lt;&gt;"",$H40&lt;&gt;$H$37,IFERROR(VLOOKUP($H40,areaCercaPuntiClassificaSquadra,3,FALSE()),-1)=IFERROR(VLOOKUP($H$37,areaCercaPuntiClassificaSquadra,3,FALSE()),-2)),SUMIFS('Calendario D'!$Q$8:$Q$110,'Calendario D'!$M$8:$M$110,$H40,'Calendario D'!$T$8:$T$110,$H$37)+SUMIFS('Calendario D'!$X$8:$X$110,'Calendario D'!$T$8:$T$110,$H40,'Calendario D'!$M$8:$M$110,$H$37),"-")</f>
        <v>-</v>
      </c>
      <c r="AS40" s="14" t="str">
        <f aca="false">IF(AND($H40&lt;&gt;"",$H$38&lt;&gt;"",$H40&lt;&gt;$H$38,IFERROR(VLOOKUP($H40,areaCercaPuntiClassificaSquadra,3,FALSE()),-1)=IFERROR(VLOOKUP($H$38,areaCercaPuntiClassificaSquadra,3,FALSE()),-2)),SUMIFS('Calendario D'!$Q$8:$Q$110,'Calendario D'!$M$8:$M$110,$H40,'Calendario D'!$T$8:$T$110,$H$38)+SUMIFS('Calendario D'!$X$8:$X$110,'Calendario D'!$T$8:$T$110,$H40,'Calendario D'!$M$8:$M$110,$H$38),"-")</f>
        <v>-</v>
      </c>
      <c r="AT40" s="14" t="str">
        <f aca="false">IF(AND($H40&lt;&gt;"",$H$39&lt;&gt;"",$H40&lt;&gt;$H$39,IFERROR(VLOOKUP($H40,areaCercaPuntiClassificaSquadra,3,FALSE()),-1)=IFERROR(VLOOKUP($H$39,areaCercaPuntiClassificaSquadra,3,FALSE()),-2)),SUMIFS('Calendario D'!$Q$8:$Q$110,'Calendario D'!$M$8:$M$110,$H40,'Calendario D'!$T$8:$T$110,$H$39)+SUMIFS('Calendario D'!$X$8:$X$110,'Calendario D'!$T$8:$T$110,$H40,'Calendario D'!$M$8:$M$110,$H$39),"-")</f>
        <v>-</v>
      </c>
      <c r="AU40" s="14" t="str">
        <f aca="false">IF(AND($H40&lt;&gt;"",$H$40&lt;&gt;"",$H40&lt;&gt;$H$40,IFERROR(VLOOKUP($H40,areaCercaPuntiClassificaSquadra,3,FALSE()),-1)=IFERROR(VLOOKUP($H$40,areaCercaPuntiClassificaSquadra,3,FALSE()),-2)),SUMIFS('Calendario D'!$Q$8:$Q$110,'Calendario D'!$M$8:$M$110,$H40,'Calendario D'!$T$8:$T$110,$H$40)+SUMIFS('Calendario D'!$X$8:$X$110,'Calendario D'!$T$8:$T$110,$H40,'Calendario D'!$M$8:$M$110,$H$40),"-")</f>
        <v>-</v>
      </c>
      <c r="AV40" s="14" t="str">
        <f aca="false">IF(AND($H40&lt;&gt;"",$H$41&lt;&gt;"",$H40&lt;&gt;$H$41,IFERROR(VLOOKUP($H40,areaCercaPuntiClassificaSquadra,3,FALSE()),-1)=IFERROR(VLOOKUP($H$41,areaCercaPuntiClassificaSquadra,3,FALSE()),-2)),SUMIFS('Calendario D'!$Q$8:$Q$110,'Calendario D'!$M$8:$M$110,$H40,'Calendario D'!$T$8:$T$110,$H$41)+SUMIFS('Calendario D'!$X$8:$X$110,'Calendario D'!$T$8:$T$110,$H40,'Calendario D'!$M$8:$M$110,$H$41),"-")</f>
        <v>-</v>
      </c>
      <c r="AW40" s="14" t="str">
        <f aca="false">IF(AND($H40&lt;&gt;"",$H$42&lt;&gt;"",$H40&lt;&gt;$H$42,IFERROR(VLOOKUP($H40,areaCercaPuntiClassificaSquadra,3,FALSE()),-1)=IFERROR(VLOOKUP($H$42,areaCercaPuntiClassificaSquadra,3,FALSE()),-2)),SUMIFS('Calendario D'!$Q$8:$Q$110,'Calendario D'!$M$8:$M$110,$H40,'Calendario D'!$T$8:$T$110,$H$42)+SUMIFS('Calendario D'!$X$8:$X$110,'Calendario D'!$T$8:$T$110,$H40,'Calendario D'!$M$8:$M$110,$H$42),"-")</f>
        <v>-</v>
      </c>
      <c r="AX40" s="14" t="str">
        <f aca="false">IF(AND($H40&lt;&gt;"",$H$43&lt;&gt;"",$H40&lt;&gt;$H$43,IFERROR(VLOOKUP($H40,areaCercaPuntiClassificaSquadra,3,FALSE()),-1)=IFERROR(VLOOKUP($H$43,areaCercaPuntiClassificaSquadra,3,FALSE()),-2)),SUMIFS('Calendario D'!$Q$8:$Q$110,'Calendario D'!$M$8:$M$110,$H40,'Calendario D'!$T$8:$T$110,$H$43)+SUMIFS('Calendario D'!$X$8:$X$110,'Calendario D'!$T$8:$T$110,$H40,'Calendario D'!$M$8:$M$110,$H$43),"-")</f>
        <v>-</v>
      </c>
      <c r="AY40" s="13" t="str">
        <f aca="false">$C40</f>
        <v>Lontre Loquaci-Lontreopoli LE</v>
      </c>
      <c r="AZ40" s="14" t="str">
        <f aca="false">IF(AND($H40&lt;&gt;"",$H$36&lt;&gt;"",$H40&lt;&gt;$H$36,IFERROR(VLOOKUP($H40,areaCercaPuntiClassificaSquadra,3,FALSE()),-1)=IFERROR(VLOOKUP($H$36,areaCercaPuntiClassificaSquadra,3,FALSE()),-2)),SUMIFS('Calendario D'!$R$8:$R$110,'Calendario D'!$M$8:$M$110,$H40,'Calendario D'!$T$8:$T$110,$H$36)+SUMIFS('Calendario D'!$Y$8:$Y$110,'Calendario D'!$T$8:$T$110,$H40,'Calendario D'!$M$8:$M$110,$H$36),"-")</f>
        <v>-</v>
      </c>
      <c r="BA40" s="14" t="str">
        <f aca="false">IF(AND($H40&lt;&gt;"",$H$37&lt;&gt;"",$H40&lt;&gt;$H$37,IFERROR(VLOOKUP($H40,areaCercaPuntiClassificaSquadra,3,FALSE()),-1)=IFERROR(VLOOKUP($H$37,areaCercaPuntiClassificaSquadra,3,FALSE()),-2)),SUMIFS('Calendario D'!$R$8:$R$110,'Calendario D'!$M$8:$M$110,$H40,'Calendario D'!$T$8:$T$110,$H$37)+SUMIFS('Calendario D'!$Y$8:$Y$110,'Calendario D'!$T$8:$T$110,$H40,'Calendario D'!$M$8:$M$110,$H$37),"-")</f>
        <v>-</v>
      </c>
      <c r="BB40" s="14" t="str">
        <f aca="false">IF(AND($H40&lt;&gt;"",$H$38&lt;&gt;"",$H40&lt;&gt;$H$38,IFERROR(VLOOKUP($H40,areaCercaPuntiClassificaSquadra,3,FALSE()),-1)=IFERROR(VLOOKUP($H$38,areaCercaPuntiClassificaSquadra,3,FALSE()),-2)),SUMIFS('Calendario D'!$R$8:$R$110,'Calendario D'!$M$8:$M$110,$H40,'Calendario D'!$T$8:$T$110,$H$38)+SUMIFS('Calendario D'!$Y$8:$Y$110,'Calendario D'!$T$8:$T$110,$H40,'Calendario D'!$M$8:$M$110,$H$38),"-")</f>
        <v>-</v>
      </c>
      <c r="BC40" s="14" t="str">
        <f aca="false">IF(AND($H40&lt;&gt;"",$H$39&lt;&gt;"",$H40&lt;&gt;$H$39,IFERROR(VLOOKUP($H40,areaCercaPuntiClassificaSquadra,3,FALSE()),-1)=IFERROR(VLOOKUP($H$39,areaCercaPuntiClassificaSquadra,3,FALSE()),-2)),SUMIFS('Calendario D'!$R$8:$R$110,'Calendario D'!$M$8:$M$110,$H40,'Calendario D'!$T$8:$T$110,$H$39)+SUMIFS('Calendario D'!$Y$8:$Y$110,'Calendario D'!$T$8:$T$110,$H40,'Calendario D'!$M$8:$M$110,$H$39),"-")</f>
        <v>-</v>
      </c>
      <c r="BD40" s="14" t="str">
        <f aca="false">IF(AND($H40&lt;&gt;"",$H$40&lt;&gt;"",$H40&lt;&gt;$H$40,IFERROR(VLOOKUP($H40,areaCercaPuntiClassificaSquadra,3,FALSE()),-1)=IFERROR(VLOOKUP($H$40,areaCercaPuntiClassificaSquadra,3,FALSE()),-2)),SUMIFS('Calendario D'!$R$8:$R$110,'Calendario D'!$M$8:$M$110,$H40,'Calendario D'!$T$8:$T$110,$H$40)+SUMIFS('Calendario D'!$Y$8:$Y$110,'Calendario D'!$T$8:$T$110,$H40,'Calendario D'!$M$8:$M$110,$H$40),"-")</f>
        <v>-</v>
      </c>
      <c r="BE40" s="14" t="str">
        <f aca="false">IF(AND($H40&lt;&gt;"",$H$41&lt;&gt;"",$H40&lt;&gt;$H$41,IFERROR(VLOOKUP($H40,areaCercaPuntiClassificaSquadra,3,FALSE()),-1)=IFERROR(VLOOKUP($H$41,areaCercaPuntiClassificaSquadra,3,FALSE()),-2)),SUMIFS('Calendario D'!$R$8:$R$110,'Calendario D'!$M$8:$M$110,$H40,'Calendario D'!$T$8:$T$110,$H$41)+SUMIFS('Calendario D'!$Y$8:$Y$110,'Calendario D'!$T$8:$T$110,$H40,'Calendario D'!$M$8:$M$110,$H$41),"-")</f>
        <v>-</v>
      </c>
      <c r="BF40" s="14" t="str">
        <f aca="false">IF(AND($H40&lt;&gt;"",$H$42&lt;&gt;"",$H40&lt;&gt;$H$42,IFERROR(VLOOKUP($H40,areaCercaPuntiClassificaSquadra,3,FALSE()),-1)=IFERROR(VLOOKUP($H$42,areaCercaPuntiClassificaSquadra,3,FALSE()),-2)),SUMIFS('Calendario D'!$R$8:$R$110,'Calendario D'!$M$8:$M$110,$H40,'Calendario D'!$T$8:$T$110,$H$42)+SUMIFS('Calendario D'!$Y$8:$Y$110,'Calendario D'!$T$8:$T$110,$H40,'Calendario D'!$M$8:$M$110,$H$42),"-")</f>
        <v>-</v>
      </c>
      <c r="BG40" s="14" t="str">
        <f aca="false">IF(AND($H40&lt;&gt;"",$H$43&lt;&gt;"",$H40&lt;&gt;$H$43,IFERROR(VLOOKUP($H40,areaCercaPuntiClassificaSquadra,3,FALSE()),-1)=IFERROR(VLOOKUP($H$43,areaCercaPuntiClassificaSquadra,3,FALSE()),-2)),SUMIFS('Calendario D'!$R$8:$R$110,'Calendario D'!$M$8:$M$110,$H40,'Calendario D'!$T$8:$T$110,$H$43)+SUMIFS('Calendario D'!$Y$8:$Y$110,'Calendario D'!$T$8:$T$110,$H40,'Calendario D'!$M$8:$M$110,$H$43),"-")</f>
        <v>-</v>
      </c>
    </row>
    <row r="41" customFormat="false" ht="15" hidden="false" customHeight="false" outlineLevel="0" collapsed="false">
      <c r="B41" s="7" t="s">
        <v>109</v>
      </c>
      <c r="C41" s="8" t="s">
        <v>110</v>
      </c>
      <c r="D41" s="9"/>
      <c r="E41" s="19" t="s">
        <v>100</v>
      </c>
      <c r="G41" s="20" t="str">
        <f aca="false">IF($C41="","",$E41&amp;(COUNTIFS(I$12:I$75,"&gt;"&amp;I41,E$12:E$75,"="&amp;E41,C$12:C$75,"&lt;&gt;")+COUNTIFS(I$12:I$75,"="&amp;I41,H$12:H$75,"&lt;="&amp;H41,E$12:E$75,"="&amp;E41,C$12:C$75,"&lt;&gt;")))</f>
        <v>D5</v>
      </c>
      <c r="H41" s="12" t="str">
        <f aca="false">IF($C41="","",IFERROR(LEFT($C41,FIND("-",$C41)-1),$C41))</f>
        <v>Manguste Mordaci</v>
      </c>
      <c r="I41" s="7" t="str">
        <f aca="false">TEXT(1000000000+J41,"|0000000000|")&amp;TEXT(SUM(Y41:AF41),"0000000000|")&amp;IF(SUM(AZ41:BG41)=0,"0000000000|",TEXT(ROUND(SUM(AQ41:AX41)/SUM(AZ41:BG41),4)*100000,"0000000000|"))&amp;IF(P41=0,"0000000000|",TEXT(ROUND(O41/P41,4)*100000,"0000000000|"))</f>
        <v>|1000000013|0000000000|0000000000|0000100950|</v>
      </c>
      <c r="J41" s="20" t="n">
        <f aca="false">L41*constPuntiVittoria+M41*constPuntiSconfitta+N41*constPuntiForfait+IF(D41="",0,D41)</f>
        <v>13</v>
      </c>
      <c r="K41" s="7" t="n">
        <f aca="false">SUM(L41:N41)</f>
        <v>7</v>
      </c>
      <c r="L41" s="7" t="n">
        <f aca="false">IF($H41="",0,SUMIF('Calendario D'!$M$8:$M$110,$H41,'Calendario D'!$N$8:$N$110)+SUMIF('Calendario D'!$T$8:$T$110,$H41,'Calendario D'!$U$8:$U$110))</f>
        <v>3</v>
      </c>
      <c r="M41" s="7" t="n">
        <f aca="false">IF($H41="",0,SUMIF('Calendario D'!$M$8:$M$110,$H41,'Calendario D'!$P$8:$P$110)+SUMIF('Calendario D'!$T$8:$T$110,$H41,'Calendario D'!$W$8:$W$110))</f>
        <v>4</v>
      </c>
      <c r="N41" s="7" t="n">
        <f aca="false">IF($H41="",0,SUMIF('Calendario D'!$M$8:$M$110,$H41,'Calendario D'!$O$8:$O$110)+SUMIF('Calendario D'!$T$8:$T$110,$H41,'Calendario D'!$V$8:$V$110))</f>
        <v>0</v>
      </c>
      <c r="O41" s="7" t="n">
        <f aca="false">IF($H41="",0,SUMIF('Calendario D'!$M$8:$M$110,$H41,'Calendario D'!$Q$8:$Q$110)+SUMIF('Calendario D'!$T$8:$T$110,$H41,'Calendario D'!$X$8:$X$110))</f>
        <v>424</v>
      </c>
      <c r="P41" s="7" t="n">
        <f aca="false">IF($H41="",0,SUMIF('Calendario D'!$M$8:$M$110,$H41,'Calendario D'!$R$8:$R$110)+SUMIF('Calendario D'!$T$8:$T$110,$H41,'Calendario D'!$Y$8:$Y$110))</f>
        <v>420</v>
      </c>
      <c r="Q41" s="7" t="n">
        <f aca="false">IF($H41="",0,SUMIF('Calendario D'!$M$8:$M$110,$H41,'Calendario D'!$S$8:$S$110)+SUMIF('Calendario D'!$T$8:$T$110,$H41,'Calendario D'!$Z$8:$Z$110))</f>
        <v>4</v>
      </c>
      <c r="R41" s="7" t="n">
        <f aca="false">IF(K41=0,0,ROUND(O41/K41,2))</f>
        <v>60.57</v>
      </c>
      <c r="S41" s="7" t="n">
        <f aca="false">IF(K41=0,0,ROUND(P41/K41,2))</f>
        <v>60</v>
      </c>
      <c r="T41" s="7" t="n">
        <f aca="false">IF(K41=0,0,ROUND(Q41/K41,2))</f>
        <v>0.57</v>
      </c>
      <c r="U41" s="7" t="str">
        <f aca="false">IF(COUNT(Y41:AF41)=0,"-",SUM(Y41:AF41)&amp;"-"&amp;SUM(AH41:AO41))</f>
        <v>-</v>
      </c>
      <c r="V41" s="7" t="str">
        <f aca="false">IF(COUNT(Y41:AF41)=0,"-",IF(SUM(AZ41:BG41)=0,TEXT(0,"0.0000"),TEXT(ROUND(SUM(AQ41:AX41)/SUM(AZ41:BG41),4),"0.0000")))</f>
        <v>-</v>
      </c>
      <c r="W41" s="7" t="str">
        <f aca="false">IF(H41="","-",IF(P41=0,TEXT(0,"0.0000"),TEXT(ROUND(O41/P41,4),"0.0000")))</f>
        <v>1.0095</v>
      </c>
      <c r="X41" s="13" t="str">
        <f aca="false">$C41</f>
        <v>Manguste Mordaci-Mangusteopoli ME</v>
      </c>
      <c r="Y41" s="14" t="str">
        <f aca="false">IF(AND($H41&lt;&gt;"",$H$36&lt;&gt;"",$H41&lt;&gt;$H$36,IFERROR(VLOOKUP($H41,areaCercaPuntiClassificaSquadra,3,FALSE()),-1)=IFERROR(VLOOKUP($H$36,areaCercaPuntiClassificaSquadra,3,FALSE()),-2)),SUMIFS('Calendario D'!$N$8:$N$110,'Calendario D'!$M$8:$M$110,$H41,'Calendario D'!$T$8:$T$110,$H$36)+SUMIFS('Calendario D'!$U$8:$U$110,'Calendario D'!$T$8:$T$110,$H41,'Calendario D'!$M$8:$M$110,$H$36),"-")</f>
        <v>-</v>
      </c>
      <c r="Z41" s="14" t="str">
        <f aca="false">IF(AND($H41&lt;&gt;"",$H$37&lt;&gt;"",$H41&lt;&gt;$H$37,IFERROR(VLOOKUP($H41,areaCercaPuntiClassificaSquadra,3,FALSE()),-1)=IFERROR(VLOOKUP($H$37,areaCercaPuntiClassificaSquadra,3,FALSE()),-2)),SUMIFS('Calendario D'!$N$8:$N$110,'Calendario D'!$M$8:$M$110,$H41,'Calendario D'!$T$8:$T$110,$H$37)+SUMIFS('Calendario D'!$U$8:$U$110,'Calendario D'!$T$8:$T$110,$H41,'Calendario D'!$M$8:$M$110,$H$37),"-")</f>
        <v>-</v>
      </c>
      <c r="AA41" s="14" t="str">
        <f aca="false">IF(AND($H41&lt;&gt;"",$H$38&lt;&gt;"",$H41&lt;&gt;$H$38,IFERROR(VLOOKUP($H41,areaCercaPuntiClassificaSquadra,3,FALSE()),-1)=IFERROR(VLOOKUP($H$38,areaCercaPuntiClassificaSquadra,3,FALSE()),-2)),SUMIFS('Calendario D'!$N$8:$N$110,'Calendario D'!$M$8:$M$110,$H41,'Calendario D'!$T$8:$T$110,$H$38)+SUMIFS('Calendario D'!$U$8:$U$110,'Calendario D'!$T$8:$T$110,$H41,'Calendario D'!$M$8:$M$110,$H$38),"-")</f>
        <v>-</v>
      </c>
      <c r="AB41" s="14" t="str">
        <f aca="false">IF(AND($H41&lt;&gt;"",$H$39&lt;&gt;"",$H41&lt;&gt;$H$39,IFERROR(VLOOKUP($H41,areaCercaPuntiClassificaSquadra,3,FALSE()),-1)=IFERROR(VLOOKUP($H$39,areaCercaPuntiClassificaSquadra,3,FALSE()),-2)),SUMIFS('Calendario D'!$N$8:$N$110,'Calendario D'!$M$8:$M$110,$H41,'Calendario D'!$T$8:$T$110,$H$39)+SUMIFS('Calendario D'!$U$8:$U$110,'Calendario D'!$T$8:$T$110,$H41,'Calendario D'!$M$8:$M$110,$H$39),"-")</f>
        <v>-</v>
      </c>
      <c r="AC41" s="14" t="str">
        <f aca="false">IF(AND($H41&lt;&gt;"",$H$40&lt;&gt;"",$H41&lt;&gt;$H$40,IFERROR(VLOOKUP($H41,areaCercaPuntiClassificaSquadra,3,FALSE()),-1)=IFERROR(VLOOKUP($H$40,areaCercaPuntiClassificaSquadra,3,FALSE()),-2)),SUMIFS('Calendario D'!$N$8:$N$110,'Calendario D'!$M$8:$M$110,$H41,'Calendario D'!$T$8:$T$110,$H$40)+SUMIFS('Calendario D'!$U$8:$U$110,'Calendario D'!$T$8:$T$110,$H41,'Calendario D'!$M$8:$M$110,$H$40),"-")</f>
        <v>-</v>
      </c>
      <c r="AD41" s="14" t="str">
        <f aca="false">IF(AND($H41&lt;&gt;"",$H$41&lt;&gt;"",$H41&lt;&gt;$H$41,IFERROR(VLOOKUP($H41,areaCercaPuntiClassificaSquadra,3,FALSE()),-1)=IFERROR(VLOOKUP($H$41,areaCercaPuntiClassificaSquadra,3,FALSE()),-2)),SUMIFS('Calendario D'!$N$8:$N$110,'Calendario D'!$M$8:$M$110,$H41,'Calendario D'!$T$8:$T$110,$H$41)+SUMIFS('Calendario D'!$U$8:$U$110,'Calendario D'!$T$8:$T$110,$H41,'Calendario D'!$M$8:$M$110,$H$41),"-")</f>
        <v>-</v>
      </c>
      <c r="AE41" s="14" t="str">
        <f aca="false">IF(AND($H41&lt;&gt;"",$H$42&lt;&gt;"",$H41&lt;&gt;$H$42,IFERROR(VLOOKUP($H41,areaCercaPuntiClassificaSquadra,3,FALSE()),-1)=IFERROR(VLOOKUP($H$42,areaCercaPuntiClassificaSquadra,3,FALSE()),-2)),SUMIFS('Calendario D'!$N$8:$N$110,'Calendario D'!$M$8:$M$110,$H41,'Calendario D'!$T$8:$T$110,$H$42)+SUMIFS('Calendario D'!$U$8:$U$110,'Calendario D'!$T$8:$T$110,$H41,'Calendario D'!$M$8:$M$110,$H$42),"-")</f>
        <v>-</v>
      </c>
      <c r="AF41" s="14" t="str">
        <f aca="false">IF(AND($H41&lt;&gt;"",$H$43&lt;&gt;"",$H41&lt;&gt;$H$43,IFERROR(VLOOKUP($H41,areaCercaPuntiClassificaSquadra,3,FALSE()),-1)=IFERROR(VLOOKUP($H$43,areaCercaPuntiClassificaSquadra,3,FALSE()),-2)),SUMIFS('Calendario D'!$N$8:$N$110,'Calendario D'!$M$8:$M$110,$H41,'Calendario D'!$T$8:$T$110,$H$43)+SUMIFS('Calendario D'!$U$8:$U$110,'Calendario D'!$T$8:$T$110,$H41,'Calendario D'!$M$8:$M$110,$H$43),"-")</f>
        <v>-</v>
      </c>
      <c r="AG41" s="13" t="str">
        <f aca="false">$C41</f>
        <v>Manguste Mordaci-Mangusteopoli ME</v>
      </c>
      <c r="AH41" s="14" t="str">
        <f aca="false">IF(AND($H41&lt;&gt;"",$H$36&lt;&gt;"",$H41&lt;&gt;$H$36,IFERROR(VLOOKUP($H41,areaCercaPuntiClassificaSquadra,3,FALSE()),-1)=IFERROR(VLOOKUP($H$36,areaCercaPuntiClassificaSquadra,3,FALSE()),-2)),SUMIFS('Calendario D'!$P$8:$P$110,'Calendario D'!$M$8:$M$110,$H41,'Calendario D'!$T$8:$T$110,$H$36)+SUMIFS('Calendario D'!$W$8:$W$110,'Calendario D'!$T$8:$T$110,$H41,'Calendario D'!$M$8:$M$110,$H$36)+SUMIFS('Calendario D'!$O$8:$O$110,'Calendario D'!$M$8:$M$110,$H41,'Calendario D'!$T$8:$T$110,$H$36)+SUMIFS('Calendario D'!$V$8:$V$110,'Calendario D'!$T$8:$T$110,$H41,'Calendario D'!$M$8:$M$110,$H$36),"-")</f>
        <v>-</v>
      </c>
      <c r="AI41" s="14" t="str">
        <f aca="false">IF(AND($H41&lt;&gt;"",$H$37&lt;&gt;"",$H41&lt;&gt;$H$37,IFERROR(VLOOKUP($H41,areaCercaPuntiClassificaSquadra,3,FALSE()),-1)=IFERROR(VLOOKUP($H$37,areaCercaPuntiClassificaSquadra,3,FALSE()),-2)),SUMIFS('Calendario D'!$P$8:$P$110,'Calendario D'!$M$8:$M$110,$H41,'Calendario D'!$T$8:$T$110,$H$37)+SUMIFS('Calendario D'!$W$8:$W$110,'Calendario D'!$T$8:$T$110,$H41,'Calendario D'!$M$8:$M$110,$H$37)+SUMIFS('Calendario D'!$O$8:$O$110,'Calendario D'!$M$8:$M$110,$H41,'Calendario D'!$T$8:$T$110,$H$37)+SUMIFS('Calendario D'!$V$8:$V$110,'Calendario D'!$T$8:$T$110,$H41,'Calendario D'!$M$8:$M$110,$H$37),"-")</f>
        <v>-</v>
      </c>
      <c r="AJ41" s="14" t="str">
        <f aca="false">IF(AND($H41&lt;&gt;"",$H$38&lt;&gt;"",$H41&lt;&gt;$H$38,IFERROR(VLOOKUP($H41,areaCercaPuntiClassificaSquadra,3,FALSE()),-1)=IFERROR(VLOOKUP($H$38,areaCercaPuntiClassificaSquadra,3,FALSE()),-2)),SUMIFS('Calendario D'!$P$8:$P$110,'Calendario D'!$M$8:$M$110,$H41,'Calendario D'!$T$8:$T$110,$H$38)+SUMIFS('Calendario D'!$W$8:$W$110,'Calendario D'!$T$8:$T$110,$H41,'Calendario D'!$M$8:$M$110,$H$38)+SUMIFS('Calendario D'!$O$8:$O$110,'Calendario D'!$M$8:$M$110,$H41,'Calendario D'!$T$8:$T$110,$H$38)+SUMIFS('Calendario D'!$V$8:$V$110,'Calendario D'!$T$8:$T$110,$H41,'Calendario D'!$M$8:$M$110,$H$38),"-")</f>
        <v>-</v>
      </c>
      <c r="AK41" s="14" t="str">
        <f aca="false">IF(AND($H41&lt;&gt;"",$H$39&lt;&gt;"",$H41&lt;&gt;$H$39,IFERROR(VLOOKUP($H41,areaCercaPuntiClassificaSquadra,3,FALSE()),-1)=IFERROR(VLOOKUP($H$39,areaCercaPuntiClassificaSquadra,3,FALSE()),-2)),SUMIFS('Calendario D'!$P$8:$P$110,'Calendario D'!$M$8:$M$110,$H41,'Calendario D'!$T$8:$T$110,$H$39)+SUMIFS('Calendario D'!$W$8:$W$110,'Calendario D'!$T$8:$T$110,$H41,'Calendario D'!$M$8:$M$110,$H$39)+SUMIFS('Calendario D'!$O$8:$O$110,'Calendario D'!$M$8:$M$110,$H41,'Calendario D'!$T$8:$T$110,$H$39)+SUMIFS('Calendario D'!$V$8:$V$110,'Calendario D'!$T$8:$T$110,$H41,'Calendario D'!$M$8:$M$110,$H$39),"-")</f>
        <v>-</v>
      </c>
      <c r="AL41" s="14" t="str">
        <f aca="false">IF(AND($H41&lt;&gt;"",$H$40&lt;&gt;"",$H41&lt;&gt;$H$40,IFERROR(VLOOKUP($H41,areaCercaPuntiClassificaSquadra,3,FALSE()),-1)=IFERROR(VLOOKUP($H$40,areaCercaPuntiClassificaSquadra,3,FALSE()),-2)),SUMIFS('Calendario D'!$P$8:$P$110,'Calendario D'!$M$8:$M$110,$H41,'Calendario D'!$T$8:$T$110,$H$40)+SUMIFS('Calendario D'!$W$8:$W$110,'Calendario D'!$T$8:$T$110,$H41,'Calendario D'!$M$8:$M$110,$H$40)+SUMIFS('Calendario D'!$O$8:$O$110,'Calendario D'!$M$8:$M$110,$H41,'Calendario D'!$T$8:$T$110,$H$40)+SUMIFS('Calendario D'!$V$8:$V$110,'Calendario D'!$T$8:$T$110,$H41,'Calendario D'!$M$8:$M$110,$H$40),"-")</f>
        <v>-</v>
      </c>
      <c r="AM41" s="14" t="str">
        <f aca="false">IF(AND($H41&lt;&gt;"",$H$41&lt;&gt;"",$H41&lt;&gt;$H$41,IFERROR(VLOOKUP($H41,areaCercaPuntiClassificaSquadra,3,FALSE()),-1)=IFERROR(VLOOKUP($H$41,areaCercaPuntiClassificaSquadra,3,FALSE()),-2)),SUMIFS('Calendario D'!$P$8:$P$110,'Calendario D'!$M$8:$M$110,$H41,'Calendario D'!$T$8:$T$110,$H$41)+SUMIFS('Calendario D'!$W$8:$W$110,'Calendario D'!$T$8:$T$110,$H41,'Calendario D'!$M$8:$M$110,$H$41)+SUMIFS('Calendario D'!$O$8:$O$110,'Calendario D'!$M$8:$M$110,$H41,'Calendario D'!$T$8:$T$110,$H$41)+SUMIFS('Calendario D'!$V$8:$V$110,'Calendario D'!$T$8:$T$110,$H41,'Calendario D'!$M$8:$M$110,$H$41),"-")</f>
        <v>-</v>
      </c>
      <c r="AN41" s="14" t="str">
        <f aca="false">IF(AND($H41&lt;&gt;"",$H$42&lt;&gt;"",$H41&lt;&gt;$H$42,IFERROR(VLOOKUP($H41,areaCercaPuntiClassificaSquadra,3,FALSE()),-1)=IFERROR(VLOOKUP($H$42,areaCercaPuntiClassificaSquadra,3,FALSE()),-2)),SUMIFS('Calendario D'!$P$8:$P$110,'Calendario D'!$M$8:$M$110,$H41,'Calendario D'!$T$8:$T$110,$H$42)+SUMIFS('Calendario D'!$W$8:$W$110,'Calendario D'!$T$8:$T$110,$H41,'Calendario D'!$M$8:$M$110,$H$42)+SUMIFS('Calendario D'!$O$8:$O$110,'Calendario D'!$M$8:$M$110,$H41,'Calendario D'!$T$8:$T$110,$H$42)+SUMIFS('Calendario D'!$V$8:$V$110,'Calendario D'!$T$8:$T$110,$H41,'Calendario D'!$M$8:$M$110,$H$42),"-")</f>
        <v>-</v>
      </c>
      <c r="AO41" s="14" t="str">
        <f aca="false">IF(AND($H41&lt;&gt;"",$H$43&lt;&gt;"",$H41&lt;&gt;$H$43,IFERROR(VLOOKUP($H41,areaCercaPuntiClassificaSquadra,3,FALSE()),-1)=IFERROR(VLOOKUP($H$43,areaCercaPuntiClassificaSquadra,3,FALSE()),-2)),SUMIFS('Calendario D'!$P$8:$P$110,'Calendario D'!$M$8:$M$110,$H41,'Calendario D'!$T$8:$T$110,$H$43)+SUMIFS('Calendario D'!$W$8:$W$110,'Calendario D'!$T$8:$T$110,$H41,'Calendario D'!$M$8:$M$110,$H$43)+SUMIFS('Calendario D'!$O$8:$O$110,'Calendario D'!$M$8:$M$110,$H41,'Calendario D'!$T$8:$T$110,$H$43)+SUMIFS('Calendario D'!$V$8:$V$110,'Calendario D'!$T$8:$T$110,$H41,'Calendario D'!$M$8:$M$110,$H$43),"-")</f>
        <v>-</v>
      </c>
      <c r="AP41" s="13" t="str">
        <f aca="false">$C41</f>
        <v>Manguste Mordaci-Mangusteopoli ME</v>
      </c>
      <c r="AQ41" s="14" t="str">
        <f aca="false">IF(AND($H41&lt;&gt;"",$H$36&lt;&gt;"",$H41&lt;&gt;$H$36,IFERROR(VLOOKUP($H41,areaCercaPuntiClassificaSquadra,3,FALSE()),-1)=IFERROR(VLOOKUP($H$36,areaCercaPuntiClassificaSquadra,3,FALSE()),-2)),SUMIFS('Calendario D'!$Q$8:$Q$110,'Calendario D'!$M$8:$M$110,$H41,'Calendario D'!$T$8:$T$110,$H$36)+SUMIFS('Calendario D'!$X$8:$X$110,'Calendario D'!$T$8:$T$110,$H41,'Calendario D'!$M$8:$M$110,$H$36),"-")</f>
        <v>-</v>
      </c>
      <c r="AR41" s="14" t="str">
        <f aca="false">IF(AND($H41&lt;&gt;"",$H$37&lt;&gt;"",$H41&lt;&gt;$H$37,IFERROR(VLOOKUP($H41,areaCercaPuntiClassificaSquadra,3,FALSE()),-1)=IFERROR(VLOOKUP($H$37,areaCercaPuntiClassificaSquadra,3,FALSE()),-2)),SUMIFS('Calendario D'!$Q$8:$Q$110,'Calendario D'!$M$8:$M$110,$H41,'Calendario D'!$T$8:$T$110,$H$37)+SUMIFS('Calendario D'!$X$8:$X$110,'Calendario D'!$T$8:$T$110,$H41,'Calendario D'!$M$8:$M$110,$H$37),"-")</f>
        <v>-</v>
      </c>
      <c r="AS41" s="14" t="str">
        <f aca="false">IF(AND($H41&lt;&gt;"",$H$38&lt;&gt;"",$H41&lt;&gt;$H$38,IFERROR(VLOOKUP($H41,areaCercaPuntiClassificaSquadra,3,FALSE()),-1)=IFERROR(VLOOKUP($H$38,areaCercaPuntiClassificaSquadra,3,FALSE()),-2)),SUMIFS('Calendario D'!$Q$8:$Q$110,'Calendario D'!$M$8:$M$110,$H41,'Calendario D'!$T$8:$T$110,$H$38)+SUMIFS('Calendario D'!$X$8:$X$110,'Calendario D'!$T$8:$T$110,$H41,'Calendario D'!$M$8:$M$110,$H$38),"-")</f>
        <v>-</v>
      </c>
      <c r="AT41" s="14" t="str">
        <f aca="false">IF(AND($H41&lt;&gt;"",$H$39&lt;&gt;"",$H41&lt;&gt;$H$39,IFERROR(VLOOKUP($H41,areaCercaPuntiClassificaSquadra,3,FALSE()),-1)=IFERROR(VLOOKUP($H$39,areaCercaPuntiClassificaSquadra,3,FALSE()),-2)),SUMIFS('Calendario D'!$Q$8:$Q$110,'Calendario D'!$M$8:$M$110,$H41,'Calendario D'!$T$8:$T$110,$H$39)+SUMIFS('Calendario D'!$X$8:$X$110,'Calendario D'!$T$8:$T$110,$H41,'Calendario D'!$M$8:$M$110,$H$39),"-")</f>
        <v>-</v>
      </c>
      <c r="AU41" s="14" t="str">
        <f aca="false">IF(AND($H41&lt;&gt;"",$H$40&lt;&gt;"",$H41&lt;&gt;$H$40,IFERROR(VLOOKUP($H41,areaCercaPuntiClassificaSquadra,3,FALSE()),-1)=IFERROR(VLOOKUP($H$40,areaCercaPuntiClassificaSquadra,3,FALSE()),-2)),SUMIFS('Calendario D'!$Q$8:$Q$110,'Calendario D'!$M$8:$M$110,$H41,'Calendario D'!$T$8:$T$110,$H$40)+SUMIFS('Calendario D'!$X$8:$X$110,'Calendario D'!$T$8:$T$110,$H41,'Calendario D'!$M$8:$M$110,$H$40),"-")</f>
        <v>-</v>
      </c>
      <c r="AV41" s="14" t="str">
        <f aca="false">IF(AND($H41&lt;&gt;"",$H$41&lt;&gt;"",$H41&lt;&gt;$H$41,IFERROR(VLOOKUP($H41,areaCercaPuntiClassificaSquadra,3,FALSE()),-1)=IFERROR(VLOOKUP($H$41,areaCercaPuntiClassificaSquadra,3,FALSE()),-2)),SUMIFS('Calendario D'!$Q$8:$Q$110,'Calendario D'!$M$8:$M$110,$H41,'Calendario D'!$T$8:$T$110,$H$41)+SUMIFS('Calendario D'!$X$8:$X$110,'Calendario D'!$T$8:$T$110,$H41,'Calendario D'!$M$8:$M$110,$H$41),"-")</f>
        <v>-</v>
      </c>
      <c r="AW41" s="14" t="str">
        <f aca="false">IF(AND($H41&lt;&gt;"",$H$42&lt;&gt;"",$H41&lt;&gt;$H$42,IFERROR(VLOOKUP($H41,areaCercaPuntiClassificaSquadra,3,FALSE()),-1)=IFERROR(VLOOKUP($H$42,areaCercaPuntiClassificaSquadra,3,FALSE()),-2)),SUMIFS('Calendario D'!$Q$8:$Q$110,'Calendario D'!$M$8:$M$110,$H41,'Calendario D'!$T$8:$T$110,$H$42)+SUMIFS('Calendario D'!$X$8:$X$110,'Calendario D'!$T$8:$T$110,$H41,'Calendario D'!$M$8:$M$110,$H$42),"-")</f>
        <v>-</v>
      </c>
      <c r="AX41" s="14" t="str">
        <f aca="false">IF(AND($H41&lt;&gt;"",$H$43&lt;&gt;"",$H41&lt;&gt;$H$43,IFERROR(VLOOKUP($H41,areaCercaPuntiClassificaSquadra,3,FALSE()),-1)=IFERROR(VLOOKUP($H$43,areaCercaPuntiClassificaSquadra,3,FALSE()),-2)),SUMIFS('Calendario D'!$Q$8:$Q$110,'Calendario D'!$M$8:$M$110,$H41,'Calendario D'!$T$8:$T$110,$H$43)+SUMIFS('Calendario D'!$X$8:$X$110,'Calendario D'!$T$8:$T$110,$H41,'Calendario D'!$M$8:$M$110,$H$43),"-")</f>
        <v>-</v>
      </c>
      <c r="AY41" s="13" t="str">
        <f aca="false">$C41</f>
        <v>Manguste Mordaci-Mangusteopoli ME</v>
      </c>
      <c r="AZ41" s="14" t="str">
        <f aca="false">IF(AND($H41&lt;&gt;"",$H$36&lt;&gt;"",$H41&lt;&gt;$H$36,IFERROR(VLOOKUP($H41,areaCercaPuntiClassificaSquadra,3,FALSE()),-1)=IFERROR(VLOOKUP($H$36,areaCercaPuntiClassificaSquadra,3,FALSE()),-2)),SUMIFS('Calendario D'!$R$8:$R$110,'Calendario D'!$M$8:$M$110,$H41,'Calendario D'!$T$8:$T$110,$H$36)+SUMIFS('Calendario D'!$Y$8:$Y$110,'Calendario D'!$T$8:$T$110,$H41,'Calendario D'!$M$8:$M$110,$H$36),"-")</f>
        <v>-</v>
      </c>
      <c r="BA41" s="14" t="str">
        <f aca="false">IF(AND($H41&lt;&gt;"",$H$37&lt;&gt;"",$H41&lt;&gt;$H$37,IFERROR(VLOOKUP($H41,areaCercaPuntiClassificaSquadra,3,FALSE()),-1)=IFERROR(VLOOKUP($H$37,areaCercaPuntiClassificaSquadra,3,FALSE()),-2)),SUMIFS('Calendario D'!$R$8:$R$110,'Calendario D'!$M$8:$M$110,$H41,'Calendario D'!$T$8:$T$110,$H$37)+SUMIFS('Calendario D'!$Y$8:$Y$110,'Calendario D'!$T$8:$T$110,$H41,'Calendario D'!$M$8:$M$110,$H$37),"-")</f>
        <v>-</v>
      </c>
      <c r="BB41" s="14" t="str">
        <f aca="false">IF(AND($H41&lt;&gt;"",$H$38&lt;&gt;"",$H41&lt;&gt;$H$38,IFERROR(VLOOKUP($H41,areaCercaPuntiClassificaSquadra,3,FALSE()),-1)=IFERROR(VLOOKUP($H$38,areaCercaPuntiClassificaSquadra,3,FALSE()),-2)),SUMIFS('Calendario D'!$R$8:$R$110,'Calendario D'!$M$8:$M$110,$H41,'Calendario D'!$T$8:$T$110,$H$38)+SUMIFS('Calendario D'!$Y$8:$Y$110,'Calendario D'!$T$8:$T$110,$H41,'Calendario D'!$M$8:$M$110,$H$38),"-")</f>
        <v>-</v>
      </c>
      <c r="BC41" s="14" t="str">
        <f aca="false">IF(AND($H41&lt;&gt;"",$H$39&lt;&gt;"",$H41&lt;&gt;$H$39,IFERROR(VLOOKUP($H41,areaCercaPuntiClassificaSquadra,3,FALSE()),-1)=IFERROR(VLOOKUP($H$39,areaCercaPuntiClassificaSquadra,3,FALSE()),-2)),SUMIFS('Calendario D'!$R$8:$R$110,'Calendario D'!$M$8:$M$110,$H41,'Calendario D'!$T$8:$T$110,$H$39)+SUMIFS('Calendario D'!$Y$8:$Y$110,'Calendario D'!$T$8:$T$110,$H41,'Calendario D'!$M$8:$M$110,$H$39),"-")</f>
        <v>-</v>
      </c>
      <c r="BD41" s="14" t="str">
        <f aca="false">IF(AND($H41&lt;&gt;"",$H$40&lt;&gt;"",$H41&lt;&gt;$H$40,IFERROR(VLOOKUP($H41,areaCercaPuntiClassificaSquadra,3,FALSE()),-1)=IFERROR(VLOOKUP($H$40,areaCercaPuntiClassificaSquadra,3,FALSE()),-2)),SUMIFS('Calendario D'!$R$8:$R$110,'Calendario D'!$M$8:$M$110,$H41,'Calendario D'!$T$8:$T$110,$H$40)+SUMIFS('Calendario D'!$Y$8:$Y$110,'Calendario D'!$T$8:$T$110,$H41,'Calendario D'!$M$8:$M$110,$H$40),"-")</f>
        <v>-</v>
      </c>
      <c r="BE41" s="14" t="str">
        <f aca="false">IF(AND($H41&lt;&gt;"",$H$41&lt;&gt;"",$H41&lt;&gt;$H$41,IFERROR(VLOOKUP($H41,areaCercaPuntiClassificaSquadra,3,FALSE()),-1)=IFERROR(VLOOKUP($H$41,areaCercaPuntiClassificaSquadra,3,FALSE()),-2)),SUMIFS('Calendario D'!$R$8:$R$110,'Calendario D'!$M$8:$M$110,$H41,'Calendario D'!$T$8:$T$110,$H$41)+SUMIFS('Calendario D'!$Y$8:$Y$110,'Calendario D'!$T$8:$T$110,$H41,'Calendario D'!$M$8:$M$110,$H$41),"-")</f>
        <v>-</v>
      </c>
      <c r="BF41" s="14" t="str">
        <f aca="false">IF(AND($H41&lt;&gt;"",$H$42&lt;&gt;"",$H41&lt;&gt;$H$42,IFERROR(VLOOKUP($H41,areaCercaPuntiClassificaSquadra,3,FALSE()),-1)=IFERROR(VLOOKUP($H$42,areaCercaPuntiClassificaSquadra,3,FALSE()),-2)),SUMIFS('Calendario D'!$R$8:$R$110,'Calendario D'!$M$8:$M$110,$H41,'Calendario D'!$T$8:$T$110,$H$42)+SUMIFS('Calendario D'!$Y$8:$Y$110,'Calendario D'!$T$8:$T$110,$H41,'Calendario D'!$M$8:$M$110,$H$42),"-")</f>
        <v>-</v>
      </c>
      <c r="BG41" s="14" t="str">
        <f aca="false">IF(AND($H41&lt;&gt;"",$H$43&lt;&gt;"",$H41&lt;&gt;$H$43,IFERROR(VLOOKUP($H41,areaCercaPuntiClassificaSquadra,3,FALSE()),-1)=IFERROR(VLOOKUP($H$43,areaCercaPuntiClassificaSquadra,3,FALSE()),-2)),SUMIFS('Calendario D'!$R$8:$R$110,'Calendario D'!$M$8:$M$110,$H41,'Calendario D'!$T$8:$T$110,$H$43)+SUMIFS('Calendario D'!$Y$8:$Y$110,'Calendario D'!$T$8:$T$110,$H41,'Calendario D'!$M$8:$M$110,$H$43),"-")</f>
        <v>-</v>
      </c>
    </row>
    <row r="42" customFormat="false" ht="15" hidden="false" customHeight="false" outlineLevel="0" collapsed="false">
      <c r="B42" s="7" t="s">
        <v>111</v>
      </c>
      <c r="C42" s="8" t="s">
        <v>112</v>
      </c>
      <c r="D42" s="9"/>
      <c r="E42" s="19" t="s">
        <v>100</v>
      </c>
      <c r="G42" s="20" t="str">
        <f aca="false">IF($C42="","",$E42&amp;(COUNTIFS(I$12:I$75,"&gt;"&amp;I42,E$12:E$75,"="&amp;E42,C$12:C$75,"&lt;&gt;")+COUNTIFS(I$12:I$75,"="&amp;I42,H$12:H$75,"&lt;="&amp;H42,E$12:E$75,"="&amp;E42,C$12:C$75,"&lt;&gt;")))</f>
        <v>D7</v>
      </c>
      <c r="H42" s="12" t="str">
        <f aca="false">IF($C42="","",IFERROR(LEFT($C42,FIND("-",$C42)-1),$C42))</f>
        <v>Nutrie Nervose</v>
      </c>
      <c r="I42" s="7" t="str">
        <f aca="false">TEXT(1000000000+J42,"|0000000000|")&amp;TEXT(SUM(Y42:AF42),"0000000000|")&amp;IF(SUM(AZ42:BG42)=0,"0000000000|",TEXT(ROUND(SUM(AQ42:AX42)/SUM(AZ42:BG42),4)*100000,"0000000000|"))&amp;IF(P42=0,"0000000000|",TEXT(ROUND(O42/P42,4)*100000,"0000000000|"))</f>
        <v>|1000000009|0000000001|0000099190|0000075780|</v>
      </c>
      <c r="J42" s="20" t="n">
        <f aca="false">L42*constPuntiVittoria+M42*constPuntiSconfitta+N42*constPuntiForfait+IF(D42="",0,D42)</f>
        <v>9</v>
      </c>
      <c r="K42" s="7" t="n">
        <f aca="false">SUM(L42:N42)</f>
        <v>7</v>
      </c>
      <c r="L42" s="7" t="n">
        <f aca="false">IF($H42="",0,SUMIF('Calendario D'!$M$8:$M$110,$H42,'Calendario D'!$N$8:$N$110)+SUMIF('Calendario D'!$T$8:$T$110,$H42,'Calendario D'!$U$8:$U$110))</f>
        <v>1</v>
      </c>
      <c r="M42" s="7" t="n">
        <f aca="false">IF($H42="",0,SUMIF('Calendario D'!$M$8:$M$110,$H42,'Calendario D'!$P$8:$P$110)+SUMIF('Calendario D'!$T$8:$T$110,$H42,'Calendario D'!$W$8:$W$110))</f>
        <v>6</v>
      </c>
      <c r="N42" s="7" t="n">
        <f aca="false">IF($H42="",0,SUMIF('Calendario D'!$M$8:$M$110,$H42,'Calendario D'!$O$8:$O$110)+SUMIF('Calendario D'!$T$8:$T$110,$H42,'Calendario D'!$V$8:$V$110))</f>
        <v>0</v>
      </c>
      <c r="O42" s="7" t="n">
        <f aca="false">IF($H42="",0,SUMIF('Calendario D'!$M$8:$M$110,$H42,'Calendario D'!$Q$8:$Q$110)+SUMIF('Calendario D'!$T$8:$T$110,$H42,'Calendario D'!$X$8:$X$110))</f>
        <v>363</v>
      </c>
      <c r="P42" s="7" t="n">
        <f aca="false">IF($H42="",0,SUMIF('Calendario D'!$M$8:$M$110,$H42,'Calendario D'!$R$8:$R$110)+SUMIF('Calendario D'!$T$8:$T$110,$H42,'Calendario D'!$Y$8:$Y$110))</f>
        <v>479</v>
      </c>
      <c r="Q42" s="7" t="n">
        <f aca="false">IF($H42="",0,SUMIF('Calendario D'!$M$8:$M$110,$H42,'Calendario D'!$S$8:$S$110)+SUMIF('Calendario D'!$T$8:$T$110,$H42,'Calendario D'!$Z$8:$Z$110))</f>
        <v>-116</v>
      </c>
      <c r="R42" s="7" t="n">
        <f aca="false">IF(K42=0,0,ROUND(O42/K42,2))</f>
        <v>51.86</v>
      </c>
      <c r="S42" s="7" t="n">
        <f aca="false">IF(K42=0,0,ROUND(P42/K42,2))</f>
        <v>68.43</v>
      </c>
      <c r="T42" s="7" t="n">
        <f aca="false">IF(K42=0,0,ROUND(Q42/K42,2))</f>
        <v>-16.57</v>
      </c>
      <c r="U42" s="7" t="str">
        <f aca="false">IF(COUNT(Y42:AF42)=0,"-",SUM(Y42:AF42)&amp;"-"&amp;SUM(AH42:AO42))</f>
        <v>1-1</v>
      </c>
      <c r="V42" s="7" t="str">
        <f aca="false">IF(COUNT(Y42:AF42)=0,"-",IF(SUM(AZ42:BG42)=0,TEXT(0,"0.0000"),TEXT(ROUND(SUM(AQ42:AX42)/SUM(AZ42:BG42),4),"0.0000")))</f>
        <v>0.9919</v>
      </c>
      <c r="W42" s="7" t="str">
        <f aca="false">IF(H42="","-",IF(P42=0,TEXT(0,"0.0000"),TEXT(ROUND(O42/P42,4),"0.0000")))</f>
        <v>0.7578</v>
      </c>
      <c r="X42" s="13" t="str">
        <f aca="false">$C42</f>
        <v>Nutrie Nervose-Nutrieopoli NE</v>
      </c>
      <c r="Y42" s="14" t="str">
        <f aca="false">IF(AND($H42&lt;&gt;"",$H$36&lt;&gt;"",$H42&lt;&gt;$H$36,IFERROR(VLOOKUP($H42,areaCercaPuntiClassificaSquadra,3,FALSE()),-1)=IFERROR(VLOOKUP($H$36,areaCercaPuntiClassificaSquadra,3,FALSE()),-2)),SUMIFS('Calendario D'!$N$8:$N$110,'Calendario D'!$M$8:$M$110,$H42,'Calendario D'!$T$8:$T$110,$H$36)+SUMIFS('Calendario D'!$U$8:$U$110,'Calendario D'!$T$8:$T$110,$H42,'Calendario D'!$M$8:$M$110,$H$36),"-")</f>
        <v>-</v>
      </c>
      <c r="Z42" s="14" t="str">
        <f aca="false">IF(AND($H42&lt;&gt;"",$H$37&lt;&gt;"",$H42&lt;&gt;$H$37,IFERROR(VLOOKUP($H42,areaCercaPuntiClassificaSquadra,3,FALSE()),-1)=IFERROR(VLOOKUP($H$37,areaCercaPuntiClassificaSquadra,3,FALSE()),-2)),SUMIFS('Calendario D'!$N$8:$N$110,'Calendario D'!$M$8:$M$110,$H42,'Calendario D'!$T$8:$T$110,$H$37)+SUMIFS('Calendario D'!$U$8:$U$110,'Calendario D'!$T$8:$T$110,$H42,'Calendario D'!$M$8:$M$110,$H$37),"-")</f>
        <v>-</v>
      </c>
      <c r="AA42" s="14" t="n">
        <f aca="false">IF(AND($H42&lt;&gt;"",$H$38&lt;&gt;"",$H42&lt;&gt;$H$38,IFERROR(VLOOKUP($H42,areaCercaPuntiClassificaSquadra,3,FALSE()),-1)=IFERROR(VLOOKUP($H$38,areaCercaPuntiClassificaSquadra,3,FALSE()),-2)),SUMIFS('Calendario D'!$N$8:$N$110,'Calendario D'!$M$8:$M$110,$H42,'Calendario D'!$T$8:$T$110,$H$38)+SUMIFS('Calendario D'!$U$8:$U$110,'Calendario D'!$T$8:$T$110,$H42,'Calendario D'!$M$8:$M$110,$H$38),"-")</f>
        <v>0</v>
      </c>
      <c r="AB42" s="14" t="str">
        <f aca="false">IF(AND($H42&lt;&gt;"",$H$39&lt;&gt;"",$H42&lt;&gt;$H$39,IFERROR(VLOOKUP($H42,areaCercaPuntiClassificaSquadra,3,FALSE()),-1)=IFERROR(VLOOKUP($H$39,areaCercaPuntiClassificaSquadra,3,FALSE()),-2)),SUMIFS('Calendario D'!$N$8:$N$110,'Calendario D'!$M$8:$M$110,$H42,'Calendario D'!$T$8:$T$110,$H$39)+SUMIFS('Calendario D'!$U$8:$U$110,'Calendario D'!$T$8:$T$110,$H42,'Calendario D'!$M$8:$M$110,$H$39),"-")</f>
        <v>-</v>
      </c>
      <c r="AC42" s="14" t="str">
        <f aca="false">IF(AND($H42&lt;&gt;"",$H$40&lt;&gt;"",$H42&lt;&gt;$H$40,IFERROR(VLOOKUP($H42,areaCercaPuntiClassificaSquadra,3,FALSE()),-1)=IFERROR(VLOOKUP($H$40,areaCercaPuntiClassificaSquadra,3,FALSE()),-2)),SUMIFS('Calendario D'!$N$8:$N$110,'Calendario D'!$M$8:$M$110,$H42,'Calendario D'!$T$8:$T$110,$H$40)+SUMIFS('Calendario D'!$U$8:$U$110,'Calendario D'!$T$8:$T$110,$H42,'Calendario D'!$M$8:$M$110,$H$40),"-")</f>
        <v>-</v>
      </c>
      <c r="AD42" s="14" t="str">
        <f aca="false">IF(AND($H42&lt;&gt;"",$H$41&lt;&gt;"",$H42&lt;&gt;$H$41,IFERROR(VLOOKUP($H42,areaCercaPuntiClassificaSquadra,3,FALSE()),-1)=IFERROR(VLOOKUP($H$41,areaCercaPuntiClassificaSquadra,3,FALSE()),-2)),SUMIFS('Calendario D'!$N$8:$N$110,'Calendario D'!$M$8:$M$110,$H42,'Calendario D'!$T$8:$T$110,$H$41)+SUMIFS('Calendario D'!$U$8:$U$110,'Calendario D'!$T$8:$T$110,$H42,'Calendario D'!$M$8:$M$110,$H$41),"-")</f>
        <v>-</v>
      </c>
      <c r="AE42" s="14" t="str">
        <f aca="false">IF(AND($H42&lt;&gt;"",$H$42&lt;&gt;"",$H42&lt;&gt;$H$42,IFERROR(VLOOKUP($H42,areaCercaPuntiClassificaSquadra,3,FALSE()),-1)=IFERROR(VLOOKUP($H$42,areaCercaPuntiClassificaSquadra,3,FALSE()),-2)),SUMIFS('Calendario D'!$N$8:$N$110,'Calendario D'!$M$8:$M$110,$H42,'Calendario D'!$T$8:$T$110,$H$42)+SUMIFS('Calendario D'!$U$8:$U$110,'Calendario D'!$T$8:$T$110,$H42,'Calendario D'!$M$8:$M$110,$H$42),"-")</f>
        <v>-</v>
      </c>
      <c r="AF42" s="14" t="n">
        <f aca="false">IF(AND($H42&lt;&gt;"",$H$43&lt;&gt;"",$H42&lt;&gt;$H$43,IFERROR(VLOOKUP($H42,areaCercaPuntiClassificaSquadra,3,FALSE()),-1)=IFERROR(VLOOKUP($H$43,areaCercaPuntiClassificaSquadra,3,FALSE()),-2)),SUMIFS('Calendario D'!$N$8:$N$110,'Calendario D'!$M$8:$M$110,$H42,'Calendario D'!$T$8:$T$110,$H$43)+SUMIFS('Calendario D'!$U$8:$U$110,'Calendario D'!$T$8:$T$110,$H42,'Calendario D'!$M$8:$M$110,$H$43),"-")</f>
        <v>1</v>
      </c>
      <c r="AG42" s="13" t="str">
        <f aca="false">$C42</f>
        <v>Nutrie Nervose-Nutrieopoli NE</v>
      </c>
      <c r="AH42" s="14" t="str">
        <f aca="false">IF(AND($H42&lt;&gt;"",$H$36&lt;&gt;"",$H42&lt;&gt;$H$36,IFERROR(VLOOKUP($H42,areaCercaPuntiClassificaSquadra,3,FALSE()),-1)=IFERROR(VLOOKUP($H$36,areaCercaPuntiClassificaSquadra,3,FALSE()),-2)),SUMIFS('Calendario D'!$P$8:$P$110,'Calendario D'!$M$8:$M$110,$H42,'Calendario D'!$T$8:$T$110,$H$36)+SUMIFS('Calendario D'!$W$8:$W$110,'Calendario D'!$T$8:$T$110,$H42,'Calendario D'!$M$8:$M$110,$H$36)+SUMIFS('Calendario D'!$O$8:$O$110,'Calendario D'!$M$8:$M$110,$H42,'Calendario D'!$T$8:$T$110,$H$36)+SUMIFS('Calendario D'!$V$8:$V$110,'Calendario D'!$T$8:$T$110,$H42,'Calendario D'!$M$8:$M$110,$H$36),"-")</f>
        <v>-</v>
      </c>
      <c r="AI42" s="14" t="str">
        <f aca="false">IF(AND($H42&lt;&gt;"",$H$37&lt;&gt;"",$H42&lt;&gt;$H$37,IFERROR(VLOOKUP($H42,areaCercaPuntiClassificaSquadra,3,FALSE()),-1)=IFERROR(VLOOKUP($H$37,areaCercaPuntiClassificaSquadra,3,FALSE()),-2)),SUMIFS('Calendario D'!$P$8:$P$110,'Calendario D'!$M$8:$M$110,$H42,'Calendario D'!$T$8:$T$110,$H$37)+SUMIFS('Calendario D'!$W$8:$W$110,'Calendario D'!$T$8:$T$110,$H42,'Calendario D'!$M$8:$M$110,$H$37)+SUMIFS('Calendario D'!$O$8:$O$110,'Calendario D'!$M$8:$M$110,$H42,'Calendario D'!$T$8:$T$110,$H$37)+SUMIFS('Calendario D'!$V$8:$V$110,'Calendario D'!$T$8:$T$110,$H42,'Calendario D'!$M$8:$M$110,$H$37),"-")</f>
        <v>-</v>
      </c>
      <c r="AJ42" s="14" t="n">
        <f aca="false">IF(AND($H42&lt;&gt;"",$H$38&lt;&gt;"",$H42&lt;&gt;$H$38,IFERROR(VLOOKUP($H42,areaCercaPuntiClassificaSquadra,3,FALSE()),-1)=IFERROR(VLOOKUP($H$38,areaCercaPuntiClassificaSquadra,3,FALSE()),-2)),SUMIFS('Calendario D'!$P$8:$P$110,'Calendario D'!$M$8:$M$110,$H42,'Calendario D'!$T$8:$T$110,$H$38)+SUMIFS('Calendario D'!$W$8:$W$110,'Calendario D'!$T$8:$T$110,$H42,'Calendario D'!$M$8:$M$110,$H$38)+SUMIFS('Calendario D'!$O$8:$O$110,'Calendario D'!$M$8:$M$110,$H42,'Calendario D'!$T$8:$T$110,$H$38)+SUMIFS('Calendario D'!$V$8:$V$110,'Calendario D'!$T$8:$T$110,$H42,'Calendario D'!$M$8:$M$110,$H$38),"-")</f>
        <v>1</v>
      </c>
      <c r="AK42" s="14" t="str">
        <f aca="false">IF(AND($H42&lt;&gt;"",$H$39&lt;&gt;"",$H42&lt;&gt;$H$39,IFERROR(VLOOKUP($H42,areaCercaPuntiClassificaSquadra,3,FALSE()),-1)=IFERROR(VLOOKUP($H$39,areaCercaPuntiClassificaSquadra,3,FALSE()),-2)),SUMIFS('Calendario D'!$P$8:$P$110,'Calendario D'!$M$8:$M$110,$H42,'Calendario D'!$T$8:$T$110,$H$39)+SUMIFS('Calendario D'!$W$8:$W$110,'Calendario D'!$T$8:$T$110,$H42,'Calendario D'!$M$8:$M$110,$H$39)+SUMIFS('Calendario D'!$O$8:$O$110,'Calendario D'!$M$8:$M$110,$H42,'Calendario D'!$T$8:$T$110,$H$39)+SUMIFS('Calendario D'!$V$8:$V$110,'Calendario D'!$T$8:$T$110,$H42,'Calendario D'!$M$8:$M$110,$H$39),"-")</f>
        <v>-</v>
      </c>
      <c r="AL42" s="14" t="str">
        <f aca="false">IF(AND($H42&lt;&gt;"",$H$40&lt;&gt;"",$H42&lt;&gt;$H$40,IFERROR(VLOOKUP($H42,areaCercaPuntiClassificaSquadra,3,FALSE()),-1)=IFERROR(VLOOKUP($H$40,areaCercaPuntiClassificaSquadra,3,FALSE()),-2)),SUMIFS('Calendario D'!$P$8:$P$110,'Calendario D'!$M$8:$M$110,$H42,'Calendario D'!$T$8:$T$110,$H$40)+SUMIFS('Calendario D'!$W$8:$W$110,'Calendario D'!$T$8:$T$110,$H42,'Calendario D'!$M$8:$M$110,$H$40)+SUMIFS('Calendario D'!$O$8:$O$110,'Calendario D'!$M$8:$M$110,$H42,'Calendario D'!$T$8:$T$110,$H$40)+SUMIFS('Calendario D'!$V$8:$V$110,'Calendario D'!$T$8:$T$110,$H42,'Calendario D'!$M$8:$M$110,$H$40),"-")</f>
        <v>-</v>
      </c>
      <c r="AM42" s="14" t="str">
        <f aca="false">IF(AND($H42&lt;&gt;"",$H$41&lt;&gt;"",$H42&lt;&gt;$H$41,IFERROR(VLOOKUP($H42,areaCercaPuntiClassificaSquadra,3,FALSE()),-1)=IFERROR(VLOOKUP($H$41,areaCercaPuntiClassificaSquadra,3,FALSE()),-2)),SUMIFS('Calendario D'!$P$8:$P$110,'Calendario D'!$M$8:$M$110,$H42,'Calendario D'!$T$8:$T$110,$H$41)+SUMIFS('Calendario D'!$W$8:$W$110,'Calendario D'!$T$8:$T$110,$H42,'Calendario D'!$M$8:$M$110,$H$41)+SUMIFS('Calendario D'!$O$8:$O$110,'Calendario D'!$M$8:$M$110,$H42,'Calendario D'!$T$8:$T$110,$H$41)+SUMIFS('Calendario D'!$V$8:$V$110,'Calendario D'!$T$8:$T$110,$H42,'Calendario D'!$M$8:$M$110,$H$41),"-")</f>
        <v>-</v>
      </c>
      <c r="AN42" s="14" t="str">
        <f aca="false">IF(AND($H42&lt;&gt;"",$H$42&lt;&gt;"",$H42&lt;&gt;$H$42,IFERROR(VLOOKUP($H42,areaCercaPuntiClassificaSquadra,3,FALSE()),-1)=IFERROR(VLOOKUP($H$42,areaCercaPuntiClassificaSquadra,3,FALSE()),-2)),SUMIFS('Calendario D'!$P$8:$P$110,'Calendario D'!$M$8:$M$110,$H42,'Calendario D'!$T$8:$T$110,$H$42)+SUMIFS('Calendario D'!$W$8:$W$110,'Calendario D'!$T$8:$T$110,$H42,'Calendario D'!$M$8:$M$110,$H$42)+SUMIFS('Calendario D'!$O$8:$O$110,'Calendario D'!$M$8:$M$110,$H42,'Calendario D'!$T$8:$T$110,$H$42)+SUMIFS('Calendario D'!$V$8:$V$110,'Calendario D'!$T$8:$T$110,$H42,'Calendario D'!$M$8:$M$110,$H$42),"-")</f>
        <v>-</v>
      </c>
      <c r="AO42" s="14" t="n">
        <f aca="false">IF(AND($H42&lt;&gt;"",$H$43&lt;&gt;"",$H42&lt;&gt;$H$43,IFERROR(VLOOKUP($H42,areaCercaPuntiClassificaSquadra,3,FALSE()),-1)=IFERROR(VLOOKUP($H$43,areaCercaPuntiClassificaSquadra,3,FALSE()),-2)),SUMIFS('Calendario D'!$P$8:$P$110,'Calendario D'!$M$8:$M$110,$H42,'Calendario D'!$T$8:$T$110,$H$43)+SUMIFS('Calendario D'!$W$8:$W$110,'Calendario D'!$T$8:$T$110,$H42,'Calendario D'!$M$8:$M$110,$H$43)+SUMIFS('Calendario D'!$O$8:$O$110,'Calendario D'!$M$8:$M$110,$H42,'Calendario D'!$T$8:$T$110,$H$43)+SUMIFS('Calendario D'!$V$8:$V$110,'Calendario D'!$T$8:$T$110,$H42,'Calendario D'!$M$8:$M$110,$H$43),"-")</f>
        <v>0</v>
      </c>
      <c r="AP42" s="13" t="str">
        <f aca="false">$C42</f>
        <v>Nutrie Nervose-Nutrieopoli NE</v>
      </c>
      <c r="AQ42" s="14" t="str">
        <f aca="false">IF(AND($H42&lt;&gt;"",$H$36&lt;&gt;"",$H42&lt;&gt;$H$36,IFERROR(VLOOKUP($H42,areaCercaPuntiClassificaSquadra,3,FALSE()),-1)=IFERROR(VLOOKUP($H$36,areaCercaPuntiClassificaSquadra,3,FALSE()),-2)),SUMIFS('Calendario D'!$Q$8:$Q$110,'Calendario D'!$M$8:$M$110,$H42,'Calendario D'!$T$8:$T$110,$H$36)+SUMIFS('Calendario D'!$X$8:$X$110,'Calendario D'!$T$8:$T$110,$H42,'Calendario D'!$M$8:$M$110,$H$36),"-")</f>
        <v>-</v>
      </c>
      <c r="AR42" s="14" t="str">
        <f aca="false">IF(AND($H42&lt;&gt;"",$H$37&lt;&gt;"",$H42&lt;&gt;$H$37,IFERROR(VLOOKUP($H42,areaCercaPuntiClassificaSquadra,3,FALSE()),-1)=IFERROR(VLOOKUP($H$37,areaCercaPuntiClassificaSquadra,3,FALSE()),-2)),SUMIFS('Calendario D'!$Q$8:$Q$110,'Calendario D'!$M$8:$M$110,$H42,'Calendario D'!$T$8:$T$110,$H$37)+SUMIFS('Calendario D'!$X$8:$X$110,'Calendario D'!$T$8:$T$110,$H42,'Calendario D'!$M$8:$M$110,$H$37),"-")</f>
        <v>-</v>
      </c>
      <c r="AS42" s="14" t="n">
        <f aca="false">IF(AND($H42&lt;&gt;"",$H$38&lt;&gt;"",$H42&lt;&gt;$H$38,IFERROR(VLOOKUP($H42,areaCercaPuntiClassificaSquadra,3,FALSE()),-1)=IFERROR(VLOOKUP($H$38,areaCercaPuntiClassificaSquadra,3,FALSE()),-2)),SUMIFS('Calendario D'!$Q$8:$Q$110,'Calendario D'!$M$8:$M$110,$H42,'Calendario D'!$T$8:$T$110,$H$38)+SUMIFS('Calendario D'!$X$8:$X$110,'Calendario D'!$T$8:$T$110,$H42,'Calendario D'!$M$8:$M$110,$H$38),"-")</f>
        <v>61</v>
      </c>
      <c r="AT42" s="14" t="str">
        <f aca="false">IF(AND($H42&lt;&gt;"",$H$39&lt;&gt;"",$H42&lt;&gt;$H$39,IFERROR(VLOOKUP($H42,areaCercaPuntiClassificaSquadra,3,FALSE()),-1)=IFERROR(VLOOKUP($H$39,areaCercaPuntiClassificaSquadra,3,FALSE()),-2)),SUMIFS('Calendario D'!$Q$8:$Q$110,'Calendario D'!$M$8:$M$110,$H42,'Calendario D'!$T$8:$T$110,$H$39)+SUMIFS('Calendario D'!$X$8:$X$110,'Calendario D'!$T$8:$T$110,$H42,'Calendario D'!$M$8:$M$110,$H$39),"-")</f>
        <v>-</v>
      </c>
      <c r="AU42" s="14" t="str">
        <f aca="false">IF(AND($H42&lt;&gt;"",$H$40&lt;&gt;"",$H42&lt;&gt;$H$40,IFERROR(VLOOKUP($H42,areaCercaPuntiClassificaSquadra,3,FALSE()),-1)=IFERROR(VLOOKUP($H$40,areaCercaPuntiClassificaSquadra,3,FALSE()),-2)),SUMIFS('Calendario D'!$Q$8:$Q$110,'Calendario D'!$M$8:$M$110,$H42,'Calendario D'!$T$8:$T$110,$H$40)+SUMIFS('Calendario D'!$X$8:$X$110,'Calendario D'!$T$8:$T$110,$H42,'Calendario D'!$M$8:$M$110,$H$40),"-")</f>
        <v>-</v>
      </c>
      <c r="AV42" s="14" t="str">
        <f aca="false">IF(AND($H42&lt;&gt;"",$H$41&lt;&gt;"",$H42&lt;&gt;$H$41,IFERROR(VLOOKUP($H42,areaCercaPuntiClassificaSquadra,3,FALSE()),-1)=IFERROR(VLOOKUP($H$41,areaCercaPuntiClassificaSquadra,3,FALSE()),-2)),SUMIFS('Calendario D'!$Q$8:$Q$110,'Calendario D'!$M$8:$M$110,$H42,'Calendario D'!$T$8:$T$110,$H$41)+SUMIFS('Calendario D'!$X$8:$X$110,'Calendario D'!$T$8:$T$110,$H42,'Calendario D'!$M$8:$M$110,$H$41),"-")</f>
        <v>-</v>
      </c>
      <c r="AW42" s="14" t="str">
        <f aca="false">IF(AND($H42&lt;&gt;"",$H$42&lt;&gt;"",$H42&lt;&gt;$H$42,IFERROR(VLOOKUP($H42,areaCercaPuntiClassificaSquadra,3,FALSE()),-1)=IFERROR(VLOOKUP($H$42,areaCercaPuntiClassificaSquadra,3,FALSE()),-2)),SUMIFS('Calendario D'!$Q$8:$Q$110,'Calendario D'!$M$8:$M$110,$H42,'Calendario D'!$T$8:$T$110,$H$42)+SUMIFS('Calendario D'!$X$8:$X$110,'Calendario D'!$T$8:$T$110,$H42,'Calendario D'!$M$8:$M$110,$H$42),"-")</f>
        <v>-</v>
      </c>
      <c r="AX42" s="14" t="n">
        <f aca="false">IF(AND($H42&lt;&gt;"",$H$43&lt;&gt;"",$H42&lt;&gt;$H$43,IFERROR(VLOOKUP($H42,areaCercaPuntiClassificaSquadra,3,FALSE()),-1)=IFERROR(VLOOKUP($H$43,areaCercaPuntiClassificaSquadra,3,FALSE()),-2)),SUMIFS('Calendario D'!$Q$8:$Q$110,'Calendario D'!$M$8:$M$110,$H42,'Calendario D'!$T$8:$T$110,$H$43)+SUMIFS('Calendario D'!$X$8:$X$110,'Calendario D'!$T$8:$T$110,$H42,'Calendario D'!$M$8:$M$110,$H$43),"-")</f>
        <v>61</v>
      </c>
      <c r="AY42" s="13" t="str">
        <f aca="false">$C42</f>
        <v>Nutrie Nervose-Nutrieopoli NE</v>
      </c>
      <c r="AZ42" s="14" t="str">
        <f aca="false">IF(AND($H42&lt;&gt;"",$H$36&lt;&gt;"",$H42&lt;&gt;$H$36,IFERROR(VLOOKUP($H42,areaCercaPuntiClassificaSquadra,3,FALSE()),-1)=IFERROR(VLOOKUP($H$36,areaCercaPuntiClassificaSquadra,3,FALSE()),-2)),SUMIFS('Calendario D'!$R$8:$R$110,'Calendario D'!$M$8:$M$110,$H42,'Calendario D'!$T$8:$T$110,$H$36)+SUMIFS('Calendario D'!$Y$8:$Y$110,'Calendario D'!$T$8:$T$110,$H42,'Calendario D'!$M$8:$M$110,$H$36),"-")</f>
        <v>-</v>
      </c>
      <c r="BA42" s="14" t="str">
        <f aca="false">IF(AND($H42&lt;&gt;"",$H$37&lt;&gt;"",$H42&lt;&gt;$H$37,IFERROR(VLOOKUP($H42,areaCercaPuntiClassificaSquadra,3,FALSE()),-1)=IFERROR(VLOOKUP($H$37,areaCercaPuntiClassificaSquadra,3,FALSE()),-2)),SUMIFS('Calendario D'!$R$8:$R$110,'Calendario D'!$M$8:$M$110,$H42,'Calendario D'!$T$8:$T$110,$H$37)+SUMIFS('Calendario D'!$Y$8:$Y$110,'Calendario D'!$T$8:$T$110,$H42,'Calendario D'!$M$8:$M$110,$H$37),"-")</f>
        <v>-</v>
      </c>
      <c r="BB42" s="14" t="n">
        <f aca="false">IF(AND($H42&lt;&gt;"",$H$38&lt;&gt;"",$H42&lt;&gt;$H$38,IFERROR(VLOOKUP($H42,areaCercaPuntiClassificaSquadra,3,FALSE()),-1)=IFERROR(VLOOKUP($H$38,areaCercaPuntiClassificaSquadra,3,FALSE()),-2)),SUMIFS('Calendario D'!$R$8:$R$110,'Calendario D'!$M$8:$M$110,$H42,'Calendario D'!$T$8:$T$110,$H$38)+SUMIFS('Calendario D'!$Y$8:$Y$110,'Calendario D'!$T$8:$T$110,$H42,'Calendario D'!$M$8:$M$110,$H$38),"-")</f>
        <v>69</v>
      </c>
      <c r="BC42" s="14" t="str">
        <f aca="false">IF(AND($H42&lt;&gt;"",$H$39&lt;&gt;"",$H42&lt;&gt;$H$39,IFERROR(VLOOKUP($H42,areaCercaPuntiClassificaSquadra,3,FALSE()),-1)=IFERROR(VLOOKUP($H$39,areaCercaPuntiClassificaSquadra,3,FALSE()),-2)),SUMIFS('Calendario D'!$R$8:$R$110,'Calendario D'!$M$8:$M$110,$H42,'Calendario D'!$T$8:$T$110,$H$39)+SUMIFS('Calendario D'!$Y$8:$Y$110,'Calendario D'!$T$8:$T$110,$H42,'Calendario D'!$M$8:$M$110,$H$39),"-")</f>
        <v>-</v>
      </c>
      <c r="BD42" s="14" t="str">
        <f aca="false">IF(AND($H42&lt;&gt;"",$H$40&lt;&gt;"",$H42&lt;&gt;$H$40,IFERROR(VLOOKUP($H42,areaCercaPuntiClassificaSquadra,3,FALSE()),-1)=IFERROR(VLOOKUP($H$40,areaCercaPuntiClassificaSquadra,3,FALSE()),-2)),SUMIFS('Calendario D'!$R$8:$R$110,'Calendario D'!$M$8:$M$110,$H42,'Calendario D'!$T$8:$T$110,$H$40)+SUMIFS('Calendario D'!$Y$8:$Y$110,'Calendario D'!$T$8:$T$110,$H42,'Calendario D'!$M$8:$M$110,$H$40),"-")</f>
        <v>-</v>
      </c>
      <c r="BE42" s="14" t="str">
        <f aca="false">IF(AND($H42&lt;&gt;"",$H$41&lt;&gt;"",$H42&lt;&gt;$H$41,IFERROR(VLOOKUP($H42,areaCercaPuntiClassificaSquadra,3,FALSE()),-1)=IFERROR(VLOOKUP($H$41,areaCercaPuntiClassificaSquadra,3,FALSE()),-2)),SUMIFS('Calendario D'!$R$8:$R$110,'Calendario D'!$M$8:$M$110,$H42,'Calendario D'!$T$8:$T$110,$H$41)+SUMIFS('Calendario D'!$Y$8:$Y$110,'Calendario D'!$T$8:$T$110,$H42,'Calendario D'!$M$8:$M$110,$H$41),"-")</f>
        <v>-</v>
      </c>
      <c r="BF42" s="14" t="str">
        <f aca="false">IF(AND($H42&lt;&gt;"",$H$42&lt;&gt;"",$H42&lt;&gt;$H$42,IFERROR(VLOOKUP($H42,areaCercaPuntiClassificaSquadra,3,FALSE()),-1)=IFERROR(VLOOKUP($H$42,areaCercaPuntiClassificaSquadra,3,FALSE()),-2)),SUMIFS('Calendario D'!$R$8:$R$110,'Calendario D'!$M$8:$M$110,$H42,'Calendario D'!$T$8:$T$110,$H$42)+SUMIFS('Calendario D'!$Y$8:$Y$110,'Calendario D'!$T$8:$T$110,$H42,'Calendario D'!$M$8:$M$110,$H$42),"-")</f>
        <v>-</v>
      </c>
      <c r="BG42" s="14" t="n">
        <f aca="false">IF(AND($H42&lt;&gt;"",$H$43&lt;&gt;"",$H42&lt;&gt;$H$43,IFERROR(VLOOKUP($H42,areaCercaPuntiClassificaSquadra,3,FALSE()),-1)=IFERROR(VLOOKUP($H$43,areaCercaPuntiClassificaSquadra,3,FALSE()),-2)),SUMIFS('Calendario D'!$R$8:$R$110,'Calendario D'!$M$8:$M$110,$H42,'Calendario D'!$T$8:$T$110,$H$43)+SUMIFS('Calendario D'!$Y$8:$Y$110,'Calendario D'!$T$8:$T$110,$H42,'Calendario D'!$M$8:$M$110,$H$43),"-")</f>
        <v>54</v>
      </c>
    </row>
    <row r="43" customFormat="false" ht="15" hidden="false" customHeight="false" outlineLevel="0" collapsed="false">
      <c r="B43" s="7" t="s">
        <v>113</v>
      </c>
      <c r="C43" s="8" t="s">
        <v>114</v>
      </c>
      <c r="D43" s="9"/>
      <c r="E43" s="19" t="s">
        <v>100</v>
      </c>
      <c r="G43" s="20" t="str">
        <f aca="false">IF($C43="","",$E43&amp;(COUNTIFS(I$12:I$75,"&gt;"&amp;I43,E$12:E$75,"="&amp;E43,C$12:C$75,"&lt;&gt;")+COUNTIFS(I$12:I$75,"="&amp;I43,H$12:H$75,"&lt;="&amp;H43,E$12:E$75,"="&amp;E43,C$12:C$75,"&lt;&gt;")))</f>
        <v>D6</v>
      </c>
      <c r="H43" s="12" t="str">
        <f aca="false">IF($C43="","",IFERROR(LEFT($C43,FIND("-",$C43)-1),$C43))</f>
        <v>Otarie Ottimiste</v>
      </c>
      <c r="I43" s="7" t="str">
        <f aca="false">TEXT(1000000000+J43,"|0000000000|")&amp;TEXT(SUM(Y43:AF43),"0000000000|")&amp;IF(SUM(AZ43:BG43)=0,"0000000000|",TEXT(ROUND(SUM(AQ43:AX43)/SUM(AZ43:BG43),4)*100000,"0000000000|"))&amp;IF(P43=0,"0000000000|",TEXT(ROUND(O43/P43,4)*100000,"0000000000|"))</f>
        <v>|1000000009|0000000001|0000104310|0000080210|</v>
      </c>
      <c r="J43" s="20" t="n">
        <f aca="false">L43*constPuntiVittoria+M43*constPuntiSconfitta+N43*constPuntiForfait+IF(D43="",0,D43)</f>
        <v>9</v>
      </c>
      <c r="K43" s="7" t="n">
        <f aca="false">SUM(L43:N43)</f>
        <v>7</v>
      </c>
      <c r="L43" s="7" t="n">
        <f aca="false">IF($H43="",0,SUMIF('Calendario D'!$M$8:$M$110,$H43,'Calendario D'!$N$8:$N$110)+SUMIF('Calendario D'!$T$8:$T$110,$H43,'Calendario D'!$U$8:$U$110))</f>
        <v>1</v>
      </c>
      <c r="M43" s="7" t="n">
        <f aca="false">IF($H43="",0,SUMIF('Calendario D'!$M$8:$M$110,$H43,'Calendario D'!$P$8:$P$110)+SUMIF('Calendario D'!$T$8:$T$110,$H43,'Calendario D'!$W$8:$W$110))</f>
        <v>6</v>
      </c>
      <c r="N43" s="7" t="n">
        <f aca="false">IF($H43="",0,SUMIF('Calendario D'!$M$8:$M$110,$H43,'Calendario D'!$O$8:$O$110)+SUMIF('Calendario D'!$T$8:$T$110,$H43,'Calendario D'!$V$8:$V$110))</f>
        <v>0</v>
      </c>
      <c r="O43" s="7" t="n">
        <f aca="false">IF($H43="",0,SUMIF('Calendario D'!$M$8:$M$110,$H43,'Calendario D'!$Q$8:$Q$110)+SUMIF('Calendario D'!$T$8:$T$110,$H43,'Calendario D'!$X$8:$X$110))</f>
        <v>377</v>
      </c>
      <c r="P43" s="7" t="n">
        <f aca="false">IF($H43="",0,SUMIF('Calendario D'!$M$8:$M$110,$H43,'Calendario D'!$R$8:$R$110)+SUMIF('Calendario D'!$T$8:$T$110,$H43,'Calendario D'!$Y$8:$Y$110))</f>
        <v>470</v>
      </c>
      <c r="Q43" s="7" t="n">
        <f aca="false">IF($H43="",0,SUMIF('Calendario D'!$M$8:$M$110,$H43,'Calendario D'!$S$8:$S$110)+SUMIF('Calendario D'!$T$8:$T$110,$H43,'Calendario D'!$Z$8:$Z$110))</f>
        <v>-93</v>
      </c>
      <c r="R43" s="7" t="n">
        <f aca="false">IF(K43=0,0,ROUND(O43/K43,2))</f>
        <v>53.86</v>
      </c>
      <c r="S43" s="7" t="n">
        <f aca="false">IF(K43=0,0,ROUND(P43/K43,2))</f>
        <v>67.14</v>
      </c>
      <c r="T43" s="7" t="n">
        <f aca="false">IF(K43=0,0,ROUND(Q43/K43,2))</f>
        <v>-13.29</v>
      </c>
      <c r="U43" s="7" t="str">
        <f aca="false">IF(COUNT(Y43:AF43)=0,"-",SUM(Y43:AF43)&amp;"-"&amp;SUM(AH43:AO43))</f>
        <v>1-1</v>
      </c>
      <c r="V43" s="7" t="str">
        <f aca="false">IF(COUNT(Y43:AF43)=0,"-",IF(SUM(AZ43:BG43)=0,TEXT(0,"0.0000"),TEXT(ROUND(SUM(AQ43:AX43)/SUM(AZ43:BG43),4),"0.0000")))</f>
        <v>1.0431</v>
      </c>
      <c r="W43" s="7" t="str">
        <f aca="false">IF(H43="","-",IF(P43=0,TEXT(0,"0.0000"),TEXT(ROUND(O43/P43,4),"0.0000")))</f>
        <v>0.8021</v>
      </c>
      <c r="X43" s="13" t="str">
        <f aca="false">$C43</f>
        <v>Otarie Ottimiste-Otarieopoli OE</v>
      </c>
      <c r="Y43" s="14" t="str">
        <f aca="false">IF(AND($H43&lt;&gt;"",$H$36&lt;&gt;"",$H43&lt;&gt;$H$36,IFERROR(VLOOKUP($H43,areaCercaPuntiClassificaSquadra,3,FALSE()),-1)=IFERROR(VLOOKUP($H$36,areaCercaPuntiClassificaSquadra,3,FALSE()),-2)),SUMIFS('Calendario D'!$N$8:$N$110,'Calendario D'!$M$8:$M$110,$H43,'Calendario D'!$T$8:$T$110,$H$36)+SUMIFS('Calendario D'!$U$8:$U$110,'Calendario D'!$T$8:$T$110,$H43,'Calendario D'!$M$8:$M$110,$H$36),"-")</f>
        <v>-</v>
      </c>
      <c r="Z43" s="14" t="str">
        <f aca="false">IF(AND($H43&lt;&gt;"",$H$37&lt;&gt;"",$H43&lt;&gt;$H$37,IFERROR(VLOOKUP($H43,areaCercaPuntiClassificaSquadra,3,FALSE()),-1)=IFERROR(VLOOKUP($H$37,areaCercaPuntiClassificaSquadra,3,FALSE()),-2)),SUMIFS('Calendario D'!$N$8:$N$110,'Calendario D'!$M$8:$M$110,$H43,'Calendario D'!$T$8:$T$110,$H$37)+SUMIFS('Calendario D'!$U$8:$U$110,'Calendario D'!$T$8:$T$110,$H43,'Calendario D'!$M$8:$M$110,$H$37),"-")</f>
        <v>-</v>
      </c>
      <c r="AA43" s="14" t="n">
        <f aca="false">IF(AND($H43&lt;&gt;"",$H$38&lt;&gt;"",$H43&lt;&gt;$H$38,IFERROR(VLOOKUP($H43,areaCercaPuntiClassificaSquadra,3,FALSE()),-1)=IFERROR(VLOOKUP($H$38,areaCercaPuntiClassificaSquadra,3,FALSE()),-2)),SUMIFS('Calendario D'!$N$8:$N$110,'Calendario D'!$M$8:$M$110,$H43,'Calendario D'!$T$8:$T$110,$H$38)+SUMIFS('Calendario D'!$U$8:$U$110,'Calendario D'!$T$8:$T$110,$H43,'Calendario D'!$M$8:$M$110,$H$38),"-")</f>
        <v>1</v>
      </c>
      <c r="AB43" s="14" t="str">
        <f aca="false">IF(AND($H43&lt;&gt;"",$H$39&lt;&gt;"",$H43&lt;&gt;$H$39,IFERROR(VLOOKUP($H43,areaCercaPuntiClassificaSquadra,3,FALSE()),-1)=IFERROR(VLOOKUP($H$39,areaCercaPuntiClassificaSquadra,3,FALSE()),-2)),SUMIFS('Calendario D'!$N$8:$N$110,'Calendario D'!$M$8:$M$110,$H43,'Calendario D'!$T$8:$T$110,$H$39)+SUMIFS('Calendario D'!$U$8:$U$110,'Calendario D'!$T$8:$T$110,$H43,'Calendario D'!$M$8:$M$110,$H$39),"-")</f>
        <v>-</v>
      </c>
      <c r="AC43" s="14" t="str">
        <f aca="false">IF(AND($H43&lt;&gt;"",$H$40&lt;&gt;"",$H43&lt;&gt;$H$40,IFERROR(VLOOKUP($H43,areaCercaPuntiClassificaSquadra,3,FALSE()),-1)=IFERROR(VLOOKUP($H$40,areaCercaPuntiClassificaSquadra,3,FALSE()),-2)),SUMIFS('Calendario D'!$N$8:$N$110,'Calendario D'!$M$8:$M$110,$H43,'Calendario D'!$T$8:$T$110,$H$40)+SUMIFS('Calendario D'!$U$8:$U$110,'Calendario D'!$T$8:$T$110,$H43,'Calendario D'!$M$8:$M$110,$H$40),"-")</f>
        <v>-</v>
      </c>
      <c r="AD43" s="14" t="str">
        <f aca="false">IF(AND($H43&lt;&gt;"",$H$41&lt;&gt;"",$H43&lt;&gt;$H$41,IFERROR(VLOOKUP($H43,areaCercaPuntiClassificaSquadra,3,FALSE()),-1)=IFERROR(VLOOKUP($H$41,areaCercaPuntiClassificaSquadra,3,FALSE()),-2)),SUMIFS('Calendario D'!$N$8:$N$110,'Calendario D'!$M$8:$M$110,$H43,'Calendario D'!$T$8:$T$110,$H$41)+SUMIFS('Calendario D'!$U$8:$U$110,'Calendario D'!$T$8:$T$110,$H43,'Calendario D'!$M$8:$M$110,$H$41),"-")</f>
        <v>-</v>
      </c>
      <c r="AE43" s="14" t="n">
        <f aca="false">IF(AND($H43&lt;&gt;"",$H$42&lt;&gt;"",$H43&lt;&gt;$H$42,IFERROR(VLOOKUP($H43,areaCercaPuntiClassificaSquadra,3,FALSE()),-1)=IFERROR(VLOOKUP($H$42,areaCercaPuntiClassificaSquadra,3,FALSE()),-2)),SUMIFS('Calendario D'!$N$8:$N$110,'Calendario D'!$M$8:$M$110,$H43,'Calendario D'!$T$8:$T$110,$H$42)+SUMIFS('Calendario D'!$U$8:$U$110,'Calendario D'!$T$8:$T$110,$H43,'Calendario D'!$M$8:$M$110,$H$42),"-")</f>
        <v>0</v>
      </c>
      <c r="AF43" s="14" t="str">
        <f aca="false">IF(AND($H43&lt;&gt;"",$H$43&lt;&gt;"",$H43&lt;&gt;$H$43,IFERROR(VLOOKUP($H43,areaCercaPuntiClassificaSquadra,3,FALSE()),-1)=IFERROR(VLOOKUP($H$43,areaCercaPuntiClassificaSquadra,3,FALSE()),-2)),SUMIFS('Calendario D'!$N$8:$N$110,'Calendario D'!$M$8:$M$110,$H43,'Calendario D'!$T$8:$T$110,$H$43)+SUMIFS('Calendario D'!$U$8:$U$110,'Calendario D'!$T$8:$T$110,$H43,'Calendario D'!$M$8:$M$110,$H$43),"-")</f>
        <v>-</v>
      </c>
      <c r="AG43" s="13" t="str">
        <f aca="false">$C43</f>
        <v>Otarie Ottimiste-Otarieopoli OE</v>
      </c>
      <c r="AH43" s="14" t="str">
        <f aca="false">IF(AND($H43&lt;&gt;"",$H$36&lt;&gt;"",$H43&lt;&gt;$H$36,IFERROR(VLOOKUP($H43,areaCercaPuntiClassificaSquadra,3,FALSE()),-1)=IFERROR(VLOOKUP($H$36,areaCercaPuntiClassificaSquadra,3,FALSE()),-2)),SUMIFS('Calendario D'!$P$8:$P$110,'Calendario D'!$M$8:$M$110,$H43,'Calendario D'!$T$8:$T$110,$H$36)+SUMIFS('Calendario D'!$W$8:$W$110,'Calendario D'!$T$8:$T$110,$H43,'Calendario D'!$M$8:$M$110,$H$36)+SUMIFS('Calendario D'!$O$8:$O$110,'Calendario D'!$M$8:$M$110,$H43,'Calendario D'!$T$8:$T$110,$H$36)+SUMIFS('Calendario D'!$V$8:$V$110,'Calendario D'!$T$8:$T$110,$H43,'Calendario D'!$M$8:$M$110,$H$36),"-")</f>
        <v>-</v>
      </c>
      <c r="AI43" s="14" t="str">
        <f aca="false">IF(AND($H43&lt;&gt;"",$H$37&lt;&gt;"",$H43&lt;&gt;$H$37,IFERROR(VLOOKUP($H43,areaCercaPuntiClassificaSquadra,3,FALSE()),-1)=IFERROR(VLOOKUP($H$37,areaCercaPuntiClassificaSquadra,3,FALSE()),-2)),SUMIFS('Calendario D'!$P$8:$P$110,'Calendario D'!$M$8:$M$110,$H43,'Calendario D'!$T$8:$T$110,$H$37)+SUMIFS('Calendario D'!$W$8:$W$110,'Calendario D'!$T$8:$T$110,$H43,'Calendario D'!$M$8:$M$110,$H$37)+SUMIFS('Calendario D'!$O$8:$O$110,'Calendario D'!$M$8:$M$110,$H43,'Calendario D'!$T$8:$T$110,$H$37)+SUMIFS('Calendario D'!$V$8:$V$110,'Calendario D'!$T$8:$T$110,$H43,'Calendario D'!$M$8:$M$110,$H$37),"-")</f>
        <v>-</v>
      </c>
      <c r="AJ43" s="14" t="n">
        <f aca="false">IF(AND($H43&lt;&gt;"",$H$38&lt;&gt;"",$H43&lt;&gt;$H$38,IFERROR(VLOOKUP($H43,areaCercaPuntiClassificaSquadra,3,FALSE()),-1)=IFERROR(VLOOKUP($H$38,areaCercaPuntiClassificaSquadra,3,FALSE()),-2)),SUMIFS('Calendario D'!$P$8:$P$110,'Calendario D'!$M$8:$M$110,$H43,'Calendario D'!$T$8:$T$110,$H$38)+SUMIFS('Calendario D'!$W$8:$W$110,'Calendario D'!$T$8:$T$110,$H43,'Calendario D'!$M$8:$M$110,$H$38)+SUMIFS('Calendario D'!$O$8:$O$110,'Calendario D'!$M$8:$M$110,$H43,'Calendario D'!$T$8:$T$110,$H$38)+SUMIFS('Calendario D'!$V$8:$V$110,'Calendario D'!$T$8:$T$110,$H43,'Calendario D'!$M$8:$M$110,$H$38),"-")</f>
        <v>0</v>
      </c>
      <c r="AK43" s="14" t="str">
        <f aca="false">IF(AND($H43&lt;&gt;"",$H$39&lt;&gt;"",$H43&lt;&gt;$H$39,IFERROR(VLOOKUP($H43,areaCercaPuntiClassificaSquadra,3,FALSE()),-1)=IFERROR(VLOOKUP($H$39,areaCercaPuntiClassificaSquadra,3,FALSE()),-2)),SUMIFS('Calendario D'!$P$8:$P$110,'Calendario D'!$M$8:$M$110,$H43,'Calendario D'!$T$8:$T$110,$H$39)+SUMIFS('Calendario D'!$W$8:$W$110,'Calendario D'!$T$8:$T$110,$H43,'Calendario D'!$M$8:$M$110,$H$39)+SUMIFS('Calendario D'!$O$8:$O$110,'Calendario D'!$M$8:$M$110,$H43,'Calendario D'!$T$8:$T$110,$H$39)+SUMIFS('Calendario D'!$V$8:$V$110,'Calendario D'!$T$8:$T$110,$H43,'Calendario D'!$M$8:$M$110,$H$39),"-")</f>
        <v>-</v>
      </c>
      <c r="AL43" s="14" t="str">
        <f aca="false">IF(AND($H43&lt;&gt;"",$H$40&lt;&gt;"",$H43&lt;&gt;$H$40,IFERROR(VLOOKUP($H43,areaCercaPuntiClassificaSquadra,3,FALSE()),-1)=IFERROR(VLOOKUP($H$40,areaCercaPuntiClassificaSquadra,3,FALSE()),-2)),SUMIFS('Calendario D'!$P$8:$P$110,'Calendario D'!$M$8:$M$110,$H43,'Calendario D'!$T$8:$T$110,$H$40)+SUMIFS('Calendario D'!$W$8:$W$110,'Calendario D'!$T$8:$T$110,$H43,'Calendario D'!$M$8:$M$110,$H$40)+SUMIFS('Calendario D'!$O$8:$O$110,'Calendario D'!$M$8:$M$110,$H43,'Calendario D'!$T$8:$T$110,$H$40)+SUMIFS('Calendario D'!$V$8:$V$110,'Calendario D'!$T$8:$T$110,$H43,'Calendario D'!$M$8:$M$110,$H$40),"-")</f>
        <v>-</v>
      </c>
      <c r="AM43" s="14" t="str">
        <f aca="false">IF(AND($H43&lt;&gt;"",$H$41&lt;&gt;"",$H43&lt;&gt;$H$41,IFERROR(VLOOKUP($H43,areaCercaPuntiClassificaSquadra,3,FALSE()),-1)=IFERROR(VLOOKUP($H$41,areaCercaPuntiClassificaSquadra,3,FALSE()),-2)),SUMIFS('Calendario D'!$P$8:$P$110,'Calendario D'!$M$8:$M$110,$H43,'Calendario D'!$T$8:$T$110,$H$41)+SUMIFS('Calendario D'!$W$8:$W$110,'Calendario D'!$T$8:$T$110,$H43,'Calendario D'!$M$8:$M$110,$H$41)+SUMIFS('Calendario D'!$O$8:$O$110,'Calendario D'!$M$8:$M$110,$H43,'Calendario D'!$T$8:$T$110,$H$41)+SUMIFS('Calendario D'!$V$8:$V$110,'Calendario D'!$T$8:$T$110,$H43,'Calendario D'!$M$8:$M$110,$H$41),"-")</f>
        <v>-</v>
      </c>
      <c r="AN43" s="14" t="n">
        <f aca="false">IF(AND($H43&lt;&gt;"",$H$42&lt;&gt;"",$H43&lt;&gt;$H$42,IFERROR(VLOOKUP($H43,areaCercaPuntiClassificaSquadra,3,FALSE()),-1)=IFERROR(VLOOKUP($H$42,areaCercaPuntiClassificaSquadra,3,FALSE()),-2)),SUMIFS('Calendario D'!$P$8:$P$110,'Calendario D'!$M$8:$M$110,$H43,'Calendario D'!$T$8:$T$110,$H$42)+SUMIFS('Calendario D'!$W$8:$W$110,'Calendario D'!$T$8:$T$110,$H43,'Calendario D'!$M$8:$M$110,$H$42)+SUMIFS('Calendario D'!$O$8:$O$110,'Calendario D'!$M$8:$M$110,$H43,'Calendario D'!$T$8:$T$110,$H$42)+SUMIFS('Calendario D'!$V$8:$V$110,'Calendario D'!$T$8:$T$110,$H43,'Calendario D'!$M$8:$M$110,$H$42),"-")</f>
        <v>1</v>
      </c>
      <c r="AO43" s="14" t="str">
        <f aca="false">IF(AND($H43&lt;&gt;"",$H$43&lt;&gt;"",$H43&lt;&gt;$H$43,IFERROR(VLOOKUP($H43,areaCercaPuntiClassificaSquadra,3,FALSE()),-1)=IFERROR(VLOOKUP($H$43,areaCercaPuntiClassificaSquadra,3,FALSE()),-2)),SUMIFS('Calendario D'!$P$8:$P$110,'Calendario D'!$M$8:$M$110,$H43,'Calendario D'!$T$8:$T$110,$H$43)+SUMIFS('Calendario D'!$W$8:$W$110,'Calendario D'!$T$8:$T$110,$H43,'Calendario D'!$M$8:$M$110,$H$43)+SUMIFS('Calendario D'!$O$8:$O$110,'Calendario D'!$M$8:$M$110,$H43,'Calendario D'!$T$8:$T$110,$H$43)+SUMIFS('Calendario D'!$V$8:$V$110,'Calendario D'!$T$8:$T$110,$H43,'Calendario D'!$M$8:$M$110,$H$43),"-")</f>
        <v>-</v>
      </c>
      <c r="AP43" s="13" t="str">
        <f aca="false">$C43</f>
        <v>Otarie Ottimiste-Otarieopoli OE</v>
      </c>
      <c r="AQ43" s="14" t="str">
        <f aca="false">IF(AND($H43&lt;&gt;"",$H$36&lt;&gt;"",$H43&lt;&gt;$H$36,IFERROR(VLOOKUP($H43,areaCercaPuntiClassificaSquadra,3,FALSE()),-1)=IFERROR(VLOOKUP($H$36,areaCercaPuntiClassificaSquadra,3,FALSE()),-2)),SUMIFS('Calendario D'!$Q$8:$Q$110,'Calendario D'!$M$8:$M$110,$H43,'Calendario D'!$T$8:$T$110,$H$36)+SUMIFS('Calendario D'!$X$8:$X$110,'Calendario D'!$T$8:$T$110,$H43,'Calendario D'!$M$8:$M$110,$H$36),"-")</f>
        <v>-</v>
      </c>
      <c r="AR43" s="14" t="str">
        <f aca="false">IF(AND($H43&lt;&gt;"",$H$37&lt;&gt;"",$H43&lt;&gt;$H$37,IFERROR(VLOOKUP($H43,areaCercaPuntiClassificaSquadra,3,FALSE()),-1)=IFERROR(VLOOKUP($H$37,areaCercaPuntiClassificaSquadra,3,FALSE()),-2)),SUMIFS('Calendario D'!$Q$8:$Q$110,'Calendario D'!$M$8:$M$110,$H43,'Calendario D'!$T$8:$T$110,$H$37)+SUMIFS('Calendario D'!$X$8:$X$110,'Calendario D'!$T$8:$T$110,$H43,'Calendario D'!$M$8:$M$110,$H$37),"-")</f>
        <v>-</v>
      </c>
      <c r="AS43" s="14" t="n">
        <f aca="false">IF(AND($H43&lt;&gt;"",$H$38&lt;&gt;"",$H43&lt;&gt;$H$38,IFERROR(VLOOKUP($H43,areaCercaPuntiClassificaSquadra,3,FALSE()),-1)=IFERROR(VLOOKUP($H$38,areaCercaPuntiClassificaSquadra,3,FALSE()),-2)),SUMIFS('Calendario D'!$Q$8:$Q$110,'Calendario D'!$M$8:$M$110,$H43,'Calendario D'!$T$8:$T$110,$H$38)+SUMIFS('Calendario D'!$X$8:$X$110,'Calendario D'!$T$8:$T$110,$H43,'Calendario D'!$M$8:$M$110,$H$38),"-")</f>
        <v>67</v>
      </c>
      <c r="AT43" s="14" t="str">
        <f aca="false">IF(AND($H43&lt;&gt;"",$H$39&lt;&gt;"",$H43&lt;&gt;$H$39,IFERROR(VLOOKUP($H43,areaCercaPuntiClassificaSquadra,3,FALSE()),-1)=IFERROR(VLOOKUP($H$39,areaCercaPuntiClassificaSquadra,3,FALSE()),-2)),SUMIFS('Calendario D'!$Q$8:$Q$110,'Calendario D'!$M$8:$M$110,$H43,'Calendario D'!$T$8:$T$110,$H$39)+SUMIFS('Calendario D'!$X$8:$X$110,'Calendario D'!$T$8:$T$110,$H43,'Calendario D'!$M$8:$M$110,$H$39),"-")</f>
        <v>-</v>
      </c>
      <c r="AU43" s="14" t="str">
        <f aca="false">IF(AND($H43&lt;&gt;"",$H$40&lt;&gt;"",$H43&lt;&gt;$H$40,IFERROR(VLOOKUP($H43,areaCercaPuntiClassificaSquadra,3,FALSE()),-1)=IFERROR(VLOOKUP($H$40,areaCercaPuntiClassificaSquadra,3,FALSE()),-2)),SUMIFS('Calendario D'!$Q$8:$Q$110,'Calendario D'!$M$8:$M$110,$H43,'Calendario D'!$T$8:$T$110,$H$40)+SUMIFS('Calendario D'!$X$8:$X$110,'Calendario D'!$T$8:$T$110,$H43,'Calendario D'!$M$8:$M$110,$H$40),"-")</f>
        <v>-</v>
      </c>
      <c r="AV43" s="14" t="str">
        <f aca="false">IF(AND($H43&lt;&gt;"",$H$41&lt;&gt;"",$H43&lt;&gt;$H$41,IFERROR(VLOOKUP($H43,areaCercaPuntiClassificaSquadra,3,FALSE()),-1)=IFERROR(VLOOKUP($H$41,areaCercaPuntiClassificaSquadra,3,FALSE()),-2)),SUMIFS('Calendario D'!$Q$8:$Q$110,'Calendario D'!$M$8:$M$110,$H43,'Calendario D'!$T$8:$T$110,$H$41)+SUMIFS('Calendario D'!$X$8:$X$110,'Calendario D'!$T$8:$T$110,$H43,'Calendario D'!$M$8:$M$110,$H$41),"-")</f>
        <v>-</v>
      </c>
      <c r="AW43" s="14" t="n">
        <f aca="false">IF(AND($H43&lt;&gt;"",$H$42&lt;&gt;"",$H43&lt;&gt;$H$42,IFERROR(VLOOKUP($H43,areaCercaPuntiClassificaSquadra,3,FALSE()),-1)=IFERROR(VLOOKUP($H$42,areaCercaPuntiClassificaSquadra,3,FALSE()),-2)),SUMIFS('Calendario D'!$Q$8:$Q$110,'Calendario D'!$M$8:$M$110,$H43,'Calendario D'!$T$8:$T$110,$H$42)+SUMIFS('Calendario D'!$X$8:$X$110,'Calendario D'!$T$8:$T$110,$H43,'Calendario D'!$M$8:$M$110,$H$42),"-")</f>
        <v>54</v>
      </c>
      <c r="AX43" s="14" t="str">
        <f aca="false">IF(AND($H43&lt;&gt;"",$H$43&lt;&gt;"",$H43&lt;&gt;$H$43,IFERROR(VLOOKUP($H43,areaCercaPuntiClassificaSquadra,3,FALSE()),-1)=IFERROR(VLOOKUP($H$43,areaCercaPuntiClassificaSquadra,3,FALSE()),-2)),SUMIFS('Calendario D'!$Q$8:$Q$110,'Calendario D'!$M$8:$M$110,$H43,'Calendario D'!$T$8:$T$110,$H$43)+SUMIFS('Calendario D'!$X$8:$X$110,'Calendario D'!$T$8:$T$110,$H43,'Calendario D'!$M$8:$M$110,$H$43),"-")</f>
        <v>-</v>
      </c>
      <c r="AY43" s="13" t="str">
        <f aca="false">$C43</f>
        <v>Otarie Ottimiste-Otarieopoli OE</v>
      </c>
      <c r="AZ43" s="14" t="str">
        <f aca="false">IF(AND($H43&lt;&gt;"",$H$36&lt;&gt;"",$H43&lt;&gt;$H$36,IFERROR(VLOOKUP($H43,areaCercaPuntiClassificaSquadra,3,FALSE()),-1)=IFERROR(VLOOKUP($H$36,areaCercaPuntiClassificaSquadra,3,FALSE()),-2)),SUMIFS('Calendario D'!$R$8:$R$110,'Calendario D'!$M$8:$M$110,$H43,'Calendario D'!$T$8:$T$110,$H$36)+SUMIFS('Calendario D'!$Y$8:$Y$110,'Calendario D'!$T$8:$T$110,$H43,'Calendario D'!$M$8:$M$110,$H$36),"-")</f>
        <v>-</v>
      </c>
      <c r="BA43" s="14" t="str">
        <f aca="false">IF(AND($H43&lt;&gt;"",$H$37&lt;&gt;"",$H43&lt;&gt;$H$37,IFERROR(VLOOKUP($H43,areaCercaPuntiClassificaSquadra,3,FALSE()),-1)=IFERROR(VLOOKUP($H$37,areaCercaPuntiClassificaSquadra,3,FALSE()),-2)),SUMIFS('Calendario D'!$R$8:$R$110,'Calendario D'!$M$8:$M$110,$H43,'Calendario D'!$T$8:$T$110,$H$37)+SUMIFS('Calendario D'!$Y$8:$Y$110,'Calendario D'!$T$8:$T$110,$H43,'Calendario D'!$M$8:$M$110,$H$37),"-")</f>
        <v>-</v>
      </c>
      <c r="BB43" s="14" t="n">
        <f aca="false">IF(AND($H43&lt;&gt;"",$H$38&lt;&gt;"",$H43&lt;&gt;$H$38,IFERROR(VLOOKUP($H43,areaCercaPuntiClassificaSquadra,3,FALSE()),-1)=IFERROR(VLOOKUP($H$38,areaCercaPuntiClassificaSquadra,3,FALSE()),-2)),SUMIFS('Calendario D'!$R$8:$R$110,'Calendario D'!$M$8:$M$110,$H43,'Calendario D'!$T$8:$T$110,$H$38)+SUMIFS('Calendario D'!$Y$8:$Y$110,'Calendario D'!$T$8:$T$110,$H43,'Calendario D'!$M$8:$M$110,$H$38),"-")</f>
        <v>55</v>
      </c>
      <c r="BC43" s="14" t="str">
        <f aca="false">IF(AND($H43&lt;&gt;"",$H$39&lt;&gt;"",$H43&lt;&gt;$H$39,IFERROR(VLOOKUP($H43,areaCercaPuntiClassificaSquadra,3,FALSE()),-1)=IFERROR(VLOOKUP($H$39,areaCercaPuntiClassificaSquadra,3,FALSE()),-2)),SUMIFS('Calendario D'!$R$8:$R$110,'Calendario D'!$M$8:$M$110,$H43,'Calendario D'!$T$8:$T$110,$H$39)+SUMIFS('Calendario D'!$Y$8:$Y$110,'Calendario D'!$T$8:$T$110,$H43,'Calendario D'!$M$8:$M$110,$H$39),"-")</f>
        <v>-</v>
      </c>
      <c r="BD43" s="14" t="str">
        <f aca="false">IF(AND($H43&lt;&gt;"",$H$40&lt;&gt;"",$H43&lt;&gt;$H$40,IFERROR(VLOOKUP($H43,areaCercaPuntiClassificaSquadra,3,FALSE()),-1)=IFERROR(VLOOKUP($H$40,areaCercaPuntiClassificaSquadra,3,FALSE()),-2)),SUMIFS('Calendario D'!$R$8:$R$110,'Calendario D'!$M$8:$M$110,$H43,'Calendario D'!$T$8:$T$110,$H$40)+SUMIFS('Calendario D'!$Y$8:$Y$110,'Calendario D'!$T$8:$T$110,$H43,'Calendario D'!$M$8:$M$110,$H$40),"-")</f>
        <v>-</v>
      </c>
      <c r="BE43" s="14" t="str">
        <f aca="false">IF(AND($H43&lt;&gt;"",$H$41&lt;&gt;"",$H43&lt;&gt;$H$41,IFERROR(VLOOKUP($H43,areaCercaPuntiClassificaSquadra,3,FALSE()),-1)=IFERROR(VLOOKUP($H$41,areaCercaPuntiClassificaSquadra,3,FALSE()),-2)),SUMIFS('Calendario D'!$R$8:$R$110,'Calendario D'!$M$8:$M$110,$H43,'Calendario D'!$T$8:$T$110,$H$41)+SUMIFS('Calendario D'!$Y$8:$Y$110,'Calendario D'!$T$8:$T$110,$H43,'Calendario D'!$M$8:$M$110,$H$41),"-")</f>
        <v>-</v>
      </c>
      <c r="BF43" s="14" t="n">
        <f aca="false">IF(AND($H43&lt;&gt;"",$H$42&lt;&gt;"",$H43&lt;&gt;$H$42,IFERROR(VLOOKUP($H43,areaCercaPuntiClassificaSquadra,3,FALSE()),-1)=IFERROR(VLOOKUP($H$42,areaCercaPuntiClassificaSquadra,3,FALSE()),-2)),SUMIFS('Calendario D'!$R$8:$R$110,'Calendario D'!$M$8:$M$110,$H43,'Calendario D'!$T$8:$T$110,$H$42)+SUMIFS('Calendario D'!$Y$8:$Y$110,'Calendario D'!$T$8:$T$110,$H43,'Calendario D'!$M$8:$M$110,$H$42),"-")</f>
        <v>61</v>
      </c>
      <c r="BG43" s="14" t="str">
        <f aca="false">IF(AND($H43&lt;&gt;"",$H$43&lt;&gt;"",$H43&lt;&gt;$H$43,IFERROR(VLOOKUP($H43,areaCercaPuntiClassificaSquadra,3,FALSE()),-1)=IFERROR(VLOOKUP($H$43,areaCercaPuntiClassificaSquadra,3,FALSE()),-2)),SUMIFS('Calendario D'!$R$8:$R$110,'Calendario D'!$M$8:$M$110,$H43,'Calendario D'!$T$8:$T$110,$H$43)+SUMIFS('Calendario D'!$Y$8:$Y$110,'Calendario D'!$T$8:$T$110,$H43,'Calendario D'!$M$8:$M$110,$H$43),"-")</f>
        <v>-</v>
      </c>
    </row>
    <row r="44" customFormat="false" ht="15" hidden="false" customHeight="false" outlineLevel="0" collapsed="false">
      <c r="B44" s="7" t="s">
        <v>115</v>
      </c>
      <c r="C44" s="8" t="s">
        <v>116</v>
      </c>
      <c r="D44" s="9"/>
      <c r="E44" s="21" t="s">
        <v>117</v>
      </c>
      <c r="G44" s="22" t="str">
        <f aca="false">IF($C44="","",$E44&amp;(COUNTIFS(I$12:I$75,"&gt;"&amp;I44,E$12:E$75,"="&amp;E44,C$12:C$75,"&lt;&gt;")+COUNTIFS(I$12:I$75,"="&amp;I44,H$12:H$75,"&lt;="&amp;H44,E$12:E$75,"="&amp;E44,C$12:C$75,"&lt;&gt;")))</f>
        <v>E6</v>
      </c>
      <c r="H44" s="12" t="str">
        <f aca="false">IF($C44="","",IFERROR(LEFT($C44,FIND("-",$C44)-1),$C44))</f>
        <v>Pipistrelli Pensierosi</v>
      </c>
      <c r="I44" s="7" t="str">
        <f aca="false">TEXT(1000000000+J44,"|0000000000|")&amp;TEXT(SUM(Y44:AF44),"0000000000|")&amp;IF(SUM(AZ44:BG44)=0,"0000000000|",TEXT(ROUND(SUM(AQ44:AX44)/SUM(AZ44:BG44),4)*100000,"0000000000|"))&amp;IF(P44=0,"0000000000|",TEXT(ROUND(O44/P44,4)*100000,"0000000000|"))</f>
        <v>|1000000011|0000000000|0000000000|0000091770|</v>
      </c>
      <c r="J44" s="22" t="n">
        <f aca="false">L44*constPuntiVittoria+M44*constPuntiSconfitta+N44*constPuntiForfait+IF(D44="",0,D44)</f>
        <v>11</v>
      </c>
      <c r="K44" s="7" t="n">
        <f aca="false">SUM(L44:N44)</f>
        <v>7</v>
      </c>
      <c r="L44" s="7" t="n">
        <f aca="false">IF($H44="",0,SUMIF('Calendario E'!$M$8:$M$110,$H44,'Calendario E'!$N$8:$N$110)+SUMIF('Calendario E'!$T$8:$T$110,$H44,'Calendario E'!$U$8:$U$110))</f>
        <v>2</v>
      </c>
      <c r="M44" s="7" t="n">
        <f aca="false">IF($H44="",0,SUMIF('Calendario E'!$M$8:$M$110,$H44,'Calendario E'!$P$8:$P$110)+SUMIF('Calendario E'!$T$8:$T$110,$H44,'Calendario E'!$W$8:$W$110))</f>
        <v>5</v>
      </c>
      <c r="N44" s="7" t="n">
        <f aca="false">IF($H44="",0,SUMIF('Calendario E'!$M$8:$M$110,$H44,'Calendario E'!$O$8:$O$110)+SUMIF('Calendario E'!$T$8:$T$110,$H44,'Calendario E'!$V$8:$V$110))</f>
        <v>0</v>
      </c>
      <c r="O44" s="7" t="n">
        <f aca="false">IF($H44="",0,SUMIF('Calendario E'!$M$8:$M$110,$H44,'Calendario E'!$Q$8:$Q$110)+SUMIF('Calendario E'!$T$8:$T$110,$H44,'Calendario E'!$X$8:$X$110))</f>
        <v>424</v>
      </c>
      <c r="P44" s="7" t="n">
        <f aca="false">IF($H44="",0,SUMIF('Calendario E'!$M$8:$M$110,$H44,'Calendario E'!$R$8:$R$110)+SUMIF('Calendario E'!$T$8:$T$110,$H44,'Calendario E'!$Y$8:$Y$110))</f>
        <v>462</v>
      </c>
      <c r="Q44" s="7" t="n">
        <f aca="false">IF($H44="",0,SUMIF('Calendario E'!$M$8:$M$110,$H44,'Calendario E'!$S$8:$S$110)+SUMIF('Calendario E'!$T$8:$T$110,$H44,'Calendario E'!$Z$8:$Z$110))</f>
        <v>-38</v>
      </c>
      <c r="R44" s="7" t="n">
        <f aca="false">IF(K44=0,0,ROUND(O44/K44,2))</f>
        <v>60.57</v>
      </c>
      <c r="S44" s="7" t="n">
        <f aca="false">IF(K44=0,0,ROUND(P44/K44,2))</f>
        <v>66</v>
      </c>
      <c r="T44" s="7" t="n">
        <f aca="false">IF(K44=0,0,ROUND(Q44/K44,2))</f>
        <v>-5.43</v>
      </c>
      <c r="U44" s="7" t="str">
        <f aca="false">IF(COUNT(Y44:AF44)=0,"-",SUM(Y44:AF44)&amp;"-"&amp;SUM(AH44:AO44))</f>
        <v>-</v>
      </c>
      <c r="V44" s="7" t="str">
        <f aca="false">IF(COUNT(Y44:AF44)=0,"-",IF(SUM(AZ44:BG44)=0,TEXT(0,"0.0000"),TEXT(ROUND(SUM(AQ44:AX44)/SUM(AZ44:BG44),4),"0.0000")))</f>
        <v>-</v>
      </c>
      <c r="W44" s="7" t="str">
        <f aca="false">IF(H44="","-",IF(P44=0,TEXT(0,"0.0000"),TEXT(ROUND(O44/P44,4),"0.0000")))</f>
        <v>0.9177</v>
      </c>
      <c r="X44" s="13" t="str">
        <f aca="false">$C44</f>
        <v>Pipistrelli Pensierosi-Pipistrelliopoli PI</v>
      </c>
      <c r="Y44" s="14" t="str">
        <f aca="false">IF(AND($H44&lt;&gt;"",$H$44&lt;&gt;"",$H44&lt;&gt;$H$44,IFERROR(VLOOKUP($H44,areaCercaPuntiClassificaSquadra,3,FALSE()),-1)=IFERROR(VLOOKUP($H$44,areaCercaPuntiClassificaSquadra,3,FALSE()),-2)),SUMIFS('Calendario E'!$N$8:$N$110,'Calendario E'!$M$8:$M$110,$H44,'Calendario E'!$T$8:$T$110,$H$44)+SUMIFS('Calendario E'!$U$8:$U$110,'Calendario E'!$T$8:$T$110,$H44,'Calendario E'!$M$8:$M$110,$H$44),"-")</f>
        <v>-</v>
      </c>
      <c r="Z44" s="14" t="str">
        <f aca="false">IF(AND($H44&lt;&gt;"",$H$45&lt;&gt;"",$H44&lt;&gt;$H$45,IFERROR(VLOOKUP($H44,areaCercaPuntiClassificaSquadra,3,FALSE()),-1)=IFERROR(VLOOKUP($H$45,areaCercaPuntiClassificaSquadra,3,FALSE()),-2)),SUMIFS('Calendario E'!$N$8:$N$110,'Calendario E'!$M$8:$M$110,$H44,'Calendario E'!$T$8:$T$110,$H$45)+SUMIFS('Calendario E'!$U$8:$U$110,'Calendario E'!$T$8:$T$110,$H44,'Calendario E'!$M$8:$M$110,$H$45),"-")</f>
        <v>-</v>
      </c>
      <c r="AA44" s="14" t="str">
        <f aca="false">IF(AND($H44&lt;&gt;"",$H$46&lt;&gt;"",$H44&lt;&gt;$H$46,IFERROR(VLOOKUP($H44,areaCercaPuntiClassificaSquadra,3,FALSE()),-1)=IFERROR(VLOOKUP($H$46,areaCercaPuntiClassificaSquadra,3,FALSE()),-2)),SUMIFS('Calendario E'!$N$8:$N$110,'Calendario E'!$M$8:$M$110,$H44,'Calendario E'!$T$8:$T$110,$H$46)+SUMIFS('Calendario E'!$U$8:$U$110,'Calendario E'!$T$8:$T$110,$H44,'Calendario E'!$M$8:$M$110,$H$46),"-")</f>
        <v>-</v>
      </c>
      <c r="AB44" s="14" t="str">
        <f aca="false">IF(AND($H44&lt;&gt;"",$H$47&lt;&gt;"",$H44&lt;&gt;$H$47,IFERROR(VLOOKUP($H44,areaCercaPuntiClassificaSquadra,3,FALSE()),-1)=IFERROR(VLOOKUP($H$47,areaCercaPuntiClassificaSquadra,3,FALSE()),-2)),SUMIFS('Calendario E'!$N$8:$N$110,'Calendario E'!$M$8:$M$110,$H44,'Calendario E'!$T$8:$T$110,$H$47)+SUMIFS('Calendario E'!$U$8:$U$110,'Calendario E'!$T$8:$T$110,$H44,'Calendario E'!$M$8:$M$110,$H$47),"-")</f>
        <v>-</v>
      </c>
      <c r="AC44" s="14" t="str">
        <f aca="false">IF(AND($H44&lt;&gt;"",$H$48&lt;&gt;"",$H44&lt;&gt;$H$48,IFERROR(VLOOKUP($H44,areaCercaPuntiClassificaSquadra,3,FALSE()),-1)=IFERROR(VLOOKUP($H$48,areaCercaPuntiClassificaSquadra,3,FALSE()),-2)),SUMIFS('Calendario E'!$N$8:$N$110,'Calendario E'!$M$8:$M$110,$H44,'Calendario E'!$T$8:$T$110,$H$48)+SUMIFS('Calendario E'!$U$8:$U$110,'Calendario E'!$T$8:$T$110,$H44,'Calendario E'!$M$8:$M$110,$H$48),"-")</f>
        <v>-</v>
      </c>
      <c r="AD44" s="14" t="str">
        <f aca="false">IF(AND($H44&lt;&gt;"",$H$49&lt;&gt;"",$H44&lt;&gt;$H$49,IFERROR(VLOOKUP($H44,areaCercaPuntiClassificaSquadra,3,FALSE()),-1)=IFERROR(VLOOKUP($H$49,areaCercaPuntiClassificaSquadra,3,FALSE()),-2)),SUMIFS('Calendario E'!$N$8:$N$110,'Calendario E'!$M$8:$M$110,$H44,'Calendario E'!$T$8:$T$110,$H$49)+SUMIFS('Calendario E'!$U$8:$U$110,'Calendario E'!$T$8:$T$110,$H44,'Calendario E'!$M$8:$M$110,$H$49),"-")</f>
        <v>-</v>
      </c>
      <c r="AE44" s="14" t="str">
        <f aca="false">IF(AND($H44&lt;&gt;"",$H$50&lt;&gt;"",$H44&lt;&gt;$H$50,IFERROR(VLOOKUP($H44,areaCercaPuntiClassificaSquadra,3,FALSE()),-1)=IFERROR(VLOOKUP($H$50,areaCercaPuntiClassificaSquadra,3,FALSE()),-2)),SUMIFS('Calendario E'!$N$8:$N$110,'Calendario E'!$M$8:$M$110,$H44,'Calendario E'!$T$8:$T$110,$H$50)+SUMIFS('Calendario E'!$U$8:$U$110,'Calendario E'!$T$8:$T$110,$H44,'Calendario E'!$M$8:$M$110,$H$50),"-")</f>
        <v>-</v>
      </c>
      <c r="AF44" s="14" t="str">
        <f aca="false">IF(AND($H44&lt;&gt;"",$H$51&lt;&gt;"",$H44&lt;&gt;$H$51,IFERROR(VLOOKUP($H44,areaCercaPuntiClassificaSquadra,3,FALSE()),-1)=IFERROR(VLOOKUP($H$51,areaCercaPuntiClassificaSquadra,3,FALSE()),-2)),SUMIFS('Calendario E'!$N$8:$N$110,'Calendario E'!$M$8:$M$110,$H44,'Calendario E'!$T$8:$T$110,$H$51)+SUMIFS('Calendario E'!$U$8:$U$110,'Calendario E'!$T$8:$T$110,$H44,'Calendario E'!$M$8:$M$110,$H$51),"-")</f>
        <v>-</v>
      </c>
      <c r="AG44" s="13" t="str">
        <f aca="false">$C44</f>
        <v>Pipistrelli Pensierosi-Pipistrelliopoli PI</v>
      </c>
      <c r="AH44" s="14" t="str">
        <f aca="false">IF(AND($H44&lt;&gt;"",$H$44&lt;&gt;"",$H44&lt;&gt;$H$44,IFERROR(VLOOKUP($H44,areaCercaPuntiClassificaSquadra,3,FALSE()),-1)=IFERROR(VLOOKUP($H$44,areaCercaPuntiClassificaSquadra,3,FALSE()),-2)),SUMIFS('Calendario E'!$P$8:$P$110,'Calendario E'!$M$8:$M$110,$H44,'Calendario E'!$T$8:$T$110,$H$44)+SUMIFS('Calendario E'!$W$8:$W$110,'Calendario E'!$T$8:$T$110,$H44,'Calendario E'!$M$8:$M$110,$H$44)+SUMIFS('Calendario E'!$O$8:$O$110,'Calendario E'!$M$8:$M$110,$H44,'Calendario E'!$T$8:$T$110,$H$44)+SUMIFS('Calendario E'!$V$8:$V$110,'Calendario E'!$T$8:$T$110,$H44,'Calendario E'!$M$8:$M$110,$H$44),"-")</f>
        <v>-</v>
      </c>
      <c r="AI44" s="14" t="str">
        <f aca="false">IF(AND($H44&lt;&gt;"",$H$45&lt;&gt;"",$H44&lt;&gt;$H$45,IFERROR(VLOOKUP($H44,areaCercaPuntiClassificaSquadra,3,FALSE()),-1)=IFERROR(VLOOKUP($H$45,areaCercaPuntiClassificaSquadra,3,FALSE()),-2)),SUMIFS('Calendario E'!$P$8:$P$110,'Calendario E'!$M$8:$M$110,$H44,'Calendario E'!$T$8:$T$110,$H$45)+SUMIFS('Calendario E'!$W$8:$W$110,'Calendario E'!$T$8:$T$110,$H44,'Calendario E'!$M$8:$M$110,$H$45)+SUMIFS('Calendario E'!$O$8:$O$110,'Calendario E'!$M$8:$M$110,$H44,'Calendario E'!$T$8:$T$110,$H$45)+SUMIFS('Calendario E'!$V$8:$V$110,'Calendario E'!$T$8:$T$110,$H44,'Calendario E'!$M$8:$M$110,$H$45),"-")</f>
        <v>-</v>
      </c>
      <c r="AJ44" s="14" t="str">
        <f aca="false">IF(AND($H44&lt;&gt;"",$H$46&lt;&gt;"",$H44&lt;&gt;$H$46,IFERROR(VLOOKUP($H44,areaCercaPuntiClassificaSquadra,3,FALSE()),-1)=IFERROR(VLOOKUP($H$46,areaCercaPuntiClassificaSquadra,3,FALSE()),-2)),SUMIFS('Calendario E'!$P$8:$P$110,'Calendario E'!$M$8:$M$110,$H44,'Calendario E'!$T$8:$T$110,$H$46)+SUMIFS('Calendario E'!$W$8:$W$110,'Calendario E'!$T$8:$T$110,$H44,'Calendario E'!$M$8:$M$110,$H$46)+SUMIFS('Calendario E'!$O$8:$O$110,'Calendario E'!$M$8:$M$110,$H44,'Calendario E'!$T$8:$T$110,$H$46)+SUMIFS('Calendario E'!$V$8:$V$110,'Calendario E'!$T$8:$T$110,$H44,'Calendario E'!$M$8:$M$110,$H$46),"-")</f>
        <v>-</v>
      </c>
      <c r="AK44" s="14" t="str">
        <f aca="false">IF(AND($H44&lt;&gt;"",$H$47&lt;&gt;"",$H44&lt;&gt;$H$47,IFERROR(VLOOKUP($H44,areaCercaPuntiClassificaSquadra,3,FALSE()),-1)=IFERROR(VLOOKUP($H$47,areaCercaPuntiClassificaSquadra,3,FALSE()),-2)),SUMIFS('Calendario E'!$P$8:$P$110,'Calendario E'!$M$8:$M$110,$H44,'Calendario E'!$T$8:$T$110,$H$47)+SUMIFS('Calendario E'!$W$8:$W$110,'Calendario E'!$T$8:$T$110,$H44,'Calendario E'!$M$8:$M$110,$H$47)+SUMIFS('Calendario E'!$O$8:$O$110,'Calendario E'!$M$8:$M$110,$H44,'Calendario E'!$T$8:$T$110,$H$47)+SUMIFS('Calendario E'!$V$8:$V$110,'Calendario E'!$T$8:$T$110,$H44,'Calendario E'!$M$8:$M$110,$H$47),"-")</f>
        <v>-</v>
      </c>
      <c r="AL44" s="14" t="str">
        <f aca="false">IF(AND($H44&lt;&gt;"",$H$48&lt;&gt;"",$H44&lt;&gt;$H$48,IFERROR(VLOOKUP($H44,areaCercaPuntiClassificaSquadra,3,FALSE()),-1)=IFERROR(VLOOKUP($H$48,areaCercaPuntiClassificaSquadra,3,FALSE()),-2)),SUMIFS('Calendario E'!$P$8:$P$110,'Calendario E'!$M$8:$M$110,$H44,'Calendario E'!$T$8:$T$110,$H$48)+SUMIFS('Calendario E'!$W$8:$W$110,'Calendario E'!$T$8:$T$110,$H44,'Calendario E'!$M$8:$M$110,$H$48)+SUMIFS('Calendario E'!$O$8:$O$110,'Calendario E'!$M$8:$M$110,$H44,'Calendario E'!$T$8:$T$110,$H$48)+SUMIFS('Calendario E'!$V$8:$V$110,'Calendario E'!$T$8:$T$110,$H44,'Calendario E'!$M$8:$M$110,$H$48),"-")</f>
        <v>-</v>
      </c>
      <c r="AM44" s="14" t="str">
        <f aca="false">IF(AND($H44&lt;&gt;"",$H$49&lt;&gt;"",$H44&lt;&gt;$H$49,IFERROR(VLOOKUP($H44,areaCercaPuntiClassificaSquadra,3,FALSE()),-1)=IFERROR(VLOOKUP($H$49,areaCercaPuntiClassificaSquadra,3,FALSE()),-2)),SUMIFS('Calendario E'!$P$8:$P$110,'Calendario E'!$M$8:$M$110,$H44,'Calendario E'!$T$8:$T$110,$H$49)+SUMIFS('Calendario E'!$W$8:$W$110,'Calendario E'!$T$8:$T$110,$H44,'Calendario E'!$M$8:$M$110,$H$49)+SUMIFS('Calendario E'!$O$8:$O$110,'Calendario E'!$M$8:$M$110,$H44,'Calendario E'!$T$8:$T$110,$H$49)+SUMIFS('Calendario E'!$V$8:$V$110,'Calendario E'!$T$8:$T$110,$H44,'Calendario E'!$M$8:$M$110,$H$49),"-")</f>
        <v>-</v>
      </c>
      <c r="AN44" s="14" t="str">
        <f aca="false">IF(AND($H44&lt;&gt;"",$H$50&lt;&gt;"",$H44&lt;&gt;$H$50,IFERROR(VLOOKUP($H44,areaCercaPuntiClassificaSquadra,3,FALSE()),-1)=IFERROR(VLOOKUP($H$50,areaCercaPuntiClassificaSquadra,3,FALSE()),-2)),SUMIFS('Calendario E'!$P$8:$P$110,'Calendario E'!$M$8:$M$110,$H44,'Calendario E'!$T$8:$T$110,$H$50)+SUMIFS('Calendario E'!$W$8:$W$110,'Calendario E'!$T$8:$T$110,$H44,'Calendario E'!$M$8:$M$110,$H$50)+SUMIFS('Calendario E'!$O$8:$O$110,'Calendario E'!$M$8:$M$110,$H44,'Calendario E'!$T$8:$T$110,$H$50)+SUMIFS('Calendario E'!$V$8:$V$110,'Calendario E'!$T$8:$T$110,$H44,'Calendario E'!$M$8:$M$110,$H$50),"-")</f>
        <v>-</v>
      </c>
      <c r="AO44" s="14" t="str">
        <f aca="false">IF(AND($H44&lt;&gt;"",$H$51&lt;&gt;"",$H44&lt;&gt;$H$51,IFERROR(VLOOKUP($H44,areaCercaPuntiClassificaSquadra,3,FALSE()),-1)=IFERROR(VLOOKUP($H$51,areaCercaPuntiClassificaSquadra,3,FALSE()),-2)),SUMIFS('Calendario E'!$P$8:$P$110,'Calendario E'!$M$8:$M$110,$H44,'Calendario E'!$T$8:$T$110,$H$51)+SUMIFS('Calendario E'!$W$8:$W$110,'Calendario E'!$T$8:$T$110,$H44,'Calendario E'!$M$8:$M$110,$H$51)+SUMIFS('Calendario E'!$O$8:$O$110,'Calendario E'!$M$8:$M$110,$H44,'Calendario E'!$T$8:$T$110,$H$51)+SUMIFS('Calendario E'!$V$8:$V$110,'Calendario E'!$T$8:$T$110,$H44,'Calendario E'!$M$8:$M$110,$H$51),"-")</f>
        <v>-</v>
      </c>
      <c r="AP44" s="13" t="str">
        <f aca="false">$C44</f>
        <v>Pipistrelli Pensierosi-Pipistrelliopoli PI</v>
      </c>
      <c r="AQ44" s="14" t="str">
        <f aca="false">IF(AND($H44&lt;&gt;"",$H$44&lt;&gt;"",$H44&lt;&gt;$H$44,IFERROR(VLOOKUP($H44,areaCercaPuntiClassificaSquadra,3,FALSE()),-1)=IFERROR(VLOOKUP($H$44,areaCercaPuntiClassificaSquadra,3,FALSE()),-2)),SUMIFS('Calendario E'!$Q$8:$Q$110,'Calendario E'!$M$8:$M$110,$H44,'Calendario E'!$T$8:$T$110,$H$44)+SUMIFS('Calendario E'!$X$8:$X$110,'Calendario E'!$T$8:$T$110,$H44,'Calendario E'!$M$8:$M$110,$H$44),"-")</f>
        <v>-</v>
      </c>
      <c r="AR44" s="14" t="str">
        <f aca="false">IF(AND($H44&lt;&gt;"",$H$45&lt;&gt;"",$H44&lt;&gt;$H$45,IFERROR(VLOOKUP($H44,areaCercaPuntiClassificaSquadra,3,FALSE()),-1)=IFERROR(VLOOKUP($H$45,areaCercaPuntiClassificaSquadra,3,FALSE()),-2)),SUMIFS('Calendario E'!$Q$8:$Q$110,'Calendario E'!$M$8:$M$110,$H44,'Calendario E'!$T$8:$T$110,$H$45)+SUMIFS('Calendario E'!$X$8:$X$110,'Calendario E'!$T$8:$T$110,$H44,'Calendario E'!$M$8:$M$110,$H$45),"-")</f>
        <v>-</v>
      </c>
      <c r="AS44" s="14" t="str">
        <f aca="false">IF(AND($H44&lt;&gt;"",$H$46&lt;&gt;"",$H44&lt;&gt;$H$46,IFERROR(VLOOKUP($H44,areaCercaPuntiClassificaSquadra,3,FALSE()),-1)=IFERROR(VLOOKUP($H$46,areaCercaPuntiClassificaSquadra,3,FALSE()),-2)),SUMIFS('Calendario E'!$Q$8:$Q$110,'Calendario E'!$M$8:$M$110,$H44,'Calendario E'!$T$8:$T$110,$H$46)+SUMIFS('Calendario E'!$X$8:$X$110,'Calendario E'!$T$8:$T$110,$H44,'Calendario E'!$M$8:$M$110,$H$46),"-")</f>
        <v>-</v>
      </c>
      <c r="AT44" s="14" t="str">
        <f aca="false">IF(AND($H44&lt;&gt;"",$H$47&lt;&gt;"",$H44&lt;&gt;$H$47,IFERROR(VLOOKUP($H44,areaCercaPuntiClassificaSquadra,3,FALSE()),-1)=IFERROR(VLOOKUP($H$47,areaCercaPuntiClassificaSquadra,3,FALSE()),-2)),SUMIFS('Calendario E'!$Q$8:$Q$110,'Calendario E'!$M$8:$M$110,$H44,'Calendario E'!$T$8:$T$110,$H$47)+SUMIFS('Calendario E'!$X$8:$X$110,'Calendario E'!$T$8:$T$110,$H44,'Calendario E'!$M$8:$M$110,$H$47),"-")</f>
        <v>-</v>
      </c>
      <c r="AU44" s="14" t="str">
        <f aca="false">IF(AND($H44&lt;&gt;"",$H$48&lt;&gt;"",$H44&lt;&gt;$H$48,IFERROR(VLOOKUP($H44,areaCercaPuntiClassificaSquadra,3,FALSE()),-1)=IFERROR(VLOOKUP($H$48,areaCercaPuntiClassificaSquadra,3,FALSE()),-2)),SUMIFS('Calendario E'!$Q$8:$Q$110,'Calendario E'!$M$8:$M$110,$H44,'Calendario E'!$T$8:$T$110,$H$48)+SUMIFS('Calendario E'!$X$8:$X$110,'Calendario E'!$T$8:$T$110,$H44,'Calendario E'!$M$8:$M$110,$H$48),"-")</f>
        <v>-</v>
      </c>
      <c r="AV44" s="14" t="str">
        <f aca="false">IF(AND($H44&lt;&gt;"",$H$49&lt;&gt;"",$H44&lt;&gt;$H$49,IFERROR(VLOOKUP($H44,areaCercaPuntiClassificaSquadra,3,FALSE()),-1)=IFERROR(VLOOKUP($H$49,areaCercaPuntiClassificaSquadra,3,FALSE()),-2)),SUMIFS('Calendario E'!$Q$8:$Q$110,'Calendario E'!$M$8:$M$110,$H44,'Calendario E'!$T$8:$T$110,$H$49)+SUMIFS('Calendario E'!$X$8:$X$110,'Calendario E'!$T$8:$T$110,$H44,'Calendario E'!$M$8:$M$110,$H$49),"-")</f>
        <v>-</v>
      </c>
      <c r="AW44" s="14" t="str">
        <f aca="false">IF(AND($H44&lt;&gt;"",$H$50&lt;&gt;"",$H44&lt;&gt;$H$50,IFERROR(VLOOKUP($H44,areaCercaPuntiClassificaSquadra,3,FALSE()),-1)=IFERROR(VLOOKUP($H$50,areaCercaPuntiClassificaSquadra,3,FALSE()),-2)),SUMIFS('Calendario E'!$Q$8:$Q$110,'Calendario E'!$M$8:$M$110,$H44,'Calendario E'!$T$8:$T$110,$H$50)+SUMIFS('Calendario E'!$X$8:$X$110,'Calendario E'!$T$8:$T$110,$H44,'Calendario E'!$M$8:$M$110,$H$50),"-")</f>
        <v>-</v>
      </c>
      <c r="AX44" s="14" t="str">
        <f aca="false">IF(AND($H44&lt;&gt;"",$H$51&lt;&gt;"",$H44&lt;&gt;$H$51,IFERROR(VLOOKUP($H44,areaCercaPuntiClassificaSquadra,3,FALSE()),-1)=IFERROR(VLOOKUP($H$51,areaCercaPuntiClassificaSquadra,3,FALSE()),-2)),SUMIFS('Calendario E'!$Q$8:$Q$110,'Calendario E'!$M$8:$M$110,$H44,'Calendario E'!$T$8:$T$110,$H$51)+SUMIFS('Calendario E'!$X$8:$X$110,'Calendario E'!$T$8:$T$110,$H44,'Calendario E'!$M$8:$M$110,$H$51),"-")</f>
        <v>-</v>
      </c>
      <c r="AY44" s="13" t="str">
        <f aca="false">$C44</f>
        <v>Pipistrelli Pensierosi-Pipistrelliopoli PI</v>
      </c>
      <c r="AZ44" s="14" t="str">
        <f aca="false">IF(AND($H44&lt;&gt;"",$H$44&lt;&gt;"",$H44&lt;&gt;$H$44,IFERROR(VLOOKUP($H44,areaCercaPuntiClassificaSquadra,3,FALSE()),-1)=IFERROR(VLOOKUP($H$44,areaCercaPuntiClassificaSquadra,3,FALSE()),-2)),SUMIFS('Calendario E'!$R$8:$R$110,'Calendario E'!$M$8:$M$110,$H44,'Calendario E'!$T$8:$T$110,$H$44)+SUMIFS('Calendario E'!$Y$8:$Y$110,'Calendario E'!$T$8:$T$110,$H44,'Calendario E'!$M$8:$M$110,$H$44),"-")</f>
        <v>-</v>
      </c>
      <c r="BA44" s="14" t="str">
        <f aca="false">IF(AND($H44&lt;&gt;"",$H$45&lt;&gt;"",$H44&lt;&gt;$H$45,IFERROR(VLOOKUP($H44,areaCercaPuntiClassificaSquadra,3,FALSE()),-1)=IFERROR(VLOOKUP($H$45,areaCercaPuntiClassificaSquadra,3,FALSE()),-2)),SUMIFS('Calendario E'!$R$8:$R$110,'Calendario E'!$M$8:$M$110,$H44,'Calendario E'!$T$8:$T$110,$H$45)+SUMIFS('Calendario E'!$Y$8:$Y$110,'Calendario E'!$T$8:$T$110,$H44,'Calendario E'!$M$8:$M$110,$H$45),"-")</f>
        <v>-</v>
      </c>
      <c r="BB44" s="14" t="str">
        <f aca="false">IF(AND($H44&lt;&gt;"",$H$46&lt;&gt;"",$H44&lt;&gt;$H$46,IFERROR(VLOOKUP($H44,areaCercaPuntiClassificaSquadra,3,FALSE()),-1)=IFERROR(VLOOKUP($H$46,areaCercaPuntiClassificaSquadra,3,FALSE()),-2)),SUMIFS('Calendario E'!$R$8:$R$110,'Calendario E'!$M$8:$M$110,$H44,'Calendario E'!$T$8:$T$110,$H$46)+SUMIFS('Calendario E'!$Y$8:$Y$110,'Calendario E'!$T$8:$T$110,$H44,'Calendario E'!$M$8:$M$110,$H$46),"-")</f>
        <v>-</v>
      </c>
      <c r="BC44" s="14" t="str">
        <f aca="false">IF(AND($H44&lt;&gt;"",$H$47&lt;&gt;"",$H44&lt;&gt;$H$47,IFERROR(VLOOKUP($H44,areaCercaPuntiClassificaSquadra,3,FALSE()),-1)=IFERROR(VLOOKUP($H$47,areaCercaPuntiClassificaSquadra,3,FALSE()),-2)),SUMIFS('Calendario E'!$R$8:$R$110,'Calendario E'!$M$8:$M$110,$H44,'Calendario E'!$T$8:$T$110,$H$47)+SUMIFS('Calendario E'!$Y$8:$Y$110,'Calendario E'!$T$8:$T$110,$H44,'Calendario E'!$M$8:$M$110,$H$47),"-")</f>
        <v>-</v>
      </c>
      <c r="BD44" s="14" t="str">
        <f aca="false">IF(AND($H44&lt;&gt;"",$H$48&lt;&gt;"",$H44&lt;&gt;$H$48,IFERROR(VLOOKUP($H44,areaCercaPuntiClassificaSquadra,3,FALSE()),-1)=IFERROR(VLOOKUP($H$48,areaCercaPuntiClassificaSquadra,3,FALSE()),-2)),SUMIFS('Calendario E'!$R$8:$R$110,'Calendario E'!$M$8:$M$110,$H44,'Calendario E'!$T$8:$T$110,$H$48)+SUMIFS('Calendario E'!$Y$8:$Y$110,'Calendario E'!$T$8:$T$110,$H44,'Calendario E'!$M$8:$M$110,$H$48),"-")</f>
        <v>-</v>
      </c>
      <c r="BE44" s="14" t="str">
        <f aca="false">IF(AND($H44&lt;&gt;"",$H$49&lt;&gt;"",$H44&lt;&gt;$H$49,IFERROR(VLOOKUP($H44,areaCercaPuntiClassificaSquadra,3,FALSE()),-1)=IFERROR(VLOOKUP($H$49,areaCercaPuntiClassificaSquadra,3,FALSE()),-2)),SUMIFS('Calendario E'!$R$8:$R$110,'Calendario E'!$M$8:$M$110,$H44,'Calendario E'!$T$8:$T$110,$H$49)+SUMIFS('Calendario E'!$Y$8:$Y$110,'Calendario E'!$T$8:$T$110,$H44,'Calendario E'!$M$8:$M$110,$H$49),"-")</f>
        <v>-</v>
      </c>
      <c r="BF44" s="14" t="str">
        <f aca="false">IF(AND($H44&lt;&gt;"",$H$50&lt;&gt;"",$H44&lt;&gt;$H$50,IFERROR(VLOOKUP($H44,areaCercaPuntiClassificaSquadra,3,FALSE()),-1)=IFERROR(VLOOKUP($H$50,areaCercaPuntiClassificaSquadra,3,FALSE()),-2)),SUMIFS('Calendario E'!$R$8:$R$110,'Calendario E'!$M$8:$M$110,$H44,'Calendario E'!$T$8:$T$110,$H$50)+SUMIFS('Calendario E'!$Y$8:$Y$110,'Calendario E'!$T$8:$T$110,$H44,'Calendario E'!$M$8:$M$110,$H$50),"-")</f>
        <v>-</v>
      </c>
      <c r="BG44" s="14" t="str">
        <f aca="false">IF(AND($H44&lt;&gt;"",$H$51&lt;&gt;"",$H44&lt;&gt;$H$51,IFERROR(VLOOKUP($H44,areaCercaPuntiClassificaSquadra,3,FALSE()),-1)=IFERROR(VLOOKUP($H$51,areaCercaPuntiClassificaSquadra,3,FALSE()),-2)),SUMIFS('Calendario E'!$R$8:$R$110,'Calendario E'!$M$8:$M$110,$H44,'Calendario E'!$T$8:$T$110,$H$51)+SUMIFS('Calendario E'!$Y$8:$Y$110,'Calendario E'!$T$8:$T$110,$H44,'Calendario E'!$M$8:$M$110,$H$51),"-")</f>
        <v>-</v>
      </c>
    </row>
    <row r="45" customFormat="false" ht="15" hidden="false" customHeight="false" outlineLevel="0" collapsed="false">
      <c r="B45" s="7" t="s">
        <v>118</v>
      </c>
      <c r="C45" s="8" t="s">
        <v>119</v>
      </c>
      <c r="D45" s="9"/>
      <c r="E45" s="21" t="s">
        <v>117</v>
      </c>
      <c r="G45" s="22" t="str">
        <f aca="false">IF($C45="","",$E45&amp;(COUNTIFS(I$12:I$75,"&gt;"&amp;I45,E$12:E$75,"="&amp;E45,C$12:C$75,"&lt;&gt;")+COUNTIFS(I$12:I$75,"="&amp;I45,H$12:H$75,"&lt;="&amp;H45,E$12:E$75,"="&amp;E45,C$12:C$75,"&lt;&gt;")))</f>
        <v>E5</v>
      </c>
      <c r="H45" s="12" t="str">
        <f aca="false">IF($C45="","",IFERROR(LEFT($C45,FIND("-",$C45)-1),$C45))</f>
        <v>Quetzal Quotidiani</v>
      </c>
      <c r="I45" s="7" t="str">
        <f aca="false">TEXT(1000000000+J45,"|0000000000|")&amp;TEXT(SUM(Y45:AF45),"0000000000|")&amp;IF(SUM(AZ45:BG45)=0,"0000000000|",TEXT(ROUND(SUM(AQ45:AX45)/SUM(AZ45:BG45),4)*100000,"0000000000|"))&amp;IF(P45=0,"0000000000|",TEXT(ROUND(O45/P45,4)*100000,"0000000000|"))</f>
        <v>|1000000013|0000000000|0000000000|0000105520|</v>
      </c>
      <c r="J45" s="22" t="n">
        <f aca="false">L45*constPuntiVittoria+M45*constPuntiSconfitta+N45*constPuntiForfait+IF(D45="",0,D45)</f>
        <v>13</v>
      </c>
      <c r="K45" s="7" t="n">
        <f aca="false">SUM(L45:N45)</f>
        <v>7</v>
      </c>
      <c r="L45" s="7" t="n">
        <f aca="false">IF($H45="",0,SUMIF('Calendario E'!$M$8:$M$110,$H45,'Calendario E'!$N$8:$N$110)+SUMIF('Calendario E'!$T$8:$T$110,$H45,'Calendario E'!$U$8:$U$110))</f>
        <v>3</v>
      </c>
      <c r="M45" s="7" t="n">
        <f aca="false">IF($H45="",0,SUMIF('Calendario E'!$M$8:$M$110,$H45,'Calendario E'!$P$8:$P$110)+SUMIF('Calendario E'!$T$8:$T$110,$H45,'Calendario E'!$W$8:$W$110))</f>
        <v>4</v>
      </c>
      <c r="N45" s="7" t="n">
        <f aca="false">IF($H45="",0,SUMIF('Calendario E'!$M$8:$M$110,$H45,'Calendario E'!$O$8:$O$110)+SUMIF('Calendario E'!$T$8:$T$110,$H45,'Calendario E'!$V$8:$V$110))</f>
        <v>0</v>
      </c>
      <c r="O45" s="7" t="n">
        <f aca="false">IF($H45="",0,SUMIF('Calendario E'!$M$8:$M$110,$H45,'Calendario E'!$Q$8:$Q$110)+SUMIF('Calendario E'!$T$8:$T$110,$H45,'Calendario E'!$X$8:$X$110))</f>
        <v>459</v>
      </c>
      <c r="P45" s="7" t="n">
        <f aca="false">IF($H45="",0,SUMIF('Calendario E'!$M$8:$M$110,$H45,'Calendario E'!$R$8:$R$110)+SUMIF('Calendario E'!$T$8:$T$110,$H45,'Calendario E'!$Y$8:$Y$110))</f>
        <v>435</v>
      </c>
      <c r="Q45" s="7" t="n">
        <f aca="false">IF($H45="",0,SUMIF('Calendario E'!$M$8:$M$110,$H45,'Calendario E'!$S$8:$S$110)+SUMIF('Calendario E'!$T$8:$T$110,$H45,'Calendario E'!$Z$8:$Z$110))</f>
        <v>24</v>
      </c>
      <c r="R45" s="7" t="n">
        <f aca="false">IF(K45=0,0,ROUND(O45/K45,2))</f>
        <v>65.57</v>
      </c>
      <c r="S45" s="7" t="n">
        <f aca="false">IF(K45=0,0,ROUND(P45/K45,2))</f>
        <v>62.14</v>
      </c>
      <c r="T45" s="7" t="n">
        <f aca="false">IF(K45=0,0,ROUND(Q45/K45,2))</f>
        <v>3.43</v>
      </c>
      <c r="U45" s="7" t="str">
        <f aca="false">IF(COUNT(Y45:AF45)=0,"-",SUM(Y45:AF45)&amp;"-"&amp;SUM(AH45:AO45))</f>
        <v>-</v>
      </c>
      <c r="V45" s="7" t="str">
        <f aca="false">IF(COUNT(Y45:AF45)=0,"-",IF(SUM(AZ45:BG45)=0,TEXT(0,"0.0000"),TEXT(ROUND(SUM(AQ45:AX45)/SUM(AZ45:BG45),4),"0.0000")))</f>
        <v>-</v>
      </c>
      <c r="W45" s="7" t="str">
        <f aca="false">IF(H45="","-",IF(P45=0,TEXT(0,"0.0000"),TEXT(ROUND(O45/P45,4),"0.0000")))</f>
        <v>1.0552</v>
      </c>
      <c r="X45" s="13" t="str">
        <f aca="false">$C45</f>
        <v>Quetzal Quotidiani-Quetzalopoli QL</v>
      </c>
      <c r="Y45" s="14" t="str">
        <f aca="false">IF(AND($H45&lt;&gt;"",$H$44&lt;&gt;"",$H45&lt;&gt;$H$44,IFERROR(VLOOKUP($H45,areaCercaPuntiClassificaSquadra,3,FALSE()),-1)=IFERROR(VLOOKUP($H$44,areaCercaPuntiClassificaSquadra,3,FALSE()),-2)),SUMIFS('Calendario E'!$N$8:$N$110,'Calendario E'!$M$8:$M$110,$H45,'Calendario E'!$T$8:$T$110,$H$44)+SUMIFS('Calendario E'!$U$8:$U$110,'Calendario E'!$T$8:$T$110,$H45,'Calendario E'!$M$8:$M$110,$H$44),"-")</f>
        <v>-</v>
      </c>
      <c r="Z45" s="14" t="str">
        <f aca="false">IF(AND($H45&lt;&gt;"",$H$45&lt;&gt;"",$H45&lt;&gt;$H$45,IFERROR(VLOOKUP($H45,areaCercaPuntiClassificaSquadra,3,FALSE()),-1)=IFERROR(VLOOKUP($H$45,areaCercaPuntiClassificaSquadra,3,FALSE()),-2)),SUMIFS('Calendario E'!$N$8:$N$110,'Calendario E'!$M$8:$M$110,$H45,'Calendario E'!$T$8:$T$110,$H$45)+SUMIFS('Calendario E'!$U$8:$U$110,'Calendario E'!$T$8:$T$110,$H45,'Calendario E'!$M$8:$M$110,$H$45),"-")</f>
        <v>-</v>
      </c>
      <c r="AA45" s="14" t="str">
        <f aca="false">IF(AND($H45&lt;&gt;"",$H$46&lt;&gt;"",$H45&lt;&gt;$H$46,IFERROR(VLOOKUP($H45,areaCercaPuntiClassificaSquadra,3,FALSE()),-1)=IFERROR(VLOOKUP($H$46,areaCercaPuntiClassificaSquadra,3,FALSE()),-2)),SUMIFS('Calendario E'!$N$8:$N$110,'Calendario E'!$M$8:$M$110,$H45,'Calendario E'!$T$8:$T$110,$H$46)+SUMIFS('Calendario E'!$U$8:$U$110,'Calendario E'!$T$8:$T$110,$H45,'Calendario E'!$M$8:$M$110,$H$46),"-")</f>
        <v>-</v>
      </c>
      <c r="AB45" s="14" t="str">
        <f aca="false">IF(AND($H45&lt;&gt;"",$H$47&lt;&gt;"",$H45&lt;&gt;$H$47,IFERROR(VLOOKUP($H45,areaCercaPuntiClassificaSquadra,3,FALSE()),-1)=IFERROR(VLOOKUP($H$47,areaCercaPuntiClassificaSquadra,3,FALSE()),-2)),SUMIFS('Calendario E'!$N$8:$N$110,'Calendario E'!$M$8:$M$110,$H45,'Calendario E'!$T$8:$T$110,$H$47)+SUMIFS('Calendario E'!$U$8:$U$110,'Calendario E'!$T$8:$T$110,$H45,'Calendario E'!$M$8:$M$110,$H$47),"-")</f>
        <v>-</v>
      </c>
      <c r="AC45" s="14" t="str">
        <f aca="false">IF(AND($H45&lt;&gt;"",$H$48&lt;&gt;"",$H45&lt;&gt;$H$48,IFERROR(VLOOKUP($H45,areaCercaPuntiClassificaSquadra,3,FALSE()),-1)=IFERROR(VLOOKUP($H$48,areaCercaPuntiClassificaSquadra,3,FALSE()),-2)),SUMIFS('Calendario E'!$N$8:$N$110,'Calendario E'!$M$8:$M$110,$H45,'Calendario E'!$T$8:$T$110,$H$48)+SUMIFS('Calendario E'!$U$8:$U$110,'Calendario E'!$T$8:$T$110,$H45,'Calendario E'!$M$8:$M$110,$H$48),"-")</f>
        <v>-</v>
      </c>
      <c r="AD45" s="14" t="str">
        <f aca="false">IF(AND($H45&lt;&gt;"",$H$49&lt;&gt;"",$H45&lt;&gt;$H$49,IFERROR(VLOOKUP($H45,areaCercaPuntiClassificaSquadra,3,FALSE()),-1)=IFERROR(VLOOKUP($H$49,areaCercaPuntiClassificaSquadra,3,FALSE()),-2)),SUMIFS('Calendario E'!$N$8:$N$110,'Calendario E'!$M$8:$M$110,$H45,'Calendario E'!$T$8:$T$110,$H$49)+SUMIFS('Calendario E'!$U$8:$U$110,'Calendario E'!$T$8:$T$110,$H45,'Calendario E'!$M$8:$M$110,$H$49),"-")</f>
        <v>-</v>
      </c>
      <c r="AE45" s="14" t="str">
        <f aca="false">IF(AND($H45&lt;&gt;"",$H$50&lt;&gt;"",$H45&lt;&gt;$H$50,IFERROR(VLOOKUP($H45,areaCercaPuntiClassificaSquadra,3,FALSE()),-1)=IFERROR(VLOOKUP($H$50,areaCercaPuntiClassificaSquadra,3,FALSE()),-2)),SUMIFS('Calendario E'!$N$8:$N$110,'Calendario E'!$M$8:$M$110,$H45,'Calendario E'!$T$8:$T$110,$H$50)+SUMIFS('Calendario E'!$U$8:$U$110,'Calendario E'!$T$8:$T$110,$H45,'Calendario E'!$M$8:$M$110,$H$50),"-")</f>
        <v>-</v>
      </c>
      <c r="AF45" s="14" t="str">
        <f aca="false">IF(AND($H45&lt;&gt;"",$H$51&lt;&gt;"",$H45&lt;&gt;$H$51,IFERROR(VLOOKUP($H45,areaCercaPuntiClassificaSquadra,3,FALSE()),-1)=IFERROR(VLOOKUP($H$51,areaCercaPuntiClassificaSquadra,3,FALSE()),-2)),SUMIFS('Calendario E'!$N$8:$N$110,'Calendario E'!$M$8:$M$110,$H45,'Calendario E'!$T$8:$T$110,$H$51)+SUMIFS('Calendario E'!$U$8:$U$110,'Calendario E'!$T$8:$T$110,$H45,'Calendario E'!$M$8:$M$110,$H$51),"-")</f>
        <v>-</v>
      </c>
      <c r="AG45" s="13" t="str">
        <f aca="false">$C45</f>
        <v>Quetzal Quotidiani-Quetzalopoli QL</v>
      </c>
      <c r="AH45" s="14" t="str">
        <f aca="false">IF(AND($H45&lt;&gt;"",$H$44&lt;&gt;"",$H45&lt;&gt;$H$44,IFERROR(VLOOKUP($H45,areaCercaPuntiClassificaSquadra,3,FALSE()),-1)=IFERROR(VLOOKUP($H$44,areaCercaPuntiClassificaSquadra,3,FALSE()),-2)),SUMIFS('Calendario E'!$P$8:$P$110,'Calendario E'!$M$8:$M$110,$H45,'Calendario E'!$T$8:$T$110,$H$44)+SUMIFS('Calendario E'!$W$8:$W$110,'Calendario E'!$T$8:$T$110,$H45,'Calendario E'!$M$8:$M$110,$H$44)+SUMIFS('Calendario E'!$O$8:$O$110,'Calendario E'!$M$8:$M$110,$H45,'Calendario E'!$T$8:$T$110,$H$44)+SUMIFS('Calendario E'!$V$8:$V$110,'Calendario E'!$T$8:$T$110,$H45,'Calendario E'!$M$8:$M$110,$H$44),"-")</f>
        <v>-</v>
      </c>
      <c r="AI45" s="14" t="str">
        <f aca="false">IF(AND($H45&lt;&gt;"",$H$45&lt;&gt;"",$H45&lt;&gt;$H$45,IFERROR(VLOOKUP($H45,areaCercaPuntiClassificaSquadra,3,FALSE()),-1)=IFERROR(VLOOKUP($H$45,areaCercaPuntiClassificaSquadra,3,FALSE()),-2)),SUMIFS('Calendario E'!$P$8:$P$110,'Calendario E'!$M$8:$M$110,$H45,'Calendario E'!$T$8:$T$110,$H$45)+SUMIFS('Calendario E'!$W$8:$W$110,'Calendario E'!$T$8:$T$110,$H45,'Calendario E'!$M$8:$M$110,$H$45)+SUMIFS('Calendario E'!$O$8:$O$110,'Calendario E'!$M$8:$M$110,$H45,'Calendario E'!$T$8:$T$110,$H$45)+SUMIFS('Calendario E'!$V$8:$V$110,'Calendario E'!$T$8:$T$110,$H45,'Calendario E'!$M$8:$M$110,$H$45),"-")</f>
        <v>-</v>
      </c>
      <c r="AJ45" s="14" t="str">
        <f aca="false">IF(AND($H45&lt;&gt;"",$H$46&lt;&gt;"",$H45&lt;&gt;$H$46,IFERROR(VLOOKUP($H45,areaCercaPuntiClassificaSquadra,3,FALSE()),-1)=IFERROR(VLOOKUP($H$46,areaCercaPuntiClassificaSquadra,3,FALSE()),-2)),SUMIFS('Calendario E'!$P$8:$P$110,'Calendario E'!$M$8:$M$110,$H45,'Calendario E'!$T$8:$T$110,$H$46)+SUMIFS('Calendario E'!$W$8:$W$110,'Calendario E'!$T$8:$T$110,$H45,'Calendario E'!$M$8:$M$110,$H$46)+SUMIFS('Calendario E'!$O$8:$O$110,'Calendario E'!$M$8:$M$110,$H45,'Calendario E'!$T$8:$T$110,$H$46)+SUMIFS('Calendario E'!$V$8:$V$110,'Calendario E'!$T$8:$T$110,$H45,'Calendario E'!$M$8:$M$110,$H$46),"-")</f>
        <v>-</v>
      </c>
      <c r="AK45" s="14" t="str">
        <f aca="false">IF(AND($H45&lt;&gt;"",$H$47&lt;&gt;"",$H45&lt;&gt;$H$47,IFERROR(VLOOKUP($H45,areaCercaPuntiClassificaSquadra,3,FALSE()),-1)=IFERROR(VLOOKUP($H$47,areaCercaPuntiClassificaSquadra,3,FALSE()),-2)),SUMIFS('Calendario E'!$P$8:$P$110,'Calendario E'!$M$8:$M$110,$H45,'Calendario E'!$T$8:$T$110,$H$47)+SUMIFS('Calendario E'!$W$8:$W$110,'Calendario E'!$T$8:$T$110,$H45,'Calendario E'!$M$8:$M$110,$H$47)+SUMIFS('Calendario E'!$O$8:$O$110,'Calendario E'!$M$8:$M$110,$H45,'Calendario E'!$T$8:$T$110,$H$47)+SUMIFS('Calendario E'!$V$8:$V$110,'Calendario E'!$T$8:$T$110,$H45,'Calendario E'!$M$8:$M$110,$H$47),"-")</f>
        <v>-</v>
      </c>
      <c r="AL45" s="14" t="str">
        <f aca="false">IF(AND($H45&lt;&gt;"",$H$48&lt;&gt;"",$H45&lt;&gt;$H$48,IFERROR(VLOOKUP($H45,areaCercaPuntiClassificaSquadra,3,FALSE()),-1)=IFERROR(VLOOKUP($H$48,areaCercaPuntiClassificaSquadra,3,FALSE()),-2)),SUMIFS('Calendario E'!$P$8:$P$110,'Calendario E'!$M$8:$M$110,$H45,'Calendario E'!$T$8:$T$110,$H$48)+SUMIFS('Calendario E'!$W$8:$W$110,'Calendario E'!$T$8:$T$110,$H45,'Calendario E'!$M$8:$M$110,$H$48)+SUMIFS('Calendario E'!$O$8:$O$110,'Calendario E'!$M$8:$M$110,$H45,'Calendario E'!$T$8:$T$110,$H$48)+SUMIFS('Calendario E'!$V$8:$V$110,'Calendario E'!$T$8:$T$110,$H45,'Calendario E'!$M$8:$M$110,$H$48),"-")</f>
        <v>-</v>
      </c>
      <c r="AM45" s="14" t="str">
        <f aca="false">IF(AND($H45&lt;&gt;"",$H$49&lt;&gt;"",$H45&lt;&gt;$H$49,IFERROR(VLOOKUP($H45,areaCercaPuntiClassificaSquadra,3,FALSE()),-1)=IFERROR(VLOOKUP($H$49,areaCercaPuntiClassificaSquadra,3,FALSE()),-2)),SUMIFS('Calendario E'!$P$8:$P$110,'Calendario E'!$M$8:$M$110,$H45,'Calendario E'!$T$8:$T$110,$H$49)+SUMIFS('Calendario E'!$W$8:$W$110,'Calendario E'!$T$8:$T$110,$H45,'Calendario E'!$M$8:$M$110,$H$49)+SUMIFS('Calendario E'!$O$8:$O$110,'Calendario E'!$M$8:$M$110,$H45,'Calendario E'!$T$8:$T$110,$H$49)+SUMIFS('Calendario E'!$V$8:$V$110,'Calendario E'!$T$8:$T$110,$H45,'Calendario E'!$M$8:$M$110,$H$49),"-")</f>
        <v>-</v>
      </c>
      <c r="AN45" s="14" t="str">
        <f aca="false">IF(AND($H45&lt;&gt;"",$H$50&lt;&gt;"",$H45&lt;&gt;$H$50,IFERROR(VLOOKUP($H45,areaCercaPuntiClassificaSquadra,3,FALSE()),-1)=IFERROR(VLOOKUP($H$50,areaCercaPuntiClassificaSquadra,3,FALSE()),-2)),SUMIFS('Calendario E'!$P$8:$P$110,'Calendario E'!$M$8:$M$110,$H45,'Calendario E'!$T$8:$T$110,$H$50)+SUMIFS('Calendario E'!$W$8:$W$110,'Calendario E'!$T$8:$T$110,$H45,'Calendario E'!$M$8:$M$110,$H$50)+SUMIFS('Calendario E'!$O$8:$O$110,'Calendario E'!$M$8:$M$110,$H45,'Calendario E'!$T$8:$T$110,$H$50)+SUMIFS('Calendario E'!$V$8:$V$110,'Calendario E'!$T$8:$T$110,$H45,'Calendario E'!$M$8:$M$110,$H$50),"-")</f>
        <v>-</v>
      </c>
      <c r="AO45" s="14" t="str">
        <f aca="false">IF(AND($H45&lt;&gt;"",$H$51&lt;&gt;"",$H45&lt;&gt;$H$51,IFERROR(VLOOKUP($H45,areaCercaPuntiClassificaSquadra,3,FALSE()),-1)=IFERROR(VLOOKUP($H$51,areaCercaPuntiClassificaSquadra,3,FALSE()),-2)),SUMIFS('Calendario E'!$P$8:$P$110,'Calendario E'!$M$8:$M$110,$H45,'Calendario E'!$T$8:$T$110,$H$51)+SUMIFS('Calendario E'!$W$8:$W$110,'Calendario E'!$T$8:$T$110,$H45,'Calendario E'!$M$8:$M$110,$H$51)+SUMIFS('Calendario E'!$O$8:$O$110,'Calendario E'!$M$8:$M$110,$H45,'Calendario E'!$T$8:$T$110,$H$51)+SUMIFS('Calendario E'!$V$8:$V$110,'Calendario E'!$T$8:$T$110,$H45,'Calendario E'!$M$8:$M$110,$H$51),"-")</f>
        <v>-</v>
      </c>
      <c r="AP45" s="13" t="str">
        <f aca="false">$C45</f>
        <v>Quetzal Quotidiani-Quetzalopoli QL</v>
      </c>
      <c r="AQ45" s="14" t="str">
        <f aca="false">IF(AND($H45&lt;&gt;"",$H$44&lt;&gt;"",$H45&lt;&gt;$H$44,IFERROR(VLOOKUP($H45,areaCercaPuntiClassificaSquadra,3,FALSE()),-1)=IFERROR(VLOOKUP($H$44,areaCercaPuntiClassificaSquadra,3,FALSE()),-2)),SUMIFS('Calendario E'!$Q$8:$Q$110,'Calendario E'!$M$8:$M$110,$H45,'Calendario E'!$T$8:$T$110,$H$44)+SUMIFS('Calendario E'!$X$8:$X$110,'Calendario E'!$T$8:$T$110,$H45,'Calendario E'!$M$8:$M$110,$H$44),"-")</f>
        <v>-</v>
      </c>
      <c r="AR45" s="14" t="str">
        <f aca="false">IF(AND($H45&lt;&gt;"",$H$45&lt;&gt;"",$H45&lt;&gt;$H$45,IFERROR(VLOOKUP($H45,areaCercaPuntiClassificaSquadra,3,FALSE()),-1)=IFERROR(VLOOKUP($H$45,areaCercaPuntiClassificaSquadra,3,FALSE()),-2)),SUMIFS('Calendario E'!$Q$8:$Q$110,'Calendario E'!$M$8:$M$110,$H45,'Calendario E'!$T$8:$T$110,$H$45)+SUMIFS('Calendario E'!$X$8:$X$110,'Calendario E'!$T$8:$T$110,$H45,'Calendario E'!$M$8:$M$110,$H$45),"-")</f>
        <v>-</v>
      </c>
      <c r="AS45" s="14" t="str">
        <f aca="false">IF(AND($H45&lt;&gt;"",$H$46&lt;&gt;"",$H45&lt;&gt;$H$46,IFERROR(VLOOKUP($H45,areaCercaPuntiClassificaSquadra,3,FALSE()),-1)=IFERROR(VLOOKUP($H$46,areaCercaPuntiClassificaSquadra,3,FALSE()),-2)),SUMIFS('Calendario E'!$Q$8:$Q$110,'Calendario E'!$M$8:$M$110,$H45,'Calendario E'!$T$8:$T$110,$H$46)+SUMIFS('Calendario E'!$X$8:$X$110,'Calendario E'!$T$8:$T$110,$H45,'Calendario E'!$M$8:$M$110,$H$46),"-")</f>
        <v>-</v>
      </c>
      <c r="AT45" s="14" t="str">
        <f aca="false">IF(AND($H45&lt;&gt;"",$H$47&lt;&gt;"",$H45&lt;&gt;$H$47,IFERROR(VLOOKUP($H45,areaCercaPuntiClassificaSquadra,3,FALSE()),-1)=IFERROR(VLOOKUP($H$47,areaCercaPuntiClassificaSquadra,3,FALSE()),-2)),SUMIFS('Calendario E'!$Q$8:$Q$110,'Calendario E'!$M$8:$M$110,$H45,'Calendario E'!$T$8:$T$110,$H$47)+SUMIFS('Calendario E'!$X$8:$X$110,'Calendario E'!$T$8:$T$110,$H45,'Calendario E'!$M$8:$M$110,$H$47),"-")</f>
        <v>-</v>
      </c>
      <c r="AU45" s="14" t="str">
        <f aca="false">IF(AND($H45&lt;&gt;"",$H$48&lt;&gt;"",$H45&lt;&gt;$H$48,IFERROR(VLOOKUP($H45,areaCercaPuntiClassificaSquadra,3,FALSE()),-1)=IFERROR(VLOOKUP($H$48,areaCercaPuntiClassificaSquadra,3,FALSE()),-2)),SUMIFS('Calendario E'!$Q$8:$Q$110,'Calendario E'!$M$8:$M$110,$H45,'Calendario E'!$T$8:$T$110,$H$48)+SUMIFS('Calendario E'!$X$8:$X$110,'Calendario E'!$T$8:$T$110,$H45,'Calendario E'!$M$8:$M$110,$H$48),"-")</f>
        <v>-</v>
      </c>
      <c r="AV45" s="14" t="str">
        <f aca="false">IF(AND($H45&lt;&gt;"",$H$49&lt;&gt;"",$H45&lt;&gt;$H$49,IFERROR(VLOOKUP($H45,areaCercaPuntiClassificaSquadra,3,FALSE()),-1)=IFERROR(VLOOKUP($H$49,areaCercaPuntiClassificaSquadra,3,FALSE()),-2)),SUMIFS('Calendario E'!$Q$8:$Q$110,'Calendario E'!$M$8:$M$110,$H45,'Calendario E'!$T$8:$T$110,$H$49)+SUMIFS('Calendario E'!$X$8:$X$110,'Calendario E'!$T$8:$T$110,$H45,'Calendario E'!$M$8:$M$110,$H$49),"-")</f>
        <v>-</v>
      </c>
      <c r="AW45" s="14" t="str">
        <f aca="false">IF(AND($H45&lt;&gt;"",$H$50&lt;&gt;"",$H45&lt;&gt;$H$50,IFERROR(VLOOKUP($H45,areaCercaPuntiClassificaSquadra,3,FALSE()),-1)=IFERROR(VLOOKUP($H$50,areaCercaPuntiClassificaSquadra,3,FALSE()),-2)),SUMIFS('Calendario E'!$Q$8:$Q$110,'Calendario E'!$M$8:$M$110,$H45,'Calendario E'!$T$8:$T$110,$H$50)+SUMIFS('Calendario E'!$X$8:$X$110,'Calendario E'!$T$8:$T$110,$H45,'Calendario E'!$M$8:$M$110,$H$50),"-")</f>
        <v>-</v>
      </c>
      <c r="AX45" s="14" t="str">
        <f aca="false">IF(AND($H45&lt;&gt;"",$H$51&lt;&gt;"",$H45&lt;&gt;$H$51,IFERROR(VLOOKUP($H45,areaCercaPuntiClassificaSquadra,3,FALSE()),-1)=IFERROR(VLOOKUP($H$51,areaCercaPuntiClassificaSquadra,3,FALSE()),-2)),SUMIFS('Calendario E'!$Q$8:$Q$110,'Calendario E'!$M$8:$M$110,$H45,'Calendario E'!$T$8:$T$110,$H$51)+SUMIFS('Calendario E'!$X$8:$X$110,'Calendario E'!$T$8:$T$110,$H45,'Calendario E'!$M$8:$M$110,$H$51),"-")</f>
        <v>-</v>
      </c>
      <c r="AY45" s="13" t="str">
        <f aca="false">$C45</f>
        <v>Quetzal Quotidiani-Quetzalopoli QL</v>
      </c>
      <c r="AZ45" s="14" t="str">
        <f aca="false">IF(AND($H45&lt;&gt;"",$H$44&lt;&gt;"",$H45&lt;&gt;$H$44,IFERROR(VLOOKUP($H45,areaCercaPuntiClassificaSquadra,3,FALSE()),-1)=IFERROR(VLOOKUP($H$44,areaCercaPuntiClassificaSquadra,3,FALSE()),-2)),SUMIFS('Calendario E'!$R$8:$R$110,'Calendario E'!$M$8:$M$110,$H45,'Calendario E'!$T$8:$T$110,$H$44)+SUMIFS('Calendario E'!$Y$8:$Y$110,'Calendario E'!$T$8:$T$110,$H45,'Calendario E'!$M$8:$M$110,$H$44),"-")</f>
        <v>-</v>
      </c>
      <c r="BA45" s="14" t="str">
        <f aca="false">IF(AND($H45&lt;&gt;"",$H$45&lt;&gt;"",$H45&lt;&gt;$H$45,IFERROR(VLOOKUP($H45,areaCercaPuntiClassificaSquadra,3,FALSE()),-1)=IFERROR(VLOOKUP($H$45,areaCercaPuntiClassificaSquadra,3,FALSE()),-2)),SUMIFS('Calendario E'!$R$8:$R$110,'Calendario E'!$M$8:$M$110,$H45,'Calendario E'!$T$8:$T$110,$H$45)+SUMIFS('Calendario E'!$Y$8:$Y$110,'Calendario E'!$T$8:$T$110,$H45,'Calendario E'!$M$8:$M$110,$H$45),"-")</f>
        <v>-</v>
      </c>
      <c r="BB45" s="14" t="str">
        <f aca="false">IF(AND($H45&lt;&gt;"",$H$46&lt;&gt;"",$H45&lt;&gt;$H$46,IFERROR(VLOOKUP($H45,areaCercaPuntiClassificaSquadra,3,FALSE()),-1)=IFERROR(VLOOKUP($H$46,areaCercaPuntiClassificaSquadra,3,FALSE()),-2)),SUMIFS('Calendario E'!$R$8:$R$110,'Calendario E'!$M$8:$M$110,$H45,'Calendario E'!$T$8:$T$110,$H$46)+SUMIFS('Calendario E'!$Y$8:$Y$110,'Calendario E'!$T$8:$T$110,$H45,'Calendario E'!$M$8:$M$110,$H$46),"-")</f>
        <v>-</v>
      </c>
      <c r="BC45" s="14" t="str">
        <f aca="false">IF(AND($H45&lt;&gt;"",$H$47&lt;&gt;"",$H45&lt;&gt;$H$47,IFERROR(VLOOKUP($H45,areaCercaPuntiClassificaSquadra,3,FALSE()),-1)=IFERROR(VLOOKUP($H$47,areaCercaPuntiClassificaSquadra,3,FALSE()),-2)),SUMIFS('Calendario E'!$R$8:$R$110,'Calendario E'!$M$8:$M$110,$H45,'Calendario E'!$T$8:$T$110,$H$47)+SUMIFS('Calendario E'!$Y$8:$Y$110,'Calendario E'!$T$8:$T$110,$H45,'Calendario E'!$M$8:$M$110,$H$47),"-")</f>
        <v>-</v>
      </c>
      <c r="BD45" s="14" t="str">
        <f aca="false">IF(AND($H45&lt;&gt;"",$H$48&lt;&gt;"",$H45&lt;&gt;$H$48,IFERROR(VLOOKUP($H45,areaCercaPuntiClassificaSquadra,3,FALSE()),-1)=IFERROR(VLOOKUP($H$48,areaCercaPuntiClassificaSquadra,3,FALSE()),-2)),SUMIFS('Calendario E'!$R$8:$R$110,'Calendario E'!$M$8:$M$110,$H45,'Calendario E'!$T$8:$T$110,$H$48)+SUMIFS('Calendario E'!$Y$8:$Y$110,'Calendario E'!$T$8:$T$110,$H45,'Calendario E'!$M$8:$M$110,$H$48),"-")</f>
        <v>-</v>
      </c>
      <c r="BE45" s="14" t="str">
        <f aca="false">IF(AND($H45&lt;&gt;"",$H$49&lt;&gt;"",$H45&lt;&gt;$H$49,IFERROR(VLOOKUP($H45,areaCercaPuntiClassificaSquadra,3,FALSE()),-1)=IFERROR(VLOOKUP($H$49,areaCercaPuntiClassificaSquadra,3,FALSE()),-2)),SUMIFS('Calendario E'!$R$8:$R$110,'Calendario E'!$M$8:$M$110,$H45,'Calendario E'!$T$8:$T$110,$H$49)+SUMIFS('Calendario E'!$Y$8:$Y$110,'Calendario E'!$T$8:$T$110,$H45,'Calendario E'!$M$8:$M$110,$H$49),"-")</f>
        <v>-</v>
      </c>
      <c r="BF45" s="14" t="str">
        <f aca="false">IF(AND($H45&lt;&gt;"",$H$50&lt;&gt;"",$H45&lt;&gt;$H$50,IFERROR(VLOOKUP($H45,areaCercaPuntiClassificaSquadra,3,FALSE()),-1)=IFERROR(VLOOKUP($H$50,areaCercaPuntiClassificaSquadra,3,FALSE()),-2)),SUMIFS('Calendario E'!$R$8:$R$110,'Calendario E'!$M$8:$M$110,$H45,'Calendario E'!$T$8:$T$110,$H$50)+SUMIFS('Calendario E'!$Y$8:$Y$110,'Calendario E'!$T$8:$T$110,$H45,'Calendario E'!$M$8:$M$110,$H$50),"-")</f>
        <v>-</v>
      </c>
      <c r="BG45" s="14" t="str">
        <f aca="false">IF(AND($H45&lt;&gt;"",$H$51&lt;&gt;"",$H45&lt;&gt;$H$51,IFERROR(VLOOKUP($H45,areaCercaPuntiClassificaSquadra,3,FALSE()),-1)=IFERROR(VLOOKUP($H$51,areaCercaPuntiClassificaSquadra,3,FALSE()),-2)),SUMIFS('Calendario E'!$R$8:$R$110,'Calendario E'!$M$8:$M$110,$H45,'Calendario E'!$T$8:$T$110,$H$51)+SUMIFS('Calendario E'!$Y$8:$Y$110,'Calendario E'!$T$8:$T$110,$H45,'Calendario E'!$M$8:$M$110,$H$51),"-")</f>
        <v>-</v>
      </c>
    </row>
    <row r="46" customFormat="false" ht="15" hidden="false" customHeight="false" outlineLevel="0" collapsed="false">
      <c r="B46" s="7" t="s">
        <v>120</v>
      </c>
      <c r="C46" s="8" t="s">
        <v>121</v>
      </c>
      <c r="D46" s="9"/>
      <c r="E46" s="21" t="s">
        <v>117</v>
      </c>
      <c r="G46" s="22" t="str">
        <f aca="false">IF($C46="","",$E46&amp;(COUNTIFS(I$12:I$75,"&gt;"&amp;I46,E$12:E$75,"="&amp;E46,C$12:C$75,"&lt;&gt;")+COUNTIFS(I$12:I$75,"="&amp;I46,H$12:H$75,"&lt;="&amp;H46,E$12:E$75,"="&amp;E46,C$12:C$75,"&lt;&gt;")))</f>
        <v>E7</v>
      </c>
      <c r="H46" s="12" t="str">
        <f aca="false">IF($C46="","",IFERROR(LEFT($C46,FIND("-",$C46)-1),$C46))</f>
        <v>Ricci Rissosi</v>
      </c>
      <c r="I46" s="7" t="str">
        <f aca="false">TEXT(1000000000+J46,"|0000000000|")&amp;TEXT(SUM(Y46:AF46),"0000000000|")&amp;IF(SUM(AZ46:BG46)=0,"0000000000|",TEXT(ROUND(SUM(AQ46:AX46)/SUM(AZ46:BG46),4)*100000,"0000000000|"))&amp;IF(P46=0,"0000000000|",TEXT(ROUND(O46/P46,4)*100000,"0000000000|"))</f>
        <v>|1000000009|0000000000|0000000000|0000082290|</v>
      </c>
      <c r="J46" s="22" t="n">
        <f aca="false">L46*constPuntiVittoria+M46*constPuntiSconfitta+N46*constPuntiForfait+IF(D46="",0,D46)</f>
        <v>9</v>
      </c>
      <c r="K46" s="7" t="n">
        <f aca="false">SUM(L46:N46)</f>
        <v>7</v>
      </c>
      <c r="L46" s="7" t="n">
        <f aca="false">IF($H46="",0,SUMIF('Calendario E'!$M$8:$M$110,$H46,'Calendario E'!$N$8:$N$110)+SUMIF('Calendario E'!$T$8:$T$110,$H46,'Calendario E'!$U$8:$U$110))</f>
        <v>1</v>
      </c>
      <c r="M46" s="7" t="n">
        <f aca="false">IF($H46="",0,SUMIF('Calendario E'!$M$8:$M$110,$H46,'Calendario E'!$P$8:$P$110)+SUMIF('Calendario E'!$T$8:$T$110,$H46,'Calendario E'!$W$8:$W$110))</f>
        <v>6</v>
      </c>
      <c r="N46" s="7" t="n">
        <f aca="false">IF($H46="",0,SUMIF('Calendario E'!$M$8:$M$110,$H46,'Calendario E'!$O$8:$O$110)+SUMIF('Calendario E'!$T$8:$T$110,$H46,'Calendario E'!$V$8:$V$110))</f>
        <v>0</v>
      </c>
      <c r="O46" s="7" t="n">
        <f aca="false">IF($H46="",0,SUMIF('Calendario E'!$M$8:$M$110,$H46,'Calendario E'!$Q$8:$Q$110)+SUMIF('Calendario E'!$T$8:$T$110,$H46,'Calendario E'!$X$8:$X$110))</f>
        <v>409</v>
      </c>
      <c r="P46" s="7" t="n">
        <f aca="false">IF($H46="",0,SUMIF('Calendario E'!$M$8:$M$110,$H46,'Calendario E'!$R$8:$R$110)+SUMIF('Calendario E'!$T$8:$T$110,$H46,'Calendario E'!$Y$8:$Y$110))</f>
        <v>497</v>
      </c>
      <c r="Q46" s="7" t="n">
        <f aca="false">IF($H46="",0,SUMIF('Calendario E'!$M$8:$M$110,$H46,'Calendario E'!$S$8:$S$110)+SUMIF('Calendario E'!$T$8:$T$110,$H46,'Calendario E'!$Z$8:$Z$110))</f>
        <v>-88</v>
      </c>
      <c r="R46" s="7" t="n">
        <f aca="false">IF(K46=0,0,ROUND(O46/K46,2))</f>
        <v>58.43</v>
      </c>
      <c r="S46" s="7" t="n">
        <f aca="false">IF(K46=0,0,ROUND(P46/K46,2))</f>
        <v>71</v>
      </c>
      <c r="T46" s="7" t="n">
        <f aca="false">IF(K46=0,0,ROUND(Q46/K46,2))</f>
        <v>-12.57</v>
      </c>
      <c r="U46" s="7" t="str">
        <f aca="false">IF(COUNT(Y46:AF46)=0,"-",SUM(Y46:AF46)&amp;"-"&amp;SUM(AH46:AO46))</f>
        <v>-</v>
      </c>
      <c r="V46" s="7" t="str">
        <f aca="false">IF(COUNT(Y46:AF46)=0,"-",IF(SUM(AZ46:BG46)=0,TEXT(0,"0.0000"),TEXT(ROUND(SUM(AQ46:AX46)/SUM(AZ46:BG46),4),"0.0000")))</f>
        <v>-</v>
      </c>
      <c r="W46" s="7" t="str">
        <f aca="false">IF(H46="","-",IF(P46=0,TEXT(0,"0.0000"),TEXT(ROUND(O46/P46,4),"0.0000")))</f>
        <v>0.8229</v>
      </c>
      <c r="X46" s="13" t="str">
        <f aca="false">$C46</f>
        <v>Ricci Rissosi-Ricciopoli RI</v>
      </c>
      <c r="Y46" s="14" t="str">
        <f aca="false">IF(AND($H46&lt;&gt;"",$H$44&lt;&gt;"",$H46&lt;&gt;$H$44,IFERROR(VLOOKUP($H46,areaCercaPuntiClassificaSquadra,3,FALSE()),-1)=IFERROR(VLOOKUP($H$44,areaCercaPuntiClassificaSquadra,3,FALSE()),-2)),SUMIFS('Calendario E'!$N$8:$N$110,'Calendario E'!$M$8:$M$110,$H46,'Calendario E'!$T$8:$T$110,$H$44)+SUMIFS('Calendario E'!$U$8:$U$110,'Calendario E'!$T$8:$T$110,$H46,'Calendario E'!$M$8:$M$110,$H$44),"-")</f>
        <v>-</v>
      </c>
      <c r="Z46" s="14" t="str">
        <f aca="false">IF(AND($H46&lt;&gt;"",$H$45&lt;&gt;"",$H46&lt;&gt;$H$45,IFERROR(VLOOKUP($H46,areaCercaPuntiClassificaSquadra,3,FALSE()),-1)=IFERROR(VLOOKUP($H$45,areaCercaPuntiClassificaSquadra,3,FALSE()),-2)),SUMIFS('Calendario E'!$N$8:$N$110,'Calendario E'!$M$8:$M$110,$H46,'Calendario E'!$T$8:$T$110,$H$45)+SUMIFS('Calendario E'!$U$8:$U$110,'Calendario E'!$T$8:$T$110,$H46,'Calendario E'!$M$8:$M$110,$H$45),"-")</f>
        <v>-</v>
      </c>
      <c r="AA46" s="14" t="str">
        <f aca="false">IF(AND($H46&lt;&gt;"",$H$46&lt;&gt;"",$H46&lt;&gt;$H$46,IFERROR(VLOOKUP($H46,areaCercaPuntiClassificaSquadra,3,FALSE()),-1)=IFERROR(VLOOKUP($H$46,areaCercaPuntiClassificaSquadra,3,FALSE()),-2)),SUMIFS('Calendario E'!$N$8:$N$110,'Calendario E'!$M$8:$M$110,$H46,'Calendario E'!$T$8:$T$110,$H$46)+SUMIFS('Calendario E'!$U$8:$U$110,'Calendario E'!$T$8:$T$110,$H46,'Calendario E'!$M$8:$M$110,$H$46),"-")</f>
        <v>-</v>
      </c>
      <c r="AB46" s="14" t="str">
        <f aca="false">IF(AND($H46&lt;&gt;"",$H$47&lt;&gt;"",$H46&lt;&gt;$H$47,IFERROR(VLOOKUP($H46,areaCercaPuntiClassificaSquadra,3,FALSE()),-1)=IFERROR(VLOOKUP($H$47,areaCercaPuntiClassificaSquadra,3,FALSE()),-2)),SUMIFS('Calendario E'!$N$8:$N$110,'Calendario E'!$M$8:$M$110,$H46,'Calendario E'!$T$8:$T$110,$H$47)+SUMIFS('Calendario E'!$U$8:$U$110,'Calendario E'!$T$8:$T$110,$H46,'Calendario E'!$M$8:$M$110,$H$47),"-")</f>
        <v>-</v>
      </c>
      <c r="AC46" s="14" t="str">
        <f aca="false">IF(AND($H46&lt;&gt;"",$H$48&lt;&gt;"",$H46&lt;&gt;$H$48,IFERROR(VLOOKUP($H46,areaCercaPuntiClassificaSquadra,3,FALSE()),-1)=IFERROR(VLOOKUP($H$48,areaCercaPuntiClassificaSquadra,3,FALSE()),-2)),SUMIFS('Calendario E'!$N$8:$N$110,'Calendario E'!$M$8:$M$110,$H46,'Calendario E'!$T$8:$T$110,$H$48)+SUMIFS('Calendario E'!$U$8:$U$110,'Calendario E'!$T$8:$T$110,$H46,'Calendario E'!$M$8:$M$110,$H$48),"-")</f>
        <v>-</v>
      </c>
      <c r="AD46" s="14" t="str">
        <f aca="false">IF(AND($H46&lt;&gt;"",$H$49&lt;&gt;"",$H46&lt;&gt;$H$49,IFERROR(VLOOKUP($H46,areaCercaPuntiClassificaSquadra,3,FALSE()),-1)=IFERROR(VLOOKUP($H$49,areaCercaPuntiClassificaSquadra,3,FALSE()),-2)),SUMIFS('Calendario E'!$N$8:$N$110,'Calendario E'!$M$8:$M$110,$H46,'Calendario E'!$T$8:$T$110,$H$49)+SUMIFS('Calendario E'!$U$8:$U$110,'Calendario E'!$T$8:$T$110,$H46,'Calendario E'!$M$8:$M$110,$H$49),"-")</f>
        <v>-</v>
      </c>
      <c r="AE46" s="14" t="str">
        <f aca="false">IF(AND($H46&lt;&gt;"",$H$50&lt;&gt;"",$H46&lt;&gt;$H$50,IFERROR(VLOOKUP($H46,areaCercaPuntiClassificaSquadra,3,FALSE()),-1)=IFERROR(VLOOKUP($H$50,areaCercaPuntiClassificaSquadra,3,FALSE()),-2)),SUMIFS('Calendario E'!$N$8:$N$110,'Calendario E'!$M$8:$M$110,$H46,'Calendario E'!$T$8:$T$110,$H$50)+SUMIFS('Calendario E'!$U$8:$U$110,'Calendario E'!$T$8:$T$110,$H46,'Calendario E'!$M$8:$M$110,$H$50),"-")</f>
        <v>-</v>
      </c>
      <c r="AF46" s="14" t="str">
        <f aca="false">IF(AND($H46&lt;&gt;"",$H$51&lt;&gt;"",$H46&lt;&gt;$H$51,IFERROR(VLOOKUP($H46,areaCercaPuntiClassificaSquadra,3,FALSE()),-1)=IFERROR(VLOOKUP($H$51,areaCercaPuntiClassificaSquadra,3,FALSE()),-2)),SUMIFS('Calendario E'!$N$8:$N$110,'Calendario E'!$M$8:$M$110,$H46,'Calendario E'!$T$8:$T$110,$H$51)+SUMIFS('Calendario E'!$U$8:$U$110,'Calendario E'!$T$8:$T$110,$H46,'Calendario E'!$M$8:$M$110,$H$51),"-")</f>
        <v>-</v>
      </c>
      <c r="AG46" s="13" t="str">
        <f aca="false">$C46</f>
        <v>Ricci Rissosi-Ricciopoli RI</v>
      </c>
      <c r="AH46" s="14" t="str">
        <f aca="false">IF(AND($H46&lt;&gt;"",$H$44&lt;&gt;"",$H46&lt;&gt;$H$44,IFERROR(VLOOKUP($H46,areaCercaPuntiClassificaSquadra,3,FALSE()),-1)=IFERROR(VLOOKUP($H$44,areaCercaPuntiClassificaSquadra,3,FALSE()),-2)),SUMIFS('Calendario E'!$P$8:$P$110,'Calendario E'!$M$8:$M$110,$H46,'Calendario E'!$T$8:$T$110,$H$44)+SUMIFS('Calendario E'!$W$8:$W$110,'Calendario E'!$T$8:$T$110,$H46,'Calendario E'!$M$8:$M$110,$H$44)+SUMIFS('Calendario E'!$O$8:$O$110,'Calendario E'!$M$8:$M$110,$H46,'Calendario E'!$T$8:$T$110,$H$44)+SUMIFS('Calendario E'!$V$8:$V$110,'Calendario E'!$T$8:$T$110,$H46,'Calendario E'!$M$8:$M$110,$H$44),"-")</f>
        <v>-</v>
      </c>
      <c r="AI46" s="14" t="str">
        <f aca="false">IF(AND($H46&lt;&gt;"",$H$45&lt;&gt;"",$H46&lt;&gt;$H$45,IFERROR(VLOOKUP($H46,areaCercaPuntiClassificaSquadra,3,FALSE()),-1)=IFERROR(VLOOKUP($H$45,areaCercaPuntiClassificaSquadra,3,FALSE()),-2)),SUMIFS('Calendario E'!$P$8:$P$110,'Calendario E'!$M$8:$M$110,$H46,'Calendario E'!$T$8:$T$110,$H$45)+SUMIFS('Calendario E'!$W$8:$W$110,'Calendario E'!$T$8:$T$110,$H46,'Calendario E'!$M$8:$M$110,$H$45)+SUMIFS('Calendario E'!$O$8:$O$110,'Calendario E'!$M$8:$M$110,$H46,'Calendario E'!$T$8:$T$110,$H$45)+SUMIFS('Calendario E'!$V$8:$V$110,'Calendario E'!$T$8:$T$110,$H46,'Calendario E'!$M$8:$M$110,$H$45),"-")</f>
        <v>-</v>
      </c>
      <c r="AJ46" s="14" t="str">
        <f aca="false">IF(AND($H46&lt;&gt;"",$H$46&lt;&gt;"",$H46&lt;&gt;$H$46,IFERROR(VLOOKUP($H46,areaCercaPuntiClassificaSquadra,3,FALSE()),-1)=IFERROR(VLOOKUP($H$46,areaCercaPuntiClassificaSquadra,3,FALSE()),-2)),SUMIFS('Calendario E'!$P$8:$P$110,'Calendario E'!$M$8:$M$110,$H46,'Calendario E'!$T$8:$T$110,$H$46)+SUMIFS('Calendario E'!$W$8:$W$110,'Calendario E'!$T$8:$T$110,$H46,'Calendario E'!$M$8:$M$110,$H$46)+SUMIFS('Calendario E'!$O$8:$O$110,'Calendario E'!$M$8:$M$110,$H46,'Calendario E'!$T$8:$T$110,$H$46)+SUMIFS('Calendario E'!$V$8:$V$110,'Calendario E'!$T$8:$T$110,$H46,'Calendario E'!$M$8:$M$110,$H$46),"-")</f>
        <v>-</v>
      </c>
      <c r="AK46" s="14" t="str">
        <f aca="false">IF(AND($H46&lt;&gt;"",$H$47&lt;&gt;"",$H46&lt;&gt;$H$47,IFERROR(VLOOKUP($H46,areaCercaPuntiClassificaSquadra,3,FALSE()),-1)=IFERROR(VLOOKUP($H$47,areaCercaPuntiClassificaSquadra,3,FALSE()),-2)),SUMIFS('Calendario E'!$P$8:$P$110,'Calendario E'!$M$8:$M$110,$H46,'Calendario E'!$T$8:$T$110,$H$47)+SUMIFS('Calendario E'!$W$8:$W$110,'Calendario E'!$T$8:$T$110,$H46,'Calendario E'!$M$8:$M$110,$H$47)+SUMIFS('Calendario E'!$O$8:$O$110,'Calendario E'!$M$8:$M$110,$H46,'Calendario E'!$T$8:$T$110,$H$47)+SUMIFS('Calendario E'!$V$8:$V$110,'Calendario E'!$T$8:$T$110,$H46,'Calendario E'!$M$8:$M$110,$H$47),"-")</f>
        <v>-</v>
      </c>
      <c r="AL46" s="14" t="str">
        <f aca="false">IF(AND($H46&lt;&gt;"",$H$48&lt;&gt;"",$H46&lt;&gt;$H$48,IFERROR(VLOOKUP($H46,areaCercaPuntiClassificaSquadra,3,FALSE()),-1)=IFERROR(VLOOKUP($H$48,areaCercaPuntiClassificaSquadra,3,FALSE()),-2)),SUMIFS('Calendario E'!$P$8:$P$110,'Calendario E'!$M$8:$M$110,$H46,'Calendario E'!$T$8:$T$110,$H$48)+SUMIFS('Calendario E'!$W$8:$W$110,'Calendario E'!$T$8:$T$110,$H46,'Calendario E'!$M$8:$M$110,$H$48)+SUMIFS('Calendario E'!$O$8:$O$110,'Calendario E'!$M$8:$M$110,$H46,'Calendario E'!$T$8:$T$110,$H$48)+SUMIFS('Calendario E'!$V$8:$V$110,'Calendario E'!$T$8:$T$110,$H46,'Calendario E'!$M$8:$M$110,$H$48),"-")</f>
        <v>-</v>
      </c>
      <c r="AM46" s="14" t="str">
        <f aca="false">IF(AND($H46&lt;&gt;"",$H$49&lt;&gt;"",$H46&lt;&gt;$H$49,IFERROR(VLOOKUP($H46,areaCercaPuntiClassificaSquadra,3,FALSE()),-1)=IFERROR(VLOOKUP($H$49,areaCercaPuntiClassificaSquadra,3,FALSE()),-2)),SUMIFS('Calendario E'!$P$8:$P$110,'Calendario E'!$M$8:$M$110,$H46,'Calendario E'!$T$8:$T$110,$H$49)+SUMIFS('Calendario E'!$W$8:$W$110,'Calendario E'!$T$8:$T$110,$H46,'Calendario E'!$M$8:$M$110,$H$49)+SUMIFS('Calendario E'!$O$8:$O$110,'Calendario E'!$M$8:$M$110,$H46,'Calendario E'!$T$8:$T$110,$H$49)+SUMIFS('Calendario E'!$V$8:$V$110,'Calendario E'!$T$8:$T$110,$H46,'Calendario E'!$M$8:$M$110,$H$49),"-")</f>
        <v>-</v>
      </c>
      <c r="AN46" s="14" t="str">
        <f aca="false">IF(AND($H46&lt;&gt;"",$H$50&lt;&gt;"",$H46&lt;&gt;$H$50,IFERROR(VLOOKUP($H46,areaCercaPuntiClassificaSquadra,3,FALSE()),-1)=IFERROR(VLOOKUP($H$50,areaCercaPuntiClassificaSquadra,3,FALSE()),-2)),SUMIFS('Calendario E'!$P$8:$P$110,'Calendario E'!$M$8:$M$110,$H46,'Calendario E'!$T$8:$T$110,$H$50)+SUMIFS('Calendario E'!$W$8:$W$110,'Calendario E'!$T$8:$T$110,$H46,'Calendario E'!$M$8:$M$110,$H$50)+SUMIFS('Calendario E'!$O$8:$O$110,'Calendario E'!$M$8:$M$110,$H46,'Calendario E'!$T$8:$T$110,$H$50)+SUMIFS('Calendario E'!$V$8:$V$110,'Calendario E'!$T$8:$T$110,$H46,'Calendario E'!$M$8:$M$110,$H$50),"-")</f>
        <v>-</v>
      </c>
      <c r="AO46" s="14" t="str">
        <f aca="false">IF(AND($H46&lt;&gt;"",$H$51&lt;&gt;"",$H46&lt;&gt;$H$51,IFERROR(VLOOKUP($H46,areaCercaPuntiClassificaSquadra,3,FALSE()),-1)=IFERROR(VLOOKUP($H$51,areaCercaPuntiClassificaSquadra,3,FALSE()),-2)),SUMIFS('Calendario E'!$P$8:$P$110,'Calendario E'!$M$8:$M$110,$H46,'Calendario E'!$T$8:$T$110,$H$51)+SUMIFS('Calendario E'!$W$8:$W$110,'Calendario E'!$T$8:$T$110,$H46,'Calendario E'!$M$8:$M$110,$H$51)+SUMIFS('Calendario E'!$O$8:$O$110,'Calendario E'!$M$8:$M$110,$H46,'Calendario E'!$T$8:$T$110,$H$51)+SUMIFS('Calendario E'!$V$8:$V$110,'Calendario E'!$T$8:$T$110,$H46,'Calendario E'!$M$8:$M$110,$H$51),"-")</f>
        <v>-</v>
      </c>
      <c r="AP46" s="13" t="str">
        <f aca="false">$C46</f>
        <v>Ricci Rissosi-Ricciopoli RI</v>
      </c>
      <c r="AQ46" s="14" t="str">
        <f aca="false">IF(AND($H46&lt;&gt;"",$H$44&lt;&gt;"",$H46&lt;&gt;$H$44,IFERROR(VLOOKUP($H46,areaCercaPuntiClassificaSquadra,3,FALSE()),-1)=IFERROR(VLOOKUP($H$44,areaCercaPuntiClassificaSquadra,3,FALSE()),-2)),SUMIFS('Calendario E'!$Q$8:$Q$110,'Calendario E'!$M$8:$M$110,$H46,'Calendario E'!$T$8:$T$110,$H$44)+SUMIFS('Calendario E'!$X$8:$X$110,'Calendario E'!$T$8:$T$110,$H46,'Calendario E'!$M$8:$M$110,$H$44),"-")</f>
        <v>-</v>
      </c>
      <c r="AR46" s="14" t="str">
        <f aca="false">IF(AND($H46&lt;&gt;"",$H$45&lt;&gt;"",$H46&lt;&gt;$H$45,IFERROR(VLOOKUP($H46,areaCercaPuntiClassificaSquadra,3,FALSE()),-1)=IFERROR(VLOOKUP($H$45,areaCercaPuntiClassificaSquadra,3,FALSE()),-2)),SUMIFS('Calendario E'!$Q$8:$Q$110,'Calendario E'!$M$8:$M$110,$H46,'Calendario E'!$T$8:$T$110,$H$45)+SUMIFS('Calendario E'!$X$8:$X$110,'Calendario E'!$T$8:$T$110,$H46,'Calendario E'!$M$8:$M$110,$H$45),"-")</f>
        <v>-</v>
      </c>
      <c r="AS46" s="14" t="str">
        <f aca="false">IF(AND($H46&lt;&gt;"",$H$46&lt;&gt;"",$H46&lt;&gt;$H$46,IFERROR(VLOOKUP($H46,areaCercaPuntiClassificaSquadra,3,FALSE()),-1)=IFERROR(VLOOKUP($H$46,areaCercaPuntiClassificaSquadra,3,FALSE()),-2)),SUMIFS('Calendario E'!$Q$8:$Q$110,'Calendario E'!$M$8:$M$110,$H46,'Calendario E'!$T$8:$T$110,$H$46)+SUMIFS('Calendario E'!$X$8:$X$110,'Calendario E'!$T$8:$T$110,$H46,'Calendario E'!$M$8:$M$110,$H$46),"-")</f>
        <v>-</v>
      </c>
      <c r="AT46" s="14" t="str">
        <f aca="false">IF(AND($H46&lt;&gt;"",$H$47&lt;&gt;"",$H46&lt;&gt;$H$47,IFERROR(VLOOKUP($H46,areaCercaPuntiClassificaSquadra,3,FALSE()),-1)=IFERROR(VLOOKUP($H$47,areaCercaPuntiClassificaSquadra,3,FALSE()),-2)),SUMIFS('Calendario E'!$Q$8:$Q$110,'Calendario E'!$M$8:$M$110,$H46,'Calendario E'!$T$8:$T$110,$H$47)+SUMIFS('Calendario E'!$X$8:$X$110,'Calendario E'!$T$8:$T$110,$H46,'Calendario E'!$M$8:$M$110,$H$47),"-")</f>
        <v>-</v>
      </c>
      <c r="AU46" s="14" t="str">
        <f aca="false">IF(AND($H46&lt;&gt;"",$H$48&lt;&gt;"",$H46&lt;&gt;$H$48,IFERROR(VLOOKUP($H46,areaCercaPuntiClassificaSquadra,3,FALSE()),-1)=IFERROR(VLOOKUP($H$48,areaCercaPuntiClassificaSquadra,3,FALSE()),-2)),SUMIFS('Calendario E'!$Q$8:$Q$110,'Calendario E'!$M$8:$M$110,$H46,'Calendario E'!$T$8:$T$110,$H$48)+SUMIFS('Calendario E'!$X$8:$X$110,'Calendario E'!$T$8:$T$110,$H46,'Calendario E'!$M$8:$M$110,$H$48),"-")</f>
        <v>-</v>
      </c>
      <c r="AV46" s="14" t="str">
        <f aca="false">IF(AND($H46&lt;&gt;"",$H$49&lt;&gt;"",$H46&lt;&gt;$H$49,IFERROR(VLOOKUP($H46,areaCercaPuntiClassificaSquadra,3,FALSE()),-1)=IFERROR(VLOOKUP($H$49,areaCercaPuntiClassificaSquadra,3,FALSE()),-2)),SUMIFS('Calendario E'!$Q$8:$Q$110,'Calendario E'!$M$8:$M$110,$H46,'Calendario E'!$T$8:$T$110,$H$49)+SUMIFS('Calendario E'!$X$8:$X$110,'Calendario E'!$T$8:$T$110,$H46,'Calendario E'!$M$8:$M$110,$H$49),"-")</f>
        <v>-</v>
      </c>
      <c r="AW46" s="14" t="str">
        <f aca="false">IF(AND($H46&lt;&gt;"",$H$50&lt;&gt;"",$H46&lt;&gt;$H$50,IFERROR(VLOOKUP($H46,areaCercaPuntiClassificaSquadra,3,FALSE()),-1)=IFERROR(VLOOKUP($H$50,areaCercaPuntiClassificaSquadra,3,FALSE()),-2)),SUMIFS('Calendario E'!$Q$8:$Q$110,'Calendario E'!$M$8:$M$110,$H46,'Calendario E'!$T$8:$T$110,$H$50)+SUMIFS('Calendario E'!$X$8:$X$110,'Calendario E'!$T$8:$T$110,$H46,'Calendario E'!$M$8:$M$110,$H$50),"-")</f>
        <v>-</v>
      </c>
      <c r="AX46" s="14" t="str">
        <f aca="false">IF(AND($H46&lt;&gt;"",$H$51&lt;&gt;"",$H46&lt;&gt;$H$51,IFERROR(VLOOKUP($H46,areaCercaPuntiClassificaSquadra,3,FALSE()),-1)=IFERROR(VLOOKUP($H$51,areaCercaPuntiClassificaSquadra,3,FALSE()),-2)),SUMIFS('Calendario E'!$Q$8:$Q$110,'Calendario E'!$M$8:$M$110,$H46,'Calendario E'!$T$8:$T$110,$H$51)+SUMIFS('Calendario E'!$X$8:$X$110,'Calendario E'!$T$8:$T$110,$H46,'Calendario E'!$M$8:$M$110,$H$51),"-")</f>
        <v>-</v>
      </c>
      <c r="AY46" s="13" t="str">
        <f aca="false">$C46</f>
        <v>Ricci Rissosi-Ricciopoli RI</v>
      </c>
      <c r="AZ46" s="14" t="str">
        <f aca="false">IF(AND($H46&lt;&gt;"",$H$44&lt;&gt;"",$H46&lt;&gt;$H$44,IFERROR(VLOOKUP($H46,areaCercaPuntiClassificaSquadra,3,FALSE()),-1)=IFERROR(VLOOKUP($H$44,areaCercaPuntiClassificaSquadra,3,FALSE()),-2)),SUMIFS('Calendario E'!$R$8:$R$110,'Calendario E'!$M$8:$M$110,$H46,'Calendario E'!$T$8:$T$110,$H$44)+SUMIFS('Calendario E'!$Y$8:$Y$110,'Calendario E'!$T$8:$T$110,$H46,'Calendario E'!$M$8:$M$110,$H$44),"-")</f>
        <v>-</v>
      </c>
      <c r="BA46" s="14" t="str">
        <f aca="false">IF(AND($H46&lt;&gt;"",$H$45&lt;&gt;"",$H46&lt;&gt;$H$45,IFERROR(VLOOKUP($H46,areaCercaPuntiClassificaSquadra,3,FALSE()),-1)=IFERROR(VLOOKUP($H$45,areaCercaPuntiClassificaSquadra,3,FALSE()),-2)),SUMIFS('Calendario E'!$R$8:$R$110,'Calendario E'!$M$8:$M$110,$H46,'Calendario E'!$T$8:$T$110,$H$45)+SUMIFS('Calendario E'!$Y$8:$Y$110,'Calendario E'!$T$8:$T$110,$H46,'Calendario E'!$M$8:$M$110,$H$45),"-")</f>
        <v>-</v>
      </c>
      <c r="BB46" s="14" t="str">
        <f aca="false">IF(AND($H46&lt;&gt;"",$H$46&lt;&gt;"",$H46&lt;&gt;$H$46,IFERROR(VLOOKUP($H46,areaCercaPuntiClassificaSquadra,3,FALSE()),-1)=IFERROR(VLOOKUP($H$46,areaCercaPuntiClassificaSquadra,3,FALSE()),-2)),SUMIFS('Calendario E'!$R$8:$R$110,'Calendario E'!$M$8:$M$110,$H46,'Calendario E'!$T$8:$T$110,$H$46)+SUMIFS('Calendario E'!$Y$8:$Y$110,'Calendario E'!$T$8:$T$110,$H46,'Calendario E'!$M$8:$M$110,$H$46),"-")</f>
        <v>-</v>
      </c>
      <c r="BC46" s="14" t="str">
        <f aca="false">IF(AND($H46&lt;&gt;"",$H$47&lt;&gt;"",$H46&lt;&gt;$H$47,IFERROR(VLOOKUP($H46,areaCercaPuntiClassificaSquadra,3,FALSE()),-1)=IFERROR(VLOOKUP($H$47,areaCercaPuntiClassificaSquadra,3,FALSE()),-2)),SUMIFS('Calendario E'!$R$8:$R$110,'Calendario E'!$M$8:$M$110,$H46,'Calendario E'!$T$8:$T$110,$H$47)+SUMIFS('Calendario E'!$Y$8:$Y$110,'Calendario E'!$T$8:$T$110,$H46,'Calendario E'!$M$8:$M$110,$H$47),"-")</f>
        <v>-</v>
      </c>
      <c r="BD46" s="14" t="str">
        <f aca="false">IF(AND($H46&lt;&gt;"",$H$48&lt;&gt;"",$H46&lt;&gt;$H$48,IFERROR(VLOOKUP($H46,areaCercaPuntiClassificaSquadra,3,FALSE()),-1)=IFERROR(VLOOKUP($H$48,areaCercaPuntiClassificaSquadra,3,FALSE()),-2)),SUMIFS('Calendario E'!$R$8:$R$110,'Calendario E'!$M$8:$M$110,$H46,'Calendario E'!$T$8:$T$110,$H$48)+SUMIFS('Calendario E'!$Y$8:$Y$110,'Calendario E'!$T$8:$T$110,$H46,'Calendario E'!$M$8:$M$110,$H$48),"-")</f>
        <v>-</v>
      </c>
      <c r="BE46" s="14" t="str">
        <f aca="false">IF(AND($H46&lt;&gt;"",$H$49&lt;&gt;"",$H46&lt;&gt;$H$49,IFERROR(VLOOKUP($H46,areaCercaPuntiClassificaSquadra,3,FALSE()),-1)=IFERROR(VLOOKUP($H$49,areaCercaPuntiClassificaSquadra,3,FALSE()),-2)),SUMIFS('Calendario E'!$R$8:$R$110,'Calendario E'!$M$8:$M$110,$H46,'Calendario E'!$T$8:$T$110,$H$49)+SUMIFS('Calendario E'!$Y$8:$Y$110,'Calendario E'!$T$8:$T$110,$H46,'Calendario E'!$M$8:$M$110,$H$49),"-")</f>
        <v>-</v>
      </c>
      <c r="BF46" s="14" t="str">
        <f aca="false">IF(AND($H46&lt;&gt;"",$H$50&lt;&gt;"",$H46&lt;&gt;$H$50,IFERROR(VLOOKUP($H46,areaCercaPuntiClassificaSquadra,3,FALSE()),-1)=IFERROR(VLOOKUP($H$50,areaCercaPuntiClassificaSquadra,3,FALSE()),-2)),SUMIFS('Calendario E'!$R$8:$R$110,'Calendario E'!$M$8:$M$110,$H46,'Calendario E'!$T$8:$T$110,$H$50)+SUMIFS('Calendario E'!$Y$8:$Y$110,'Calendario E'!$T$8:$T$110,$H46,'Calendario E'!$M$8:$M$110,$H$50),"-")</f>
        <v>-</v>
      </c>
      <c r="BG46" s="14" t="str">
        <f aca="false">IF(AND($H46&lt;&gt;"",$H$51&lt;&gt;"",$H46&lt;&gt;$H$51,IFERROR(VLOOKUP($H46,areaCercaPuntiClassificaSquadra,3,FALSE()),-1)=IFERROR(VLOOKUP($H$51,areaCercaPuntiClassificaSquadra,3,FALSE()),-2)),SUMIFS('Calendario E'!$R$8:$R$110,'Calendario E'!$M$8:$M$110,$H46,'Calendario E'!$T$8:$T$110,$H$51)+SUMIFS('Calendario E'!$Y$8:$Y$110,'Calendario E'!$T$8:$T$110,$H46,'Calendario E'!$M$8:$M$110,$H$51),"-")</f>
        <v>-</v>
      </c>
    </row>
    <row r="47" customFormat="false" ht="15" hidden="false" customHeight="false" outlineLevel="0" collapsed="false">
      <c r="B47" s="7" t="s">
        <v>122</v>
      </c>
      <c r="C47" s="8" t="s">
        <v>123</v>
      </c>
      <c r="D47" s="9"/>
      <c r="E47" s="21" t="s">
        <v>117</v>
      </c>
      <c r="G47" s="22" t="str">
        <f aca="false">IF($C47="","",$E47&amp;(COUNTIFS(I$12:I$75,"&gt;"&amp;I47,E$12:E$75,"="&amp;E47,C$12:C$75,"&lt;&gt;")+COUNTIFS(I$12:I$75,"="&amp;I47,H$12:H$75,"&lt;="&amp;H47,E$12:E$75,"="&amp;E47,C$12:C$75,"&lt;&gt;")))</f>
        <v>E3</v>
      </c>
      <c r="H47" s="12" t="str">
        <f aca="false">IF($C47="","",IFERROR(LEFT($C47,FIND("-",$C47)-1),$C47))</f>
        <v>Scoiattoli Scattanti</v>
      </c>
      <c r="I47" s="7" t="str">
        <f aca="false">TEXT(1000000000+J47,"|0000000000|")&amp;TEXT(SUM(Y47:AF47),"0000000000|")&amp;IF(SUM(AZ47:BG47)=0,"0000000000|",TEXT(ROUND(SUM(AQ47:AX47)/SUM(AZ47:BG47),4)*100000,"0000000000|"))&amp;IF(P47=0,"0000000000|",TEXT(ROUND(O47/P47,4)*100000,"0000000000|"))</f>
        <v>|1000000019|0000000001|0000082280|0000112790|</v>
      </c>
      <c r="J47" s="22" t="n">
        <f aca="false">L47*constPuntiVittoria+M47*constPuntiSconfitta+N47*constPuntiForfait+IF(D47="",0,D47)</f>
        <v>19</v>
      </c>
      <c r="K47" s="7" t="n">
        <f aca="false">SUM(L47:N47)</f>
        <v>7</v>
      </c>
      <c r="L47" s="7" t="n">
        <f aca="false">IF($H47="",0,SUMIF('Calendario E'!$M$8:$M$110,$H47,'Calendario E'!$N$8:$N$110)+SUMIF('Calendario E'!$T$8:$T$110,$H47,'Calendario E'!$U$8:$U$110))</f>
        <v>6</v>
      </c>
      <c r="M47" s="7" t="n">
        <f aca="false">IF($H47="",0,SUMIF('Calendario E'!$M$8:$M$110,$H47,'Calendario E'!$P$8:$P$110)+SUMIF('Calendario E'!$T$8:$T$110,$H47,'Calendario E'!$W$8:$W$110))</f>
        <v>1</v>
      </c>
      <c r="N47" s="7" t="n">
        <f aca="false">IF($H47="",0,SUMIF('Calendario E'!$M$8:$M$110,$H47,'Calendario E'!$O$8:$O$110)+SUMIF('Calendario E'!$T$8:$T$110,$H47,'Calendario E'!$V$8:$V$110))</f>
        <v>0</v>
      </c>
      <c r="O47" s="7" t="n">
        <f aca="false">IF($H47="",0,SUMIF('Calendario E'!$M$8:$M$110,$H47,'Calendario E'!$Q$8:$Q$110)+SUMIF('Calendario E'!$T$8:$T$110,$H47,'Calendario E'!$X$8:$X$110))</f>
        <v>485</v>
      </c>
      <c r="P47" s="7" t="n">
        <f aca="false">IF($H47="",0,SUMIF('Calendario E'!$M$8:$M$110,$H47,'Calendario E'!$R$8:$R$110)+SUMIF('Calendario E'!$T$8:$T$110,$H47,'Calendario E'!$Y$8:$Y$110))</f>
        <v>430</v>
      </c>
      <c r="Q47" s="7" t="n">
        <f aca="false">IF($H47="",0,SUMIF('Calendario E'!$M$8:$M$110,$H47,'Calendario E'!$S$8:$S$110)+SUMIF('Calendario E'!$T$8:$T$110,$H47,'Calendario E'!$Z$8:$Z$110))</f>
        <v>55</v>
      </c>
      <c r="R47" s="7" t="n">
        <f aca="false">IF(K47=0,0,ROUND(O47/K47,2))</f>
        <v>69.29</v>
      </c>
      <c r="S47" s="7" t="n">
        <f aca="false">IF(K47=0,0,ROUND(P47/K47,2))</f>
        <v>61.43</v>
      </c>
      <c r="T47" s="7" t="n">
        <f aca="false">IF(K47=0,0,ROUND(Q47/K47,2))</f>
        <v>7.86</v>
      </c>
      <c r="U47" s="7" t="str">
        <f aca="false">IF(COUNT(Y47:AF47)=0,"-",SUM(Y47:AF47)&amp;"-"&amp;SUM(AH47:AO47))</f>
        <v>1-1</v>
      </c>
      <c r="V47" s="7" t="str">
        <f aca="false">IF(COUNT(Y47:AF47)=0,"-",IF(SUM(AZ47:BG47)=0,TEXT(0,"0.0000"),TEXT(ROUND(SUM(AQ47:AX47)/SUM(AZ47:BG47),4),"0.0000")))</f>
        <v>0.8228</v>
      </c>
      <c r="W47" s="7" t="str">
        <f aca="false">IF(H47="","-",IF(P47=0,TEXT(0,"0.0000"),TEXT(ROUND(O47/P47,4),"0.0000")))</f>
        <v>1.1279</v>
      </c>
      <c r="X47" s="13" t="str">
        <f aca="false">$C47</f>
        <v>Scoiattoli Scattanti-Scoiattoliopoli SI</v>
      </c>
      <c r="Y47" s="14" t="str">
        <f aca="false">IF(AND($H47&lt;&gt;"",$H$44&lt;&gt;"",$H47&lt;&gt;$H$44,IFERROR(VLOOKUP($H47,areaCercaPuntiClassificaSquadra,3,FALSE()),-1)=IFERROR(VLOOKUP($H$44,areaCercaPuntiClassificaSquadra,3,FALSE()),-2)),SUMIFS('Calendario E'!$N$8:$N$110,'Calendario E'!$M$8:$M$110,$H47,'Calendario E'!$T$8:$T$110,$H$44)+SUMIFS('Calendario E'!$U$8:$U$110,'Calendario E'!$T$8:$T$110,$H47,'Calendario E'!$M$8:$M$110,$H$44),"-")</f>
        <v>-</v>
      </c>
      <c r="Z47" s="14" t="str">
        <f aca="false">IF(AND($H47&lt;&gt;"",$H$45&lt;&gt;"",$H47&lt;&gt;$H$45,IFERROR(VLOOKUP($H47,areaCercaPuntiClassificaSquadra,3,FALSE()),-1)=IFERROR(VLOOKUP($H$45,areaCercaPuntiClassificaSquadra,3,FALSE()),-2)),SUMIFS('Calendario E'!$N$8:$N$110,'Calendario E'!$M$8:$M$110,$H47,'Calendario E'!$T$8:$T$110,$H$45)+SUMIFS('Calendario E'!$U$8:$U$110,'Calendario E'!$T$8:$T$110,$H47,'Calendario E'!$M$8:$M$110,$H$45),"-")</f>
        <v>-</v>
      </c>
      <c r="AA47" s="14" t="str">
        <f aca="false">IF(AND($H47&lt;&gt;"",$H$46&lt;&gt;"",$H47&lt;&gt;$H$46,IFERROR(VLOOKUP($H47,areaCercaPuntiClassificaSquadra,3,FALSE()),-1)=IFERROR(VLOOKUP($H$46,areaCercaPuntiClassificaSquadra,3,FALSE()),-2)),SUMIFS('Calendario E'!$N$8:$N$110,'Calendario E'!$M$8:$M$110,$H47,'Calendario E'!$T$8:$T$110,$H$46)+SUMIFS('Calendario E'!$U$8:$U$110,'Calendario E'!$T$8:$T$110,$H47,'Calendario E'!$M$8:$M$110,$H$46),"-")</f>
        <v>-</v>
      </c>
      <c r="AB47" s="14" t="str">
        <f aca="false">IF(AND($H47&lt;&gt;"",$H$47&lt;&gt;"",$H47&lt;&gt;$H$47,IFERROR(VLOOKUP($H47,areaCercaPuntiClassificaSquadra,3,FALSE()),-1)=IFERROR(VLOOKUP($H$47,areaCercaPuntiClassificaSquadra,3,FALSE()),-2)),SUMIFS('Calendario E'!$N$8:$N$110,'Calendario E'!$M$8:$M$110,$H47,'Calendario E'!$T$8:$T$110,$H$47)+SUMIFS('Calendario E'!$U$8:$U$110,'Calendario E'!$T$8:$T$110,$H47,'Calendario E'!$M$8:$M$110,$H$47),"-")</f>
        <v>-</v>
      </c>
      <c r="AC47" s="14" t="n">
        <f aca="false">IF(AND($H47&lt;&gt;"",$H$48&lt;&gt;"",$H47&lt;&gt;$H$48,IFERROR(VLOOKUP($H47,areaCercaPuntiClassificaSquadra,3,FALSE()),-1)=IFERROR(VLOOKUP($H$48,areaCercaPuntiClassificaSquadra,3,FALSE()),-2)),SUMIFS('Calendario E'!$N$8:$N$110,'Calendario E'!$M$8:$M$110,$H47,'Calendario E'!$T$8:$T$110,$H$48)+SUMIFS('Calendario E'!$U$8:$U$110,'Calendario E'!$T$8:$T$110,$H47,'Calendario E'!$M$8:$M$110,$H$48),"-")</f>
        <v>0</v>
      </c>
      <c r="AD47" s="14" t="str">
        <f aca="false">IF(AND($H47&lt;&gt;"",$H$49&lt;&gt;"",$H47&lt;&gt;$H$49,IFERROR(VLOOKUP($H47,areaCercaPuntiClassificaSquadra,3,FALSE()),-1)=IFERROR(VLOOKUP($H$49,areaCercaPuntiClassificaSquadra,3,FALSE()),-2)),SUMIFS('Calendario E'!$N$8:$N$110,'Calendario E'!$M$8:$M$110,$H47,'Calendario E'!$T$8:$T$110,$H$49)+SUMIFS('Calendario E'!$U$8:$U$110,'Calendario E'!$T$8:$T$110,$H47,'Calendario E'!$M$8:$M$110,$H$49),"-")</f>
        <v>-</v>
      </c>
      <c r="AE47" s="14" t="str">
        <f aca="false">IF(AND($H47&lt;&gt;"",$H$50&lt;&gt;"",$H47&lt;&gt;$H$50,IFERROR(VLOOKUP($H47,areaCercaPuntiClassificaSquadra,3,FALSE()),-1)=IFERROR(VLOOKUP($H$50,areaCercaPuntiClassificaSquadra,3,FALSE()),-2)),SUMIFS('Calendario E'!$N$8:$N$110,'Calendario E'!$M$8:$M$110,$H47,'Calendario E'!$T$8:$T$110,$H$50)+SUMIFS('Calendario E'!$U$8:$U$110,'Calendario E'!$T$8:$T$110,$H47,'Calendario E'!$M$8:$M$110,$H$50),"-")</f>
        <v>-</v>
      </c>
      <c r="AF47" s="14" t="n">
        <f aca="false">IF(AND($H47&lt;&gt;"",$H$51&lt;&gt;"",$H47&lt;&gt;$H$51,IFERROR(VLOOKUP($H47,areaCercaPuntiClassificaSquadra,3,FALSE()),-1)=IFERROR(VLOOKUP($H$51,areaCercaPuntiClassificaSquadra,3,FALSE()),-2)),SUMIFS('Calendario E'!$N$8:$N$110,'Calendario E'!$M$8:$M$110,$H47,'Calendario E'!$T$8:$T$110,$H$51)+SUMIFS('Calendario E'!$U$8:$U$110,'Calendario E'!$T$8:$T$110,$H47,'Calendario E'!$M$8:$M$110,$H$51),"-")</f>
        <v>1</v>
      </c>
      <c r="AG47" s="13" t="str">
        <f aca="false">$C47</f>
        <v>Scoiattoli Scattanti-Scoiattoliopoli SI</v>
      </c>
      <c r="AH47" s="14" t="str">
        <f aca="false">IF(AND($H47&lt;&gt;"",$H$44&lt;&gt;"",$H47&lt;&gt;$H$44,IFERROR(VLOOKUP($H47,areaCercaPuntiClassificaSquadra,3,FALSE()),-1)=IFERROR(VLOOKUP($H$44,areaCercaPuntiClassificaSquadra,3,FALSE()),-2)),SUMIFS('Calendario E'!$P$8:$P$110,'Calendario E'!$M$8:$M$110,$H47,'Calendario E'!$T$8:$T$110,$H$44)+SUMIFS('Calendario E'!$W$8:$W$110,'Calendario E'!$T$8:$T$110,$H47,'Calendario E'!$M$8:$M$110,$H$44)+SUMIFS('Calendario E'!$O$8:$O$110,'Calendario E'!$M$8:$M$110,$H47,'Calendario E'!$T$8:$T$110,$H$44)+SUMIFS('Calendario E'!$V$8:$V$110,'Calendario E'!$T$8:$T$110,$H47,'Calendario E'!$M$8:$M$110,$H$44),"-")</f>
        <v>-</v>
      </c>
      <c r="AI47" s="14" t="str">
        <f aca="false">IF(AND($H47&lt;&gt;"",$H$45&lt;&gt;"",$H47&lt;&gt;$H$45,IFERROR(VLOOKUP($H47,areaCercaPuntiClassificaSquadra,3,FALSE()),-1)=IFERROR(VLOOKUP($H$45,areaCercaPuntiClassificaSquadra,3,FALSE()),-2)),SUMIFS('Calendario E'!$P$8:$P$110,'Calendario E'!$M$8:$M$110,$H47,'Calendario E'!$T$8:$T$110,$H$45)+SUMIFS('Calendario E'!$W$8:$W$110,'Calendario E'!$T$8:$T$110,$H47,'Calendario E'!$M$8:$M$110,$H$45)+SUMIFS('Calendario E'!$O$8:$O$110,'Calendario E'!$M$8:$M$110,$H47,'Calendario E'!$T$8:$T$110,$H$45)+SUMIFS('Calendario E'!$V$8:$V$110,'Calendario E'!$T$8:$T$110,$H47,'Calendario E'!$M$8:$M$110,$H$45),"-")</f>
        <v>-</v>
      </c>
      <c r="AJ47" s="14" t="str">
        <f aca="false">IF(AND($H47&lt;&gt;"",$H$46&lt;&gt;"",$H47&lt;&gt;$H$46,IFERROR(VLOOKUP($H47,areaCercaPuntiClassificaSquadra,3,FALSE()),-1)=IFERROR(VLOOKUP($H$46,areaCercaPuntiClassificaSquadra,3,FALSE()),-2)),SUMIFS('Calendario E'!$P$8:$P$110,'Calendario E'!$M$8:$M$110,$H47,'Calendario E'!$T$8:$T$110,$H$46)+SUMIFS('Calendario E'!$W$8:$W$110,'Calendario E'!$T$8:$T$110,$H47,'Calendario E'!$M$8:$M$110,$H$46)+SUMIFS('Calendario E'!$O$8:$O$110,'Calendario E'!$M$8:$M$110,$H47,'Calendario E'!$T$8:$T$110,$H$46)+SUMIFS('Calendario E'!$V$8:$V$110,'Calendario E'!$T$8:$T$110,$H47,'Calendario E'!$M$8:$M$110,$H$46),"-")</f>
        <v>-</v>
      </c>
      <c r="AK47" s="14" t="str">
        <f aca="false">IF(AND($H47&lt;&gt;"",$H$47&lt;&gt;"",$H47&lt;&gt;$H$47,IFERROR(VLOOKUP($H47,areaCercaPuntiClassificaSquadra,3,FALSE()),-1)=IFERROR(VLOOKUP($H$47,areaCercaPuntiClassificaSquadra,3,FALSE()),-2)),SUMIFS('Calendario E'!$P$8:$P$110,'Calendario E'!$M$8:$M$110,$H47,'Calendario E'!$T$8:$T$110,$H$47)+SUMIFS('Calendario E'!$W$8:$W$110,'Calendario E'!$T$8:$T$110,$H47,'Calendario E'!$M$8:$M$110,$H$47)+SUMIFS('Calendario E'!$O$8:$O$110,'Calendario E'!$M$8:$M$110,$H47,'Calendario E'!$T$8:$T$110,$H$47)+SUMIFS('Calendario E'!$V$8:$V$110,'Calendario E'!$T$8:$T$110,$H47,'Calendario E'!$M$8:$M$110,$H$47),"-")</f>
        <v>-</v>
      </c>
      <c r="AL47" s="14" t="n">
        <f aca="false">IF(AND($H47&lt;&gt;"",$H$48&lt;&gt;"",$H47&lt;&gt;$H$48,IFERROR(VLOOKUP($H47,areaCercaPuntiClassificaSquadra,3,FALSE()),-1)=IFERROR(VLOOKUP($H$48,areaCercaPuntiClassificaSquadra,3,FALSE()),-2)),SUMIFS('Calendario E'!$P$8:$P$110,'Calendario E'!$M$8:$M$110,$H47,'Calendario E'!$T$8:$T$110,$H$48)+SUMIFS('Calendario E'!$W$8:$W$110,'Calendario E'!$T$8:$T$110,$H47,'Calendario E'!$M$8:$M$110,$H$48)+SUMIFS('Calendario E'!$O$8:$O$110,'Calendario E'!$M$8:$M$110,$H47,'Calendario E'!$T$8:$T$110,$H$48)+SUMIFS('Calendario E'!$V$8:$V$110,'Calendario E'!$T$8:$T$110,$H47,'Calendario E'!$M$8:$M$110,$H$48),"-")</f>
        <v>1</v>
      </c>
      <c r="AM47" s="14" t="str">
        <f aca="false">IF(AND($H47&lt;&gt;"",$H$49&lt;&gt;"",$H47&lt;&gt;$H$49,IFERROR(VLOOKUP($H47,areaCercaPuntiClassificaSquadra,3,FALSE()),-1)=IFERROR(VLOOKUP($H$49,areaCercaPuntiClassificaSquadra,3,FALSE()),-2)),SUMIFS('Calendario E'!$P$8:$P$110,'Calendario E'!$M$8:$M$110,$H47,'Calendario E'!$T$8:$T$110,$H$49)+SUMIFS('Calendario E'!$W$8:$W$110,'Calendario E'!$T$8:$T$110,$H47,'Calendario E'!$M$8:$M$110,$H$49)+SUMIFS('Calendario E'!$O$8:$O$110,'Calendario E'!$M$8:$M$110,$H47,'Calendario E'!$T$8:$T$110,$H$49)+SUMIFS('Calendario E'!$V$8:$V$110,'Calendario E'!$T$8:$T$110,$H47,'Calendario E'!$M$8:$M$110,$H$49),"-")</f>
        <v>-</v>
      </c>
      <c r="AN47" s="14" t="str">
        <f aca="false">IF(AND($H47&lt;&gt;"",$H$50&lt;&gt;"",$H47&lt;&gt;$H$50,IFERROR(VLOOKUP($H47,areaCercaPuntiClassificaSquadra,3,FALSE()),-1)=IFERROR(VLOOKUP($H$50,areaCercaPuntiClassificaSquadra,3,FALSE()),-2)),SUMIFS('Calendario E'!$P$8:$P$110,'Calendario E'!$M$8:$M$110,$H47,'Calendario E'!$T$8:$T$110,$H$50)+SUMIFS('Calendario E'!$W$8:$W$110,'Calendario E'!$T$8:$T$110,$H47,'Calendario E'!$M$8:$M$110,$H$50)+SUMIFS('Calendario E'!$O$8:$O$110,'Calendario E'!$M$8:$M$110,$H47,'Calendario E'!$T$8:$T$110,$H$50)+SUMIFS('Calendario E'!$V$8:$V$110,'Calendario E'!$T$8:$T$110,$H47,'Calendario E'!$M$8:$M$110,$H$50),"-")</f>
        <v>-</v>
      </c>
      <c r="AO47" s="14" t="n">
        <f aca="false">IF(AND($H47&lt;&gt;"",$H$51&lt;&gt;"",$H47&lt;&gt;$H$51,IFERROR(VLOOKUP($H47,areaCercaPuntiClassificaSquadra,3,FALSE()),-1)=IFERROR(VLOOKUP($H$51,areaCercaPuntiClassificaSquadra,3,FALSE()),-2)),SUMIFS('Calendario E'!$P$8:$P$110,'Calendario E'!$M$8:$M$110,$H47,'Calendario E'!$T$8:$T$110,$H$51)+SUMIFS('Calendario E'!$W$8:$W$110,'Calendario E'!$T$8:$T$110,$H47,'Calendario E'!$M$8:$M$110,$H$51)+SUMIFS('Calendario E'!$O$8:$O$110,'Calendario E'!$M$8:$M$110,$H47,'Calendario E'!$T$8:$T$110,$H$51)+SUMIFS('Calendario E'!$V$8:$V$110,'Calendario E'!$T$8:$T$110,$H47,'Calendario E'!$M$8:$M$110,$H$51),"-")</f>
        <v>0</v>
      </c>
      <c r="AP47" s="13" t="str">
        <f aca="false">$C47</f>
        <v>Scoiattoli Scattanti-Scoiattoliopoli SI</v>
      </c>
      <c r="AQ47" s="14" t="str">
        <f aca="false">IF(AND($H47&lt;&gt;"",$H$44&lt;&gt;"",$H47&lt;&gt;$H$44,IFERROR(VLOOKUP($H47,areaCercaPuntiClassificaSquadra,3,FALSE()),-1)=IFERROR(VLOOKUP($H$44,areaCercaPuntiClassificaSquadra,3,FALSE()),-2)),SUMIFS('Calendario E'!$Q$8:$Q$110,'Calendario E'!$M$8:$M$110,$H47,'Calendario E'!$T$8:$T$110,$H$44)+SUMIFS('Calendario E'!$X$8:$X$110,'Calendario E'!$T$8:$T$110,$H47,'Calendario E'!$M$8:$M$110,$H$44),"-")</f>
        <v>-</v>
      </c>
      <c r="AR47" s="14" t="str">
        <f aca="false">IF(AND($H47&lt;&gt;"",$H$45&lt;&gt;"",$H47&lt;&gt;$H$45,IFERROR(VLOOKUP($H47,areaCercaPuntiClassificaSquadra,3,FALSE()),-1)=IFERROR(VLOOKUP($H$45,areaCercaPuntiClassificaSquadra,3,FALSE()),-2)),SUMIFS('Calendario E'!$Q$8:$Q$110,'Calendario E'!$M$8:$M$110,$H47,'Calendario E'!$T$8:$T$110,$H$45)+SUMIFS('Calendario E'!$X$8:$X$110,'Calendario E'!$T$8:$T$110,$H47,'Calendario E'!$M$8:$M$110,$H$45),"-")</f>
        <v>-</v>
      </c>
      <c r="AS47" s="14" t="str">
        <f aca="false">IF(AND($H47&lt;&gt;"",$H$46&lt;&gt;"",$H47&lt;&gt;$H$46,IFERROR(VLOOKUP($H47,areaCercaPuntiClassificaSquadra,3,FALSE()),-1)=IFERROR(VLOOKUP($H$46,areaCercaPuntiClassificaSquadra,3,FALSE()),-2)),SUMIFS('Calendario E'!$Q$8:$Q$110,'Calendario E'!$M$8:$M$110,$H47,'Calendario E'!$T$8:$T$110,$H$46)+SUMIFS('Calendario E'!$X$8:$X$110,'Calendario E'!$T$8:$T$110,$H47,'Calendario E'!$M$8:$M$110,$H$46),"-")</f>
        <v>-</v>
      </c>
      <c r="AT47" s="14" t="str">
        <f aca="false">IF(AND($H47&lt;&gt;"",$H$47&lt;&gt;"",$H47&lt;&gt;$H$47,IFERROR(VLOOKUP($H47,areaCercaPuntiClassificaSquadra,3,FALSE()),-1)=IFERROR(VLOOKUP($H$47,areaCercaPuntiClassificaSquadra,3,FALSE()),-2)),SUMIFS('Calendario E'!$Q$8:$Q$110,'Calendario E'!$M$8:$M$110,$H47,'Calendario E'!$T$8:$T$110,$H$47)+SUMIFS('Calendario E'!$X$8:$X$110,'Calendario E'!$T$8:$T$110,$H47,'Calendario E'!$M$8:$M$110,$H$47),"-")</f>
        <v>-</v>
      </c>
      <c r="AU47" s="14" t="n">
        <f aca="false">IF(AND($H47&lt;&gt;"",$H$48&lt;&gt;"",$H47&lt;&gt;$H$48,IFERROR(VLOOKUP($H47,areaCercaPuntiClassificaSquadra,3,FALSE()),-1)=IFERROR(VLOOKUP($H$48,areaCercaPuntiClassificaSquadra,3,FALSE()),-2)),SUMIFS('Calendario E'!$Q$8:$Q$110,'Calendario E'!$M$8:$M$110,$H47,'Calendario E'!$T$8:$T$110,$H$48)+SUMIFS('Calendario E'!$X$8:$X$110,'Calendario E'!$T$8:$T$110,$H47,'Calendario E'!$M$8:$M$110,$H$48),"-")</f>
        <v>55</v>
      </c>
      <c r="AV47" s="14" t="str">
        <f aca="false">IF(AND($H47&lt;&gt;"",$H$49&lt;&gt;"",$H47&lt;&gt;$H$49,IFERROR(VLOOKUP($H47,areaCercaPuntiClassificaSquadra,3,FALSE()),-1)=IFERROR(VLOOKUP($H$49,areaCercaPuntiClassificaSquadra,3,FALSE()),-2)),SUMIFS('Calendario E'!$Q$8:$Q$110,'Calendario E'!$M$8:$M$110,$H47,'Calendario E'!$T$8:$T$110,$H$49)+SUMIFS('Calendario E'!$X$8:$X$110,'Calendario E'!$T$8:$T$110,$H47,'Calendario E'!$M$8:$M$110,$H$49),"-")</f>
        <v>-</v>
      </c>
      <c r="AW47" s="14" t="str">
        <f aca="false">IF(AND($H47&lt;&gt;"",$H$50&lt;&gt;"",$H47&lt;&gt;$H$50,IFERROR(VLOOKUP($H47,areaCercaPuntiClassificaSquadra,3,FALSE()),-1)=IFERROR(VLOOKUP($H$50,areaCercaPuntiClassificaSquadra,3,FALSE()),-2)),SUMIFS('Calendario E'!$Q$8:$Q$110,'Calendario E'!$M$8:$M$110,$H47,'Calendario E'!$T$8:$T$110,$H$50)+SUMIFS('Calendario E'!$X$8:$X$110,'Calendario E'!$T$8:$T$110,$H47,'Calendario E'!$M$8:$M$110,$H$50),"-")</f>
        <v>-</v>
      </c>
      <c r="AX47" s="14" t="n">
        <f aca="false">IF(AND($H47&lt;&gt;"",$H$51&lt;&gt;"",$H47&lt;&gt;$H$51,IFERROR(VLOOKUP($H47,areaCercaPuntiClassificaSquadra,3,FALSE()),-1)=IFERROR(VLOOKUP($H$51,areaCercaPuntiClassificaSquadra,3,FALSE()),-2)),SUMIFS('Calendario E'!$Q$8:$Q$110,'Calendario E'!$M$8:$M$110,$H47,'Calendario E'!$T$8:$T$110,$H$51)+SUMIFS('Calendario E'!$X$8:$X$110,'Calendario E'!$T$8:$T$110,$H47,'Calendario E'!$M$8:$M$110,$H$51),"-")</f>
        <v>75</v>
      </c>
      <c r="AY47" s="13" t="str">
        <f aca="false">$C47</f>
        <v>Scoiattoli Scattanti-Scoiattoliopoli SI</v>
      </c>
      <c r="AZ47" s="14" t="str">
        <f aca="false">IF(AND($H47&lt;&gt;"",$H$44&lt;&gt;"",$H47&lt;&gt;$H$44,IFERROR(VLOOKUP($H47,areaCercaPuntiClassificaSquadra,3,FALSE()),-1)=IFERROR(VLOOKUP($H$44,areaCercaPuntiClassificaSquadra,3,FALSE()),-2)),SUMIFS('Calendario E'!$R$8:$R$110,'Calendario E'!$M$8:$M$110,$H47,'Calendario E'!$T$8:$T$110,$H$44)+SUMIFS('Calendario E'!$Y$8:$Y$110,'Calendario E'!$T$8:$T$110,$H47,'Calendario E'!$M$8:$M$110,$H$44),"-")</f>
        <v>-</v>
      </c>
      <c r="BA47" s="14" t="str">
        <f aca="false">IF(AND($H47&lt;&gt;"",$H$45&lt;&gt;"",$H47&lt;&gt;$H$45,IFERROR(VLOOKUP($H47,areaCercaPuntiClassificaSquadra,3,FALSE()),-1)=IFERROR(VLOOKUP($H$45,areaCercaPuntiClassificaSquadra,3,FALSE()),-2)),SUMIFS('Calendario E'!$R$8:$R$110,'Calendario E'!$M$8:$M$110,$H47,'Calendario E'!$T$8:$T$110,$H$45)+SUMIFS('Calendario E'!$Y$8:$Y$110,'Calendario E'!$T$8:$T$110,$H47,'Calendario E'!$M$8:$M$110,$H$45),"-")</f>
        <v>-</v>
      </c>
      <c r="BB47" s="14" t="str">
        <f aca="false">IF(AND($H47&lt;&gt;"",$H$46&lt;&gt;"",$H47&lt;&gt;$H$46,IFERROR(VLOOKUP($H47,areaCercaPuntiClassificaSquadra,3,FALSE()),-1)=IFERROR(VLOOKUP($H$46,areaCercaPuntiClassificaSquadra,3,FALSE()),-2)),SUMIFS('Calendario E'!$R$8:$R$110,'Calendario E'!$M$8:$M$110,$H47,'Calendario E'!$T$8:$T$110,$H$46)+SUMIFS('Calendario E'!$Y$8:$Y$110,'Calendario E'!$T$8:$T$110,$H47,'Calendario E'!$M$8:$M$110,$H$46),"-")</f>
        <v>-</v>
      </c>
      <c r="BC47" s="14" t="str">
        <f aca="false">IF(AND($H47&lt;&gt;"",$H$47&lt;&gt;"",$H47&lt;&gt;$H$47,IFERROR(VLOOKUP($H47,areaCercaPuntiClassificaSquadra,3,FALSE()),-1)=IFERROR(VLOOKUP($H$47,areaCercaPuntiClassificaSquadra,3,FALSE()),-2)),SUMIFS('Calendario E'!$R$8:$R$110,'Calendario E'!$M$8:$M$110,$H47,'Calendario E'!$T$8:$T$110,$H$47)+SUMIFS('Calendario E'!$Y$8:$Y$110,'Calendario E'!$T$8:$T$110,$H47,'Calendario E'!$M$8:$M$110,$H$47),"-")</f>
        <v>-</v>
      </c>
      <c r="BD47" s="14" t="n">
        <f aca="false">IF(AND($H47&lt;&gt;"",$H$48&lt;&gt;"",$H47&lt;&gt;$H$48,IFERROR(VLOOKUP($H47,areaCercaPuntiClassificaSquadra,3,FALSE()),-1)=IFERROR(VLOOKUP($H$48,areaCercaPuntiClassificaSquadra,3,FALSE()),-2)),SUMIFS('Calendario E'!$R$8:$R$110,'Calendario E'!$M$8:$M$110,$H47,'Calendario E'!$T$8:$T$110,$H$48)+SUMIFS('Calendario E'!$Y$8:$Y$110,'Calendario E'!$T$8:$T$110,$H47,'Calendario E'!$M$8:$M$110,$H$48),"-")</f>
        <v>89</v>
      </c>
      <c r="BE47" s="14" t="str">
        <f aca="false">IF(AND($H47&lt;&gt;"",$H$49&lt;&gt;"",$H47&lt;&gt;$H$49,IFERROR(VLOOKUP($H47,areaCercaPuntiClassificaSquadra,3,FALSE()),-1)=IFERROR(VLOOKUP($H$49,areaCercaPuntiClassificaSquadra,3,FALSE()),-2)),SUMIFS('Calendario E'!$R$8:$R$110,'Calendario E'!$M$8:$M$110,$H47,'Calendario E'!$T$8:$T$110,$H$49)+SUMIFS('Calendario E'!$Y$8:$Y$110,'Calendario E'!$T$8:$T$110,$H47,'Calendario E'!$M$8:$M$110,$H$49),"-")</f>
        <v>-</v>
      </c>
      <c r="BF47" s="14" t="str">
        <f aca="false">IF(AND($H47&lt;&gt;"",$H$50&lt;&gt;"",$H47&lt;&gt;$H$50,IFERROR(VLOOKUP($H47,areaCercaPuntiClassificaSquadra,3,FALSE()),-1)=IFERROR(VLOOKUP($H$50,areaCercaPuntiClassificaSquadra,3,FALSE()),-2)),SUMIFS('Calendario E'!$R$8:$R$110,'Calendario E'!$M$8:$M$110,$H47,'Calendario E'!$T$8:$T$110,$H$50)+SUMIFS('Calendario E'!$Y$8:$Y$110,'Calendario E'!$T$8:$T$110,$H47,'Calendario E'!$M$8:$M$110,$H$50),"-")</f>
        <v>-</v>
      </c>
      <c r="BG47" s="14" t="n">
        <f aca="false">IF(AND($H47&lt;&gt;"",$H$51&lt;&gt;"",$H47&lt;&gt;$H$51,IFERROR(VLOOKUP($H47,areaCercaPuntiClassificaSquadra,3,FALSE()),-1)=IFERROR(VLOOKUP($H$51,areaCercaPuntiClassificaSquadra,3,FALSE()),-2)),SUMIFS('Calendario E'!$R$8:$R$110,'Calendario E'!$M$8:$M$110,$H47,'Calendario E'!$T$8:$T$110,$H$51)+SUMIFS('Calendario E'!$Y$8:$Y$110,'Calendario E'!$T$8:$T$110,$H47,'Calendario E'!$M$8:$M$110,$H$51),"-")</f>
        <v>69</v>
      </c>
    </row>
    <row r="48" customFormat="false" ht="15" hidden="false" customHeight="false" outlineLevel="0" collapsed="false">
      <c r="B48" s="7" t="s">
        <v>124</v>
      </c>
      <c r="C48" s="8" t="s">
        <v>125</v>
      </c>
      <c r="D48" s="9"/>
      <c r="E48" s="21" t="s">
        <v>117</v>
      </c>
      <c r="G48" s="22" t="str">
        <f aca="false">IF($C48="","",$E48&amp;(COUNTIFS(I$12:I$75,"&gt;"&amp;I48,E$12:E$75,"="&amp;E48,C$12:C$75,"&lt;&gt;")+COUNTIFS(I$12:I$75,"="&amp;I48,H$12:H$75,"&lt;="&amp;H48,E$12:E$75,"="&amp;E48,C$12:C$75,"&lt;&gt;")))</f>
        <v>E1</v>
      </c>
      <c r="H48" s="12" t="str">
        <f aca="false">IF($C48="","",IFERROR(LEFT($C48,FIND("-",$C48)-1),$C48))</f>
        <v>Tassi Turbolenti</v>
      </c>
      <c r="I48" s="7" t="str">
        <f aca="false">TEXT(1000000000+J48,"|0000000000|")&amp;TEXT(SUM(Y48:AF48),"0000000000|")&amp;IF(SUM(AZ48:BG48)=0,"0000000000|",TEXT(ROUND(SUM(AQ48:AX48)/SUM(AZ48:BG48),4)*100000,"0000000000|"))&amp;IF(P48=0,"0000000000|",TEXT(ROUND(O48/P48,4)*100000,"0000000000|"))</f>
        <v>|1000000019|0000000001|0000116240|0000124160|</v>
      </c>
      <c r="J48" s="22" t="n">
        <f aca="false">L48*constPuntiVittoria+M48*constPuntiSconfitta+N48*constPuntiForfait+IF(D48="",0,D48)</f>
        <v>19</v>
      </c>
      <c r="K48" s="7" t="n">
        <f aca="false">SUM(L48:N48)</f>
        <v>7</v>
      </c>
      <c r="L48" s="7" t="n">
        <f aca="false">IF($H48="",0,SUMIF('Calendario E'!$M$8:$M$110,$H48,'Calendario E'!$N$8:$N$110)+SUMIF('Calendario E'!$T$8:$T$110,$H48,'Calendario E'!$U$8:$U$110))</f>
        <v>6</v>
      </c>
      <c r="M48" s="7" t="n">
        <f aca="false">IF($H48="",0,SUMIF('Calendario E'!$M$8:$M$110,$H48,'Calendario E'!$P$8:$P$110)+SUMIF('Calendario E'!$T$8:$T$110,$H48,'Calendario E'!$W$8:$W$110))</f>
        <v>1</v>
      </c>
      <c r="N48" s="7" t="n">
        <f aca="false">IF($H48="",0,SUMIF('Calendario E'!$M$8:$M$110,$H48,'Calendario E'!$O$8:$O$110)+SUMIF('Calendario E'!$T$8:$T$110,$H48,'Calendario E'!$V$8:$V$110))</f>
        <v>0</v>
      </c>
      <c r="O48" s="7" t="n">
        <f aca="false">IF($H48="",0,SUMIF('Calendario E'!$M$8:$M$110,$H48,'Calendario E'!$Q$8:$Q$110)+SUMIF('Calendario E'!$T$8:$T$110,$H48,'Calendario E'!$X$8:$X$110))</f>
        <v>478</v>
      </c>
      <c r="P48" s="7" t="n">
        <f aca="false">IF($H48="",0,SUMIF('Calendario E'!$M$8:$M$110,$H48,'Calendario E'!$R$8:$R$110)+SUMIF('Calendario E'!$T$8:$T$110,$H48,'Calendario E'!$Y$8:$Y$110))</f>
        <v>385</v>
      </c>
      <c r="Q48" s="7" t="n">
        <f aca="false">IF($H48="",0,SUMIF('Calendario E'!$M$8:$M$110,$H48,'Calendario E'!$S$8:$S$110)+SUMIF('Calendario E'!$T$8:$T$110,$H48,'Calendario E'!$Z$8:$Z$110))</f>
        <v>93</v>
      </c>
      <c r="R48" s="7" t="n">
        <f aca="false">IF(K48=0,0,ROUND(O48/K48,2))</f>
        <v>68.29</v>
      </c>
      <c r="S48" s="7" t="n">
        <f aca="false">IF(K48=0,0,ROUND(P48/K48,2))</f>
        <v>55</v>
      </c>
      <c r="T48" s="7" t="n">
        <f aca="false">IF(K48=0,0,ROUND(Q48/K48,2))</f>
        <v>13.29</v>
      </c>
      <c r="U48" s="7" t="str">
        <f aca="false">IF(COUNT(Y48:AF48)=0,"-",SUM(Y48:AF48)&amp;"-"&amp;SUM(AH48:AO48))</f>
        <v>1-1</v>
      </c>
      <c r="V48" s="7" t="str">
        <f aca="false">IF(COUNT(Y48:AF48)=0,"-",IF(SUM(AZ48:BG48)=0,TEXT(0,"0.0000"),TEXT(ROUND(SUM(AQ48:AX48)/SUM(AZ48:BG48),4),"0.0000")))</f>
        <v>1.1624</v>
      </c>
      <c r="W48" s="7" t="str">
        <f aca="false">IF(H48="","-",IF(P48=0,TEXT(0,"0.0000"),TEXT(ROUND(O48/P48,4),"0.0000")))</f>
        <v>1.2416</v>
      </c>
      <c r="X48" s="13" t="str">
        <f aca="false">$C48</f>
        <v>Tassi Turbolenti-Tassiopoli TI</v>
      </c>
      <c r="Y48" s="14" t="str">
        <f aca="false">IF(AND($H48&lt;&gt;"",$H$44&lt;&gt;"",$H48&lt;&gt;$H$44,IFERROR(VLOOKUP($H48,areaCercaPuntiClassificaSquadra,3,FALSE()),-1)=IFERROR(VLOOKUP($H$44,areaCercaPuntiClassificaSquadra,3,FALSE()),-2)),SUMIFS('Calendario E'!$N$8:$N$110,'Calendario E'!$M$8:$M$110,$H48,'Calendario E'!$T$8:$T$110,$H$44)+SUMIFS('Calendario E'!$U$8:$U$110,'Calendario E'!$T$8:$T$110,$H48,'Calendario E'!$M$8:$M$110,$H$44),"-")</f>
        <v>-</v>
      </c>
      <c r="Z48" s="14" t="str">
        <f aca="false">IF(AND($H48&lt;&gt;"",$H$45&lt;&gt;"",$H48&lt;&gt;$H$45,IFERROR(VLOOKUP($H48,areaCercaPuntiClassificaSquadra,3,FALSE()),-1)=IFERROR(VLOOKUP($H$45,areaCercaPuntiClassificaSquadra,3,FALSE()),-2)),SUMIFS('Calendario E'!$N$8:$N$110,'Calendario E'!$M$8:$M$110,$H48,'Calendario E'!$T$8:$T$110,$H$45)+SUMIFS('Calendario E'!$U$8:$U$110,'Calendario E'!$T$8:$T$110,$H48,'Calendario E'!$M$8:$M$110,$H$45),"-")</f>
        <v>-</v>
      </c>
      <c r="AA48" s="14" t="str">
        <f aca="false">IF(AND($H48&lt;&gt;"",$H$46&lt;&gt;"",$H48&lt;&gt;$H$46,IFERROR(VLOOKUP($H48,areaCercaPuntiClassificaSquadra,3,FALSE()),-1)=IFERROR(VLOOKUP($H$46,areaCercaPuntiClassificaSquadra,3,FALSE()),-2)),SUMIFS('Calendario E'!$N$8:$N$110,'Calendario E'!$M$8:$M$110,$H48,'Calendario E'!$T$8:$T$110,$H$46)+SUMIFS('Calendario E'!$U$8:$U$110,'Calendario E'!$T$8:$T$110,$H48,'Calendario E'!$M$8:$M$110,$H$46),"-")</f>
        <v>-</v>
      </c>
      <c r="AB48" s="14" t="n">
        <f aca="false">IF(AND($H48&lt;&gt;"",$H$47&lt;&gt;"",$H48&lt;&gt;$H$47,IFERROR(VLOOKUP($H48,areaCercaPuntiClassificaSquadra,3,FALSE()),-1)=IFERROR(VLOOKUP($H$47,areaCercaPuntiClassificaSquadra,3,FALSE()),-2)),SUMIFS('Calendario E'!$N$8:$N$110,'Calendario E'!$M$8:$M$110,$H48,'Calendario E'!$T$8:$T$110,$H$47)+SUMIFS('Calendario E'!$U$8:$U$110,'Calendario E'!$T$8:$T$110,$H48,'Calendario E'!$M$8:$M$110,$H$47),"-")</f>
        <v>1</v>
      </c>
      <c r="AC48" s="14" t="str">
        <f aca="false">IF(AND($H48&lt;&gt;"",$H$48&lt;&gt;"",$H48&lt;&gt;$H$48,IFERROR(VLOOKUP($H48,areaCercaPuntiClassificaSquadra,3,FALSE()),-1)=IFERROR(VLOOKUP($H$48,areaCercaPuntiClassificaSquadra,3,FALSE()),-2)),SUMIFS('Calendario E'!$N$8:$N$110,'Calendario E'!$M$8:$M$110,$H48,'Calendario E'!$T$8:$T$110,$H$48)+SUMIFS('Calendario E'!$U$8:$U$110,'Calendario E'!$T$8:$T$110,$H48,'Calendario E'!$M$8:$M$110,$H$48),"-")</f>
        <v>-</v>
      </c>
      <c r="AD48" s="14" t="str">
        <f aca="false">IF(AND($H48&lt;&gt;"",$H$49&lt;&gt;"",$H48&lt;&gt;$H$49,IFERROR(VLOOKUP($H48,areaCercaPuntiClassificaSquadra,3,FALSE()),-1)=IFERROR(VLOOKUP($H$49,areaCercaPuntiClassificaSquadra,3,FALSE()),-2)),SUMIFS('Calendario E'!$N$8:$N$110,'Calendario E'!$M$8:$M$110,$H48,'Calendario E'!$T$8:$T$110,$H$49)+SUMIFS('Calendario E'!$U$8:$U$110,'Calendario E'!$T$8:$T$110,$H48,'Calendario E'!$M$8:$M$110,$H$49),"-")</f>
        <v>-</v>
      </c>
      <c r="AE48" s="14" t="str">
        <f aca="false">IF(AND($H48&lt;&gt;"",$H$50&lt;&gt;"",$H48&lt;&gt;$H$50,IFERROR(VLOOKUP($H48,areaCercaPuntiClassificaSquadra,3,FALSE()),-1)=IFERROR(VLOOKUP($H$50,areaCercaPuntiClassificaSquadra,3,FALSE()),-2)),SUMIFS('Calendario E'!$N$8:$N$110,'Calendario E'!$M$8:$M$110,$H48,'Calendario E'!$T$8:$T$110,$H$50)+SUMIFS('Calendario E'!$U$8:$U$110,'Calendario E'!$T$8:$T$110,$H48,'Calendario E'!$M$8:$M$110,$H$50),"-")</f>
        <v>-</v>
      </c>
      <c r="AF48" s="14" t="n">
        <f aca="false">IF(AND($H48&lt;&gt;"",$H$51&lt;&gt;"",$H48&lt;&gt;$H$51,IFERROR(VLOOKUP($H48,areaCercaPuntiClassificaSquadra,3,FALSE()),-1)=IFERROR(VLOOKUP($H$51,areaCercaPuntiClassificaSquadra,3,FALSE()),-2)),SUMIFS('Calendario E'!$N$8:$N$110,'Calendario E'!$M$8:$M$110,$H48,'Calendario E'!$T$8:$T$110,$H$51)+SUMIFS('Calendario E'!$U$8:$U$110,'Calendario E'!$T$8:$T$110,$H48,'Calendario E'!$M$8:$M$110,$H$51),"-")</f>
        <v>0</v>
      </c>
      <c r="AG48" s="13" t="str">
        <f aca="false">$C48</f>
        <v>Tassi Turbolenti-Tassiopoli TI</v>
      </c>
      <c r="AH48" s="14" t="str">
        <f aca="false">IF(AND($H48&lt;&gt;"",$H$44&lt;&gt;"",$H48&lt;&gt;$H$44,IFERROR(VLOOKUP($H48,areaCercaPuntiClassificaSquadra,3,FALSE()),-1)=IFERROR(VLOOKUP($H$44,areaCercaPuntiClassificaSquadra,3,FALSE()),-2)),SUMIFS('Calendario E'!$P$8:$P$110,'Calendario E'!$M$8:$M$110,$H48,'Calendario E'!$T$8:$T$110,$H$44)+SUMIFS('Calendario E'!$W$8:$W$110,'Calendario E'!$T$8:$T$110,$H48,'Calendario E'!$M$8:$M$110,$H$44)+SUMIFS('Calendario E'!$O$8:$O$110,'Calendario E'!$M$8:$M$110,$H48,'Calendario E'!$T$8:$T$110,$H$44)+SUMIFS('Calendario E'!$V$8:$V$110,'Calendario E'!$T$8:$T$110,$H48,'Calendario E'!$M$8:$M$110,$H$44),"-")</f>
        <v>-</v>
      </c>
      <c r="AI48" s="14" t="str">
        <f aca="false">IF(AND($H48&lt;&gt;"",$H$45&lt;&gt;"",$H48&lt;&gt;$H$45,IFERROR(VLOOKUP($H48,areaCercaPuntiClassificaSquadra,3,FALSE()),-1)=IFERROR(VLOOKUP($H$45,areaCercaPuntiClassificaSquadra,3,FALSE()),-2)),SUMIFS('Calendario E'!$P$8:$P$110,'Calendario E'!$M$8:$M$110,$H48,'Calendario E'!$T$8:$T$110,$H$45)+SUMIFS('Calendario E'!$W$8:$W$110,'Calendario E'!$T$8:$T$110,$H48,'Calendario E'!$M$8:$M$110,$H$45)+SUMIFS('Calendario E'!$O$8:$O$110,'Calendario E'!$M$8:$M$110,$H48,'Calendario E'!$T$8:$T$110,$H$45)+SUMIFS('Calendario E'!$V$8:$V$110,'Calendario E'!$T$8:$T$110,$H48,'Calendario E'!$M$8:$M$110,$H$45),"-")</f>
        <v>-</v>
      </c>
      <c r="AJ48" s="14" t="str">
        <f aca="false">IF(AND($H48&lt;&gt;"",$H$46&lt;&gt;"",$H48&lt;&gt;$H$46,IFERROR(VLOOKUP($H48,areaCercaPuntiClassificaSquadra,3,FALSE()),-1)=IFERROR(VLOOKUP($H$46,areaCercaPuntiClassificaSquadra,3,FALSE()),-2)),SUMIFS('Calendario E'!$P$8:$P$110,'Calendario E'!$M$8:$M$110,$H48,'Calendario E'!$T$8:$T$110,$H$46)+SUMIFS('Calendario E'!$W$8:$W$110,'Calendario E'!$T$8:$T$110,$H48,'Calendario E'!$M$8:$M$110,$H$46)+SUMIFS('Calendario E'!$O$8:$O$110,'Calendario E'!$M$8:$M$110,$H48,'Calendario E'!$T$8:$T$110,$H$46)+SUMIFS('Calendario E'!$V$8:$V$110,'Calendario E'!$T$8:$T$110,$H48,'Calendario E'!$M$8:$M$110,$H$46),"-")</f>
        <v>-</v>
      </c>
      <c r="AK48" s="14" t="n">
        <f aca="false">IF(AND($H48&lt;&gt;"",$H$47&lt;&gt;"",$H48&lt;&gt;$H$47,IFERROR(VLOOKUP($H48,areaCercaPuntiClassificaSquadra,3,FALSE()),-1)=IFERROR(VLOOKUP($H$47,areaCercaPuntiClassificaSquadra,3,FALSE()),-2)),SUMIFS('Calendario E'!$P$8:$P$110,'Calendario E'!$M$8:$M$110,$H48,'Calendario E'!$T$8:$T$110,$H$47)+SUMIFS('Calendario E'!$W$8:$W$110,'Calendario E'!$T$8:$T$110,$H48,'Calendario E'!$M$8:$M$110,$H$47)+SUMIFS('Calendario E'!$O$8:$O$110,'Calendario E'!$M$8:$M$110,$H48,'Calendario E'!$T$8:$T$110,$H$47)+SUMIFS('Calendario E'!$V$8:$V$110,'Calendario E'!$T$8:$T$110,$H48,'Calendario E'!$M$8:$M$110,$H$47),"-")</f>
        <v>0</v>
      </c>
      <c r="AL48" s="14" t="str">
        <f aca="false">IF(AND($H48&lt;&gt;"",$H$48&lt;&gt;"",$H48&lt;&gt;$H$48,IFERROR(VLOOKUP($H48,areaCercaPuntiClassificaSquadra,3,FALSE()),-1)=IFERROR(VLOOKUP($H$48,areaCercaPuntiClassificaSquadra,3,FALSE()),-2)),SUMIFS('Calendario E'!$P$8:$P$110,'Calendario E'!$M$8:$M$110,$H48,'Calendario E'!$T$8:$T$110,$H$48)+SUMIFS('Calendario E'!$W$8:$W$110,'Calendario E'!$T$8:$T$110,$H48,'Calendario E'!$M$8:$M$110,$H$48)+SUMIFS('Calendario E'!$O$8:$O$110,'Calendario E'!$M$8:$M$110,$H48,'Calendario E'!$T$8:$T$110,$H$48)+SUMIFS('Calendario E'!$V$8:$V$110,'Calendario E'!$T$8:$T$110,$H48,'Calendario E'!$M$8:$M$110,$H$48),"-")</f>
        <v>-</v>
      </c>
      <c r="AM48" s="14" t="str">
        <f aca="false">IF(AND($H48&lt;&gt;"",$H$49&lt;&gt;"",$H48&lt;&gt;$H$49,IFERROR(VLOOKUP($H48,areaCercaPuntiClassificaSquadra,3,FALSE()),-1)=IFERROR(VLOOKUP($H$49,areaCercaPuntiClassificaSquadra,3,FALSE()),-2)),SUMIFS('Calendario E'!$P$8:$P$110,'Calendario E'!$M$8:$M$110,$H48,'Calendario E'!$T$8:$T$110,$H$49)+SUMIFS('Calendario E'!$W$8:$W$110,'Calendario E'!$T$8:$T$110,$H48,'Calendario E'!$M$8:$M$110,$H$49)+SUMIFS('Calendario E'!$O$8:$O$110,'Calendario E'!$M$8:$M$110,$H48,'Calendario E'!$T$8:$T$110,$H$49)+SUMIFS('Calendario E'!$V$8:$V$110,'Calendario E'!$T$8:$T$110,$H48,'Calendario E'!$M$8:$M$110,$H$49),"-")</f>
        <v>-</v>
      </c>
      <c r="AN48" s="14" t="str">
        <f aca="false">IF(AND($H48&lt;&gt;"",$H$50&lt;&gt;"",$H48&lt;&gt;$H$50,IFERROR(VLOOKUP($H48,areaCercaPuntiClassificaSquadra,3,FALSE()),-1)=IFERROR(VLOOKUP($H$50,areaCercaPuntiClassificaSquadra,3,FALSE()),-2)),SUMIFS('Calendario E'!$P$8:$P$110,'Calendario E'!$M$8:$M$110,$H48,'Calendario E'!$T$8:$T$110,$H$50)+SUMIFS('Calendario E'!$W$8:$W$110,'Calendario E'!$T$8:$T$110,$H48,'Calendario E'!$M$8:$M$110,$H$50)+SUMIFS('Calendario E'!$O$8:$O$110,'Calendario E'!$M$8:$M$110,$H48,'Calendario E'!$T$8:$T$110,$H$50)+SUMIFS('Calendario E'!$V$8:$V$110,'Calendario E'!$T$8:$T$110,$H48,'Calendario E'!$M$8:$M$110,$H$50),"-")</f>
        <v>-</v>
      </c>
      <c r="AO48" s="14" t="n">
        <f aca="false">IF(AND($H48&lt;&gt;"",$H$51&lt;&gt;"",$H48&lt;&gt;$H$51,IFERROR(VLOOKUP($H48,areaCercaPuntiClassificaSquadra,3,FALSE()),-1)=IFERROR(VLOOKUP($H$51,areaCercaPuntiClassificaSquadra,3,FALSE()),-2)),SUMIFS('Calendario E'!$P$8:$P$110,'Calendario E'!$M$8:$M$110,$H48,'Calendario E'!$T$8:$T$110,$H$51)+SUMIFS('Calendario E'!$W$8:$W$110,'Calendario E'!$T$8:$T$110,$H48,'Calendario E'!$M$8:$M$110,$H$51)+SUMIFS('Calendario E'!$O$8:$O$110,'Calendario E'!$M$8:$M$110,$H48,'Calendario E'!$T$8:$T$110,$H$51)+SUMIFS('Calendario E'!$V$8:$V$110,'Calendario E'!$T$8:$T$110,$H48,'Calendario E'!$M$8:$M$110,$H$51),"-")</f>
        <v>1</v>
      </c>
      <c r="AP48" s="13" t="str">
        <f aca="false">$C48</f>
        <v>Tassi Turbolenti-Tassiopoli TI</v>
      </c>
      <c r="AQ48" s="14" t="str">
        <f aca="false">IF(AND($H48&lt;&gt;"",$H$44&lt;&gt;"",$H48&lt;&gt;$H$44,IFERROR(VLOOKUP($H48,areaCercaPuntiClassificaSquadra,3,FALSE()),-1)=IFERROR(VLOOKUP($H$44,areaCercaPuntiClassificaSquadra,3,FALSE()),-2)),SUMIFS('Calendario E'!$Q$8:$Q$110,'Calendario E'!$M$8:$M$110,$H48,'Calendario E'!$T$8:$T$110,$H$44)+SUMIFS('Calendario E'!$X$8:$X$110,'Calendario E'!$T$8:$T$110,$H48,'Calendario E'!$M$8:$M$110,$H$44),"-")</f>
        <v>-</v>
      </c>
      <c r="AR48" s="14" t="str">
        <f aca="false">IF(AND($H48&lt;&gt;"",$H$45&lt;&gt;"",$H48&lt;&gt;$H$45,IFERROR(VLOOKUP($H48,areaCercaPuntiClassificaSquadra,3,FALSE()),-1)=IFERROR(VLOOKUP($H$45,areaCercaPuntiClassificaSquadra,3,FALSE()),-2)),SUMIFS('Calendario E'!$Q$8:$Q$110,'Calendario E'!$M$8:$M$110,$H48,'Calendario E'!$T$8:$T$110,$H$45)+SUMIFS('Calendario E'!$X$8:$X$110,'Calendario E'!$T$8:$T$110,$H48,'Calendario E'!$M$8:$M$110,$H$45),"-")</f>
        <v>-</v>
      </c>
      <c r="AS48" s="14" t="str">
        <f aca="false">IF(AND($H48&lt;&gt;"",$H$46&lt;&gt;"",$H48&lt;&gt;$H$46,IFERROR(VLOOKUP($H48,areaCercaPuntiClassificaSquadra,3,FALSE()),-1)=IFERROR(VLOOKUP($H$46,areaCercaPuntiClassificaSquadra,3,FALSE()),-2)),SUMIFS('Calendario E'!$Q$8:$Q$110,'Calendario E'!$M$8:$M$110,$H48,'Calendario E'!$T$8:$T$110,$H$46)+SUMIFS('Calendario E'!$X$8:$X$110,'Calendario E'!$T$8:$T$110,$H48,'Calendario E'!$M$8:$M$110,$H$46),"-")</f>
        <v>-</v>
      </c>
      <c r="AT48" s="14" t="n">
        <f aca="false">IF(AND($H48&lt;&gt;"",$H$47&lt;&gt;"",$H48&lt;&gt;$H$47,IFERROR(VLOOKUP($H48,areaCercaPuntiClassificaSquadra,3,FALSE()),-1)=IFERROR(VLOOKUP($H$47,areaCercaPuntiClassificaSquadra,3,FALSE()),-2)),SUMIFS('Calendario E'!$Q$8:$Q$110,'Calendario E'!$M$8:$M$110,$H48,'Calendario E'!$T$8:$T$110,$H$47)+SUMIFS('Calendario E'!$X$8:$X$110,'Calendario E'!$T$8:$T$110,$H48,'Calendario E'!$M$8:$M$110,$H$47),"-")</f>
        <v>89</v>
      </c>
      <c r="AU48" s="14" t="str">
        <f aca="false">IF(AND($H48&lt;&gt;"",$H$48&lt;&gt;"",$H48&lt;&gt;$H$48,IFERROR(VLOOKUP($H48,areaCercaPuntiClassificaSquadra,3,FALSE()),-1)=IFERROR(VLOOKUP($H$48,areaCercaPuntiClassificaSquadra,3,FALSE()),-2)),SUMIFS('Calendario E'!$Q$8:$Q$110,'Calendario E'!$M$8:$M$110,$H48,'Calendario E'!$T$8:$T$110,$H$48)+SUMIFS('Calendario E'!$X$8:$X$110,'Calendario E'!$T$8:$T$110,$H48,'Calendario E'!$M$8:$M$110,$H$48),"-")</f>
        <v>-</v>
      </c>
      <c r="AV48" s="14" t="str">
        <f aca="false">IF(AND($H48&lt;&gt;"",$H$49&lt;&gt;"",$H48&lt;&gt;$H$49,IFERROR(VLOOKUP($H48,areaCercaPuntiClassificaSquadra,3,FALSE()),-1)=IFERROR(VLOOKUP($H$49,areaCercaPuntiClassificaSquadra,3,FALSE()),-2)),SUMIFS('Calendario E'!$Q$8:$Q$110,'Calendario E'!$M$8:$M$110,$H48,'Calendario E'!$T$8:$T$110,$H$49)+SUMIFS('Calendario E'!$X$8:$X$110,'Calendario E'!$T$8:$T$110,$H48,'Calendario E'!$M$8:$M$110,$H$49),"-")</f>
        <v>-</v>
      </c>
      <c r="AW48" s="14" t="str">
        <f aca="false">IF(AND($H48&lt;&gt;"",$H$50&lt;&gt;"",$H48&lt;&gt;$H$50,IFERROR(VLOOKUP($H48,areaCercaPuntiClassificaSquadra,3,FALSE()),-1)=IFERROR(VLOOKUP($H$50,areaCercaPuntiClassificaSquadra,3,FALSE()),-2)),SUMIFS('Calendario E'!$Q$8:$Q$110,'Calendario E'!$M$8:$M$110,$H48,'Calendario E'!$T$8:$T$110,$H$50)+SUMIFS('Calendario E'!$X$8:$X$110,'Calendario E'!$T$8:$T$110,$H48,'Calendario E'!$M$8:$M$110,$H$50),"-")</f>
        <v>-</v>
      </c>
      <c r="AX48" s="14" t="n">
        <f aca="false">IF(AND($H48&lt;&gt;"",$H$51&lt;&gt;"",$H48&lt;&gt;$H$51,IFERROR(VLOOKUP($H48,areaCercaPuntiClassificaSquadra,3,FALSE()),-1)=IFERROR(VLOOKUP($H$51,areaCercaPuntiClassificaSquadra,3,FALSE()),-2)),SUMIFS('Calendario E'!$Q$8:$Q$110,'Calendario E'!$M$8:$M$110,$H48,'Calendario E'!$T$8:$T$110,$H$51)+SUMIFS('Calendario E'!$X$8:$X$110,'Calendario E'!$T$8:$T$110,$H48,'Calendario E'!$M$8:$M$110,$H$51),"-")</f>
        <v>47</v>
      </c>
      <c r="AY48" s="13" t="str">
        <f aca="false">$C48</f>
        <v>Tassi Turbolenti-Tassiopoli TI</v>
      </c>
      <c r="AZ48" s="14" t="str">
        <f aca="false">IF(AND($H48&lt;&gt;"",$H$44&lt;&gt;"",$H48&lt;&gt;$H$44,IFERROR(VLOOKUP($H48,areaCercaPuntiClassificaSquadra,3,FALSE()),-1)=IFERROR(VLOOKUP($H$44,areaCercaPuntiClassificaSquadra,3,FALSE()),-2)),SUMIFS('Calendario E'!$R$8:$R$110,'Calendario E'!$M$8:$M$110,$H48,'Calendario E'!$T$8:$T$110,$H$44)+SUMIFS('Calendario E'!$Y$8:$Y$110,'Calendario E'!$T$8:$T$110,$H48,'Calendario E'!$M$8:$M$110,$H$44),"-")</f>
        <v>-</v>
      </c>
      <c r="BA48" s="14" t="str">
        <f aca="false">IF(AND($H48&lt;&gt;"",$H$45&lt;&gt;"",$H48&lt;&gt;$H$45,IFERROR(VLOOKUP($H48,areaCercaPuntiClassificaSquadra,3,FALSE()),-1)=IFERROR(VLOOKUP($H$45,areaCercaPuntiClassificaSquadra,3,FALSE()),-2)),SUMIFS('Calendario E'!$R$8:$R$110,'Calendario E'!$M$8:$M$110,$H48,'Calendario E'!$T$8:$T$110,$H$45)+SUMIFS('Calendario E'!$Y$8:$Y$110,'Calendario E'!$T$8:$T$110,$H48,'Calendario E'!$M$8:$M$110,$H$45),"-")</f>
        <v>-</v>
      </c>
      <c r="BB48" s="14" t="str">
        <f aca="false">IF(AND($H48&lt;&gt;"",$H$46&lt;&gt;"",$H48&lt;&gt;$H$46,IFERROR(VLOOKUP($H48,areaCercaPuntiClassificaSquadra,3,FALSE()),-1)=IFERROR(VLOOKUP($H$46,areaCercaPuntiClassificaSquadra,3,FALSE()),-2)),SUMIFS('Calendario E'!$R$8:$R$110,'Calendario E'!$M$8:$M$110,$H48,'Calendario E'!$T$8:$T$110,$H$46)+SUMIFS('Calendario E'!$Y$8:$Y$110,'Calendario E'!$T$8:$T$110,$H48,'Calendario E'!$M$8:$M$110,$H$46),"-")</f>
        <v>-</v>
      </c>
      <c r="BC48" s="14" t="n">
        <f aca="false">IF(AND($H48&lt;&gt;"",$H$47&lt;&gt;"",$H48&lt;&gt;$H$47,IFERROR(VLOOKUP($H48,areaCercaPuntiClassificaSquadra,3,FALSE()),-1)=IFERROR(VLOOKUP($H$47,areaCercaPuntiClassificaSquadra,3,FALSE()),-2)),SUMIFS('Calendario E'!$R$8:$R$110,'Calendario E'!$M$8:$M$110,$H48,'Calendario E'!$T$8:$T$110,$H$47)+SUMIFS('Calendario E'!$Y$8:$Y$110,'Calendario E'!$T$8:$T$110,$H48,'Calendario E'!$M$8:$M$110,$H$47),"-")</f>
        <v>55</v>
      </c>
      <c r="BD48" s="14" t="str">
        <f aca="false">IF(AND($H48&lt;&gt;"",$H$48&lt;&gt;"",$H48&lt;&gt;$H$48,IFERROR(VLOOKUP($H48,areaCercaPuntiClassificaSquadra,3,FALSE()),-1)=IFERROR(VLOOKUP($H$48,areaCercaPuntiClassificaSquadra,3,FALSE()),-2)),SUMIFS('Calendario E'!$R$8:$R$110,'Calendario E'!$M$8:$M$110,$H48,'Calendario E'!$T$8:$T$110,$H$48)+SUMIFS('Calendario E'!$Y$8:$Y$110,'Calendario E'!$T$8:$T$110,$H48,'Calendario E'!$M$8:$M$110,$H$48),"-")</f>
        <v>-</v>
      </c>
      <c r="BE48" s="14" t="str">
        <f aca="false">IF(AND($H48&lt;&gt;"",$H$49&lt;&gt;"",$H48&lt;&gt;$H$49,IFERROR(VLOOKUP($H48,areaCercaPuntiClassificaSquadra,3,FALSE()),-1)=IFERROR(VLOOKUP($H$49,areaCercaPuntiClassificaSquadra,3,FALSE()),-2)),SUMIFS('Calendario E'!$R$8:$R$110,'Calendario E'!$M$8:$M$110,$H48,'Calendario E'!$T$8:$T$110,$H$49)+SUMIFS('Calendario E'!$Y$8:$Y$110,'Calendario E'!$T$8:$T$110,$H48,'Calendario E'!$M$8:$M$110,$H$49),"-")</f>
        <v>-</v>
      </c>
      <c r="BF48" s="14" t="str">
        <f aca="false">IF(AND($H48&lt;&gt;"",$H$50&lt;&gt;"",$H48&lt;&gt;$H$50,IFERROR(VLOOKUP($H48,areaCercaPuntiClassificaSquadra,3,FALSE()),-1)=IFERROR(VLOOKUP($H$50,areaCercaPuntiClassificaSquadra,3,FALSE()),-2)),SUMIFS('Calendario E'!$R$8:$R$110,'Calendario E'!$M$8:$M$110,$H48,'Calendario E'!$T$8:$T$110,$H$50)+SUMIFS('Calendario E'!$Y$8:$Y$110,'Calendario E'!$T$8:$T$110,$H48,'Calendario E'!$M$8:$M$110,$H$50),"-")</f>
        <v>-</v>
      </c>
      <c r="BG48" s="14" t="n">
        <f aca="false">IF(AND($H48&lt;&gt;"",$H$51&lt;&gt;"",$H48&lt;&gt;$H$51,IFERROR(VLOOKUP($H48,areaCercaPuntiClassificaSquadra,3,FALSE()),-1)=IFERROR(VLOOKUP($H$51,areaCercaPuntiClassificaSquadra,3,FALSE()),-2)),SUMIFS('Calendario E'!$R$8:$R$110,'Calendario E'!$M$8:$M$110,$H48,'Calendario E'!$T$8:$T$110,$H$51)+SUMIFS('Calendario E'!$Y$8:$Y$110,'Calendario E'!$T$8:$T$110,$H48,'Calendario E'!$M$8:$M$110,$H$51),"-")</f>
        <v>62</v>
      </c>
    </row>
    <row r="49" customFormat="false" ht="15" hidden="false" customHeight="false" outlineLevel="0" collapsed="false">
      <c r="B49" s="7" t="s">
        <v>126</v>
      </c>
      <c r="C49" s="8" t="s">
        <v>127</v>
      </c>
      <c r="D49" s="9"/>
      <c r="E49" s="21" t="s">
        <v>117</v>
      </c>
      <c r="G49" s="22" t="str">
        <f aca="false">IF($C49="","",$E49&amp;(COUNTIFS(I$12:I$75,"&gt;"&amp;I49,E$12:E$75,"="&amp;E49,C$12:C$75,"&lt;&gt;")+COUNTIFS(I$12:I$75,"="&amp;I49,H$12:H$75,"&lt;="&amp;H49,E$12:E$75,"="&amp;E49,C$12:C$75,"&lt;&gt;")))</f>
        <v>E8</v>
      </c>
      <c r="H49" s="12" t="str">
        <f aca="false">IF($C49="","",IFERROR(LEFT($C49,FIND("-",$C49)-1),$C49))</f>
        <v>Uistiti Ubiqui</v>
      </c>
      <c r="I49" s="7" t="str">
        <f aca="false">TEXT(1000000000+J49,"|0000000000|")&amp;TEXT(SUM(Y49:AF49),"0000000000|")&amp;IF(SUM(AZ49:BG49)=0,"0000000000|",TEXT(ROUND(SUM(AQ49:AX49)/SUM(AZ49:BG49),4)*100000,"0000000000|"))&amp;IF(P49=0,"0000000000|",TEXT(ROUND(O49/P49,4)*100000,"0000000000|"))</f>
        <v>|1000000007|0000000000|0000000000|0000062520|</v>
      </c>
      <c r="J49" s="22" t="n">
        <f aca="false">L49*constPuntiVittoria+M49*constPuntiSconfitta+N49*constPuntiForfait+IF(D49="",0,D49)</f>
        <v>7</v>
      </c>
      <c r="K49" s="7" t="n">
        <f aca="false">SUM(L49:N49)</f>
        <v>7</v>
      </c>
      <c r="L49" s="7" t="n">
        <f aca="false">IF($H49="",0,SUMIF('Calendario E'!$M$8:$M$110,$H49,'Calendario E'!$N$8:$N$110)+SUMIF('Calendario E'!$T$8:$T$110,$H49,'Calendario E'!$U$8:$U$110))</f>
        <v>0</v>
      </c>
      <c r="M49" s="7" t="n">
        <f aca="false">IF($H49="",0,SUMIF('Calendario E'!$M$8:$M$110,$H49,'Calendario E'!$P$8:$P$110)+SUMIF('Calendario E'!$T$8:$T$110,$H49,'Calendario E'!$W$8:$W$110))</f>
        <v>7</v>
      </c>
      <c r="N49" s="7" t="n">
        <f aca="false">IF($H49="",0,SUMIF('Calendario E'!$M$8:$M$110,$H49,'Calendario E'!$O$8:$O$110)+SUMIF('Calendario E'!$T$8:$T$110,$H49,'Calendario E'!$V$8:$V$110))</f>
        <v>0</v>
      </c>
      <c r="O49" s="7" t="n">
        <f aca="false">IF($H49="",0,SUMIF('Calendario E'!$M$8:$M$110,$H49,'Calendario E'!$Q$8:$Q$110)+SUMIF('Calendario E'!$T$8:$T$110,$H49,'Calendario E'!$X$8:$X$110))</f>
        <v>322</v>
      </c>
      <c r="P49" s="7" t="n">
        <f aca="false">IF($H49="",0,SUMIF('Calendario E'!$M$8:$M$110,$H49,'Calendario E'!$R$8:$R$110)+SUMIF('Calendario E'!$T$8:$T$110,$H49,'Calendario E'!$Y$8:$Y$110))</f>
        <v>515</v>
      </c>
      <c r="Q49" s="7" t="n">
        <f aca="false">IF($H49="",0,SUMIF('Calendario E'!$M$8:$M$110,$H49,'Calendario E'!$S$8:$S$110)+SUMIF('Calendario E'!$T$8:$T$110,$H49,'Calendario E'!$Z$8:$Z$110))</f>
        <v>-193</v>
      </c>
      <c r="R49" s="7" t="n">
        <f aca="false">IF(K49=0,0,ROUND(O49/K49,2))</f>
        <v>46</v>
      </c>
      <c r="S49" s="7" t="n">
        <f aca="false">IF(K49=0,0,ROUND(P49/K49,2))</f>
        <v>73.57</v>
      </c>
      <c r="T49" s="7" t="n">
        <f aca="false">IF(K49=0,0,ROUND(Q49/K49,2))</f>
        <v>-27.57</v>
      </c>
      <c r="U49" s="7" t="str">
        <f aca="false">IF(COUNT(Y49:AF49)=0,"-",SUM(Y49:AF49)&amp;"-"&amp;SUM(AH49:AO49))</f>
        <v>-</v>
      </c>
      <c r="V49" s="7" t="str">
        <f aca="false">IF(COUNT(Y49:AF49)=0,"-",IF(SUM(AZ49:BG49)=0,TEXT(0,"0.0000"),TEXT(ROUND(SUM(AQ49:AX49)/SUM(AZ49:BG49),4),"0.0000")))</f>
        <v>-</v>
      </c>
      <c r="W49" s="7" t="str">
        <f aca="false">IF(H49="","-",IF(P49=0,TEXT(0,"0.0000"),TEXT(ROUND(O49/P49,4),"0.0000")))</f>
        <v>0.6252</v>
      </c>
      <c r="X49" s="13" t="str">
        <f aca="false">$C49</f>
        <v>Uistiti Ubiqui-Uistitiopoli UI</v>
      </c>
      <c r="Y49" s="14" t="str">
        <f aca="false">IF(AND($H49&lt;&gt;"",$H$44&lt;&gt;"",$H49&lt;&gt;$H$44,IFERROR(VLOOKUP($H49,areaCercaPuntiClassificaSquadra,3,FALSE()),-1)=IFERROR(VLOOKUP($H$44,areaCercaPuntiClassificaSquadra,3,FALSE()),-2)),SUMIFS('Calendario E'!$N$8:$N$110,'Calendario E'!$M$8:$M$110,$H49,'Calendario E'!$T$8:$T$110,$H$44)+SUMIFS('Calendario E'!$U$8:$U$110,'Calendario E'!$T$8:$T$110,$H49,'Calendario E'!$M$8:$M$110,$H$44),"-")</f>
        <v>-</v>
      </c>
      <c r="Z49" s="14" t="str">
        <f aca="false">IF(AND($H49&lt;&gt;"",$H$45&lt;&gt;"",$H49&lt;&gt;$H$45,IFERROR(VLOOKUP($H49,areaCercaPuntiClassificaSquadra,3,FALSE()),-1)=IFERROR(VLOOKUP($H$45,areaCercaPuntiClassificaSquadra,3,FALSE()),-2)),SUMIFS('Calendario E'!$N$8:$N$110,'Calendario E'!$M$8:$M$110,$H49,'Calendario E'!$T$8:$T$110,$H$45)+SUMIFS('Calendario E'!$U$8:$U$110,'Calendario E'!$T$8:$T$110,$H49,'Calendario E'!$M$8:$M$110,$H$45),"-")</f>
        <v>-</v>
      </c>
      <c r="AA49" s="14" t="str">
        <f aca="false">IF(AND($H49&lt;&gt;"",$H$46&lt;&gt;"",$H49&lt;&gt;$H$46,IFERROR(VLOOKUP($H49,areaCercaPuntiClassificaSquadra,3,FALSE()),-1)=IFERROR(VLOOKUP($H$46,areaCercaPuntiClassificaSquadra,3,FALSE()),-2)),SUMIFS('Calendario E'!$N$8:$N$110,'Calendario E'!$M$8:$M$110,$H49,'Calendario E'!$T$8:$T$110,$H$46)+SUMIFS('Calendario E'!$U$8:$U$110,'Calendario E'!$T$8:$T$110,$H49,'Calendario E'!$M$8:$M$110,$H$46),"-")</f>
        <v>-</v>
      </c>
      <c r="AB49" s="14" t="str">
        <f aca="false">IF(AND($H49&lt;&gt;"",$H$47&lt;&gt;"",$H49&lt;&gt;$H$47,IFERROR(VLOOKUP($H49,areaCercaPuntiClassificaSquadra,3,FALSE()),-1)=IFERROR(VLOOKUP($H$47,areaCercaPuntiClassificaSquadra,3,FALSE()),-2)),SUMIFS('Calendario E'!$N$8:$N$110,'Calendario E'!$M$8:$M$110,$H49,'Calendario E'!$T$8:$T$110,$H$47)+SUMIFS('Calendario E'!$U$8:$U$110,'Calendario E'!$T$8:$T$110,$H49,'Calendario E'!$M$8:$M$110,$H$47),"-")</f>
        <v>-</v>
      </c>
      <c r="AC49" s="14" t="str">
        <f aca="false">IF(AND($H49&lt;&gt;"",$H$48&lt;&gt;"",$H49&lt;&gt;$H$48,IFERROR(VLOOKUP($H49,areaCercaPuntiClassificaSquadra,3,FALSE()),-1)=IFERROR(VLOOKUP($H$48,areaCercaPuntiClassificaSquadra,3,FALSE()),-2)),SUMIFS('Calendario E'!$N$8:$N$110,'Calendario E'!$M$8:$M$110,$H49,'Calendario E'!$T$8:$T$110,$H$48)+SUMIFS('Calendario E'!$U$8:$U$110,'Calendario E'!$T$8:$T$110,$H49,'Calendario E'!$M$8:$M$110,$H$48),"-")</f>
        <v>-</v>
      </c>
      <c r="AD49" s="14" t="str">
        <f aca="false">IF(AND($H49&lt;&gt;"",$H$49&lt;&gt;"",$H49&lt;&gt;$H$49,IFERROR(VLOOKUP($H49,areaCercaPuntiClassificaSquadra,3,FALSE()),-1)=IFERROR(VLOOKUP($H$49,areaCercaPuntiClassificaSquadra,3,FALSE()),-2)),SUMIFS('Calendario E'!$N$8:$N$110,'Calendario E'!$M$8:$M$110,$H49,'Calendario E'!$T$8:$T$110,$H$49)+SUMIFS('Calendario E'!$U$8:$U$110,'Calendario E'!$T$8:$T$110,$H49,'Calendario E'!$M$8:$M$110,$H$49),"-")</f>
        <v>-</v>
      </c>
      <c r="AE49" s="14" t="str">
        <f aca="false">IF(AND($H49&lt;&gt;"",$H$50&lt;&gt;"",$H49&lt;&gt;$H$50,IFERROR(VLOOKUP($H49,areaCercaPuntiClassificaSquadra,3,FALSE()),-1)=IFERROR(VLOOKUP($H$50,areaCercaPuntiClassificaSquadra,3,FALSE()),-2)),SUMIFS('Calendario E'!$N$8:$N$110,'Calendario E'!$M$8:$M$110,$H49,'Calendario E'!$T$8:$T$110,$H$50)+SUMIFS('Calendario E'!$U$8:$U$110,'Calendario E'!$T$8:$T$110,$H49,'Calendario E'!$M$8:$M$110,$H$50),"-")</f>
        <v>-</v>
      </c>
      <c r="AF49" s="14" t="str">
        <f aca="false">IF(AND($H49&lt;&gt;"",$H$51&lt;&gt;"",$H49&lt;&gt;$H$51,IFERROR(VLOOKUP($H49,areaCercaPuntiClassificaSquadra,3,FALSE()),-1)=IFERROR(VLOOKUP($H$51,areaCercaPuntiClassificaSquadra,3,FALSE()),-2)),SUMIFS('Calendario E'!$N$8:$N$110,'Calendario E'!$M$8:$M$110,$H49,'Calendario E'!$T$8:$T$110,$H$51)+SUMIFS('Calendario E'!$U$8:$U$110,'Calendario E'!$T$8:$T$110,$H49,'Calendario E'!$M$8:$M$110,$H$51),"-")</f>
        <v>-</v>
      </c>
      <c r="AG49" s="13" t="str">
        <f aca="false">$C49</f>
        <v>Uistiti Ubiqui-Uistitiopoli UI</v>
      </c>
      <c r="AH49" s="14" t="str">
        <f aca="false">IF(AND($H49&lt;&gt;"",$H$44&lt;&gt;"",$H49&lt;&gt;$H$44,IFERROR(VLOOKUP($H49,areaCercaPuntiClassificaSquadra,3,FALSE()),-1)=IFERROR(VLOOKUP($H$44,areaCercaPuntiClassificaSquadra,3,FALSE()),-2)),SUMIFS('Calendario E'!$P$8:$P$110,'Calendario E'!$M$8:$M$110,$H49,'Calendario E'!$T$8:$T$110,$H$44)+SUMIFS('Calendario E'!$W$8:$W$110,'Calendario E'!$T$8:$T$110,$H49,'Calendario E'!$M$8:$M$110,$H$44)+SUMIFS('Calendario E'!$O$8:$O$110,'Calendario E'!$M$8:$M$110,$H49,'Calendario E'!$T$8:$T$110,$H$44)+SUMIFS('Calendario E'!$V$8:$V$110,'Calendario E'!$T$8:$T$110,$H49,'Calendario E'!$M$8:$M$110,$H$44),"-")</f>
        <v>-</v>
      </c>
      <c r="AI49" s="14" t="str">
        <f aca="false">IF(AND($H49&lt;&gt;"",$H$45&lt;&gt;"",$H49&lt;&gt;$H$45,IFERROR(VLOOKUP($H49,areaCercaPuntiClassificaSquadra,3,FALSE()),-1)=IFERROR(VLOOKUP($H$45,areaCercaPuntiClassificaSquadra,3,FALSE()),-2)),SUMIFS('Calendario E'!$P$8:$P$110,'Calendario E'!$M$8:$M$110,$H49,'Calendario E'!$T$8:$T$110,$H$45)+SUMIFS('Calendario E'!$W$8:$W$110,'Calendario E'!$T$8:$T$110,$H49,'Calendario E'!$M$8:$M$110,$H$45)+SUMIFS('Calendario E'!$O$8:$O$110,'Calendario E'!$M$8:$M$110,$H49,'Calendario E'!$T$8:$T$110,$H$45)+SUMIFS('Calendario E'!$V$8:$V$110,'Calendario E'!$T$8:$T$110,$H49,'Calendario E'!$M$8:$M$110,$H$45),"-")</f>
        <v>-</v>
      </c>
      <c r="AJ49" s="14" t="str">
        <f aca="false">IF(AND($H49&lt;&gt;"",$H$46&lt;&gt;"",$H49&lt;&gt;$H$46,IFERROR(VLOOKUP($H49,areaCercaPuntiClassificaSquadra,3,FALSE()),-1)=IFERROR(VLOOKUP($H$46,areaCercaPuntiClassificaSquadra,3,FALSE()),-2)),SUMIFS('Calendario E'!$P$8:$P$110,'Calendario E'!$M$8:$M$110,$H49,'Calendario E'!$T$8:$T$110,$H$46)+SUMIFS('Calendario E'!$W$8:$W$110,'Calendario E'!$T$8:$T$110,$H49,'Calendario E'!$M$8:$M$110,$H$46)+SUMIFS('Calendario E'!$O$8:$O$110,'Calendario E'!$M$8:$M$110,$H49,'Calendario E'!$T$8:$T$110,$H$46)+SUMIFS('Calendario E'!$V$8:$V$110,'Calendario E'!$T$8:$T$110,$H49,'Calendario E'!$M$8:$M$110,$H$46),"-")</f>
        <v>-</v>
      </c>
      <c r="AK49" s="14" t="str">
        <f aca="false">IF(AND($H49&lt;&gt;"",$H$47&lt;&gt;"",$H49&lt;&gt;$H$47,IFERROR(VLOOKUP($H49,areaCercaPuntiClassificaSquadra,3,FALSE()),-1)=IFERROR(VLOOKUP($H$47,areaCercaPuntiClassificaSquadra,3,FALSE()),-2)),SUMIFS('Calendario E'!$P$8:$P$110,'Calendario E'!$M$8:$M$110,$H49,'Calendario E'!$T$8:$T$110,$H$47)+SUMIFS('Calendario E'!$W$8:$W$110,'Calendario E'!$T$8:$T$110,$H49,'Calendario E'!$M$8:$M$110,$H$47)+SUMIFS('Calendario E'!$O$8:$O$110,'Calendario E'!$M$8:$M$110,$H49,'Calendario E'!$T$8:$T$110,$H$47)+SUMIFS('Calendario E'!$V$8:$V$110,'Calendario E'!$T$8:$T$110,$H49,'Calendario E'!$M$8:$M$110,$H$47),"-")</f>
        <v>-</v>
      </c>
      <c r="AL49" s="14" t="str">
        <f aca="false">IF(AND($H49&lt;&gt;"",$H$48&lt;&gt;"",$H49&lt;&gt;$H$48,IFERROR(VLOOKUP($H49,areaCercaPuntiClassificaSquadra,3,FALSE()),-1)=IFERROR(VLOOKUP($H$48,areaCercaPuntiClassificaSquadra,3,FALSE()),-2)),SUMIFS('Calendario E'!$P$8:$P$110,'Calendario E'!$M$8:$M$110,$H49,'Calendario E'!$T$8:$T$110,$H$48)+SUMIFS('Calendario E'!$W$8:$W$110,'Calendario E'!$T$8:$T$110,$H49,'Calendario E'!$M$8:$M$110,$H$48)+SUMIFS('Calendario E'!$O$8:$O$110,'Calendario E'!$M$8:$M$110,$H49,'Calendario E'!$T$8:$T$110,$H$48)+SUMIFS('Calendario E'!$V$8:$V$110,'Calendario E'!$T$8:$T$110,$H49,'Calendario E'!$M$8:$M$110,$H$48),"-")</f>
        <v>-</v>
      </c>
      <c r="AM49" s="14" t="str">
        <f aca="false">IF(AND($H49&lt;&gt;"",$H$49&lt;&gt;"",$H49&lt;&gt;$H$49,IFERROR(VLOOKUP($H49,areaCercaPuntiClassificaSquadra,3,FALSE()),-1)=IFERROR(VLOOKUP($H$49,areaCercaPuntiClassificaSquadra,3,FALSE()),-2)),SUMIFS('Calendario E'!$P$8:$P$110,'Calendario E'!$M$8:$M$110,$H49,'Calendario E'!$T$8:$T$110,$H$49)+SUMIFS('Calendario E'!$W$8:$W$110,'Calendario E'!$T$8:$T$110,$H49,'Calendario E'!$M$8:$M$110,$H$49)+SUMIFS('Calendario E'!$O$8:$O$110,'Calendario E'!$M$8:$M$110,$H49,'Calendario E'!$T$8:$T$110,$H$49)+SUMIFS('Calendario E'!$V$8:$V$110,'Calendario E'!$T$8:$T$110,$H49,'Calendario E'!$M$8:$M$110,$H$49),"-")</f>
        <v>-</v>
      </c>
      <c r="AN49" s="14" t="str">
        <f aca="false">IF(AND($H49&lt;&gt;"",$H$50&lt;&gt;"",$H49&lt;&gt;$H$50,IFERROR(VLOOKUP($H49,areaCercaPuntiClassificaSquadra,3,FALSE()),-1)=IFERROR(VLOOKUP($H$50,areaCercaPuntiClassificaSquadra,3,FALSE()),-2)),SUMIFS('Calendario E'!$P$8:$P$110,'Calendario E'!$M$8:$M$110,$H49,'Calendario E'!$T$8:$T$110,$H$50)+SUMIFS('Calendario E'!$W$8:$W$110,'Calendario E'!$T$8:$T$110,$H49,'Calendario E'!$M$8:$M$110,$H$50)+SUMIFS('Calendario E'!$O$8:$O$110,'Calendario E'!$M$8:$M$110,$H49,'Calendario E'!$T$8:$T$110,$H$50)+SUMIFS('Calendario E'!$V$8:$V$110,'Calendario E'!$T$8:$T$110,$H49,'Calendario E'!$M$8:$M$110,$H$50),"-")</f>
        <v>-</v>
      </c>
      <c r="AO49" s="14" t="str">
        <f aca="false">IF(AND($H49&lt;&gt;"",$H$51&lt;&gt;"",$H49&lt;&gt;$H$51,IFERROR(VLOOKUP($H49,areaCercaPuntiClassificaSquadra,3,FALSE()),-1)=IFERROR(VLOOKUP($H$51,areaCercaPuntiClassificaSquadra,3,FALSE()),-2)),SUMIFS('Calendario E'!$P$8:$P$110,'Calendario E'!$M$8:$M$110,$H49,'Calendario E'!$T$8:$T$110,$H$51)+SUMIFS('Calendario E'!$W$8:$W$110,'Calendario E'!$T$8:$T$110,$H49,'Calendario E'!$M$8:$M$110,$H$51)+SUMIFS('Calendario E'!$O$8:$O$110,'Calendario E'!$M$8:$M$110,$H49,'Calendario E'!$T$8:$T$110,$H$51)+SUMIFS('Calendario E'!$V$8:$V$110,'Calendario E'!$T$8:$T$110,$H49,'Calendario E'!$M$8:$M$110,$H$51),"-")</f>
        <v>-</v>
      </c>
      <c r="AP49" s="13" t="str">
        <f aca="false">$C49</f>
        <v>Uistiti Ubiqui-Uistitiopoli UI</v>
      </c>
      <c r="AQ49" s="14" t="str">
        <f aca="false">IF(AND($H49&lt;&gt;"",$H$44&lt;&gt;"",$H49&lt;&gt;$H$44,IFERROR(VLOOKUP($H49,areaCercaPuntiClassificaSquadra,3,FALSE()),-1)=IFERROR(VLOOKUP($H$44,areaCercaPuntiClassificaSquadra,3,FALSE()),-2)),SUMIFS('Calendario E'!$Q$8:$Q$110,'Calendario E'!$M$8:$M$110,$H49,'Calendario E'!$T$8:$T$110,$H$44)+SUMIFS('Calendario E'!$X$8:$X$110,'Calendario E'!$T$8:$T$110,$H49,'Calendario E'!$M$8:$M$110,$H$44),"-")</f>
        <v>-</v>
      </c>
      <c r="AR49" s="14" t="str">
        <f aca="false">IF(AND($H49&lt;&gt;"",$H$45&lt;&gt;"",$H49&lt;&gt;$H$45,IFERROR(VLOOKUP($H49,areaCercaPuntiClassificaSquadra,3,FALSE()),-1)=IFERROR(VLOOKUP($H$45,areaCercaPuntiClassificaSquadra,3,FALSE()),-2)),SUMIFS('Calendario E'!$Q$8:$Q$110,'Calendario E'!$M$8:$M$110,$H49,'Calendario E'!$T$8:$T$110,$H$45)+SUMIFS('Calendario E'!$X$8:$X$110,'Calendario E'!$T$8:$T$110,$H49,'Calendario E'!$M$8:$M$110,$H$45),"-")</f>
        <v>-</v>
      </c>
      <c r="AS49" s="14" t="str">
        <f aca="false">IF(AND($H49&lt;&gt;"",$H$46&lt;&gt;"",$H49&lt;&gt;$H$46,IFERROR(VLOOKUP($H49,areaCercaPuntiClassificaSquadra,3,FALSE()),-1)=IFERROR(VLOOKUP($H$46,areaCercaPuntiClassificaSquadra,3,FALSE()),-2)),SUMIFS('Calendario E'!$Q$8:$Q$110,'Calendario E'!$M$8:$M$110,$H49,'Calendario E'!$T$8:$T$110,$H$46)+SUMIFS('Calendario E'!$X$8:$X$110,'Calendario E'!$T$8:$T$110,$H49,'Calendario E'!$M$8:$M$110,$H$46),"-")</f>
        <v>-</v>
      </c>
      <c r="AT49" s="14" t="str">
        <f aca="false">IF(AND($H49&lt;&gt;"",$H$47&lt;&gt;"",$H49&lt;&gt;$H$47,IFERROR(VLOOKUP($H49,areaCercaPuntiClassificaSquadra,3,FALSE()),-1)=IFERROR(VLOOKUP($H$47,areaCercaPuntiClassificaSquadra,3,FALSE()),-2)),SUMIFS('Calendario E'!$Q$8:$Q$110,'Calendario E'!$M$8:$M$110,$H49,'Calendario E'!$T$8:$T$110,$H$47)+SUMIFS('Calendario E'!$X$8:$X$110,'Calendario E'!$T$8:$T$110,$H49,'Calendario E'!$M$8:$M$110,$H$47),"-")</f>
        <v>-</v>
      </c>
      <c r="AU49" s="14" t="str">
        <f aca="false">IF(AND($H49&lt;&gt;"",$H$48&lt;&gt;"",$H49&lt;&gt;$H$48,IFERROR(VLOOKUP($H49,areaCercaPuntiClassificaSquadra,3,FALSE()),-1)=IFERROR(VLOOKUP($H$48,areaCercaPuntiClassificaSquadra,3,FALSE()),-2)),SUMIFS('Calendario E'!$Q$8:$Q$110,'Calendario E'!$M$8:$M$110,$H49,'Calendario E'!$T$8:$T$110,$H$48)+SUMIFS('Calendario E'!$X$8:$X$110,'Calendario E'!$T$8:$T$110,$H49,'Calendario E'!$M$8:$M$110,$H$48),"-")</f>
        <v>-</v>
      </c>
      <c r="AV49" s="14" t="str">
        <f aca="false">IF(AND($H49&lt;&gt;"",$H$49&lt;&gt;"",$H49&lt;&gt;$H$49,IFERROR(VLOOKUP($H49,areaCercaPuntiClassificaSquadra,3,FALSE()),-1)=IFERROR(VLOOKUP($H$49,areaCercaPuntiClassificaSquadra,3,FALSE()),-2)),SUMIFS('Calendario E'!$Q$8:$Q$110,'Calendario E'!$M$8:$M$110,$H49,'Calendario E'!$T$8:$T$110,$H$49)+SUMIFS('Calendario E'!$X$8:$X$110,'Calendario E'!$T$8:$T$110,$H49,'Calendario E'!$M$8:$M$110,$H$49),"-")</f>
        <v>-</v>
      </c>
      <c r="AW49" s="14" t="str">
        <f aca="false">IF(AND($H49&lt;&gt;"",$H$50&lt;&gt;"",$H49&lt;&gt;$H$50,IFERROR(VLOOKUP($H49,areaCercaPuntiClassificaSquadra,3,FALSE()),-1)=IFERROR(VLOOKUP($H$50,areaCercaPuntiClassificaSquadra,3,FALSE()),-2)),SUMIFS('Calendario E'!$Q$8:$Q$110,'Calendario E'!$M$8:$M$110,$H49,'Calendario E'!$T$8:$T$110,$H$50)+SUMIFS('Calendario E'!$X$8:$X$110,'Calendario E'!$T$8:$T$110,$H49,'Calendario E'!$M$8:$M$110,$H$50),"-")</f>
        <v>-</v>
      </c>
      <c r="AX49" s="14" t="str">
        <f aca="false">IF(AND($H49&lt;&gt;"",$H$51&lt;&gt;"",$H49&lt;&gt;$H$51,IFERROR(VLOOKUP($H49,areaCercaPuntiClassificaSquadra,3,FALSE()),-1)=IFERROR(VLOOKUP($H$51,areaCercaPuntiClassificaSquadra,3,FALSE()),-2)),SUMIFS('Calendario E'!$Q$8:$Q$110,'Calendario E'!$M$8:$M$110,$H49,'Calendario E'!$T$8:$T$110,$H$51)+SUMIFS('Calendario E'!$X$8:$X$110,'Calendario E'!$T$8:$T$110,$H49,'Calendario E'!$M$8:$M$110,$H$51),"-")</f>
        <v>-</v>
      </c>
      <c r="AY49" s="13" t="str">
        <f aca="false">$C49</f>
        <v>Uistiti Ubiqui-Uistitiopoli UI</v>
      </c>
      <c r="AZ49" s="14" t="str">
        <f aca="false">IF(AND($H49&lt;&gt;"",$H$44&lt;&gt;"",$H49&lt;&gt;$H$44,IFERROR(VLOOKUP($H49,areaCercaPuntiClassificaSquadra,3,FALSE()),-1)=IFERROR(VLOOKUP($H$44,areaCercaPuntiClassificaSquadra,3,FALSE()),-2)),SUMIFS('Calendario E'!$R$8:$R$110,'Calendario E'!$M$8:$M$110,$H49,'Calendario E'!$T$8:$T$110,$H$44)+SUMIFS('Calendario E'!$Y$8:$Y$110,'Calendario E'!$T$8:$T$110,$H49,'Calendario E'!$M$8:$M$110,$H$44),"-")</f>
        <v>-</v>
      </c>
      <c r="BA49" s="14" t="str">
        <f aca="false">IF(AND($H49&lt;&gt;"",$H$45&lt;&gt;"",$H49&lt;&gt;$H$45,IFERROR(VLOOKUP($H49,areaCercaPuntiClassificaSquadra,3,FALSE()),-1)=IFERROR(VLOOKUP($H$45,areaCercaPuntiClassificaSquadra,3,FALSE()),-2)),SUMIFS('Calendario E'!$R$8:$R$110,'Calendario E'!$M$8:$M$110,$H49,'Calendario E'!$T$8:$T$110,$H$45)+SUMIFS('Calendario E'!$Y$8:$Y$110,'Calendario E'!$T$8:$T$110,$H49,'Calendario E'!$M$8:$M$110,$H$45),"-")</f>
        <v>-</v>
      </c>
      <c r="BB49" s="14" t="str">
        <f aca="false">IF(AND($H49&lt;&gt;"",$H$46&lt;&gt;"",$H49&lt;&gt;$H$46,IFERROR(VLOOKUP($H49,areaCercaPuntiClassificaSquadra,3,FALSE()),-1)=IFERROR(VLOOKUP($H$46,areaCercaPuntiClassificaSquadra,3,FALSE()),-2)),SUMIFS('Calendario E'!$R$8:$R$110,'Calendario E'!$M$8:$M$110,$H49,'Calendario E'!$T$8:$T$110,$H$46)+SUMIFS('Calendario E'!$Y$8:$Y$110,'Calendario E'!$T$8:$T$110,$H49,'Calendario E'!$M$8:$M$110,$H$46),"-")</f>
        <v>-</v>
      </c>
      <c r="BC49" s="14" t="str">
        <f aca="false">IF(AND($H49&lt;&gt;"",$H$47&lt;&gt;"",$H49&lt;&gt;$H$47,IFERROR(VLOOKUP($H49,areaCercaPuntiClassificaSquadra,3,FALSE()),-1)=IFERROR(VLOOKUP($H$47,areaCercaPuntiClassificaSquadra,3,FALSE()),-2)),SUMIFS('Calendario E'!$R$8:$R$110,'Calendario E'!$M$8:$M$110,$H49,'Calendario E'!$T$8:$T$110,$H$47)+SUMIFS('Calendario E'!$Y$8:$Y$110,'Calendario E'!$T$8:$T$110,$H49,'Calendario E'!$M$8:$M$110,$H$47),"-")</f>
        <v>-</v>
      </c>
      <c r="BD49" s="14" t="str">
        <f aca="false">IF(AND($H49&lt;&gt;"",$H$48&lt;&gt;"",$H49&lt;&gt;$H$48,IFERROR(VLOOKUP($H49,areaCercaPuntiClassificaSquadra,3,FALSE()),-1)=IFERROR(VLOOKUP($H$48,areaCercaPuntiClassificaSquadra,3,FALSE()),-2)),SUMIFS('Calendario E'!$R$8:$R$110,'Calendario E'!$M$8:$M$110,$H49,'Calendario E'!$T$8:$T$110,$H$48)+SUMIFS('Calendario E'!$Y$8:$Y$110,'Calendario E'!$T$8:$T$110,$H49,'Calendario E'!$M$8:$M$110,$H$48),"-")</f>
        <v>-</v>
      </c>
      <c r="BE49" s="14" t="str">
        <f aca="false">IF(AND($H49&lt;&gt;"",$H$49&lt;&gt;"",$H49&lt;&gt;$H$49,IFERROR(VLOOKUP($H49,areaCercaPuntiClassificaSquadra,3,FALSE()),-1)=IFERROR(VLOOKUP($H$49,areaCercaPuntiClassificaSquadra,3,FALSE()),-2)),SUMIFS('Calendario E'!$R$8:$R$110,'Calendario E'!$M$8:$M$110,$H49,'Calendario E'!$T$8:$T$110,$H$49)+SUMIFS('Calendario E'!$Y$8:$Y$110,'Calendario E'!$T$8:$T$110,$H49,'Calendario E'!$M$8:$M$110,$H$49),"-")</f>
        <v>-</v>
      </c>
      <c r="BF49" s="14" t="str">
        <f aca="false">IF(AND($H49&lt;&gt;"",$H$50&lt;&gt;"",$H49&lt;&gt;$H$50,IFERROR(VLOOKUP($H49,areaCercaPuntiClassificaSquadra,3,FALSE()),-1)=IFERROR(VLOOKUP($H$50,areaCercaPuntiClassificaSquadra,3,FALSE()),-2)),SUMIFS('Calendario E'!$R$8:$R$110,'Calendario E'!$M$8:$M$110,$H49,'Calendario E'!$T$8:$T$110,$H$50)+SUMIFS('Calendario E'!$Y$8:$Y$110,'Calendario E'!$T$8:$T$110,$H49,'Calendario E'!$M$8:$M$110,$H$50),"-")</f>
        <v>-</v>
      </c>
      <c r="BG49" s="14" t="str">
        <f aca="false">IF(AND($H49&lt;&gt;"",$H$51&lt;&gt;"",$H49&lt;&gt;$H$51,IFERROR(VLOOKUP($H49,areaCercaPuntiClassificaSquadra,3,FALSE()),-1)=IFERROR(VLOOKUP($H$51,areaCercaPuntiClassificaSquadra,3,FALSE()),-2)),SUMIFS('Calendario E'!$R$8:$R$110,'Calendario E'!$M$8:$M$110,$H49,'Calendario E'!$T$8:$T$110,$H$51)+SUMIFS('Calendario E'!$Y$8:$Y$110,'Calendario E'!$T$8:$T$110,$H49,'Calendario E'!$M$8:$M$110,$H$51),"-")</f>
        <v>-</v>
      </c>
    </row>
    <row r="50" customFormat="false" ht="15" hidden="false" customHeight="false" outlineLevel="0" collapsed="false">
      <c r="B50" s="7" t="s">
        <v>128</v>
      </c>
      <c r="C50" s="8" t="s">
        <v>129</v>
      </c>
      <c r="D50" s="9"/>
      <c r="E50" s="21" t="s">
        <v>117</v>
      </c>
      <c r="G50" s="22" t="str">
        <f aca="false">IF($C50="","",$E50&amp;(COUNTIFS(I$12:I$75,"&gt;"&amp;I50,E$12:E$75,"="&amp;E50,C$12:C$75,"&lt;&gt;")+COUNTIFS(I$12:I$75,"="&amp;I50,H$12:H$75,"&lt;="&amp;H50,E$12:E$75,"="&amp;E50,C$12:C$75,"&lt;&gt;")))</f>
        <v>E4</v>
      </c>
      <c r="H50" s="12" t="str">
        <f aca="false">IF($C50="","",IFERROR(LEFT($C50,FIND("-",$C50)-1),$C50))</f>
        <v>Volpi Vorticose</v>
      </c>
      <c r="I50" s="7" t="str">
        <f aca="false">TEXT(1000000000+J50,"|0000000000|")&amp;TEXT(SUM(Y50:AF50),"0000000000|")&amp;IF(SUM(AZ50:BG50)=0,"0000000000|",TEXT(ROUND(SUM(AQ50:AX50)/SUM(AZ50:BG50),4)*100000,"0000000000|"))&amp;IF(P50=0,"0000000000|",TEXT(ROUND(O50/P50,4)*100000,"0000000000|"))</f>
        <v>|1000000015|0000000000|0000000000|0000110050|</v>
      </c>
      <c r="J50" s="22" t="n">
        <f aca="false">L50*constPuntiVittoria+M50*constPuntiSconfitta+N50*constPuntiForfait+IF(D50="",0,D50)</f>
        <v>15</v>
      </c>
      <c r="K50" s="7" t="n">
        <f aca="false">SUM(L50:N50)</f>
        <v>7</v>
      </c>
      <c r="L50" s="7" t="n">
        <f aca="false">IF($H50="",0,SUMIF('Calendario E'!$M$8:$M$110,$H50,'Calendario E'!$N$8:$N$110)+SUMIF('Calendario E'!$T$8:$T$110,$H50,'Calendario E'!$U$8:$U$110))</f>
        <v>4</v>
      </c>
      <c r="M50" s="7" t="n">
        <f aca="false">IF($H50="",0,SUMIF('Calendario E'!$M$8:$M$110,$H50,'Calendario E'!$P$8:$P$110)+SUMIF('Calendario E'!$T$8:$T$110,$H50,'Calendario E'!$W$8:$W$110))</f>
        <v>3</v>
      </c>
      <c r="N50" s="7" t="n">
        <f aca="false">IF($H50="",0,SUMIF('Calendario E'!$M$8:$M$110,$H50,'Calendario E'!$O$8:$O$110)+SUMIF('Calendario E'!$T$8:$T$110,$H50,'Calendario E'!$V$8:$V$110))</f>
        <v>0</v>
      </c>
      <c r="O50" s="7" t="n">
        <f aca="false">IF($H50="",0,SUMIF('Calendario E'!$M$8:$M$110,$H50,'Calendario E'!$Q$8:$Q$110)+SUMIF('Calendario E'!$T$8:$T$110,$H50,'Calendario E'!$X$8:$X$110))</f>
        <v>449</v>
      </c>
      <c r="P50" s="7" t="n">
        <f aca="false">IF($H50="",0,SUMIF('Calendario E'!$M$8:$M$110,$H50,'Calendario E'!$R$8:$R$110)+SUMIF('Calendario E'!$T$8:$T$110,$H50,'Calendario E'!$Y$8:$Y$110))</f>
        <v>408</v>
      </c>
      <c r="Q50" s="7" t="n">
        <f aca="false">IF($H50="",0,SUMIF('Calendario E'!$M$8:$M$110,$H50,'Calendario E'!$S$8:$S$110)+SUMIF('Calendario E'!$T$8:$T$110,$H50,'Calendario E'!$Z$8:$Z$110))</f>
        <v>41</v>
      </c>
      <c r="R50" s="7" t="n">
        <f aca="false">IF(K50=0,0,ROUND(O50/K50,2))</f>
        <v>64.14</v>
      </c>
      <c r="S50" s="7" t="n">
        <f aca="false">IF(K50=0,0,ROUND(P50/K50,2))</f>
        <v>58.29</v>
      </c>
      <c r="T50" s="7" t="n">
        <f aca="false">IF(K50=0,0,ROUND(Q50/K50,2))</f>
        <v>5.86</v>
      </c>
      <c r="U50" s="7" t="str">
        <f aca="false">IF(COUNT(Y50:AF50)=0,"-",SUM(Y50:AF50)&amp;"-"&amp;SUM(AH50:AO50))</f>
        <v>-</v>
      </c>
      <c r="V50" s="7" t="str">
        <f aca="false">IF(COUNT(Y50:AF50)=0,"-",IF(SUM(AZ50:BG50)=0,TEXT(0,"0.0000"),TEXT(ROUND(SUM(AQ50:AX50)/SUM(AZ50:BG50),4),"0.0000")))</f>
        <v>-</v>
      </c>
      <c r="W50" s="7" t="str">
        <f aca="false">IF(H50="","-",IF(P50=0,TEXT(0,"0.0000"),TEXT(ROUND(O50/P50,4),"0.0000")))</f>
        <v>1.1005</v>
      </c>
      <c r="X50" s="13" t="str">
        <f aca="false">$C50</f>
        <v>Volpi Vorticose-Volpiopoli VI</v>
      </c>
      <c r="Y50" s="14" t="str">
        <f aca="false">IF(AND($H50&lt;&gt;"",$H$44&lt;&gt;"",$H50&lt;&gt;$H$44,IFERROR(VLOOKUP($H50,areaCercaPuntiClassificaSquadra,3,FALSE()),-1)=IFERROR(VLOOKUP($H$44,areaCercaPuntiClassificaSquadra,3,FALSE()),-2)),SUMIFS('Calendario E'!$N$8:$N$110,'Calendario E'!$M$8:$M$110,$H50,'Calendario E'!$T$8:$T$110,$H$44)+SUMIFS('Calendario E'!$U$8:$U$110,'Calendario E'!$T$8:$T$110,$H50,'Calendario E'!$M$8:$M$110,$H$44),"-")</f>
        <v>-</v>
      </c>
      <c r="Z50" s="14" t="str">
        <f aca="false">IF(AND($H50&lt;&gt;"",$H$45&lt;&gt;"",$H50&lt;&gt;$H$45,IFERROR(VLOOKUP($H50,areaCercaPuntiClassificaSquadra,3,FALSE()),-1)=IFERROR(VLOOKUP($H$45,areaCercaPuntiClassificaSquadra,3,FALSE()),-2)),SUMIFS('Calendario E'!$N$8:$N$110,'Calendario E'!$M$8:$M$110,$H50,'Calendario E'!$T$8:$T$110,$H$45)+SUMIFS('Calendario E'!$U$8:$U$110,'Calendario E'!$T$8:$T$110,$H50,'Calendario E'!$M$8:$M$110,$H$45),"-")</f>
        <v>-</v>
      </c>
      <c r="AA50" s="14" t="str">
        <f aca="false">IF(AND($H50&lt;&gt;"",$H$46&lt;&gt;"",$H50&lt;&gt;$H$46,IFERROR(VLOOKUP($H50,areaCercaPuntiClassificaSquadra,3,FALSE()),-1)=IFERROR(VLOOKUP($H$46,areaCercaPuntiClassificaSquadra,3,FALSE()),-2)),SUMIFS('Calendario E'!$N$8:$N$110,'Calendario E'!$M$8:$M$110,$H50,'Calendario E'!$T$8:$T$110,$H$46)+SUMIFS('Calendario E'!$U$8:$U$110,'Calendario E'!$T$8:$T$110,$H50,'Calendario E'!$M$8:$M$110,$H$46),"-")</f>
        <v>-</v>
      </c>
      <c r="AB50" s="14" t="str">
        <f aca="false">IF(AND($H50&lt;&gt;"",$H$47&lt;&gt;"",$H50&lt;&gt;$H$47,IFERROR(VLOOKUP($H50,areaCercaPuntiClassificaSquadra,3,FALSE()),-1)=IFERROR(VLOOKUP($H$47,areaCercaPuntiClassificaSquadra,3,FALSE()),-2)),SUMIFS('Calendario E'!$N$8:$N$110,'Calendario E'!$M$8:$M$110,$H50,'Calendario E'!$T$8:$T$110,$H$47)+SUMIFS('Calendario E'!$U$8:$U$110,'Calendario E'!$T$8:$T$110,$H50,'Calendario E'!$M$8:$M$110,$H$47),"-")</f>
        <v>-</v>
      </c>
      <c r="AC50" s="14" t="str">
        <f aca="false">IF(AND($H50&lt;&gt;"",$H$48&lt;&gt;"",$H50&lt;&gt;$H$48,IFERROR(VLOOKUP($H50,areaCercaPuntiClassificaSquadra,3,FALSE()),-1)=IFERROR(VLOOKUP($H$48,areaCercaPuntiClassificaSquadra,3,FALSE()),-2)),SUMIFS('Calendario E'!$N$8:$N$110,'Calendario E'!$M$8:$M$110,$H50,'Calendario E'!$T$8:$T$110,$H$48)+SUMIFS('Calendario E'!$U$8:$U$110,'Calendario E'!$T$8:$T$110,$H50,'Calendario E'!$M$8:$M$110,$H$48),"-")</f>
        <v>-</v>
      </c>
      <c r="AD50" s="14" t="str">
        <f aca="false">IF(AND($H50&lt;&gt;"",$H$49&lt;&gt;"",$H50&lt;&gt;$H$49,IFERROR(VLOOKUP($H50,areaCercaPuntiClassificaSquadra,3,FALSE()),-1)=IFERROR(VLOOKUP($H$49,areaCercaPuntiClassificaSquadra,3,FALSE()),-2)),SUMIFS('Calendario E'!$N$8:$N$110,'Calendario E'!$M$8:$M$110,$H50,'Calendario E'!$T$8:$T$110,$H$49)+SUMIFS('Calendario E'!$U$8:$U$110,'Calendario E'!$T$8:$T$110,$H50,'Calendario E'!$M$8:$M$110,$H$49),"-")</f>
        <v>-</v>
      </c>
      <c r="AE50" s="14" t="str">
        <f aca="false">IF(AND($H50&lt;&gt;"",$H$50&lt;&gt;"",$H50&lt;&gt;$H$50,IFERROR(VLOOKUP($H50,areaCercaPuntiClassificaSquadra,3,FALSE()),-1)=IFERROR(VLOOKUP($H$50,areaCercaPuntiClassificaSquadra,3,FALSE()),-2)),SUMIFS('Calendario E'!$N$8:$N$110,'Calendario E'!$M$8:$M$110,$H50,'Calendario E'!$T$8:$T$110,$H$50)+SUMIFS('Calendario E'!$U$8:$U$110,'Calendario E'!$T$8:$T$110,$H50,'Calendario E'!$M$8:$M$110,$H$50),"-")</f>
        <v>-</v>
      </c>
      <c r="AF50" s="14" t="str">
        <f aca="false">IF(AND($H50&lt;&gt;"",$H$51&lt;&gt;"",$H50&lt;&gt;$H$51,IFERROR(VLOOKUP($H50,areaCercaPuntiClassificaSquadra,3,FALSE()),-1)=IFERROR(VLOOKUP($H$51,areaCercaPuntiClassificaSquadra,3,FALSE()),-2)),SUMIFS('Calendario E'!$N$8:$N$110,'Calendario E'!$M$8:$M$110,$H50,'Calendario E'!$T$8:$T$110,$H$51)+SUMIFS('Calendario E'!$U$8:$U$110,'Calendario E'!$T$8:$T$110,$H50,'Calendario E'!$M$8:$M$110,$H$51),"-")</f>
        <v>-</v>
      </c>
      <c r="AG50" s="13" t="str">
        <f aca="false">$C50</f>
        <v>Volpi Vorticose-Volpiopoli VI</v>
      </c>
      <c r="AH50" s="14" t="str">
        <f aca="false">IF(AND($H50&lt;&gt;"",$H$44&lt;&gt;"",$H50&lt;&gt;$H$44,IFERROR(VLOOKUP($H50,areaCercaPuntiClassificaSquadra,3,FALSE()),-1)=IFERROR(VLOOKUP($H$44,areaCercaPuntiClassificaSquadra,3,FALSE()),-2)),SUMIFS('Calendario E'!$P$8:$P$110,'Calendario E'!$M$8:$M$110,$H50,'Calendario E'!$T$8:$T$110,$H$44)+SUMIFS('Calendario E'!$W$8:$W$110,'Calendario E'!$T$8:$T$110,$H50,'Calendario E'!$M$8:$M$110,$H$44)+SUMIFS('Calendario E'!$O$8:$O$110,'Calendario E'!$M$8:$M$110,$H50,'Calendario E'!$T$8:$T$110,$H$44)+SUMIFS('Calendario E'!$V$8:$V$110,'Calendario E'!$T$8:$T$110,$H50,'Calendario E'!$M$8:$M$110,$H$44),"-")</f>
        <v>-</v>
      </c>
      <c r="AI50" s="14" t="str">
        <f aca="false">IF(AND($H50&lt;&gt;"",$H$45&lt;&gt;"",$H50&lt;&gt;$H$45,IFERROR(VLOOKUP($H50,areaCercaPuntiClassificaSquadra,3,FALSE()),-1)=IFERROR(VLOOKUP($H$45,areaCercaPuntiClassificaSquadra,3,FALSE()),-2)),SUMIFS('Calendario E'!$P$8:$P$110,'Calendario E'!$M$8:$M$110,$H50,'Calendario E'!$T$8:$T$110,$H$45)+SUMIFS('Calendario E'!$W$8:$W$110,'Calendario E'!$T$8:$T$110,$H50,'Calendario E'!$M$8:$M$110,$H$45)+SUMIFS('Calendario E'!$O$8:$O$110,'Calendario E'!$M$8:$M$110,$H50,'Calendario E'!$T$8:$T$110,$H$45)+SUMIFS('Calendario E'!$V$8:$V$110,'Calendario E'!$T$8:$T$110,$H50,'Calendario E'!$M$8:$M$110,$H$45),"-")</f>
        <v>-</v>
      </c>
      <c r="AJ50" s="14" t="str">
        <f aca="false">IF(AND($H50&lt;&gt;"",$H$46&lt;&gt;"",$H50&lt;&gt;$H$46,IFERROR(VLOOKUP($H50,areaCercaPuntiClassificaSquadra,3,FALSE()),-1)=IFERROR(VLOOKUP($H$46,areaCercaPuntiClassificaSquadra,3,FALSE()),-2)),SUMIFS('Calendario E'!$P$8:$P$110,'Calendario E'!$M$8:$M$110,$H50,'Calendario E'!$T$8:$T$110,$H$46)+SUMIFS('Calendario E'!$W$8:$W$110,'Calendario E'!$T$8:$T$110,$H50,'Calendario E'!$M$8:$M$110,$H$46)+SUMIFS('Calendario E'!$O$8:$O$110,'Calendario E'!$M$8:$M$110,$H50,'Calendario E'!$T$8:$T$110,$H$46)+SUMIFS('Calendario E'!$V$8:$V$110,'Calendario E'!$T$8:$T$110,$H50,'Calendario E'!$M$8:$M$110,$H$46),"-")</f>
        <v>-</v>
      </c>
      <c r="AK50" s="14" t="str">
        <f aca="false">IF(AND($H50&lt;&gt;"",$H$47&lt;&gt;"",$H50&lt;&gt;$H$47,IFERROR(VLOOKUP($H50,areaCercaPuntiClassificaSquadra,3,FALSE()),-1)=IFERROR(VLOOKUP($H$47,areaCercaPuntiClassificaSquadra,3,FALSE()),-2)),SUMIFS('Calendario E'!$P$8:$P$110,'Calendario E'!$M$8:$M$110,$H50,'Calendario E'!$T$8:$T$110,$H$47)+SUMIFS('Calendario E'!$W$8:$W$110,'Calendario E'!$T$8:$T$110,$H50,'Calendario E'!$M$8:$M$110,$H$47)+SUMIFS('Calendario E'!$O$8:$O$110,'Calendario E'!$M$8:$M$110,$H50,'Calendario E'!$T$8:$T$110,$H$47)+SUMIFS('Calendario E'!$V$8:$V$110,'Calendario E'!$T$8:$T$110,$H50,'Calendario E'!$M$8:$M$110,$H$47),"-")</f>
        <v>-</v>
      </c>
      <c r="AL50" s="14" t="str">
        <f aca="false">IF(AND($H50&lt;&gt;"",$H$48&lt;&gt;"",$H50&lt;&gt;$H$48,IFERROR(VLOOKUP($H50,areaCercaPuntiClassificaSquadra,3,FALSE()),-1)=IFERROR(VLOOKUP($H$48,areaCercaPuntiClassificaSquadra,3,FALSE()),-2)),SUMIFS('Calendario E'!$P$8:$P$110,'Calendario E'!$M$8:$M$110,$H50,'Calendario E'!$T$8:$T$110,$H$48)+SUMIFS('Calendario E'!$W$8:$W$110,'Calendario E'!$T$8:$T$110,$H50,'Calendario E'!$M$8:$M$110,$H$48)+SUMIFS('Calendario E'!$O$8:$O$110,'Calendario E'!$M$8:$M$110,$H50,'Calendario E'!$T$8:$T$110,$H$48)+SUMIFS('Calendario E'!$V$8:$V$110,'Calendario E'!$T$8:$T$110,$H50,'Calendario E'!$M$8:$M$110,$H$48),"-")</f>
        <v>-</v>
      </c>
      <c r="AM50" s="14" t="str">
        <f aca="false">IF(AND($H50&lt;&gt;"",$H$49&lt;&gt;"",$H50&lt;&gt;$H$49,IFERROR(VLOOKUP($H50,areaCercaPuntiClassificaSquadra,3,FALSE()),-1)=IFERROR(VLOOKUP($H$49,areaCercaPuntiClassificaSquadra,3,FALSE()),-2)),SUMIFS('Calendario E'!$P$8:$P$110,'Calendario E'!$M$8:$M$110,$H50,'Calendario E'!$T$8:$T$110,$H$49)+SUMIFS('Calendario E'!$W$8:$W$110,'Calendario E'!$T$8:$T$110,$H50,'Calendario E'!$M$8:$M$110,$H$49)+SUMIFS('Calendario E'!$O$8:$O$110,'Calendario E'!$M$8:$M$110,$H50,'Calendario E'!$T$8:$T$110,$H$49)+SUMIFS('Calendario E'!$V$8:$V$110,'Calendario E'!$T$8:$T$110,$H50,'Calendario E'!$M$8:$M$110,$H$49),"-")</f>
        <v>-</v>
      </c>
      <c r="AN50" s="14" t="str">
        <f aca="false">IF(AND($H50&lt;&gt;"",$H$50&lt;&gt;"",$H50&lt;&gt;$H$50,IFERROR(VLOOKUP($H50,areaCercaPuntiClassificaSquadra,3,FALSE()),-1)=IFERROR(VLOOKUP($H$50,areaCercaPuntiClassificaSquadra,3,FALSE()),-2)),SUMIFS('Calendario E'!$P$8:$P$110,'Calendario E'!$M$8:$M$110,$H50,'Calendario E'!$T$8:$T$110,$H$50)+SUMIFS('Calendario E'!$W$8:$W$110,'Calendario E'!$T$8:$T$110,$H50,'Calendario E'!$M$8:$M$110,$H$50)+SUMIFS('Calendario E'!$O$8:$O$110,'Calendario E'!$M$8:$M$110,$H50,'Calendario E'!$T$8:$T$110,$H$50)+SUMIFS('Calendario E'!$V$8:$V$110,'Calendario E'!$T$8:$T$110,$H50,'Calendario E'!$M$8:$M$110,$H$50),"-")</f>
        <v>-</v>
      </c>
      <c r="AO50" s="14" t="str">
        <f aca="false">IF(AND($H50&lt;&gt;"",$H$51&lt;&gt;"",$H50&lt;&gt;$H$51,IFERROR(VLOOKUP($H50,areaCercaPuntiClassificaSquadra,3,FALSE()),-1)=IFERROR(VLOOKUP($H$51,areaCercaPuntiClassificaSquadra,3,FALSE()),-2)),SUMIFS('Calendario E'!$P$8:$P$110,'Calendario E'!$M$8:$M$110,$H50,'Calendario E'!$T$8:$T$110,$H$51)+SUMIFS('Calendario E'!$W$8:$W$110,'Calendario E'!$T$8:$T$110,$H50,'Calendario E'!$M$8:$M$110,$H$51)+SUMIFS('Calendario E'!$O$8:$O$110,'Calendario E'!$M$8:$M$110,$H50,'Calendario E'!$T$8:$T$110,$H$51)+SUMIFS('Calendario E'!$V$8:$V$110,'Calendario E'!$T$8:$T$110,$H50,'Calendario E'!$M$8:$M$110,$H$51),"-")</f>
        <v>-</v>
      </c>
      <c r="AP50" s="13" t="str">
        <f aca="false">$C50</f>
        <v>Volpi Vorticose-Volpiopoli VI</v>
      </c>
      <c r="AQ50" s="14" t="str">
        <f aca="false">IF(AND($H50&lt;&gt;"",$H$44&lt;&gt;"",$H50&lt;&gt;$H$44,IFERROR(VLOOKUP($H50,areaCercaPuntiClassificaSquadra,3,FALSE()),-1)=IFERROR(VLOOKUP($H$44,areaCercaPuntiClassificaSquadra,3,FALSE()),-2)),SUMIFS('Calendario E'!$Q$8:$Q$110,'Calendario E'!$M$8:$M$110,$H50,'Calendario E'!$T$8:$T$110,$H$44)+SUMIFS('Calendario E'!$X$8:$X$110,'Calendario E'!$T$8:$T$110,$H50,'Calendario E'!$M$8:$M$110,$H$44),"-")</f>
        <v>-</v>
      </c>
      <c r="AR50" s="14" t="str">
        <f aca="false">IF(AND($H50&lt;&gt;"",$H$45&lt;&gt;"",$H50&lt;&gt;$H$45,IFERROR(VLOOKUP($H50,areaCercaPuntiClassificaSquadra,3,FALSE()),-1)=IFERROR(VLOOKUP($H$45,areaCercaPuntiClassificaSquadra,3,FALSE()),-2)),SUMIFS('Calendario E'!$Q$8:$Q$110,'Calendario E'!$M$8:$M$110,$H50,'Calendario E'!$T$8:$T$110,$H$45)+SUMIFS('Calendario E'!$X$8:$X$110,'Calendario E'!$T$8:$T$110,$H50,'Calendario E'!$M$8:$M$110,$H$45),"-")</f>
        <v>-</v>
      </c>
      <c r="AS50" s="14" t="str">
        <f aca="false">IF(AND($H50&lt;&gt;"",$H$46&lt;&gt;"",$H50&lt;&gt;$H$46,IFERROR(VLOOKUP($H50,areaCercaPuntiClassificaSquadra,3,FALSE()),-1)=IFERROR(VLOOKUP($H$46,areaCercaPuntiClassificaSquadra,3,FALSE()),-2)),SUMIFS('Calendario E'!$Q$8:$Q$110,'Calendario E'!$M$8:$M$110,$H50,'Calendario E'!$T$8:$T$110,$H$46)+SUMIFS('Calendario E'!$X$8:$X$110,'Calendario E'!$T$8:$T$110,$H50,'Calendario E'!$M$8:$M$110,$H$46),"-")</f>
        <v>-</v>
      </c>
      <c r="AT50" s="14" t="str">
        <f aca="false">IF(AND($H50&lt;&gt;"",$H$47&lt;&gt;"",$H50&lt;&gt;$H$47,IFERROR(VLOOKUP($H50,areaCercaPuntiClassificaSquadra,3,FALSE()),-1)=IFERROR(VLOOKUP($H$47,areaCercaPuntiClassificaSquadra,3,FALSE()),-2)),SUMIFS('Calendario E'!$Q$8:$Q$110,'Calendario E'!$M$8:$M$110,$H50,'Calendario E'!$T$8:$T$110,$H$47)+SUMIFS('Calendario E'!$X$8:$X$110,'Calendario E'!$T$8:$T$110,$H50,'Calendario E'!$M$8:$M$110,$H$47),"-")</f>
        <v>-</v>
      </c>
      <c r="AU50" s="14" t="str">
        <f aca="false">IF(AND($H50&lt;&gt;"",$H$48&lt;&gt;"",$H50&lt;&gt;$H$48,IFERROR(VLOOKUP($H50,areaCercaPuntiClassificaSquadra,3,FALSE()),-1)=IFERROR(VLOOKUP($H$48,areaCercaPuntiClassificaSquadra,3,FALSE()),-2)),SUMIFS('Calendario E'!$Q$8:$Q$110,'Calendario E'!$M$8:$M$110,$H50,'Calendario E'!$T$8:$T$110,$H$48)+SUMIFS('Calendario E'!$X$8:$X$110,'Calendario E'!$T$8:$T$110,$H50,'Calendario E'!$M$8:$M$110,$H$48),"-")</f>
        <v>-</v>
      </c>
      <c r="AV50" s="14" t="str">
        <f aca="false">IF(AND($H50&lt;&gt;"",$H$49&lt;&gt;"",$H50&lt;&gt;$H$49,IFERROR(VLOOKUP($H50,areaCercaPuntiClassificaSquadra,3,FALSE()),-1)=IFERROR(VLOOKUP($H$49,areaCercaPuntiClassificaSquadra,3,FALSE()),-2)),SUMIFS('Calendario E'!$Q$8:$Q$110,'Calendario E'!$M$8:$M$110,$H50,'Calendario E'!$T$8:$T$110,$H$49)+SUMIFS('Calendario E'!$X$8:$X$110,'Calendario E'!$T$8:$T$110,$H50,'Calendario E'!$M$8:$M$110,$H$49),"-")</f>
        <v>-</v>
      </c>
      <c r="AW50" s="14" t="str">
        <f aca="false">IF(AND($H50&lt;&gt;"",$H$50&lt;&gt;"",$H50&lt;&gt;$H$50,IFERROR(VLOOKUP($H50,areaCercaPuntiClassificaSquadra,3,FALSE()),-1)=IFERROR(VLOOKUP($H$50,areaCercaPuntiClassificaSquadra,3,FALSE()),-2)),SUMIFS('Calendario E'!$Q$8:$Q$110,'Calendario E'!$M$8:$M$110,$H50,'Calendario E'!$T$8:$T$110,$H$50)+SUMIFS('Calendario E'!$X$8:$X$110,'Calendario E'!$T$8:$T$110,$H50,'Calendario E'!$M$8:$M$110,$H$50),"-")</f>
        <v>-</v>
      </c>
      <c r="AX50" s="14" t="str">
        <f aca="false">IF(AND($H50&lt;&gt;"",$H$51&lt;&gt;"",$H50&lt;&gt;$H$51,IFERROR(VLOOKUP($H50,areaCercaPuntiClassificaSquadra,3,FALSE()),-1)=IFERROR(VLOOKUP($H$51,areaCercaPuntiClassificaSquadra,3,FALSE()),-2)),SUMIFS('Calendario E'!$Q$8:$Q$110,'Calendario E'!$M$8:$M$110,$H50,'Calendario E'!$T$8:$T$110,$H$51)+SUMIFS('Calendario E'!$X$8:$X$110,'Calendario E'!$T$8:$T$110,$H50,'Calendario E'!$M$8:$M$110,$H$51),"-")</f>
        <v>-</v>
      </c>
      <c r="AY50" s="13" t="str">
        <f aca="false">$C50</f>
        <v>Volpi Vorticose-Volpiopoli VI</v>
      </c>
      <c r="AZ50" s="14" t="str">
        <f aca="false">IF(AND($H50&lt;&gt;"",$H$44&lt;&gt;"",$H50&lt;&gt;$H$44,IFERROR(VLOOKUP($H50,areaCercaPuntiClassificaSquadra,3,FALSE()),-1)=IFERROR(VLOOKUP($H$44,areaCercaPuntiClassificaSquadra,3,FALSE()),-2)),SUMIFS('Calendario E'!$R$8:$R$110,'Calendario E'!$M$8:$M$110,$H50,'Calendario E'!$T$8:$T$110,$H$44)+SUMIFS('Calendario E'!$Y$8:$Y$110,'Calendario E'!$T$8:$T$110,$H50,'Calendario E'!$M$8:$M$110,$H$44),"-")</f>
        <v>-</v>
      </c>
      <c r="BA50" s="14" t="str">
        <f aca="false">IF(AND($H50&lt;&gt;"",$H$45&lt;&gt;"",$H50&lt;&gt;$H$45,IFERROR(VLOOKUP($H50,areaCercaPuntiClassificaSquadra,3,FALSE()),-1)=IFERROR(VLOOKUP($H$45,areaCercaPuntiClassificaSquadra,3,FALSE()),-2)),SUMIFS('Calendario E'!$R$8:$R$110,'Calendario E'!$M$8:$M$110,$H50,'Calendario E'!$T$8:$T$110,$H$45)+SUMIFS('Calendario E'!$Y$8:$Y$110,'Calendario E'!$T$8:$T$110,$H50,'Calendario E'!$M$8:$M$110,$H$45),"-")</f>
        <v>-</v>
      </c>
      <c r="BB50" s="14" t="str">
        <f aca="false">IF(AND($H50&lt;&gt;"",$H$46&lt;&gt;"",$H50&lt;&gt;$H$46,IFERROR(VLOOKUP($H50,areaCercaPuntiClassificaSquadra,3,FALSE()),-1)=IFERROR(VLOOKUP($H$46,areaCercaPuntiClassificaSquadra,3,FALSE()),-2)),SUMIFS('Calendario E'!$R$8:$R$110,'Calendario E'!$M$8:$M$110,$H50,'Calendario E'!$T$8:$T$110,$H$46)+SUMIFS('Calendario E'!$Y$8:$Y$110,'Calendario E'!$T$8:$T$110,$H50,'Calendario E'!$M$8:$M$110,$H$46),"-")</f>
        <v>-</v>
      </c>
      <c r="BC50" s="14" t="str">
        <f aca="false">IF(AND($H50&lt;&gt;"",$H$47&lt;&gt;"",$H50&lt;&gt;$H$47,IFERROR(VLOOKUP($H50,areaCercaPuntiClassificaSquadra,3,FALSE()),-1)=IFERROR(VLOOKUP($H$47,areaCercaPuntiClassificaSquadra,3,FALSE()),-2)),SUMIFS('Calendario E'!$R$8:$R$110,'Calendario E'!$M$8:$M$110,$H50,'Calendario E'!$T$8:$T$110,$H$47)+SUMIFS('Calendario E'!$Y$8:$Y$110,'Calendario E'!$T$8:$T$110,$H50,'Calendario E'!$M$8:$M$110,$H$47),"-")</f>
        <v>-</v>
      </c>
      <c r="BD50" s="14" t="str">
        <f aca="false">IF(AND($H50&lt;&gt;"",$H$48&lt;&gt;"",$H50&lt;&gt;$H$48,IFERROR(VLOOKUP($H50,areaCercaPuntiClassificaSquadra,3,FALSE()),-1)=IFERROR(VLOOKUP($H$48,areaCercaPuntiClassificaSquadra,3,FALSE()),-2)),SUMIFS('Calendario E'!$R$8:$R$110,'Calendario E'!$M$8:$M$110,$H50,'Calendario E'!$T$8:$T$110,$H$48)+SUMIFS('Calendario E'!$Y$8:$Y$110,'Calendario E'!$T$8:$T$110,$H50,'Calendario E'!$M$8:$M$110,$H$48),"-")</f>
        <v>-</v>
      </c>
      <c r="BE50" s="14" t="str">
        <f aca="false">IF(AND($H50&lt;&gt;"",$H$49&lt;&gt;"",$H50&lt;&gt;$H$49,IFERROR(VLOOKUP($H50,areaCercaPuntiClassificaSquadra,3,FALSE()),-1)=IFERROR(VLOOKUP($H$49,areaCercaPuntiClassificaSquadra,3,FALSE()),-2)),SUMIFS('Calendario E'!$R$8:$R$110,'Calendario E'!$M$8:$M$110,$H50,'Calendario E'!$T$8:$T$110,$H$49)+SUMIFS('Calendario E'!$Y$8:$Y$110,'Calendario E'!$T$8:$T$110,$H50,'Calendario E'!$M$8:$M$110,$H$49),"-")</f>
        <v>-</v>
      </c>
      <c r="BF50" s="14" t="str">
        <f aca="false">IF(AND($H50&lt;&gt;"",$H$50&lt;&gt;"",$H50&lt;&gt;$H$50,IFERROR(VLOOKUP($H50,areaCercaPuntiClassificaSquadra,3,FALSE()),-1)=IFERROR(VLOOKUP($H$50,areaCercaPuntiClassificaSquadra,3,FALSE()),-2)),SUMIFS('Calendario E'!$R$8:$R$110,'Calendario E'!$M$8:$M$110,$H50,'Calendario E'!$T$8:$T$110,$H$50)+SUMIFS('Calendario E'!$Y$8:$Y$110,'Calendario E'!$T$8:$T$110,$H50,'Calendario E'!$M$8:$M$110,$H$50),"-")</f>
        <v>-</v>
      </c>
      <c r="BG50" s="14" t="str">
        <f aca="false">IF(AND($H50&lt;&gt;"",$H$51&lt;&gt;"",$H50&lt;&gt;$H$51,IFERROR(VLOOKUP($H50,areaCercaPuntiClassificaSquadra,3,FALSE()),-1)=IFERROR(VLOOKUP($H$51,areaCercaPuntiClassificaSquadra,3,FALSE()),-2)),SUMIFS('Calendario E'!$R$8:$R$110,'Calendario E'!$M$8:$M$110,$H50,'Calendario E'!$T$8:$T$110,$H$51)+SUMIFS('Calendario E'!$Y$8:$Y$110,'Calendario E'!$T$8:$T$110,$H50,'Calendario E'!$M$8:$M$110,$H$51),"-")</f>
        <v>-</v>
      </c>
    </row>
    <row r="51" customFormat="false" ht="15" hidden="false" customHeight="false" outlineLevel="0" collapsed="false">
      <c r="B51" s="7" t="s">
        <v>130</v>
      </c>
      <c r="C51" s="8" t="s">
        <v>131</v>
      </c>
      <c r="D51" s="9"/>
      <c r="E51" s="21" t="s">
        <v>117</v>
      </c>
      <c r="G51" s="22" t="str">
        <f aca="false">IF($C51="","",$E51&amp;(COUNTIFS(I$12:I$75,"&gt;"&amp;I51,E$12:E$75,"="&amp;E51,C$12:C$75,"&lt;&gt;")+COUNTIFS(I$12:I$75,"="&amp;I51,H$12:H$75,"&lt;="&amp;H51,E$12:E$75,"="&amp;E51,C$12:C$75,"&lt;&gt;")))</f>
        <v>E2</v>
      </c>
      <c r="H51" s="12" t="str">
        <f aca="false">IF($C51="","",IFERROR(LEFT($C51,FIND("-",$C51)-1),$C51))</f>
        <v>Zibetti Zuccherini</v>
      </c>
      <c r="I51" s="7" t="str">
        <f aca="false">TEXT(1000000000+J51,"|0000000000|")&amp;TEXT(SUM(Y51:AF51),"0000000000|")&amp;IF(SUM(AZ51:BG51)=0,"0000000000|",TEXT(ROUND(SUM(AQ51:AX51)/SUM(AZ51:BG51),4)*100000,"0000000000|"))&amp;IF(P51=0,"0000000000|",TEXT(ROUND(O51/P51,4)*100000,"0000000000|"))</f>
        <v>|1000000019|0000000001|0000107380|0000126370|</v>
      </c>
      <c r="J51" s="22" t="n">
        <f aca="false">L51*constPuntiVittoria+M51*constPuntiSconfitta+N51*constPuntiForfait+IF(D51="",0,D51)</f>
        <v>19</v>
      </c>
      <c r="K51" s="7" t="n">
        <f aca="false">SUM(L51:N51)</f>
        <v>7</v>
      </c>
      <c r="L51" s="7" t="n">
        <f aca="false">IF($H51="",0,SUMIF('Calendario E'!$M$8:$M$110,$H51,'Calendario E'!$N$8:$N$110)+SUMIF('Calendario E'!$T$8:$T$110,$H51,'Calendario E'!$U$8:$U$110))</f>
        <v>6</v>
      </c>
      <c r="M51" s="7" t="n">
        <f aca="false">IF($H51="",0,SUMIF('Calendario E'!$M$8:$M$110,$H51,'Calendario E'!$P$8:$P$110)+SUMIF('Calendario E'!$T$8:$T$110,$H51,'Calendario E'!$W$8:$W$110))</f>
        <v>1</v>
      </c>
      <c r="N51" s="7" t="n">
        <f aca="false">IF($H51="",0,SUMIF('Calendario E'!$M$8:$M$110,$H51,'Calendario E'!$O$8:$O$110)+SUMIF('Calendario E'!$T$8:$T$110,$H51,'Calendario E'!$V$8:$V$110))</f>
        <v>0</v>
      </c>
      <c r="O51" s="7" t="n">
        <f aca="false">IF($H51="",0,SUMIF('Calendario E'!$M$8:$M$110,$H51,'Calendario E'!$Q$8:$Q$110)+SUMIF('Calendario E'!$T$8:$T$110,$H51,'Calendario E'!$X$8:$X$110))</f>
        <v>508</v>
      </c>
      <c r="P51" s="7" t="n">
        <f aca="false">IF($H51="",0,SUMIF('Calendario E'!$M$8:$M$110,$H51,'Calendario E'!$R$8:$R$110)+SUMIF('Calendario E'!$T$8:$T$110,$H51,'Calendario E'!$Y$8:$Y$110))</f>
        <v>402</v>
      </c>
      <c r="Q51" s="7" t="n">
        <f aca="false">IF($H51="",0,SUMIF('Calendario E'!$M$8:$M$110,$H51,'Calendario E'!$S$8:$S$110)+SUMIF('Calendario E'!$T$8:$T$110,$H51,'Calendario E'!$Z$8:$Z$110))</f>
        <v>106</v>
      </c>
      <c r="R51" s="7" t="n">
        <f aca="false">IF(K51=0,0,ROUND(O51/K51,2))</f>
        <v>72.57</v>
      </c>
      <c r="S51" s="7" t="n">
        <f aca="false">IF(K51=0,0,ROUND(P51/K51,2))</f>
        <v>57.43</v>
      </c>
      <c r="T51" s="7" t="n">
        <f aca="false">IF(K51=0,0,ROUND(Q51/K51,2))</f>
        <v>15.14</v>
      </c>
      <c r="U51" s="7" t="str">
        <f aca="false">IF(COUNT(Y51:AF51)=0,"-",SUM(Y51:AF51)&amp;"-"&amp;SUM(AH51:AO51))</f>
        <v>1-1</v>
      </c>
      <c r="V51" s="7" t="str">
        <f aca="false">IF(COUNT(Y51:AF51)=0,"-",IF(SUM(AZ51:BG51)=0,TEXT(0,"0.0000"),TEXT(ROUND(SUM(AQ51:AX51)/SUM(AZ51:BG51),4),"0.0000")))</f>
        <v>1.0738</v>
      </c>
      <c r="W51" s="7" t="str">
        <f aca="false">IF(H51="","-",IF(P51=0,TEXT(0,"0.0000"),TEXT(ROUND(O51/P51,4),"0.0000")))</f>
        <v>1.2637</v>
      </c>
      <c r="X51" s="13" t="str">
        <f aca="false">$C51</f>
        <v>Zibetti Zuccherini-Zibettiopoli ZI</v>
      </c>
      <c r="Y51" s="14" t="str">
        <f aca="false">IF(AND($H51&lt;&gt;"",$H$44&lt;&gt;"",$H51&lt;&gt;$H$44,IFERROR(VLOOKUP($H51,areaCercaPuntiClassificaSquadra,3,FALSE()),-1)=IFERROR(VLOOKUP($H$44,areaCercaPuntiClassificaSquadra,3,FALSE()),-2)),SUMIFS('Calendario E'!$N$8:$N$110,'Calendario E'!$M$8:$M$110,$H51,'Calendario E'!$T$8:$T$110,$H$44)+SUMIFS('Calendario E'!$U$8:$U$110,'Calendario E'!$T$8:$T$110,$H51,'Calendario E'!$M$8:$M$110,$H$44),"-")</f>
        <v>-</v>
      </c>
      <c r="Z51" s="14" t="str">
        <f aca="false">IF(AND($H51&lt;&gt;"",$H$45&lt;&gt;"",$H51&lt;&gt;$H$45,IFERROR(VLOOKUP($H51,areaCercaPuntiClassificaSquadra,3,FALSE()),-1)=IFERROR(VLOOKUP($H$45,areaCercaPuntiClassificaSquadra,3,FALSE()),-2)),SUMIFS('Calendario E'!$N$8:$N$110,'Calendario E'!$M$8:$M$110,$H51,'Calendario E'!$T$8:$T$110,$H$45)+SUMIFS('Calendario E'!$U$8:$U$110,'Calendario E'!$T$8:$T$110,$H51,'Calendario E'!$M$8:$M$110,$H$45),"-")</f>
        <v>-</v>
      </c>
      <c r="AA51" s="14" t="str">
        <f aca="false">IF(AND($H51&lt;&gt;"",$H$46&lt;&gt;"",$H51&lt;&gt;$H$46,IFERROR(VLOOKUP($H51,areaCercaPuntiClassificaSquadra,3,FALSE()),-1)=IFERROR(VLOOKUP($H$46,areaCercaPuntiClassificaSquadra,3,FALSE()),-2)),SUMIFS('Calendario E'!$N$8:$N$110,'Calendario E'!$M$8:$M$110,$H51,'Calendario E'!$T$8:$T$110,$H$46)+SUMIFS('Calendario E'!$U$8:$U$110,'Calendario E'!$T$8:$T$110,$H51,'Calendario E'!$M$8:$M$110,$H$46),"-")</f>
        <v>-</v>
      </c>
      <c r="AB51" s="14" t="n">
        <f aca="false">IF(AND($H51&lt;&gt;"",$H$47&lt;&gt;"",$H51&lt;&gt;$H$47,IFERROR(VLOOKUP($H51,areaCercaPuntiClassificaSquadra,3,FALSE()),-1)=IFERROR(VLOOKUP($H$47,areaCercaPuntiClassificaSquadra,3,FALSE()),-2)),SUMIFS('Calendario E'!$N$8:$N$110,'Calendario E'!$M$8:$M$110,$H51,'Calendario E'!$T$8:$T$110,$H$47)+SUMIFS('Calendario E'!$U$8:$U$110,'Calendario E'!$T$8:$T$110,$H51,'Calendario E'!$M$8:$M$110,$H$47),"-")</f>
        <v>0</v>
      </c>
      <c r="AC51" s="14" t="n">
        <f aca="false">IF(AND($H51&lt;&gt;"",$H$48&lt;&gt;"",$H51&lt;&gt;$H$48,IFERROR(VLOOKUP($H51,areaCercaPuntiClassificaSquadra,3,FALSE()),-1)=IFERROR(VLOOKUP($H$48,areaCercaPuntiClassificaSquadra,3,FALSE()),-2)),SUMIFS('Calendario E'!$N$8:$N$110,'Calendario E'!$M$8:$M$110,$H51,'Calendario E'!$T$8:$T$110,$H$48)+SUMIFS('Calendario E'!$U$8:$U$110,'Calendario E'!$T$8:$T$110,$H51,'Calendario E'!$M$8:$M$110,$H$48),"-")</f>
        <v>1</v>
      </c>
      <c r="AD51" s="14" t="str">
        <f aca="false">IF(AND($H51&lt;&gt;"",$H$49&lt;&gt;"",$H51&lt;&gt;$H$49,IFERROR(VLOOKUP($H51,areaCercaPuntiClassificaSquadra,3,FALSE()),-1)=IFERROR(VLOOKUP($H$49,areaCercaPuntiClassificaSquadra,3,FALSE()),-2)),SUMIFS('Calendario E'!$N$8:$N$110,'Calendario E'!$M$8:$M$110,$H51,'Calendario E'!$T$8:$T$110,$H$49)+SUMIFS('Calendario E'!$U$8:$U$110,'Calendario E'!$T$8:$T$110,$H51,'Calendario E'!$M$8:$M$110,$H$49),"-")</f>
        <v>-</v>
      </c>
      <c r="AE51" s="14" t="str">
        <f aca="false">IF(AND($H51&lt;&gt;"",$H$50&lt;&gt;"",$H51&lt;&gt;$H$50,IFERROR(VLOOKUP($H51,areaCercaPuntiClassificaSquadra,3,FALSE()),-1)=IFERROR(VLOOKUP($H$50,areaCercaPuntiClassificaSquadra,3,FALSE()),-2)),SUMIFS('Calendario E'!$N$8:$N$110,'Calendario E'!$M$8:$M$110,$H51,'Calendario E'!$T$8:$T$110,$H$50)+SUMIFS('Calendario E'!$U$8:$U$110,'Calendario E'!$T$8:$T$110,$H51,'Calendario E'!$M$8:$M$110,$H$50),"-")</f>
        <v>-</v>
      </c>
      <c r="AF51" s="14" t="str">
        <f aca="false">IF(AND($H51&lt;&gt;"",$H$51&lt;&gt;"",$H51&lt;&gt;$H$51,IFERROR(VLOOKUP($H51,areaCercaPuntiClassificaSquadra,3,FALSE()),-1)=IFERROR(VLOOKUP($H$51,areaCercaPuntiClassificaSquadra,3,FALSE()),-2)),SUMIFS('Calendario E'!$N$8:$N$110,'Calendario E'!$M$8:$M$110,$H51,'Calendario E'!$T$8:$T$110,$H$51)+SUMIFS('Calendario E'!$U$8:$U$110,'Calendario E'!$T$8:$T$110,$H51,'Calendario E'!$M$8:$M$110,$H$51),"-")</f>
        <v>-</v>
      </c>
      <c r="AG51" s="13" t="str">
        <f aca="false">$C51</f>
        <v>Zibetti Zuccherini-Zibettiopoli ZI</v>
      </c>
      <c r="AH51" s="14" t="str">
        <f aca="false">IF(AND($H51&lt;&gt;"",$H$44&lt;&gt;"",$H51&lt;&gt;$H$44,IFERROR(VLOOKUP($H51,areaCercaPuntiClassificaSquadra,3,FALSE()),-1)=IFERROR(VLOOKUP($H$44,areaCercaPuntiClassificaSquadra,3,FALSE()),-2)),SUMIFS('Calendario E'!$P$8:$P$110,'Calendario E'!$M$8:$M$110,$H51,'Calendario E'!$T$8:$T$110,$H$44)+SUMIFS('Calendario E'!$W$8:$W$110,'Calendario E'!$T$8:$T$110,$H51,'Calendario E'!$M$8:$M$110,$H$44)+SUMIFS('Calendario E'!$O$8:$O$110,'Calendario E'!$M$8:$M$110,$H51,'Calendario E'!$T$8:$T$110,$H$44)+SUMIFS('Calendario E'!$V$8:$V$110,'Calendario E'!$T$8:$T$110,$H51,'Calendario E'!$M$8:$M$110,$H$44),"-")</f>
        <v>-</v>
      </c>
      <c r="AI51" s="14" t="str">
        <f aca="false">IF(AND($H51&lt;&gt;"",$H$45&lt;&gt;"",$H51&lt;&gt;$H$45,IFERROR(VLOOKUP($H51,areaCercaPuntiClassificaSquadra,3,FALSE()),-1)=IFERROR(VLOOKUP($H$45,areaCercaPuntiClassificaSquadra,3,FALSE()),-2)),SUMIFS('Calendario E'!$P$8:$P$110,'Calendario E'!$M$8:$M$110,$H51,'Calendario E'!$T$8:$T$110,$H$45)+SUMIFS('Calendario E'!$W$8:$W$110,'Calendario E'!$T$8:$T$110,$H51,'Calendario E'!$M$8:$M$110,$H$45)+SUMIFS('Calendario E'!$O$8:$O$110,'Calendario E'!$M$8:$M$110,$H51,'Calendario E'!$T$8:$T$110,$H$45)+SUMIFS('Calendario E'!$V$8:$V$110,'Calendario E'!$T$8:$T$110,$H51,'Calendario E'!$M$8:$M$110,$H$45),"-")</f>
        <v>-</v>
      </c>
      <c r="AJ51" s="14" t="str">
        <f aca="false">IF(AND($H51&lt;&gt;"",$H$46&lt;&gt;"",$H51&lt;&gt;$H$46,IFERROR(VLOOKUP($H51,areaCercaPuntiClassificaSquadra,3,FALSE()),-1)=IFERROR(VLOOKUP($H$46,areaCercaPuntiClassificaSquadra,3,FALSE()),-2)),SUMIFS('Calendario E'!$P$8:$P$110,'Calendario E'!$M$8:$M$110,$H51,'Calendario E'!$T$8:$T$110,$H$46)+SUMIFS('Calendario E'!$W$8:$W$110,'Calendario E'!$T$8:$T$110,$H51,'Calendario E'!$M$8:$M$110,$H$46)+SUMIFS('Calendario E'!$O$8:$O$110,'Calendario E'!$M$8:$M$110,$H51,'Calendario E'!$T$8:$T$110,$H$46)+SUMIFS('Calendario E'!$V$8:$V$110,'Calendario E'!$T$8:$T$110,$H51,'Calendario E'!$M$8:$M$110,$H$46),"-")</f>
        <v>-</v>
      </c>
      <c r="AK51" s="14" t="n">
        <f aca="false">IF(AND($H51&lt;&gt;"",$H$47&lt;&gt;"",$H51&lt;&gt;$H$47,IFERROR(VLOOKUP($H51,areaCercaPuntiClassificaSquadra,3,FALSE()),-1)=IFERROR(VLOOKUP($H$47,areaCercaPuntiClassificaSquadra,3,FALSE()),-2)),SUMIFS('Calendario E'!$P$8:$P$110,'Calendario E'!$M$8:$M$110,$H51,'Calendario E'!$T$8:$T$110,$H$47)+SUMIFS('Calendario E'!$W$8:$W$110,'Calendario E'!$T$8:$T$110,$H51,'Calendario E'!$M$8:$M$110,$H$47)+SUMIFS('Calendario E'!$O$8:$O$110,'Calendario E'!$M$8:$M$110,$H51,'Calendario E'!$T$8:$T$110,$H$47)+SUMIFS('Calendario E'!$V$8:$V$110,'Calendario E'!$T$8:$T$110,$H51,'Calendario E'!$M$8:$M$110,$H$47),"-")</f>
        <v>1</v>
      </c>
      <c r="AL51" s="14" t="n">
        <f aca="false">IF(AND($H51&lt;&gt;"",$H$48&lt;&gt;"",$H51&lt;&gt;$H$48,IFERROR(VLOOKUP($H51,areaCercaPuntiClassificaSquadra,3,FALSE()),-1)=IFERROR(VLOOKUP($H$48,areaCercaPuntiClassificaSquadra,3,FALSE()),-2)),SUMIFS('Calendario E'!$P$8:$P$110,'Calendario E'!$M$8:$M$110,$H51,'Calendario E'!$T$8:$T$110,$H$48)+SUMIFS('Calendario E'!$W$8:$W$110,'Calendario E'!$T$8:$T$110,$H51,'Calendario E'!$M$8:$M$110,$H$48)+SUMIFS('Calendario E'!$O$8:$O$110,'Calendario E'!$M$8:$M$110,$H51,'Calendario E'!$T$8:$T$110,$H$48)+SUMIFS('Calendario E'!$V$8:$V$110,'Calendario E'!$T$8:$T$110,$H51,'Calendario E'!$M$8:$M$110,$H$48),"-")</f>
        <v>0</v>
      </c>
      <c r="AM51" s="14" t="str">
        <f aca="false">IF(AND($H51&lt;&gt;"",$H$49&lt;&gt;"",$H51&lt;&gt;$H$49,IFERROR(VLOOKUP($H51,areaCercaPuntiClassificaSquadra,3,FALSE()),-1)=IFERROR(VLOOKUP($H$49,areaCercaPuntiClassificaSquadra,3,FALSE()),-2)),SUMIFS('Calendario E'!$P$8:$P$110,'Calendario E'!$M$8:$M$110,$H51,'Calendario E'!$T$8:$T$110,$H$49)+SUMIFS('Calendario E'!$W$8:$W$110,'Calendario E'!$T$8:$T$110,$H51,'Calendario E'!$M$8:$M$110,$H$49)+SUMIFS('Calendario E'!$O$8:$O$110,'Calendario E'!$M$8:$M$110,$H51,'Calendario E'!$T$8:$T$110,$H$49)+SUMIFS('Calendario E'!$V$8:$V$110,'Calendario E'!$T$8:$T$110,$H51,'Calendario E'!$M$8:$M$110,$H$49),"-")</f>
        <v>-</v>
      </c>
      <c r="AN51" s="14" t="str">
        <f aca="false">IF(AND($H51&lt;&gt;"",$H$50&lt;&gt;"",$H51&lt;&gt;$H$50,IFERROR(VLOOKUP($H51,areaCercaPuntiClassificaSquadra,3,FALSE()),-1)=IFERROR(VLOOKUP($H$50,areaCercaPuntiClassificaSquadra,3,FALSE()),-2)),SUMIFS('Calendario E'!$P$8:$P$110,'Calendario E'!$M$8:$M$110,$H51,'Calendario E'!$T$8:$T$110,$H$50)+SUMIFS('Calendario E'!$W$8:$W$110,'Calendario E'!$T$8:$T$110,$H51,'Calendario E'!$M$8:$M$110,$H$50)+SUMIFS('Calendario E'!$O$8:$O$110,'Calendario E'!$M$8:$M$110,$H51,'Calendario E'!$T$8:$T$110,$H$50)+SUMIFS('Calendario E'!$V$8:$V$110,'Calendario E'!$T$8:$T$110,$H51,'Calendario E'!$M$8:$M$110,$H$50),"-")</f>
        <v>-</v>
      </c>
      <c r="AO51" s="14" t="str">
        <f aca="false">IF(AND($H51&lt;&gt;"",$H$51&lt;&gt;"",$H51&lt;&gt;$H$51,IFERROR(VLOOKUP($H51,areaCercaPuntiClassificaSquadra,3,FALSE()),-1)=IFERROR(VLOOKUP($H$51,areaCercaPuntiClassificaSquadra,3,FALSE()),-2)),SUMIFS('Calendario E'!$P$8:$P$110,'Calendario E'!$M$8:$M$110,$H51,'Calendario E'!$T$8:$T$110,$H$51)+SUMIFS('Calendario E'!$W$8:$W$110,'Calendario E'!$T$8:$T$110,$H51,'Calendario E'!$M$8:$M$110,$H$51)+SUMIFS('Calendario E'!$O$8:$O$110,'Calendario E'!$M$8:$M$110,$H51,'Calendario E'!$T$8:$T$110,$H$51)+SUMIFS('Calendario E'!$V$8:$V$110,'Calendario E'!$T$8:$T$110,$H51,'Calendario E'!$M$8:$M$110,$H$51),"-")</f>
        <v>-</v>
      </c>
      <c r="AP51" s="13" t="str">
        <f aca="false">$C51</f>
        <v>Zibetti Zuccherini-Zibettiopoli ZI</v>
      </c>
      <c r="AQ51" s="14" t="str">
        <f aca="false">IF(AND($H51&lt;&gt;"",$H$44&lt;&gt;"",$H51&lt;&gt;$H$44,IFERROR(VLOOKUP($H51,areaCercaPuntiClassificaSquadra,3,FALSE()),-1)=IFERROR(VLOOKUP($H$44,areaCercaPuntiClassificaSquadra,3,FALSE()),-2)),SUMIFS('Calendario E'!$Q$8:$Q$110,'Calendario E'!$M$8:$M$110,$H51,'Calendario E'!$T$8:$T$110,$H$44)+SUMIFS('Calendario E'!$X$8:$X$110,'Calendario E'!$T$8:$T$110,$H51,'Calendario E'!$M$8:$M$110,$H$44),"-")</f>
        <v>-</v>
      </c>
      <c r="AR51" s="14" t="str">
        <f aca="false">IF(AND($H51&lt;&gt;"",$H$45&lt;&gt;"",$H51&lt;&gt;$H$45,IFERROR(VLOOKUP($H51,areaCercaPuntiClassificaSquadra,3,FALSE()),-1)=IFERROR(VLOOKUP($H$45,areaCercaPuntiClassificaSquadra,3,FALSE()),-2)),SUMIFS('Calendario E'!$Q$8:$Q$110,'Calendario E'!$M$8:$M$110,$H51,'Calendario E'!$T$8:$T$110,$H$45)+SUMIFS('Calendario E'!$X$8:$X$110,'Calendario E'!$T$8:$T$110,$H51,'Calendario E'!$M$8:$M$110,$H$45),"-")</f>
        <v>-</v>
      </c>
      <c r="AS51" s="14" t="str">
        <f aca="false">IF(AND($H51&lt;&gt;"",$H$46&lt;&gt;"",$H51&lt;&gt;$H$46,IFERROR(VLOOKUP($H51,areaCercaPuntiClassificaSquadra,3,FALSE()),-1)=IFERROR(VLOOKUP($H$46,areaCercaPuntiClassificaSquadra,3,FALSE()),-2)),SUMIFS('Calendario E'!$Q$8:$Q$110,'Calendario E'!$M$8:$M$110,$H51,'Calendario E'!$T$8:$T$110,$H$46)+SUMIFS('Calendario E'!$X$8:$X$110,'Calendario E'!$T$8:$T$110,$H51,'Calendario E'!$M$8:$M$110,$H$46),"-")</f>
        <v>-</v>
      </c>
      <c r="AT51" s="14" t="n">
        <f aca="false">IF(AND($H51&lt;&gt;"",$H$47&lt;&gt;"",$H51&lt;&gt;$H$47,IFERROR(VLOOKUP($H51,areaCercaPuntiClassificaSquadra,3,FALSE()),-1)=IFERROR(VLOOKUP($H$47,areaCercaPuntiClassificaSquadra,3,FALSE()),-2)),SUMIFS('Calendario E'!$Q$8:$Q$110,'Calendario E'!$M$8:$M$110,$H51,'Calendario E'!$T$8:$T$110,$H$47)+SUMIFS('Calendario E'!$X$8:$X$110,'Calendario E'!$T$8:$T$110,$H51,'Calendario E'!$M$8:$M$110,$H$47),"-")</f>
        <v>69</v>
      </c>
      <c r="AU51" s="14" t="n">
        <f aca="false">IF(AND($H51&lt;&gt;"",$H$48&lt;&gt;"",$H51&lt;&gt;$H$48,IFERROR(VLOOKUP($H51,areaCercaPuntiClassificaSquadra,3,FALSE()),-1)=IFERROR(VLOOKUP($H$48,areaCercaPuntiClassificaSquadra,3,FALSE()),-2)),SUMIFS('Calendario E'!$Q$8:$Q$110,'Calendario E'!$M$8:$M$110,$H51,'Calendario E'!$T$8:$T$110,$H$48)+SUMIFS('Calendario E'!$X$8:$X$110,'Calendario E'!$T$8:$T$110,$H51,'Calendario E'!$M$8:$M$110,$H$48),"-")</f>
        <v>62</v>
      </c>
      <c r="AV51" s="14" t="str">
        <f aca="false">IF(AND($H51&lt;&gt;"",$H$49&lt;&gt;"",$H51&lt;&gt;$H$49,IFERROR(VLOOKUP($H51,areaCercaPuntiClassificaSquadra,3,FALSE()),-1)=IFERROR(VLOOKUP($H$49,areaCercaPuntiClassificaSquadra,3,FALSE()),-2)),SUMIFS('Calendario E'!$Q$8:$Q$110,'Calendario E'!$M$8:$M$110,$H51,'Calendario E'!$T$8:$T$110,$H$49)+SUMIFS('Calendario E'!$X$8:$X$110,'Calendario E'!$T$8:$T$110,$H51,'Calendario E'!$M$8:$M$110,$H$49),"-")</f>
        <v>-</v>
      </c>
      <c r="AW51" s="14" t="str">
        <f aca="false">IF(AND($H51&lt;&gt;"",$H$50&lt;&gt;"",$H51&lt;&gt;$H$50,IFERROR(VLOOKUP($H51,areaCercaPuntiClassificaSquadra,3,FALSE()),-1)=IFERROR(VLOOKUP($H$50,areaCercaPuntiClassificaSquadra,3,FALSE()),-2)),SUMIFS('Calendario E'!$Q$8:$Q$110,'Calendario E'!$M$8:$M$110,$H51,'Calendario E'!$T$8:$T$110,$H$50)+SUMIFS('Calendario E'!$X$8:$X$110,'Calendario E'!$T$8:$T$110,$H51,'Calendario E'!$M$8:$M$110,$H$50),"-")</f>
        <v>-</v>
      </c>
      <c r="AX51" s="14" t="str">
        <f aca="false">IF(AND($H51&lt;&gt;"",$H$51&lt;&gt;"",$H51&lt;&gt;$H$51,IFERROR(VLOOKUP($H51,areaCercaPuntiClassificaSquadra,3,FALSE()),-1)=IFERROR(VLOOKUP($H$51,areaCercaPuntiClassificaSquadra,3,FALSE()),-2)),SUMIFS('Calendario E'!$Q$8:$Q$110,'Calendario E'!$M$8:$M$110,$H51,'Calendario E'!$T$8:$T$110,$H$51)+SUMIFS('Calendario E'!$X$8:$X$110,'Calendario E'!$T$8:$T$110,$H51,'Calendario E'!$M$8:$M$110,$H$51),"-")</f>
        <v>-</v>
      </c>
      <c r="AY51" s="13" t="str">
        <f aca="false">$C51</f>
        <v>Zibetti Zuccherini-Zibettiopoli ZI</v>
      </c>
      <c r="AZ51" s="14" t="str">
        <f aca="false">IF(AND($H51&lt;&gt;"",$H$44&lt;&gt;"",$H51&lt;&gt;$H$44,IFERROR(VLOOKUP($H51,areaCercaPuntiClassificaSquadra,3,FALSE()),-1)=IFERROR(VLOOKUP($H$44,areaCercaPuntiClassificaSquadra,3,FALSE()),-2)),SUMIFS('Calendario E'!$R$8:$R$110,'Calendario E'!$M$8:$M$110,$H51,'Calendario E'!$T$8:$T$110,$H$44)+SUMIFS('Calendario E'!$Y$8:$Y$110,'Calendario E'!$T$8:$T$110,$H51,'Calendario E'!$M$8:$M$110,$H$44),"-")</f>
        <v>-</v>
      </c>
      <c r="BA51" s="14" t="str">
        <f aca="false">IF(AND($H51&lt;&gt;"",$H$45&lt;&gt;"",$H51&lt;&gt;$H$45,IFERROR(VLOOKUP($H51,areaCercaPuntiClassificaSquadra,3,FALSE()),-1)=IFERROR(VLOOKUP($H$45,areaCercaPuntiClassificaSquadra,3,FALSE()),-2)),SUMIFS('Calendario E'!$R$8:$R$110,'Calendario E'!$M$8:$M$110,$H51,'Calendario E'!$T$8:$T$110,$H$45)+SUMIFS('Calendario E'!$Y$8:$Y$110,'Calendario E'!$T$8:$T$110,$H51,'Calendario E'!$M$8:$M$110,$H$45),"-")</f>
        <v>-</v>
      </c>
      <c r="BB51" s="14" t="str">
        <f aca="false">IF(AND($H51&lt;&gt;"",$H$46&lt;&gt;"",$H51&lt;&gt;$H$46,IFERROR(VLOOKUP($H51,areaCercaPuntiClassificaSquadra,3,FALSE()),-1)=IFERROR(VLOOKUP($H$46,areaCercaPuntiClassificaSquadra,3,FALSE()),-2)),SUMIFS('Calendario E'!$R$8:$R$110,'Calendario E'!$M$8:$M$110,$H51,'Calendario E'!$T$8:$T$110,$H$46)+SUMIFS('Calendario E'!$Y$8:$Y$110,'Calendario E'!$T$8:$T$110,$H51,'Calendario E'!$M$8:$M$110,$H$46),"-")</f>
        <v>-</v>
      </c>
      <c r="BC51" s="14" t="n">
        <f aca="false">IF(AND($H51&lt;&gt;"",$H$47&lt;&gt;"",$H51&lt;&gt;$H$47,IFERROR(VLOOKUP($H51,areaCercaPuntiClassificaSquadra,3,FALSE()),-1)=IFERROR(VLOOKUP($H$47,areaCercaPuntiClassificaSquadra,3,FALSE()),-2)),SUMIFS('Calendario E'!$R$8:$R$110,'Calendario E'!$M$8:$M$110,$H51,'Calendario E'!$T$8:$T$110,$H$47)+SUMIFS('Calendario E'!$Y$8:$Y$110,'Calendario E'!$T$8:$T$110,$H51,'Calendario E'!$M$8:$M$110,$H$47),"-")</f>
        <v>75</v>
      </c>
      <c r="BD51" s="14" t="n">
        <f aca="false">IF(AND($H51&lt;&gt;"",$H$48&lt;&gt;"",$H51&lt;&gt;$H$48,IFERROR(VLOOKUP($H51,areaCercaPuntiClassificaSquadra,3,FALSE()),-1)=IFERROR(VLOOKUP($H$48,areaCercaPuntiClassificaSquadra,3,FALSE()),-2)),SUMIFS('Calendario E'!$R$8:$R$110,'Calendario E'!$M$8:$M$110,$H51,'Calendario E'!$T$8:$T$110,$H$48)+SUMIFS('Calendario E'!$Y$8:$Y$110,'Calendario E'!$T$8:$T$110,$H51,'Calendario E'!$M$8:$M$110,$H$48),"-")</f>
        <v>47</v>
      </c>
      <c r="BE51" s="14" t="str">
        <f aca="false">IF(AND($H51&lt;&gt;"",$H$49&lt;&gt;"",$H51&lt;&gt;$H$49,IFERROR(VLOOKUP($H51,areaCercaPuntiClassificaSquadra,3,FALSE()),-1)=IFERROR(VLOOKUP($H$49,areaCercaPuntiClassificaSquadra,3,FALSE()),-2)),SUMIFS('Calendario E'!$R$8:$R$110,'Calendario E'!$M$8:$M$110,$H51,'Calendario E'!$T$8:$T$110,$H$49)+SUMIFS('Calendario E'!$Y$8:$Y$110,'Calendario E'!$T$8:$T$110,$H51,'Calendario E'!$M$8:$M$110,$H$49),"-")</f>
        <v>-</v>
      </c>
      <c r="BF51" s="14" t="str">
        <f aca="false">IF(AND($H51&lt;&gt;"",$H$50&lt;&gt;"",$H51&lt;&gt;$H$50,IFERROR(VLOOKUP($H51,areaCercaPuntiClassificaSquadra,3,FALSE()),-1)=IFERROR(VLOOKUP($H$50,areaCercaPuntiClassificaSquadra,3,FALSE()),-2)),SUMIFS('Calendario E'!$R$8:$R$110,'Calendario E'!$M$8:$M$110,$H51,'Calendario E'!$T$8:$T$110,$H$50)+SUMIFS('Calendario E'!$Y$8:$Y$110,'Calendario E'!$T$8:$T$110,$H51,'Calendario E'!$M$8:$M$110,$H$50),"-")</f>
        <v>-</v>
      </c>
      <c r="BG51" s="14" t="str">
        <f aca="false">IF(AND($H51&lt;&gt;"",$H$51&lt;&gt;"",$H51&lt;&gt;$H$51,IFERROR(VLOOKUP($H51,areaCercaPuntiClassificaSquadra,3,FALSE()),-1)=IFERROR(VLOOKUP($H$51,areaCercaPuntiClassificaSquadra,3,FALSE()),-2)),SUMIFS('Calendario E'!$R$8:$R$110,'Calendario E'!$M$8:$M$110,$H51,'Calendario E'!$T$8:$T$110,$H$51)+SUMIFS('Calendario E'!$Y$8:$Y$110,'Calendario E'!$T$8:$T$110,$H51,'Calendario E'!$M$8:$M$110,$H$51),"-")</f>
        <v>-</v>
      </c>
    </row>
    <row r="52" customFormat="false" ht="15" hidden="false" customHeight="false" outlineLevel="0" collapsed="false">
      <c r="B52" s="7" t="s">
        <v>132</v>
      </c>
      <c r="C52" s="8" t="s">
        <v>133</v>
      </c>
      <c r="D52" s="9"/>
      <c r="E52" s="23" t="s">
        <v>134</v>
      </c>
      <c r="G52" s="24" t="str">
        <f aca="false">IF($C52="","",$E52&amp;(COUNTIFS(I$12:I$75,"&gt;"&amp;I52,E$12:E$75,"="&amp;E52,C$12:C$75,"&lt;&gt;")+COUNTIFS(I$12:I$75,"="&amp;I52,H$12:H$75,"&lt;="&amp;H52,E$12:E$75,"="&amp;E52,C$12:C$75,"&lt;&gt;")))</f>
        <v>F8</v>
      </c>
      <c r="H52" s="12" t="str">
        <f aca="false">IF($C52="","",IFERROR(LEFT($C52,FIND("-",$C52)-1),$C52))</f>
        <v>Antilopi Ardite</v>
      </c>
      <c r="I52" s="7" t="str">
        <f aca="false">TEXT(1000000000+J52,"|0000000000|")&amp;TEXT(SUM(Y52:AF52),"0000000000|")&amp;IF(SUM(AZ52:BG52)=0,"0000000000|",TEXT(ROUND(SUM(AQ52:AX52)/SUM(AZ52:BG52),4)*100000,"0000000000|"))&amp;IF(P52=0,"0000000000|",TEXT(ROUND(O52/P52,4)*100000,"0000000000|"))</f>
        <v>|1000000009|0000000000|0000090630|0000076140|</v>
      </c>
      <c r="J52" s="24" t="n">
        <f aca="false">L52*constPuntiVittoria+M52*constPuntiSconfitta+N52*constPuntiForfait+IF(D52="",0,D52)</f>
        <v>9</v>
      </c>
      <c r="K52" s="7" t="n">
        <f aca="false">SUM(L52:N52)</f>
        <v>7</v>
      </c>
      <c r="L52" s="7" t="n">
        <f aca="false">IF($H52="",0,SUMIF('Calendario F'!$M$8:$M$110,$H52,'Calendario F'!$N$8:$N$110)+SUMIF('Calendario F'!$T$8:$T$110,$H52,'Calendario F'!$U$8:$U$110))</f>
        <v>1</v>
      </c>
      <c r="M52" s="7" t="n">
        <f aca="false">IF($H52="",0,SUMIF('Calendario F'!$M$8:$M$110,$H52,'Calendario F'!$P$8:$P$110)+SUMIF('Calendario F'!$T$8:$T$110,$H52,'Calendario F'!$W$8:$W$110))</f>
        <v>6</v>
      </c>
      <c r="N52" s="7" t="n">
        <f aca="false">IF($H52="",0,SUMIF('Calendario F'!$M$8:$M$110,$H52,'Calendario F'!$O$8:$O$110)+SUMIF('Calendario F'!$T$8:$T$110,$H52,'Calendario F'!$V$8:$V$110))</f>
        <v>0</v>
      </c>
      <c r="O52" s="7" t="n">
        <f aca="false">IF($H52="",0,SUMIF('Calendario F'!$M$8:$M$110,$H52,'Calendario F'!$Q$8:$Q$110)+SUMIF('Calendario F'!$T$8:$T$110,$H52,'Calendario F'!$X$8:$X$110))</f>
        <v>367</v>
      </c>
      <c r="P52" s="7" t="n">
        <f aca="false">IF($H52="",0,SUMIF('Calendario F'!$M$8:$M$110,$H52,'Calendario F'!$R$8:$R$110)+SUMIF('Calendario F'!$T$8:$T$110,$H52,'Calendario F'!$Y$8:$Y$110))</f>
        <v>482</v>
      </c>
      <c r="Q52" s="7" t="n">
        <f aca="false">IF($H52="",0,SUMIF('Calendario F'!$M$8:$M$110,$H52,'Calendario F'!$S$8:$S$110)+SUMIF('Calendario F'!$T$8:$T$110,$H52,'Calendario F'!$Z$8:$Z$110))</f>
        <v>-115</v>
      </c>
      <c r="R52" s="7" t="n">
        <f aca="false">IF(K52=0,0,ROUND(O52/K52,2))</f>
        <v>52.43</v>
      </c>
      <c r="S52" s="7" t="n">
        <f aca="false">IF(K52=0,0,ROUND(P52/K52,2))</f>
        <v>68.86</v>
      </c>
      <c r="T52" s="7" t="n">
        <f aca="false">IF(K52=0,0,ROUND(Q52/K52,2))</f>
        <v>-16.43</v>
      </c>
      <c r="U52" s="7" t="str">
        <f aca="false">IF(COUNT(Y52:AF52)=0,"-",SUM(Y52:AF52)&amp;"-"&amp;SUM(AH52:AO52))</f>
        <v>0-1</v>
      </c>
      <c r="V52" s="7" t="str">
        <f aca="false">IF(COUNT(Y52:AF52)=0,"-",IF(SUM(AZ52:BG52)=0,TEXT(0,"0.0000"),TEXT(ROUND(SUM(AQ52:AX52)/SUM(AZ52:BG52),4),"0.0000")))</f>
        <v>0.9063</v>
      </c>
      <c r="W52" s="7" t="str">
        <f aca="false">IF(H52="","-",IF(P52=0,TEXT(0,"0.0000"),TEXT(ROUND(O52/P52,4),"0.0000")))</f>
        <v>0.7614</v>
      </c>
      <c r="X52" s="13" t="str">
        <f aca="false">$C52</f>
        <v>Antilopi Ardite-Antilopiopoli AI</v>
      </c>
      <c r="Y52" s="14" t="str">
        <f aca="false">IF(AND($H52&lt;&gt;"",$H$52&lt;&gt;"",$H52&lt;&gt;$H$52,IFERROR(VLOOKUP($H52,areaCercaPuntiClassificaSquadra,3,FALSE()),-1)=IFERROR(VLOOKUP($H$52,areaCercaPuntiClassificaSquadra,3,FALSE()),-2)),SUMIFS('Calendario F'!$N$8:$N$110,'Calendario F'!$M$8:$M$110,$H52,'Calendario F'!$T$8:$T$110,$H$52)+SUMIFS('Calendario F'!$U$8:$U$110,'Calendario F'!$T$8:$T$110,$H52,'Calendario F'!$M$8:$M$110,$H$52),"-")</f>
        <v>-</v>
      </c>
      <c r="Z52" s="14" t="n">
        <f aca="false">IF(AND($H52&lt;&gt;"",$H$53&lt;&gt;"",$H52&lt;&gt;$H$53,IFERROR(VLOOKUP($H52,areaCercaPuntiClassificaSquadra,3,FALSE()),-1)=IFERROR(VLOOKUP($H$53,areaCercaPuntiClassificaSquadra,3,FALSE()),-2)),SUMIFS('Calendario F'!$N$8:$N$110,'Calendario F'!$M$8:$M$110,$H52,'Calendario F'!$T$8:$T$110,$H$53)+SUMIFS('Calendario F'!$U$8:$U$110,'Calendario F'!$T$8:$T$110,$H52,'Calendario F'!$M$8:$M$110,$H$53),"-")</f>
        <v>0</v>
      </c>
      <c r="AA52" s="14" t="str">
        <f aca="false">IF(AND($H52&lt;&gt;"",$H$54&lt;&gt;"",$H52&lt;&gt;$H$54,IFERROR(VLOOKUP($H52,areaCercaPuntiClassificaSquadra,3,FALSE()),-1)=IFERROR(VLOOKUP($H$54,areaCercaPuntiClassificaSquadra,3,FALSE()),-2)),SUMIFS('Calendario F'!$N$8:$N$110,'Calendario F'!$M$8:$M$110,$H52,'Calendario F'!$T$8:$T$110,$H$54)+SUMIFS('Calendario F'!$U$8:$U$110,'Calendario F'!$T$8:$T$110,$H52,'Calendario F'!$M$8:$M$110,$H$54),"-")</f>
        <v>-</v>
      </c>
      <c r="AB52" s="14" t="str">
        <f aca="false">IF(AND($H52&lt;&gt;"",$H$55&lt;&gt;"",$H52&lt;&gt;$H$55,IFERROR(VLOOKUP($H52,areaCercaPuntiClassificaSquadra,3,FALSE()),-1)=IFERROR(VLOOKUP($H$55,areaCercaPuntiClassificaSquadra,3,FALSE()),-2)),SUMIFS('Calendario F'!$N$8:$N$110,'Calendario F'!$M$8:$M$110,$H52,'Calendario F'!$T$8:$T$110,$H$55)+SUMIFS('Calendario F'!$U$8:$U$110,'Calendario F'!$T$8:$T$110,$H52,'Calendario F'!$M$8:$M$110,$H$55),"-")</f>
        <v>-</v>
      </c>
      <c r="AC52" s="14" t="str">
        <f aca="false">IF(AND($H52&lt;&gt;"",$H$56&lt;&gt;"",$H52&lt;&gt;$H$56,IFERROR(VLOOKUP($H52,areaCercaPuntiClassificaSquadra,3,FALSE()),-1)=IFERROR(VLOOKUP($H$56,areaCercaPuntiClassificaSquadra,3,FALSE()),-2)),SUMIFS('Calendario F'!$N$8:$N$110,'Calendario F'!$M$8:$M$110,$H52,'Calendario F'!$T$8:$T$110,$H$56)+SUMIFS('Calendario F'!$U$8:$U$110,'Calendario F'!$T$8:$T$110,$H52,'Calendario F'!$M$8:$M$110,$H$56),"-")</f>
        <v>-</v>
      </c>
      <c r="AD52" s="14" t="str">
        <f aca="false">IF(AND($H52&lt;&gt;"",$H$57&lt;&gt;"",$H52&lt;&gt;$H$57,IFERROR(VLOOKUP($H52,areaCercaPuntiClassificaSquadra,3,FALSE()),-1)=IFERROR(VLOOKUP($H$57,areaCercaPuntiClassificaSquadra,3,FALSE()),-2)),SUMIFS('Calendario F'!$N$8:$N$110,'Calendario F'!$M$8:$M$110,$H52,'Calendario F'!$T$8:$T$110,$H$57)+SUMIFS('Calendario F'!$U$8:$U$110,'Calendario F'!$T$8:$T$110,$H52,'Calendario F'!$M$8:$M$110,$H$57),"-")</f>
        <v>-</v>
      </c>
      <c r="AE52" s="14" t="str">
        <f aca="false">IF(AND($H52&lt;&gt;"",$H$58&lt;&gt;"",$H52&lt;&gt;$H$58,IFERROR(VLOOKUP($H52,areaCercaPuntiClassificaSquadra,3,FALSE()),-1)=IFERROR(VLOOKUP($H$58,areaCercaPuntiClassificaSquadra,3,FALSE()),-2)),SUMIFS('Calendario F'!$N$8:$N$110,'Calendario F'!$M$8:$M$110,$H52,'Calendario F'!$T$8:$T$110,$H$58)+SUMIFS('Calendario F'!$U$8:$U$110,'Calendario F'!$T$8:$T$110,$H52,'Calendario F'!$M$8:$M$110,$H$58),"-")</f>
        <v>-</v>
      </c>
      <c r="AF52" s="14" t="str">
        <f aca="false">IF(AND($H52&lt;&gt;"",$H$59&lt;&gt;"",$H52&lt;&gt;$H$59,IFERROR(VLOOKUP($H52,areaCercaPuntiClassificaSquadra,3,FALSE()),-1)=IFERROR(VLOOKUP($H$59,areaCercaPuntiClassificaSquadra,3,FALSE()),-2)),SUMIFS('Calendario F'!$N$8:$N$110,'Calendario F'!$M$8:$M$110,$H52,'Calendario F'!$T$8:$T$110,$H$59)+SUMIFS('Calendario F'!$U$8:$U$110,'Calendario F'!$T$8:$T$110,$H52,'Calendario F'!$M$8:$M$110,$H$59),"-")</f>
        <v>-</v>
      </c>
      <c r="AG52" s="13" t="str">
        <f aca="false">$C52</f>
        <v>Antilopi Ardite-Antilopiopoli AI</v>
      </c>
      <c r="AH52" s="14" t="str">
        <f aca="false">IF(AND($H52&lt;&gt;"",$H$52&lt;&gt;"",$H52&lt;&gt;$H$52,IFERROR(VLOOKUP($H52,areaCercaPuntiClassificaSquadra,3,FALSE()),-1)=IFERROR(VLOOKUP($H$52,areaCercaPuntiClassificaSquadra,3,FALSE()),-2)),SUMIFS('Calendario F'!$P$8:$P$110,'Calendario F'!$M$8:$M$110,$H52,'Calendario F'!$T$8:$T$110,$H$52)+SUMIFS('Calendario F'!$W$8:$W$110,'Calendario F'!$T$8:$T$110,$H52,'Calendario F'!$M$8:$M$110,$H$52)+SUMIFS('Calendario F'!$O$8:$O$110,'Calendario F'!$M$8:$M$110,$H52,'Calendario F'!$T$8:$T$110,$H$52)+SUMIFS('Calendario F'!$V$8:$V$110,'Calendario F'!$T$8:$T$110,$H52,'Calendario F'!$M$8:$M$110,$H$52),"-")</f>
        <v>-</v>
      </c>
      <c r="AI52" s="14" t="n">
        <f aca="false">IF(AND($H52&lt;&gt;"",$H$53&lt;&gt;"",$H52&lt;&gt;$H$53,IFERROR(VLOOKUP($H52,areaCercaPuntiClassificaSquadra,3,FALSE()),-1)=IFERROR(VLOOKUP($H$53,areaCercaPuntiClassificaSquadra,3,FALSE()),-2)),SUMIFS('Calendario F'!$P$8:$P$110,'Calendario F'!$M$8:$M$110,$H52,'Calendario F'!$T$8:$T$110,$H$53)+SUMIFS('Calendario F'!$W$8:$W$110,'Calendario F'!$T$8:$T$110,$H52,'Calendario F'!$M$8:$M$110,$H$53)+SUMIFS('Calendario F'!$O$8:$O$110,'Calendario F'!$M$8:$M$110,$H52,'Calendario F'!$T$8:$T$110,$H$53)+SUMIFS('Calendario F'!$V$8:$V$110,'Calendario F'!$T$8:$T$110,$H52,'Calendario F'!$M$8:$M$110,$H$53),"-")</f>
        <v>1</v>
      </c>
      <c r="AJ52" s="14" t="str">
        <f aca="false">IF(AND($H52&lt;&gt;"",$H$54&lt;&gt;"",$H52&lt;&gt;$H$54,IFERROR(VLOOKUP($H52,areaCercaPuntiClassificaSquadra,3,FALSE()),-1)=IFERROR(VLOOKUP($H$54,areaCercaPuntiClassificaSquadra,3,FALSE()),-2)),SUMIFS('Calendario F'!$P$8:$P$110,'Calendario F'!$M$8:$M$110,$H52,'Calendario F'!$T$8:$T$110,$H$54)+SUMIFS('Calendario F'!$W$8:$W$110,'Calendario F'!$T$8:$T$110,$H52,'Calendario F'!$M$8:$M$110,$H$54)+SUMIFS('Calendario F'!$O$8:$O$110,'Calendario F'!$M$8:$M$110,$H52,'Calendario F'!$T$8:$T$110,$H$54)+SUMIFS('Calendario F'!$V$8:$V$110,'Calendario F'!$T$8:$T$110,$H52,'Calendario F'!$M$8:$M$110,$H$54),"-")</f>
        <v>-</v>
      </c>
      <c r="AK52" s="14" t="str">
        <f aca="false">IF(AND($H52&lt;&gt;"",$H$55&lt;&gt;"",$H52&lt;&gt;$H$55,IFERROR(VLOOKUP($H52,areaCercaPuntiClassificaSquadra,3,FALSE()),-1)=IFERROR(VLOOKUP($H$55,areaCercaPuntiClassificaSquadra,3,FALSE()),-2)),SUMIFS('Calendario F'!$P$8:$P$110,'Calendario F'!$M$8:$M$110,$H52,'Calendario F'!$T$8:$T$110,$H$55)+SUMIFS('Calendario F'!$W$8:$W$110,'Calendario F'!$T$8:$T$110,$H52,'Calendario F'!$M$8:$M$110,$H$55)+SUMIFS('Calendario F'!$O$8:$O$110,'Calendario F'!$M$8:$M$110,$H52,'Calendario F'!$T$8:$T$110,$H$55)+SUMIFS('Calendario F'!$V$8:$V$110,'Calendario F'!$T$8:$T$110,$H52,'Calendario F'!$M$8:$M$110,$H$55),"-")</f>
        <v>-</v>
      </c>
      <c r="AL52" s="14" t="str">
        <f aca="false">IF(AND($H52&lt;&gt;"",$H$56&lt;&gt;"",$H52&lt;&gt;$H$56,IFERROR(VLOOKUP($H52,areaCercaPuntiClassificaSquadra,3,FALSE()),-1)=IFERROR(VLOOKUP($H$56,areaCercaPuntiClassificaSquadra,3,FALSE()),-2)),SUMIFS('Calendario F'!$P$8:$P$110,'Calendario F'!$M$8:$M$110,$H52,'Calendario F'!$T$8:$T$110,$H$56)+SUMIFS('Calendario F'!$W$8:$W$110,'Calendario F'!$T$8:$T$110,$H52,'Calendario F'!$M$8:$M$110,$H$56)+SUMIFS('Calendario F'!$O$8:$O$110,'Calendario F'!$M$8:$M$110,$H52,'Calendario F'!$T$8:$T$110,$H$56)+SUMIFS('Calendario F'!$V$8:$V$110,'Calendario F'!$T$8:$T$110,$H52,'Calendario F'!$M$8:$M$110,$H$56),"-")</f>
        <v>-</v>
      </c>
      <c r="AM52" s="14" t="str">
        <f aca="false">IF(AND($H52&lt;&gt;"",$H$57&lt;&gt;"",$H52&lt;&gt;$H$57,IFERROR(VLOOKUP($H52,areaCercaPuntiClassificaSquadra,3,FALSE()),-1)=IFERROR(VLOOKUP($H$57,areaCercaPuntiClassificaSquadra,3,FALSE()),-2)),SUMIFS('Calendario F'!$P$8:$P$110,'Calendario F'!$M$8:$M$110,$H52,'Calendario F'!$T$8:$T$110,$H$57)+SUMIFS('Calendario F'!$W$8:$W$110,'Calendario F'!$T$8:$T$110,$H52,'Calendario F'!$M$8:$M$110,$H$57)+SUMIFS('Calendario F'!$O$8:$O$110,'Calendario F'!$M$8:$M$110,$H52,'Calendario F'!$T$8:$T$110,$H$57)+SUMIFS('Calendario F'!$V$8:$V$110,'Calendario F'!$T$8:$T$110,$H52,'Calendario F'!$M$8:$M$110,$H$57),"-")</f>
        <v>-</v>
      </c>
      <c r="AN52" s="14" t="str">
        <f aca="false">IF(AND($H52&lt;&gt;"",$H$58&lt;&gt;"",$H52&lt;&gt;$H$58,IFERROR(VLOOKUP($H52,areaCercaPuntiClassificaSquadra,3,FALSE()),-1)=IFERROR(VLOOKUP($H$58,areaCercaPuntiClassificaSquadra,3,FALSE()),-2)),SUMIFS('Calendario F'!$P$8:$P$110,'Calendario F'!$M$8:$M$110,$H52,'Calendario F'!$T$8:$T$110,$H$58)+SUMIFS('Calendario F'!$W$8:$W$110,'Calendario F'!$T$8:$T$110,$H52,'Calendario F'!$M$8:$M$110,$H$58)+SUMIFS('Calendario F'!$O$8:$O$110,'Calendario F'!$M$8:$M$110,$H52,'Calendario F'!$T$8:$T$110,$H$58)+SUMIFS('Calendario F'!$V$8:$V$110,'Calendario F'!$T$8:$T$110,$H52,'Calendario F'!$M$8:$M$110,$H$58),"-")</f>
        <v>-</v>
      </c>
      <c r="AO52" s="14" t="str">
        <f aca="false">IF(AND($H52&lt;&gt;"",$H$59&lt;&gt;"",$H52&lt;&gt;$H$59,IFERROR(VLOOKUP($H52,areaCercaPuntiClassificaSquadra,3,FALSE()),-1)=IFERROR(VLOOKUP($H$59,areaCercaPuntiClassificaSquadra,3,FALSE()),-2)),SUMIFS('Calendario F'!$P$8:$P$110,'Calendario F'!$M$8:$M$110,$H52,'Calendario F'!$T$8:$T$110,$H$59)+SUMIFS('Calendario F'!$W$8:$W$110,'Calendario F'!$T$8:$T$110,$H52,'Calendario F'!$M$8:$M$110,$H$59)+SUMIFS('Calendario F'!$O$8:$O$110,'Calendario F'!$M$8:$M$110,$H52,'Calendario F'!$T$8:$T$110,$H$59)+SUMIFS('Calendario F'!$V$8:$V$110,'Calendario F'!$T$8:$T$110,$H52,'Calendario F'!$M$8:$M$110,$H$59),"-")</f>
        <v>-</v>
      </c>
      <c r="AP52" s="13" t="str">
        <f aca="false">$C52</f>
        <v>Antilopi Ardite-Antilopiopoli AI</v>
      </c>
      <c r="AQ52" s="14" t="str">
        <f aca="false">IF(AND($H52&lt;&gt;"",$H$52&lt;&gt;"",$H52&lt;&gt;$H$52,IFERROR(VLOOKUP($H52,areaCercaPuntiClassificaSquadra,3,FALSE()),-1)=IFERROR(VLOOKUP($H$52,areaCercaPuntiClassificaSquadra,3,FALSE()),-2)),SUMIFS('Calendario F'!$Q$8:$Q$110,'Calendario F'!$M$8:$M$110,$H52,'Calendario F'!$T$8:$T$110,$H$52)+SUMIFS('Calendario F'!$X$8:$X$110,'Calendario F'!$T$8:$T$110,$H52,'Calendario F'!$M$8:$M$110,$H$52),"-")</f>
        <v>-</v>
      </c>
      <c r="AR52" s="14" t="n">
        <f aca="false">IF(AND($H52&lt;&gt;"",$H$53&lt;&gt;"",$H52&lt;&gt;$H$53,IFERROR(VLOOKUP($H52,areaCercaPuntiClassificaSquadra,3,FALSE()),-1)=IFERROR(VLOOKUP($H$53,areaCercaPuntiClassificaSquadra,3,FALSE()),-2)),SUMIFS('Calendario F'!$Q$8:$Q$110,'Calendario F'!$M$8:$M$110,$H52,'Calendario F'!$T$8:$T$110,$H$53)+SUMIFS('Calendario F'!$X$8:$X$110,'Calendario F'!$T$8:$T$110,$H52,'Calendario F'!$M$8:$M$110,$H$53),"-")</f>
        <v>58</v>
      </c>
      <c r="AS52" s="14" t="str">
        <f aca="false">IF(AND($H52&lt;&gt;"",$H$54&lt;&gt;"",$H52&lt;&gt;$H$54,IFERROR(VLOOKUP($H52,areaCercaPuntiClassificaSquadra,3,FALSE()),-1)=IFERROR(VLOOKUP($H$54,areaCercaPuntiClassificaSquadra,3,FALSE()),-2)),SUMIFS('Calendario F'!$Q$8:$Q$110,'Calendario F'!$M$8:$M$110,$H52,'Calendario F'!$T$8:$T$110,$H$54)+SUMIFS('Calendario F'!$X$8:$X$110,'Calendario F'!$T$8:$T$110,$H52,'Calendario F'!$M$8:$M$110,$H$54),"-")</f>
        <v>-</v>
      </c>
      <c r="AT52" s="14" t="str">
        <f aca="false">IF(AND($H52&lt;&gt;"",$H$55&lt;&gt;"",$H52&lt;&gt;$H$55,IFERROR(VLOOKUP($H52,areaCercaPuntiClassificaSquadra,3,FALSE()),-1)=IFERROR(VLOOKUP($H$55,areaCercaPuntiClassificaSquadra,3,FALSE()),-2)),SUMIFS('Calendario F'!$Q$8:$Q$110,'Calendario F'!$M$8:$M$110,$H52,'Calendario F'!$T$8:$T$110,$H$55)+SUMIFS('Calendario F'!$X$8:$X$110,'Calendario F'!$T$8:$T$110,$H52,'Calendario F'!$M$8:$M$110,$H$55),"-")</f>
        <v>-</v>
      </c>
      <c r="AU52" s="14" t="str">
        <f aca="false">IF(AND($H52&lt;&gt;"",$H$56&lt;&gt;"",$H52&lt;&gt;$H$56,IFERROR(VLOOKUP($H52,areaCercaPuntiClassificaSquadra,3,FALSE()),-1)=IFERROR(VLOOKUP($H$56,areaCercaPuntiClassificaSquadra,3,FALSE()),-2)),SUMIFS('Calendario F'!$Q$8:$Q$110,'Calendario F'!$M$8:$M$110,$H52,'Calendario F'!$T$8:$T$110,$H$56)+SUMIFS('Calendario F'!$X$8:$X$110,'Calendario F'!$T$8:$T$110,$H52,'Calendario F'!$M$8:$M$110,$H$56),"-")</f>
        <v>-</v>
      </c>
      <c r="AV52" s="14" t="str">
        <f aca="false">IF(AND($H52&lt;&gt;"",$H$57&lt;&gt;"",$H52&lt;&gt;$H$57,IFERROR(VLOOKUP($H52,areaCercaPuntiClassificaSquadra,3,FALSE()),-1)=IFERROR(VLOOKUP($H$57,areaCercaPuntiClassificaSquadra,3,FALSE()),-2)),SUMIFS('Calendario F'!$Q$8:$Q$110,'Calendario F'!$M$8:$M$110,$H52,'Calendario F'!$T$8:$T$110,$H$57)+SUMIFS('Calendario F'!$X$8:$X$110,'Calendario F'!$T$8:$T$110,$H52,'Calendario F'!$M$8:$M$110,$H$57),"-")</f>
        <v>-</v>
      </c>
      <c r="AW52" s="14" t="str">
        <f aca="false">IF(AND($H52&lt;&gt;"",$H$58&lt;&gt;"",$H52&lt;&gt;$H$58,IFERROR(VLOOKUP($H52,areaCercaPuntiClassificaSquadra,3,FALSE()),-1)=IFERROR(VLOOKUP($H$58,areaCercaPuntiClassificaSquadra,3,FALSE()),-2)),SUMIFS('Calendario F'!$Q$8:$Q$110,'Calendario F'!$M$8:$M$110,$H52,'Calendario F'!$T$8:$T$110,$H$58)+SUMIFS('Calendario F'!$X$8:$X$110,'Calendario F'!$T$8:$T$110,$H52,'Calendario F'!$M$8:$M$110,$H$58),"-")</f>
        <v>-</v>
      </c>
      <c r="AX52" s="14" t="str">
        <f aca="false">IF(AND($H52&lt;&gt;"",$H$59&lt;&gt;"",$H52&lt;&gt;$H$59,IFERROR(VLOOKUP($H52,areaCercaPuntiClassificaSquadra,3,FALSE()),-1)=IFERROR(VLOOKUP($H$59,areaCercaPuntiClassificaSquadra,3,FALSE()),-2)),SUMIFS('Calendario F'!$Q$8:$Q$110,'Calendario F'!$M$8:$M$110,$H52,'Calendario F'!$T$8:$T$110,$H$59)+SUMIFS('Calendario F'!$X$8:$X$110,'Calendario F'!$T$8:$T$110,$H52,'Calendario F'!$M$8:$M$110,$H$59),"-")</f>
        <v>-</v>
      </c>
      <c r="AY52" s="13" t="str">
        <f aca="false">$C52</f>
        <v>Antilopi Ardite-Antilopiopoli AI</v>
      </c>
      <c r="AZ52" s="14" t="str">
        <f aca="false">IF(AND($H52&lt;&gt;"",$H$52&lt;&gt;"",$H52&lt;&gt;$H$52,IFERROR(VLOOKUP($H52,areaCercaPuntiClassificaSquadra,3,FALSE()),-1)=IFERROR(VLOOKUP($H$52,areaCercaPuntiClassificaSquadra,3,FALSE()),-2)),SUMIFS('Calendario F'!$R$8:$R$110,'Calendario F'!$M$8:$M$110,$H52,'Calendario F'!$T$8:$T$110,$H$52)+SUMIFS('Calendario F'!$Y$8:$Y$110,'Calendario F'!$T$8:$T$110,$H52,'Calendario F'!$M$8:$M$110,$H$52),"-")</f>
        <v>-</v>
      </c>
      <c r="BA52" s="14" t="n">
        <f aca="false">IF(AND($H52&lt;&gt;"",$H$53&lt;&gt;"",$H52&lt;&gt;$H$53,IFERROR(VLOOKUP($H52,areaCercaPuntiClassificaSquadra,3,FALSE()),-1)=IFERROR(VLOOKUP($H$53,areaCercaPuntiClassificaSquadra,3,FALSE()),-2)),SUMIFS('Calendario F'!$R$8:$R$110,'Calendario F'!$M$8:$M$110,$H52,'Calendario F'!$T$8:$T$110,$H$53)+SUMIFS('Calendario F'!$Y$8:$Y$110,'Calendario F'!$T$8:$T$110,$H52,'Calendario F'!$M$8:$M$110,$H$53),"-")</f>
        <v>64</v>
      </c>
      <c r="BB52" s="14" t="str">
        <f aca="false">IF(AND($H52&lt;&gt;"",$H$54&lt;&gt;"",$H52&lt;&gt;$H$54,IFERROR(VLOOKUP($H52,areaCercaPuntiClassificaSquadra,3,FALSE()),-1)=IFERROR(VLOOKUP($H$54,areaCercaPuntiClassificaSquadra,3,FALSE()),-2)),SUMIFS('Calendario F'!$R$8:$R$110,'Calendario F'!$M$8:$M$110,$H52,'Calendario F'!$T$8:$T$110,$H$54)+SUMIFS('Calendario F'!$Y$8:$Y$110,'Calendario F'!$T$8:$T$110,$H52,'Calendario F'!$M$8:$M$110,$H$54),"-")</f>
        <v>-</v>
      </c>
      <c r="BC52" s="14" t="str">
        <f aca="false">IF(AND($H52&lt;&gt;"",$H$55&lt;&gt;"",$H52&lt;&gt;$H$55,IFERROR(VLOOKUP($H52,areaCercaPuntiClassificaSquadra,3,FALSE()),-1)=IFERROR(VLOOKUP($H$55,areaCercaPuntiClassificaSquadra,3,FALSE()),-2)),SUMIFS('Calendario F'!$R$8:$R$110,'Calendario F'!$M$8:$M$110,$H52,'Calendario F'!$T$8:$T$110,$H$55)+SUMIFS('Calendario F'!$Y$8:$Y$110,'Calendario F'!$T$8:$T$110,$H52,'Calendario F'!$M$8:$M$110,$H$55),"-")</f>
        <v>-</v>
      </c>
      <c r="BD52" s="14" t="str">
        <f aca="false">IF(AND($H52&lt;&gt;"",$H$56&lt;&gt;"",$H52&lt;&gt;$H$56,IFERROR(VLOOKUP($H52,areaCercaPuntiClassificaSquadra,3,FALSE()),-1)=IFERROR(VLOOKUP($H$56,areaCercaPuntiClassificaSquadra,3,FALSE()),-2)),SUMIFS('Calendario F'!$R$8:$R$110,'Calendario F'!$M$8:$M$110,$H52,'Calendario F'!$T$8:$T$110,$H$56)+SUMIFS('Calendario F'!$Y$8:$Y$110,'Calendario F'!$T$8:$T$110,$H52,'Calendario F'!$M$8:$M$110,$H$56),"-")</f>
        <v>-</v>
      </c>
      <c r="BE52" s="14" t="str">
        <f aca="false">IF(AND($H52&lt;&gt;"",$H$57&lt;&gt;"",$H52&lt;&gt;$H$57,IFERROR(VLOOKUP($H52,areaCercaPuntiClassificaSquadra,3,FALSE()),-1)=IFERROR(VLOOKUP($H$57,areaCercaPuntiClassificaSquadra,3,FALSE()),-2)),SUMIFS('Calendario F'!$R$8:$R$110,'Calendario F'!$M$8:$M$110,$H52,'Calendario F'!$T$8:$T$110,$H$57)+SUMIFS('Calendario F'!$Y$8:$Y$110,'Calendario F'!$T$8:$T$110,$H52,'Calendario F'!$M$8:$M$110,$H$57),"-")</f>
        <v>-</v>
      </c>
      <c r="BF52" s="14" t="str">
        <f aca="false">IF(AND($H52&lt;&gt;"",$H$58&lt;&gt;"",$H52&lt;&gt;$H$58,IFERROR(VLOOKUP($H52,areaCercaPuntiClassificaSquadra,3,FALSE()),-1)=IFERROR(VLOOKUP($H$58,areaCercaPuntiClassificaSquadra,3,FALSE()),-2)),SUMIFS('Calendario F'!$R$8:$R$110,'Calendario F'!$M$8:$M$110,$H52,'Calendario F'!$T$8:$T$110,$H$58)+SUMIFS('Calendario F'!$Y$8:$Y$110,'Calendario F'!$T$8:$T$110,$H52,'Calendario F'!$M$8:$M$110,$H$58),"-")</f>
        <v>-</v>
      </c>
      <c r="BG52" s="14" t="str">
        <f aca="false">IF(AND($H52&lt;&gt;"",$H$59&lt;&gt;"",$H52&lt;&gt;$H$59,IFERROR(VLOOKUP($H52,areaCercaPuntiClassificaSquadra,3,FALSE()),-1)=IFERROR(VLOOKUP($H$59,areaCercaPuntiClassificaSquadra,3,FALSE()),-2)),SUMIFS('Calendario F'!$R$8:$R$110,'Calendario F'!$M$8:$M$110,$H52,'Calendario F'!$T$8:$T$110,$H$59)+SUMIFS('Calendario F'!$Y$8:$Y$110,'Calendario F'!$T$8:$T$110,$H52,'Calendario F'!$M$8:$M$110,$H$59),"-")</f>
        <v>-</v>
      </c>
    </row>
    <row r="53" customFormat="false" ht="15" hidden="false" customHeight="false" outlineLevel="0" collapsed="false">
      <c r="B53" s="7" t="s">
        <v>135</v>
      </c>
      <c r="C53" s="8" t="s">
        <v>136</v>
      </c>
      <c r="D53" s="9"/>
      <c r="E53" s="23" t="s">
        <v>134</v>
      </c>
      <c r="G53" s="24" t="str">
        <f aca="false">IF($C53="","",$E53&amp;(COUNTIFS(I$12:I$75,"&gt;"&amp;I53,E$12:E$75,"="&amp;E53,C$12:C$75,"&lt;&gt;")+COUNTIFS(I$12:I$75,"="&amp;I53,H$12:H$75,"&lt;="&amp;H53,E$12:E$75,"="&amp;E53,C$12:C$75,"&lt;&gt;")))</f>
        <v>F7</v>
      </c>
      <c r="H53" s="12" t="str">
        <f aca="false">IF($C53="","",IFERROR(LEFT($C53,FIND("-",$C53)-1),$C53))</f>
        <v>Balene Bizzarre</v>
      </c>
      <c r="I53" s="7" t="str">
        <f aca="false">TEXT(1000000000+J53,"|0000000000|")&amp;TEXT(SUM(Y53:AF53),"0000000000|")&amp;IF(SUM(AZ53:BG53)=0,"0000000000|",TEXT(ROUND(SUM(AQ53:AX53)/SUM(AZ53:BG53),4)*100000,"0000000000|"))&amp;IF(P53=0,"0000000000|",TEXT(ROUND(O53/P53,4)*100000,"0000000000|"))</f>
        <v>|1000000009|0000000001|0000110340|0000082870|</v>
      </c>
      <c r="J53" s="24" t="n">
        <f aca="false">L53*constPuntiVittoria+M53*constPuntiSconfitta+N53*constPuntiForfait+IF(D53="",0,D53)</f>
        <v>9</v>
      </c>
      <c r="K53" s="7" t="n">
        <f aca="false">SUM(L53:N53)</f>
        <v>7</v>
      </c>
      <c r="L53" s="7" t="n">
        <f aca="false">IF($H53="",0,SUMIF('Calendario F'!$M$8:$M$110,$H53,'Calendario F'!$N$8:$N$110)+SUMIF('Calendario F'!$T$8:$T$110,$H53,'Calendario F'!$U$8:$U$110))</f>
        <v>1</v>
      </c>
      <c r="M53" s="7" t="n">
        <f aca="false">IF($H53="",0,SUMIF('Calendario F'!$M$8:$M$110,$H53,'Calendario F'!$P$8:$P$110)+SUMIF('Calendario F'!$T$8:$T$110,$H53,'Calendario F'!$W$8:$W$110))</f>
        <v>6</v>
      </c>
      <c r="N53" s="7" t="n">
        <f aca="false">IF($H53="",0,SUMIF('Calendario F'!$M$8:$M$110,$H53,'Calendario F'!$O$8:$O$110)+SUMIF('Calendario F'!$T$8:$T$110,$H53,'Calendario F'!$V$8:$V$110))</f>
        <v>0</v>
      </c>
      <c r="O53" s="7" t="n">
        <f aca="false">IF($H53="",0,SUMIF('Calendario F'!$M$8:$M$110,$H53,'Calendario F'!$Q$8:$Q$110)+SUMIF('Calendario F'!$T$8:$T$110,$H53,'Calendario F'!$X$8:$X$110))</f>
        <v>387</v>
      </c>
      <c r="P53" s="7" t="n">
        <f aca="false">IF($H53="",0,SUMIF('Calendario F'!$M$8:$M$110,$H53,'Calendario F'!$R$8:$R$110)+SUMIF('Calendario F'!$T$8:$T$110,$H53,'Calendario F'!$Y$8:$Y$110))</f>
        <v>467</v>
      </c>
      <c r="Q53" s="7" t="n">
        <f aca="false">IF($H53="",0,SUMIF('Calendario F'!$M$8:$M$110,$H53,'Calendario F'!$S$8:$S$110)+SUMIF('Calendario F'!$T$8:$T$110,$H53,'Calendario F'!$Z$8:$Z$110))</f>
        <v>-80</v>
      </c>
      <c r="R53" s="7" t="n">
        <f aca="false">IF(K53=0,0,ROUND(O53/K53,2))</f>
        <v>55.29</v>
      </c>
      <c r="S53" s="7" t="n">
        <f aca="false">IF(K53=0,0,ROUND(P53/K53,2))</f>
        <v>66.71</v>
      </c>
      <c r="T53" s="7" t="n">
        <f aca="false">IF(K53=0,0,ROUND(Q53/K53,2))</f>
        <v>-11.43</v>
      </c>
      <c r="U53" s="7" t="str">
        <f aca="false">IF(COUNT(Y53:AF53)=0,"-",SUM(Y53:AF53)&amp;"-"&amp;SUM(AH53:AO53))</f>
        <v>1-0</v>
      </c>
      <c r="V53" s="7" t="str">
        <f aca="false">IF(COUNT(Y53:AF53)=0,"-",IF(SUM(AZ53:BG53)=0,TEXT(0,"0.0000"),TEXT(ROUND(SUM(AQ53:AX53)/SUM(AZ53:BG53),4),"0.0000")))</f>
        <v>1.1034</v>
      </c>
      <c r="W53" s="7" t="str">
        <f aca="false">IF(H53="","-",IF(P53=0,TEXT(0,"0.0000"),TEXT(ROUND(O53/P53,4),"0.0000")))</f>
        <v>0.8287</v>
      </c>
      <c r="X53" s="13" t="str">
        <f aca="false">$C53</f>
        <v>Balene Bizzarre-Baleneopoli BE</v>
      </c>
      <c r="Y53" s="14" t="n">
        <f aca="false">IF(AND($H53&lt;&gt;"",$H$52&lt;&gt;"",$H53&lt;&gt;$H$52,IFERROR(VLOOKUP($H53,areaCercaPuntiClassificaSquadra,3,FALSE()),-1)=IFERROR(VLOOKUP($H$52,areaCercaPuntiClassificaSquadra,3,FALSE()),-2)),SUMIFS('Calendario F'!$N$8:$N$110,'Calendario F'!$M$8:$M$110,$H53,'Calendario F'!$T$8:$T$110,$H$52)+SUMIFS('Calendario F'!$U$8:$U$110,'Calendario F'!$T$8:$T$110,$H53,'Calendario F'!$M$8:$M$110,$H$52),"-")</f>
        <v>1</v>
      </c>
      <c r="Z53" s="14" t="str">
        <f aca="false">IF(AND($H53&lt;&gt;"",$H$53&lt;&gt;"",$H53&lt;&gt;$H$53,IFERROR(VLOOKUP($H53,areaCercaPuntiClassificaSquadra,3,FALSE()),-1)=IFERROR(VLOOKUP($H$53,areaCercaPuntiClassificaSquadra,3,FALSE()),-2)),SUMIFS('Calendario F'!$N$8:$N$110,'Calendario F'!$M$8:$M$110,$H53,'Calendario F'!$T$8:$T$110,$H$53)+SUMIFS('Calendario F'!$U$8:$U$110,'Calendario F'!$T$8:$T$110,$H53,'Calendario F'!$M$8:$M$110,$H$53),"-")</f>
        <v>-</v>
      </c>
      <c r="AA53" s="14" t="str">
        <f aca="false">IF(AND($H53&lt;&gt;"",$H$54&lt;&gt;"",$H53&lt;&gt;$H$54,IFERROR(VLOOKUP($H53,areaCercaPuntiClassificaSquadra,3,FALSE()),-1)=IFERROR(VLOOKUP($H$54,areaCercaPuntiClassificaSquadra,3,FALSE()),-2)),SUMIFS('Calendario F'!$N$8:$N$110,'Calendario F'!$M$8:$M$110,$H53,'Calendario F'!$T$8:$T$110,$H$54)+SUMIFS('Calendario F'!$U$8:$U$110,'Calendario F'!$T$8:$T$110,$H53,'Calendario F'!$M$8:$M$110,$H$54),"-")</f>
        <v>-</v>
      </c>
      <c r="AB53" s="14" t="str">
        <f aca="false">IF(AND($H53&lt;&gt;"",$H$55&lt;&gt;"",$H53&lt;&gt;$H$55,IFERROR(VLOOKUP($H53,areaCercaPuntiClassificaSquadra,3,FALSE()),-1)=IFERROR(VLOOKUP($H$55,areaCercaPuntiClassificaSquadra,3,FALSE()),-2)),SUMIFS('Calendario F'!$N$8:$N$110,'Calendario F'!$M$8:$M$110,$H53,'Calendario F'!$T$8:$T$110,$H$55)+SUMIFS('Calendario F'!$U$8:$U$110,'Calendario F'!$T$8:$T$110,$H53,'Calendario F'!$M$8:$M$110,$H$55),"-")</f>
        <v>-</v>
      </c>
      <c r="AC53" s="14" t="str">
        <f aca="false">IF(AND($H53&lt;&gt;"",$H$56&lt;&gt;"",$H53&lt;&gt;$H$56,IFERROR(VLOOKUP($H53,areaCercaPuntiClassificaSquadra,3,FALSE()),-1)=IFERROR(VLOOKUP($H$56,areaCercaPuntiClassificaSquadra,3,FALSE()),-2)),SUMIFS('Calendario F'!$N$8:$N$110,'Calendario F'!$M$8:$M$110,$H53,'Calendario F'!$T$8:$T$110,$H$56)+SUMIFS('Calendario F'!$U$8:$U$110,'Calendario F'!$T$8:$T$110,$H53,'Calendario F'!$M$8:$M$110,$H$56),"-")</f>
        <v>-</v>
      </c>
      <c r="AD53" s="14" t="str">
        <f aca="false">IF(AND($H53&lt;&gt;"",$H$57&lt;&gt;"",$H53&lt;&gt;$H$57,IFERROR(VLOOKUP($H53,areaCercaPuntiClassificaSquadra,3,FALSE()),-1)=IFERROR(VLOOKUP($H$57,areaCercaPuntiClassificaSquadra,3,FALSE()),-2)),SUMIFS('Calendario F'!$N$8:$N$110,'Calendario F'!$M$8:$M$110,$H53,'Calendario F'!$T$8:$T$110,$H$57)+SUMIFS('Calendario F'!$U$8:$U$110,'Calendario F'!$T$8:$T$110,$H53,'Calendario F'!$M$8:$M$110,$H$57),"-")</f>
        <v>-</v>
      </c>
      <c r="AE53" s="14" t="str">
        <f aca="false">IF(AND($H53&lt;&gt;"",$H$58&lt;&gt;"",$H53&lt;&gt;$H$58,IFERROR(VLOOKUP($H53,areaCercaPuntiClassificaSquadra,3,FALSE()),-1)=IFERROR(VLOOKUP($H$58,areaCercaPuntiClassificaSquadra,3,FALSE()),-2)),SUMIFS('Calendario F'!$N$8:$N$110,'Calendario F'!$M$8:$M$110,$H53,'Calendario F'!$T$8:$T$110,$H$58)+SUMIFS('Calendario F'!$U$8:$U$110,'Calendario F'!$T$8:$T$110,$H53,'Calendario F'!$M$8:$M$110,$H$58),"-")</f>
        <v>-</v>
      </c>
      <c r="AF53" s="14" t="str">
        <f aca="false">IF(AND($H53&lt;&gt;"",$H$59&lt;&gt;"",$H53&lt;&gt;$H$59,IFERROR(VLOOKUP($H53,areaCercaPuntiClassificaSquadra,3,FALSE()),-1)=IFERROR(VLOOKUP($H$59,areaCercaPuntiClassificaSquadra,3,FALSE()),-2)),SUMIFS('Calendario F'!$N$8:$N$110,'Calendario F'!$M$8:$M$110,$H53,'Calendario F'!$T$8:$T$110,$H$59)+SUMIFS('Calendario F'!$U$8:$U$110,'Calendario F'!$T$8:$T$110,$H53,'Calendario F'!$M$8:$M$110,$H$59),"-")</f>
        <v>-</v>
      </c>
      <c r="AG53" s="13" t="str">
        <f aca="false">$C53</f>
        <v>Balene Bizzarre-Baleneopoli BE</v>
      </c>
      <c r="AH53" s="14" t="n">
        <f aca="false">IF(AND($H53&lt;&gt;"",$H$52&lt;&gt;"",$H53&lt;&gt;$H$52,IFERROR(VLOOKUP($H53,areaCercaPuntiClassificaSquadra,3,FALSE()),-1)=IFERROR(VLOOKUP($H$52,areaCercaPuntiClassificaSquadra,3,FALSE()),-2)),SUMIFS('Calendario F'!$P$8:$P$110,'Calendario F'!$M$8:$M$110,$H53,'Calendario F'!$T$8:$T$110,$H$52)+SUMIFS('Calendario F'!$W$8:$W$110,'Calendario F'!$T$8:$T$110,$H53,'Calendario F'!$M$8:$M$110,$H$52)+SUMIFS('Calendario F'!$O$8:$O$110,'Calendario F'!$M$8:$M$110,$H53,'Calendario F'!$T$8:$T$110,$H$52)+SUMIFS('Calendario F'!$V$8:$V$110,'Calendario F'!$T$8:$T$110,$H53,'Calendario F'!$M$8:$M$110,$H$52),"-")</f>
        <v>0</v>
      </c>
      <c r="AI53" s="14" t="str">
        <f aca="false">IF(AND($H53&lt;&gt;"",$H$53&lt;&gt;"",$H53&lt;&gt;$H$53,IFERROR(VLOOKUP($H53,areaCercaPuntiClassificaSquadra,3,FALSE()),-1)=IFERROR(VLOOKUP($H$53,areaCercaPuntiClassificaSquadra,3,FALSE()),-2)),SUMIFS('Calendario F'!$P$8:$P$110,'Calendario F'!$M$8:$M$110,$H53,'Calendario F'!$T$8:$T$110,$H$53)+SUMIFS('Calendario F'!$W$8:$W$110,'Calendario F'!$T$8:$T$110,$H53,'Calendario F'!$M$8:$M$110,$H$53)+SUMIFS('Calendario F'!$O$8:$O$110,'Calendario F'!$M$8:$M$110,$H53,'Calendario F'!$T$8:$T$110,$H$53)+SUMIFS('Calendario F'!$V$8:$V$110,'Calendario F'!$T$8:$T$110,$H53,'Calendario F'!$M$8:$M$110,$H$53),"-")</f>
        <v>-</v>
      </c>
      <c r="AJ53" s="14" t="str">
        <f aca="false">IF(AND($H53&lt;&gt;"",$H$54&lt;&gt;"",$H53&lt;&gt;$H$54,IFERROR(VLOOKUP($H53,areaCercaPuntiClassificaSquadra,3,FALSE()),-1)=IFERROR(VLOOKUP($H$54,areaCercaPuntiClassificaSquadra,3,FALSE()),-2)),SUMIFS('Calendario F'!$P$8:$P$110,'Calendario F'!$M$8:$M$110,$H53,'Calendario F'!$T$8:$T$110,$H$54)+SUMIFS('Calendario F'!$W$8:$W$110,'Calendario F'!$T$8:$T$110,$H53,'Calendario F'!$M$8:$M$110,$H$54)+SUMIFS('Calendario F'!$O$8:$O$110,'Calendario F'!$M$8:$M$110,$H53,'Calendario F'!$T$8:$T$110,$H$54)+SUMIFS('Calendario F'!$V$8:$V$110,'Calendario F'!$T$8:$T$110,$H53,'Calendario F'!$M$8:$M$110,$H$54),"-")</f>
        <v>-</v>
      </c>
      <c r="AK53" s="14" t="str">
        <f aca="false">IF(AND($H53&lt;&gt;"",$H$55&lt;&gt;"",$H53&lt;&gt;$H$55,IFERROR(VLOOKUP($H53,areaCercaPuntiClassificaSquadra,3,FALSE()),-1)=IFERROR(VLOOKUP($H$55,areaCercaPuntiClassificaSquadra,3,FALSE()),-2)),SUMIFS('Calendario F'!$P$8:$P$110,'Calendario F'!$M$8:$M$110,$H53,'Calendario F'!$T$8:$T$110,$H$55)+SUMIFS('Calendario F'!$W$8:$W$110,'Calendario F'!$T$8:$T$110,$H53,'Calendario F'!$M$8:$M$110,$H$55)+SUMIFS('Calendario F'!$O$8:$O$110,'Calendario F'!$M$8:$M$110,$H53,'Calendario F'!$T$8:$T$110,$H$55)+SUMIFS('Calendario F'!$V$8:$V$110,'Calendario F'!$T$8:$T$110,$H53,'Calendario F'!$M$8:$M$110,$H$55),"-")</f>
        <v>-</v>
      </c>
      <c r="AL53" s="14" t="str">
        <f aca="false">IF(AND($H53&lt;&gt;"",$H$56&lt;&gt;"",$H53&lt;&gt;$H$56,IFERROR(VLOOKUP($H53,areaCercaPuntiClassificaSquadra,3,FALSE()),-1)=IFERROR(VLOOKUP($H$56,areaCercaPuntiClassificaSquadra,3,FALSE()),-2)),SUMIFS('Calendario F'!$P$8:$P$110,'Calendario F'!$M$8:$M$110,$H53,'Calendario F'!$T$8:$T$110,$H$56)+SUMIFS('Calendario F'!$W$8:$W$110,'Calendario F'!$T$8:$T$110,$H53,'Calendario F'!$M$8:$M$110,$H$56)+SUMIFS('Calendario F'!$O$8:$O$110,'Calendario F'!$M$8:$M$110,$H53,'Calendario F'!$T$8:$T$110,$H$56)+SUMIFS('Calendario F'!$V$8:$V$110,'Calendario F'!$T$8:$T$110,$H53,'Calendario F'!$M$8:$M$110,$H$56),"-")</f>
        <v>-</v>
      </c>
      <c r="AM53" s="14" t="str">
        <f aca="false">IF(AND($H53&lt;&gt;"",$H$57&lt;&gt;"",$H53&lt;&gt;$H$57,IFERROR(VLOOKUP($H53,areaCercaPuntiClassificaSquadra,3,FALSE()),-1)=IFERROR(VLOOKUP($H$57,areaCercaPuntiClassificaSquadra,3,FALSE()),-2)),SUMIFS('Calendario F'!$P$8:$P$110,'Calendario F'!$M$8:$M$110,$H53,'Calendario F'!$T$8:$T$110,$H$57)+SUMIFS('Calendario F'!$W$8:$W$110,'Calendario F'!$T$8:$T$110,$H53,'Calendario F'!$M$8:$M$110,$H$57)+SUMIFS('Calendario F'!$O$8:$O$110,'Calendario F'!$M$8:$M$110,$H53,'Calendario F'!$T$8:$T$110,$H$57)+SUMIFS('Calendario F'!$V$8:$V$110,'Calendario F'!$T$8:$T$110,$H53,'Calendario F'!$M$8:$M$110,$H$57),"-")</f>
        <v>-</v>
      </c>
      <c r="AN53" s="14" t="str">
        <f aca="false">IF(AND($H53&lt;&gt;"",$H$58&lt;&gt;"",$H53&lt;&gt;$H$58,IFERROR(VLOOKUP($H53,areaCercaPuntiClassificaSquadra,3,FALSE()),-1)=IFERROR(VLOOKUP($H$58,areaCercaPuntiClassificaSquadra,3,FALSE()),-2)),SUMIFS('Calendario F'!$P$8:$P$110,'Calendario F'!$M$8:$M$110,$H53,'Calendario F'!$T$8:$T$110,$H$58)+SUMIFS('Calendario F'!$W$8:$W$110,'Calendario F'!$T$8:$T$110,$H53,'Calendario F'!$M$8:$M$110,$H$58)+SUMIFS('Calendario F'!$O$8:$O$110,'Calendario F'!$M$8:$M$110,$H53,'Calendario F'!$T$8:$T$110,$H$58)+SUMIFS('Calendario F'!$V$8:$V$110,'Calendario F'!$T$8:$T$110,$H53,'Calendario F'!$M$8:$M$110,$H$58),"-")</f>
        <v>-</v>
      </c>
      <c r="AO53" s="14" t="str">
        <f aca="false">IF(AND($H53&lt;&gt;"",$H$59&lt;&gt;"",$H53&lt;&gt;$H$59,IFERROR(VLOOKUP($H53,areaCercaPuntiClassificaSquadra,3,FALSE()),-1)=IFERROR(VLOOKUP($H$59,areaCercaPuntiClassificaSquadra,3,FALSE()),-2)),SUMIFS('Calendario F'!$P$8:$P$110,'Calendario F'!$M$8:$M$110,$H53,'Calendario F'!$T$8:$T$110,$H$59)+SUMIFS('Calendario F'!$W$8:$W$110,'Calendario F'!$T$8:$T$110,$H53,'Calendario F'!$M$8:$M$110,$H$59)+SUMIFS('Calendario F'!$O$8:$O$110,'Calendario F'!$M$8:$M$110,$H53,'Calendario F'!$T$8:$T$110,$H$59)+SUMIFS('Calendario F'!$V$8:$V$110,'Calendario F'!$T$8:$T$110,$H53,'Calendario F'!$M$8:$M$110,$H$59),"-")</f>
        <v>-</v>
      </c>
      <c r="AP53" s="13" t="str">
        <f aca="false">$C53</f>
        <v>Balene Bizzarre-Baleneopoli BE</v>
      </c>
      <c r="AQ53" s="14" t="n">
        <f aca="false">IF(AND($H53&lt;&gt;"",$H$52&lt;&gt;"",$H53&lt;&gt;$H$52,IFERROR(VLOOKUP($H53,areaCercaPuntiClassificaSquadra,3,FALSE()),-1)=IFERROR(VLOOKUP($H$52,areaCercaPuntiClassificaSquadra,3,FALSE()),-2)),SUMIFS('Calendario F'!$Q$8:$Q$110,'Calendario F'!$M$8:$M$110,$H53,'Calendario F'!$T$8:$T$110,$H$52)+SUMIFS('Calendario F'!$X$8:$X$110,'Calendario F'!$T$8:$T$110,$H53,'Calendario F'!$M$8:$M$110,$H$52),"-")</f>
        <v>64</v>
      </c>
      <c r="AR53" s="14" t="str">
        <f aca="false">IF(AND($H53&lt;&gt;"",$H$53&lt;&gt;"",$H53&lt;&gt;$H$53,IFERROR(VLOOKUP($H53,areaCercaPuntiClassificaSquadra,3,FALSE()),-1)=IFERROR(VLOOKUP($H$53,areaCercaPuntiClassificaSquadra,3,FALSE()),-2)),SUMIFS('Calendario F'!$Q$8:$Q$110,'Calendario F'!$M$8:$M$110,$H53,'Calendario F'!$T$8:$T$110,$H$53)+SUMIFS('Calendario F'!$X$8:$X$110,'Calendario F'!$T$8:$T$110,$H53,'Calendario F'!$M$8:$M$110,$H$53),"-")</f>
        <v>-</v>
      </c>
      <c r="AS53" s="14" t="str">
        <f aca="false">IF(AND($H53&lt;&gt;"",$H$54&lt;&gt;"",$H53&lt;&gt;$H$54,IFERROR(VLOOKUP($H53,areaCercaPuntiClassificaSquadra,3,FALSE()),-1)=IFERROR(VLOOKUP($H$54,areaCercaPuntiClassificaSquadra,3,FALSE()),-2)),SUMIFS('Calendario F'!$Q$8:$Q$110,'Calendario F'!$M$8:$M$110,$H53,'Calendario F'!$T$8:$T$110,$H$54)+SUMIFS('Calendario F'!$X$8:$X$110,'Calendario F'!$T$8:$T$110,$H53,'Calendario F'!$M$8:$M$110,$H$54),"-")</f>
        <v>-</v>
      </c>
      <c r="AT53" s="14" t="str">
        <f aca="false">IF(AND($H53&lt;&gt;"",$H$55&lt;&gt;"",$H53&lt;&gt;$H$55,IFERROR(VLOOKUP($H53,areaCercaPuntiClassificaSquadra,3,FALSE()),-1)=IFERROR(VLOOKUP($H$55,areaCercaPuntiClassificaSquadra,3,FALSE()),-2)),SUMIFS('Calendario F'!$Q$8:$Q$110,'Calendario F'!$M$8:$M$110,$H53,'Calendario F'!$T$8:$T$110,$H$55)+SUMIFS('Calendario F'!$X$8:$X$110,'Calendario F'!$T$8:$T$110,$H53,'Calendario F'!$M$8:$M$110,$H$55),"-")</f>
        <v>-</v>
      </c>
      <c r="AU53" s="14" t="str">
        <f aca="false">IF(AND($H53&lt;&gt;"",$H$56&lt;&gt;"",$H53&lt;&gt;$H$56,IFERROR(VLOOKUP($H53,areaCercaPuntiClassificaSquadra,3,FALSE()),-1)=IFERROR(VLOOKUP($H$56,areaCercaPuntiClassificaSquadra,3,FALSE()),-2)),SUMIFS('Calendario F'!$Q$8:$Q$110,'Calendario F'!$M$8:$M$110,$H53,'Calendario F'!$T$8:$T$110,$H$56)+SUMIFS('Calendario F'!$X$8:$X$110,'Calendario F'!$T$8:$T$110,$H53,'Calendario F'!$M$8:$M$110,$H$56),"-")</f>
        <v>-</v>
      </c>
      <c r="AV53" s="14" t="str">
        <f aca="false">IF(AND($H53&lt;&gt;"",$H$57&lt;&gt;"",$H53&lt;&gt;$H$57,IFERROR(VLOOKUP($H53,areaCercaPuntiClassificaSquadra,3,FALSE()),-1)=IFERROR(VLOOKUP($H$57,areaCercaPuntiClassificaSquadra,3,FALSE()),-2)),SUMIFS('Calendario F'!$Q$8:$Q$110,'Calendario F'!$M$8:$M$110,$H53,'Calendario F'!$T$8:$T$110,$H$57)+SUMIFS('Calendario F'!$X$8:$X$110,'Calendario F'!$T$8:$T$110,$H53,'Calendario F'!$M$8:$M$110,$H$57),"-")</f>
        <v>-</v>
      </c>
      <c r="AW53" s="14" t="str">
        <f aca="false">IF(AND($H53&lt;&gt;"",$H$58&lt;&gt;"",$H53&lt;&gt;$H$58,IFERROR(VLOOKUP($H53,areaCercaPuntiClassificaSquadra,3,FALSE()),-1)=IFERROR(VLOOKUP($H$58,areaCercaPuntiClassificaSquadra,3,FALSE()),-2)),SUMIFS('Calendario F'!$Q$8:$Q$110,'Calendario F'!$M$8:$M$110,$H53,'Calendario F'!$T$8:$T$110,$H$58)+SUMIFS('Calendario F'!$X$8:$X$110,'Calendario F'!$T$8:$T$110,$H53,'Calendario F'!$M$8:$M$110,$H$58),"-")</f>
        <v>-</v>
      </c>
      <c r="AX53" s="14" t="str">
        <f aca="false">IF(AND($H53&lt;&gt;"",$H$59&lt;&gt;"",$H53&lt;&gt;$H$59,IFERROR(VLOOKUP($H53,areaCercaPuntiClassificaSquadra,3,FALSE()),-1)=IFERROR(VLOOKUP($H$59,areaCercaPuntiClassificaSquadra,3,FALSE()),-2)),SUMIFS('Calendario F'!$Q$8:$Q$110,'Calendario F'!$M$8:$M$110,$H53,'Calendario F'!$T$8:$T$110,$H$59)+SUMIFS('Calendario F'!$X$8:$X$110,'Calendario F'!$T$8:$T$110,$H53,'Calendario F'!$M$8:$M$110,$H$59),"-")</f>
        <v>-</v>
      </c>
      <c r="AY53" s="13" t="str">
        <f aca="false">$C53</f>
        <v>Balene Bizzarre-Baleneopoli BE</v>
      </c>
      <c r="AZ53" s="14" t="n">
        <f aca="false">IF(AND($H53&lt;&gt;"",$H$52&lt;&gt;"",$H53&lt;&gt;$H$52,IFERROR(VLOOKUP($H53,areaCercaPuntiClassificaSquadra,3,FALSE()),-1)=IFERROR(VLOOKUP($H$52,areaCercaPuntiClassificaSquadra,3,FALSE()),-2)),SUMIFS('Calendario F'!$R$8:$R$110,'Calendario F'!$M$8:$M$110,$H53,'Calendario F'!$T$8:$T$110,$H$52)+SUMIFS('Calendario F'!$Y$8:$Y$110,'Calendario F'!$T$8:$T$110,$H53,'Calendario F'!$M$8:$M$110,$H$52),"-")</f>
        <v>58</v>
      </c>
      <c r="BA53" s="14" t="str">
        <f aca="false">IF(AND($H53&lt;&gt;"",$H$53&lt;&gt;"",$H53&lt;&gt;$H$53,IFERROR(VLOOKUP($H53,areaCercaPuntiClassificaSquadra,3,FALSE()),-1)=IFERROR(VLOOKUP($H$53,areaCercaPuntiClassificaSquadra,3,FALSE()),-2)),SUMIFS('Calendario F'!$R$8:$R$110,'Calendario F'!$M$8:$M$110,$H53,'Calendario F'!$T$8:$T$110,$H$53)+SUMIFS('Calendario F'!$Y$8:$Y$110,'Calendario F'!$T$8:$T$110,$H53,'Calendario F'!$M$8:$M$110,$H$53),"-")</f>
        <v>-</v>
      </c>
      <c r="BB53" s="14" t="str">
        <f aca="false">IF(AND($H53&lt;&gt;"",$H$54&lt;&gt;"",$H53&lt;&gt;$H$54,IFERROR(VLOOKUP($H53,areaCercaPuntiClassificaSquadra,3,FALSE()),-1)=IFERROR(VLOOKUP($H$54,areaCercaPuntiClassificaSquadra,3,FALSE()),-2)),SUMIFS('Calendario F'!$R$8:$R$110,'Calendario F'!$M$8:$M$110,$H53,'Calendario F'!$T$8:$T$110,$H$54)+SUMIFS('Calendario F'!$Y$8:$Y$110,'Calendario F'!$T$8:$T$110,$H53,'Calendario F'!$M$8:$M$110,$H$54),"-")</f>
        <v>-</v>
      </c>
      <c r="BC53" s="14" t="str">
        <f aca="false">IF(AND($H53&lt;&gt;"",$H$55&lt;&gt;"",$H53&lt;&gt;$H$55,IFERROR(VLOOKUP($H53,areaCercaPuntiClassificaSquadra,3,FALSE()),-1)=IFERROR(VLOOKUP($H$55,areaCercaPuntiClassificaSquadra,3,FALSE()),-2)),SUMIFS('Calendario F'!$R$8:$R$110,'Calendario F'!$M$8:$M$110,$H53,'Calendario F'!$T$8:$T$110,$H$55)+SUMIFS('Calendario F'!$Y$8:$Y$110,'Calendario F'!$T$8:$T$110,$H53,'Calendario F'!$M$8:$M$110,$H$55),"-")</f>
        <v>-</v>
      </c>
      <c r="BD53" s="14" t="str">
        <f aca="false">IF(AND($H53&lt;&gt;"",$H$56&lt;&gt;"",$H53&lt;&gt;$H$56,IFERROR(VLOOKUP($H53,areaCercaPuntiClassificaSquadra,3,FALSE()),-1)=IFERROR(VLOOKUP($H$56,areaCercaPuntiClassificaSquadra,3,FALSE()),-2)),SUMIFS('Calendario F'!$R$8:$R$110,'Calendario F'!$M$8:$M$110,$H53,'Calendario F'!$T$8:$T$110,$H$56)+SUMIFS('Calendario F'!$Y$8:$Y$110,'Calendario F'!$T$8:$T$110,$H53,'Calendario F'!$M$8:$M$110,$H$56),"-")</f>
        <v>-</v>
      </c>
      <c r="BE53" s="14" t="str">
        <f aca="false">IF(AND($H53&lt;&gt;"",$H$57&lt;&gt;"",$H53&lt;&gt;$H$57,IFERROR(VLOOKUP($H53,areaCercaPuntiClassificaSquadra,3,FALSE()),-1)=IFERROR(VLOOKUP($H$57,areaCercaPuntiClassificaSquadra,3,FALSE()),-2)),SUMIFS('Calendario F'!$R$8:$R$110,'Calendario F'!$M$8:$M$110,$H53,'Calendario F'!$T$8:$T$110,$H$57)+SUMIFS('Calendario F'!$Y$8:$Y$110,'Calendario F'!$T$8:$T$110,$H53,'Calendario F'!$M$8:$M$110,$H$57),"-")</f>
        <v>-</v>
      </c>
      <c r="BF53" s="14" t="str">
        <f aca="false">IF(AND($H53&lt;&gt;"",$H$58&lt;&gt;"",$H53&lt;&gt;$H$58,IFERROR(VLOOKUP($H53,areaCercaPuntiClassificaSquadra,3,FALSE()),-1)=IFERROR(VLOOKUP($H$58,areaCercaPuntiClassificaSquadra,3,FALSE()),-2)),SUMIFS('Calendario F'!$R$8:$R$110,'Calendario F'!$M$8:$M$110,$H53,'Calendario F'!$T$8:$T$110,$H$58)+SUMIFS('Calendario F'!$Y$8:$Y$110,'Calendario F'!$T$8:$T$110,$H53,'Calendario F'!$M$8:$M$110,$H$58),"-")</f>
        <v>-</v>
      </c>
      <c r="BG53" s="14" t="str">
        <f aca="false">IF(AND($H53&lt;&gt;"",$H$59&lt;&gt;"",$H53&lt;&gt;$H$59,IFERROR(VLOOKUP($H53,areaCercaPuntiClassificaSquadra,3,FALSE()),-1)=IFERROR(VLOOKUP($H$59,areaCercaPuntiClassificaSquadra,3,FALSE()),-2)),SUMIFS('Calendario F'!$R$8:$R$110,'Calendario F'!$M$8:$M$110,$H53,'Calendario F'!$T$8:$T$110,$H$59)+SUMIFS('Calendario F'!$Y$8:$Y$110,'Calendario F'!$T$8:$T$110,$H53,'Calendario F'!$M$8:$M$110,$H$59),"-")</f>
        <v>-</v>
      </c>
    </row>
    <row r="54" customFormat="false" ht="15" hidden="false" customHeight="false" outlineLevel="0" collapsed="false">
      <c r="B54" s="7" t="s">
        <v>137</v>
      </c>
      <c r="C54" s="8" t="s">
        <v>138</v>
      </c>
      <c r="D54" s="9"/>
      <c r="E54" s="23" t="s">
        <v>134</v>
      </c>
      <c r="G54" s="24" t="str">
        <f aca="false">IF($C54="","",$E54&amp;(COUNTIFS(I$12:I$75,"&gt;"&amp;I54,E$12:E$75,"="&amp;E54,C$12:C$75,"&lt;&gt;")+COUNTIFS(I$12:I$75,"="&amp;I54,H$12:H$75,"&lt;="&amp;H54,E$12:E$75,"="&amp;E54,C$12:C$75,"&lt;&gt;")))</f>
        <v>F5</v>
      </c>
      <c r="H54" s="12" t="str">
        <f aca="false">IF($C54="","",IFERROR(LEFT($C54,FIND("-",$C54)-1),$C54))</f>
        <v>Camaleonti Caotici</v>
      </c>
      <c r="I54" s="7" t="str">
        <f aca="false">TEXT(1000000000+J54,"|0000000000|")&amp;TEXT(SUM(Y54:AF54),"0000000000|")&amp;IF(SUM(AZ54:BG54)=0,"0000000000|",TEXT(ROUND(SUM(AQ54:AX54)/SUM(AZ54:BG54),4)*100000,"0000000000|"))&amp;IF(P54=0,"0000000000|",TEXT(ROUND(O54/P54,4)*100000,"0000000000|"))</f>
        <v>|1000000013|0000000000|0000000000|0000098580|</v>
      </c>
      <c r="J54" s="24" t="n">
        <f aca="false">L54*constPuntiVittoria+M54*constPuntiSconfitta+N54*constPuntiForfait+IF(D54="",0,D54)</f>
        <v>13</v>
      </c>
      <c r="K54" s="7" t="n">
        <f aca="false">SUM(L54:N54)</f>
        <v>7</v>
      </c>
      <c r="L54" s="7" t="n">
        <f aca="false">IF($H54="",0,SUMIF('Calendario F'!$M$8:$M$110,$H54,'Calendario F'!$N$8:$N$110)+SUMIF('Calendario F'!$T$8:$T$110,$H54,'Calendario F'!$U$8:$U$110))</f>
        <v>3</v>
      </c>
      <c r="M54" s="7" t="n">
        <f aca="false">IF($H54="",0,SUMIF('Calendario F'!$M$8:$M$110,$H54,'Calendario F'!$P$8:$P$110)+SUMIF('Calendario F'!$T$8:$T$110,$H54,'Calendario F'!$W$8:$W$110))</f>
        <v>4</v>
      </c>
      <c r="N54" s="7" t="n">
        <f aca="false">IF($H54="",0,SUMIF('Calendario F'!$M$8:$M$110,$H54,'Calendario F'!$O$8:$O$110)+SUMIF('Calendario F'!$T$8:$T$110,$H54,'Calendario F'!$V$8:$V$110))</f>
        <v>0</v>
      </c>
      <c r="O54" s="7" t="n">
        <f aca="false">IF($H54="",0,SUMIF('Calendario F'!$M$8:$M$110,$H54,'Calendario F'!$Q$8:$Q$110)+SUMIF('Calendario F'!$T$8:$T$110,$H54,'Calendario F'!$X$8:$X$110))</f>
        <v>416</v>
      </c>
      <c r="P54" s="7" t="n">
        <f aca="false">IF($H54="",0,SUMIF('Calendario F'!$M$8:$M$110,$H54,'Calendario F'!$R$8:$R$110)+SUMIF('Calendario F'!$T$8:$T$110,$H54,'Calendario F'!$Y$8:$Y$110))</f>
        <v>422</v>
      </c>
      <c r="Q54" s="7" t="n">
        <f aca="false">IF($H54="",0,SUMIF('Calendario F'!$M$8:$M$110,$H54,'Calendario F'!$S$8:$S$110)+SUMIF('Calendario F'!$T$8:$T$110,$H54,'Calendario F'!$Z$8:$Z$110))</f>
        <v>-6</v>
      </c>
      <c r="R54" s="7" t="n">
        <f aca="false">IF(K54=0,0,ROUND(O54/K54,2))</f>
        <v>59.43</v>
      </c>
      <c r="S54" s="7" t="n">
        <f aca="false">IF(K54=0,0,ROUND(P54/K54,2))</f>
        <v>60.29</v>
      </c>
      <c r="T54" s="7" t="n">
        <f aca="false">IF(K54=0,0,ROUND(Q54/K54,2))</f>
        <v>-0.86</v>
      </c>
      <c r="U54" s="7" t="str">
        <f aca="false">IF(COUNT(Y54:AF54)=0,"-",SUM(Y54:AF54)&amp;"-"&amp;SUM(AH54:AO54))</f>
        <v>-</v>
      </c>
      <c r="V54" s="7" t="str">
        <f aca="false">IF(COUNT(Y54:AF54)=0,"-",IF(SUM(AZ54:BG54)=0,TEXT(0,"0.0000"),TEXT(ROUND(SUM(AQ54:AX54)/SUM(AZ54:BG54),4),"0.0000")))</f>
        <v>-</v>
      </c>
      <c r="W54" s="7" t="str">
        <f aca="false">IF(H54="","-",IF(P54=0,TEXT(0,"0.0000"),TEXT(ROUND(O54/P54,4),"0.0000")))</f>
        <v>0.9858</v>
      </c>
      <c r="X54" s="13" t="str">
        <f aca="false">$C54</f>
        <v>Camaleonti Caotici-Camaleontiopoli CI</v>
      </c>
      <c r="Y54" s="14" t="str">
        <f aca="false">IF(AND($H54&lt;&gt;"",$H$52&lt;&gt;"",$H54&lt;&gt;$H$52,IFERROR(VLOOKUP($H54,areaCercaPuntiClassificaSquadra,3,FALSE()),-1)=IFERROR(VLOOKUP($H$52,areaCercaPuntiClassificaSquadra,3,FALSE()),-2)),SUMIFS('Calendario F'!$N$8:$N$110,'Calendario F'!$M$8:$M$110,$H54,'Calendario F'!$T$8:$T$110,$H$52)+SUMIFS('Calendario F'!$U$8:$U$110,'Calendario F'!$T$8:$T$110,$H54,'Calendario F'!$M$8:$M$110,$H$52),"-")</f>
        <v>-</v>
      </c>
      <c r="Z54" s="14" t="str">
        <f aca="false">IF(AND($H54&lt;&gt;"",$H$53&lt;&gt;"",$H54&lt;&gt;$H$53,IFERROR(VLOOKUP($H54,areaCercaPuntiClassificaSquadra,3,FALSE()),-1)=IFERROR(VLOOKUP($H$53,areaCercaPuntiClassificaSquadra,3,FALSE()),-2)),SUMIFS('Calendario F'!$N$8:$N$110,'Calendario F'!$M$8:$M$110,$H54,'Calendario F'!$T$8:$T$110,$H$53)+SUMIFS('Calendario F'!$U$8:$U$110,'Calendario F'!$T$8:$T$110,$H54,'Calendario F'!$M$8:$M$110,$H$53),"-")</f>
        <v>-</v>
      </c>
      <c r="AA54" s="14" t="str">
        <f aca="false">IF(AND($H54&lt;&gt;"",$H$54&lt;&gt;"",$H54&lt;&gt;$H$54,IFERROR(VLOOKUP($H54,areaCercaPuntiClassificaSquadra,3,FALSE()),-1)=IFERROR(VLOOKUP($H$54,areaCercaPuntiClassificaSquadra,3,FALSE()),-2)),SUMIFS('Calendario F'!$N$8:$N$110,'Calendario F'!$M$8:$M$110,$H54,'Calendario F'!$T$8:$T$110,$H$54)+SUMIFS('Calendario F'!$U$8:$U$110,'Calendario F'!$T$8:$T$110,$H54,'Calendario F'!$M$8:$M$110,$H$54),"-")</f>
        <v>-</v>
      </c>
      <c r="AB54" s="14" t="str">
        <f aca="false">IF(AND($H54&lt;&gt;"",$H$55&lt;&gt;"",$H54&lt;&gt;$H$55,IFERROR(VLOOKUP($H54,areaCercaPuntiClassificaSquadra,3,FALSE()),-1)=IFERROR(VLOOKUP($H$55,areaCercaPuntiClassificaSquadra,3,FALSE()),-2)),SUMIFS('Calendario F'!$N$8:$N$110,'Calendario F'!$M$8:$M$110,$H54,'Calendario F'!$T$8:$T$110,$H$55)+SUMIFS('Calendario F'!$U$8:$U$110,'Calendario F'!$T$8:$T$110,$H54,'Calendario F'!$M$8:$M$110,$H$55),"-")</f>
        <v>-</v>
      </c>
      <c r="AC54" s="14" t="str">
        <f aca="false">IF(AND($H54&lt;&gt;"",$H$56&lt;&gt;"",$H54&lt;&gt;$H$56,IFERROR(VLOOKUP($H54,areaCercaPuntiClassificaSquadra,3,FALSE()),-1)=IFERROR(VLOOKUP($H$56,areaCercaPuntiClassificaSquadra,3,FALSE()),-2)),SUMIFS('Calendario F'!$N$8:$N$110,'Calendario F'!$M$8:$M$110,$H54,'Calendario F'!$T$8:$T$110,$H$56)+SUMIFS('Calendario F'!$U$8:$U$110,'Calendario F'!$T$8:$T$110,$H54,'Calendario F'!$M$8:$M$110,$H$56),"-")</f>
        <v>-</v>
      </c>
      <c r="AD54" s="14" t="str">
        <f aca="false">IF(AND($H54&lt;&gt;"",$H$57&lt;&gt;"",$H54&lt;&gt;$H$57,IFERROR(VLOOKUP($H54,areaCercaPuntiClassificaSquadra,3,FALSE()),-1)=IFERROR(VLOOKUP($H$57,areaCercaPuntiClassificaSquadra,3,FALSE()),-2)),SUMIFS('Calendario F'!$N$8:$N$110,'Calendario F'!$M$8:$M$110,$H54,'Calendario F'!$T$8:$T$110,$H$57)+SUMIFS('Calendario F'!$U$8:$U$110,'Calendario F'!$T$8:$T$110,$H54,'Calendario F'!$M$8:$M$110,$H$57),"-")</f>
        <v>-</v>
      </c>
      <c r="AE54" s="14" t="str">
        <f aca="false">IF(AND($H54&lt;&gt;"",$H$58&lt;&gt;"",$H54&lt;&gt;$H$58,IFERROR(VLOOKUP($H54,areaCercaPuntiClassificaSquadra,3,FALSE()),-1)=IFERROR(VLOOKUP($H$58,areaCercaPuntiClassificaSquadra,3,FALSE()),-2)),SUMIFS('Calendario F'!$N$8:$N$110,'Calendario F'!$M$8:$M$110,$H54,'Calendario F'!$T$8:$T$110,$H$58)+SUMIFS('Calendario F'!$U$8:$U$110,'Calendario F'!$T$8:$T$110,$H54,'Calendario F'!$M$8:$M$110,$H$58),"-")</f>
        <v>-</v>
      </c>
      <c r="AF54" s="14" t="str">
        <f aca="false">IF(AND($H54&lt;&gt;"",$H$59&lt;&gt;"",$H54&lt;&gt;$H$59,IFERROR(VLOOKUP($H54,areaCercaPuntiClassificaSquadra,3,FALSE()),-1)=IFERROR(VLOOKUP($H$59,areaCercaPuntiClassificaSquadra,3,FALSE()),-2)),SUMIFS('Calendario F'!$N$8:$N$110,'Calendario F'!$M$8:$M$110,$H54,'Calendario F'!$T$8:$T$110,$H$59)+SUMIFS('Calendario F'!$U$8:$U$110,'Calendario F'!$T$8:$T$110,$H54,'Calendario F'!$M$8:$M$110,$H$59),"-")</f>
        <v>-</v>
      </c>
      <c r="AG54" s="13" t="str">
        <f aca="false">$C54</f>
        <v>Camaleonti Caotici-Camaleontiopoli CI</v>
      </c>
      <c r="AH54" s="14" t="str">
        <f aca="false">IF(AND($H54&lt;&gt;"",$H$52&lt;&gt;"",$H54&lt;&gt;$H$52,IFERROR(VLOOKUP($H54,areaCercaPuntiClassificaSquadra,3,FALSE()),-1)=IFERROR(VLOOKUP($H$52,areaCercaPuntiClassificaSquadra,3,FALSE()),-2)),SUMIFS('Calendario F'!$P$8:$P$110,'Calendario F'!$M$8:$M$110,$H54,'Calendario F'!$T$8:$T$110,$H$52)+SUMIFS('Calendario F'!$W$8:$W$110,'Calendario F'!$T$8:$T$110,$H54,'Calendario F'!$M$8:$M$110,$H$52)+SUMIFS('Calendario F'!$O$8:$O$110,'Calendario F'!$M$8:$M$110,$H54,'Calendario F'!$T$8:$T$110,$H$52)+SUMIFS('Calendario F'!$V$8:$V$110,'Calendario F'!$T$8:$T$110,$H54,'Calendario F'!$M$8:$M$110,$H$52),"-")</f>
        <v>-</v>
      </c>
      <c r="AI54" s="14" t="str">
        <f aca="false">IF(AND($H54&lt;&gt;"",$H$53&lt;&gt;"",$H54&lt;&gt;$H$53,IFERROR(VLOOKUP($H54,areaCercaPuntiClassificaSquadra,3,FALSE()),-1)=IFERROR(VLOOKUP($H$53,areaCercaPuntiClassificaSquadra,3,FALSE()),-2)),SUMIFS('Calendario F'!$P$8:$P$110,'Calendario F'!$M$8:$M$110,$H54,'Calendario F'!$T$8:$T$110,$H$53)+SUMIFS('Calendario F'!$W$8:$W$110,'Calendario F'!$T$8:$T$110,$H54,'Calendario F'!$M$8:$M$110,$H$53)+SUMIFS('Calendario F'!$O$8:$O$110,'Calendario F'!$M$8:$M$110,$H54,'Calendario F'!$T$8:$T$110,$H$53)+SUMIFS('Calendario F'!$V$8:$V$110,'Calendario F'!$T$8:$T$110,$H54,'Calendario F'!$M$8:$M$110,$H$53),"-")</f>
        <v>-</v>
      </c>
      <c r="AJ54" s="14" t="str">
        <f aca="false">IF(AND($H54&lt;&gt;"",$H$54&lt;&gt;"",$H54&lt;&gt;$H$54,IFERROR(VLOOKUP($H54,areaCercaPuntiClassificaSquadra,3,FALSE()),-1)=IFERROR(VLOOKUP($H$54,areaCercaPuntiClassificaSquadra,3,FALSE()),-2)),SUMIFS('Calendario F'!$P$8:$P$110,'Calendario F'!$M$8:$M$110,$H54,'Calendario F'!$T$8:$T$110,$H$54)+SUMIFS('Calendario F'!$W$8:$W$110,'Calendario F'!$T$8:$T$110,$H54,'Calendario F'!$M$8:$M$110,$H$54)+SUMIFS('Calendario F'!$O$8:$O$110,'Calendario F'!$M$8:$M$110,$H54,'Calendario F'!$T$8:$T$110,$H$54)+SUMIFS('Calendario F'!$V$8:$V$110,'Calendario F'!$T$8:$T$110,$H54,'Calendario F'!$M$8:$M$110,$H$54),"-")</f>
        <v>-</v>
      </c>
      <c r="AK54" s="14" t="str">
        <f aca="false">IF(AND($H54&lt;&gt;"",$H$55&lt;&gt;"",$H54&lt;&gt;$H$55,IFERROR(VLOOKUP($H54,areaCercaPuntiClassificaSquadra,3,FALSE()),-1)=IFERROR(VLOOKUP($H$55,areaCercaPuntiClassificaSquadra,3,FALSE()),-2)),SUMIFS('Calendario F'!$P$8:$P$110,'Calendario F'!$M$8:$M$110,$H54,'Calendario F'!$T$8:$T$110,$H$55)+SUMIFS('Calendario F'!$W$8:$W$110,'Calendario F'!$T$8:$T$110,$H54,'Calendario F'!$M$8:$M$110,$H$55)+SUMIFS('Calendario F'!$O$8:$O$110,'Calendario F'!$M$8:$M$110,$H54,'Calendario F'!$T$8:$T$110,$H$55)+SUMIFS('Calendario F'!$V$8:$V$110,'Calendario F'!$T$8:$T$110,$H54,'Calendario F'!$M$8:$M$110,$H$55),"-")</f>
        <v>-</v>
      </c>
      <c r="AL54" s="14" t="str">
        <f aca="false">IF(AND($H54&lt;&gt;"",$H$56&lt;&gt;"",$H54&lt;&gt;$H$56,IFERROR(VLOOKUP($H54,areaCercaPuntiClassificaSquadra,3,FALSE()),-1)=IFERROR(VLOOKUP($H$56,areaCercaPuntiClassificaSquadra,3,FALSE()),-2)),SUMIFS('Calendario F'!$P$8:$P$110,'Calendario F'!$M$8:$M$110,$H54,'Calendario F'!$T$8:$T$110,$H$56)+SUMIFS('Calendario F'!$W$8:$W$110,'Calendario F'!$T$8:$T$110,$H54,'Calendario F'!$M$8:$M$110,$H$56)+SUMIFS('Calendario F'!$O$8:$O$110,'Calendario F'!$M$8:$M$110,$H54,'Calendario F'!$T$8:$T$110,$H$56)+SUMIFS('Calendario F'!$V$8:$V$110,'Calendario F'!$T$8:$T$110,$H54,'Calendario F'!$M$8:$M$110,$H$56),"-")</f>
        <v>-</v>
      </c>
      <c r="AM54" s="14" t="str">
        <f aca="false">IF(AND($H54&lt;&gt;"",$H$57&lt;&gt;"",$H54&lt;&gt;$H$57,IFERROR(VLOOKUP($H54,areaCercaPuntiClassificaSquadra,3,FALSE()),-1)=IFERROR(VLOOKUP($H$57,areaCercaPuntiClassificaSquadra,3,FALSE()),-2)),SUMIFS('Calendario F'!$P$8:$P$110,'Calendario F'!$M$8:$M$110,$H54,'Calendario F'!$T$8:$T$110,$H$57)+SUMIFS('Calendario F'!$W$8:$W$110,'Calendario F'!$T$8:$T$110,$H54,'Calendario F'!$M$8:$M$110,$H$57)+SUMIFS('Calendario F'!$O$8:$O$110,'Calendario F'!$M$8:$M$110,$H54,'Calendario F'!$T$8:$T$110,$H$57)+SUMIFS('Calendario F'!$V$8:$V$110,'Calendario F'!$T$8:$T$110,$H54,'Calendario F'!$M$8:$M$110,$H$57),"-")</f>
        <v>-</v>
      </c>
      <c r="AN54" s="14" t="str">
        <f aca="false">IF(AND($H54&lt;&gt;"",$H$58&lt;&gt;"",$H54&lt;&gt;$H$58,IFERROR(VLOOKUP($H54,areaCercaPuntiClassificaSquadra,3,FALSE()),-1)=IFERROR(VLOOKUP($H$58,areaCercaPuntiClassificaSquadra,3,FALSE()),-2)),SUMIFS('Calendario F'!$P$8:$P$110,'Calendario F'!$M$8:$M$110,$H54,'Calendario F'!$T$8:$T$110,$H$58)+SUMIFS('Calendario F'!$W$8:$W$110,'Calendario F'!$T$8:$T$110,$H54,'Calendario F'!$M$8:$M$110,$H$58)+SUMIFS('Calendario F'!$O$8:$O$110,'Calendario F'!$M$8:$M$110,$H54,'Calendario F'!$T$8:$T$110,$H$58)+SUMIFS('Calendario F'!$V$8:$V$110,'Calendario F'!$T$8:$T$110,$H54,'Calendario F'!$M$8:$M$110,$H$58),"-")</f>
        <v>-</v>
      </c>
      <c r="AO54" s="14" t="str">
        <f aca="false">IF(AND($H54&lt;&gt;"",$H$59&lt;&gt;"",$H54&lt;&gt;$H$59,IFERROR(VLOOKUP($H54,areaCercaPuntiClassificaSquadra,3,FALSE()),-1)=IFERROR(VLOOKUP($H$59,areaCercaPuntiClassificaSquadra,3,FALSE()),-2)),SUMIFS('Calendario F'!$P$8:$P$110,'Calendario F'!$M$8:$M$110,$H54,'Calendario F'!$T$8:$T$110,$H$59)+SUMIFS('Calendario F'!$W$8:$W$110,'Calendario F'!$T$8:$T$110,$H54,'Calendario F'!$M$8:$M$110,$H$59)+SUMIFS('Calendario F'!$O$8:$O$110,'Calendario F'!$M$8:$M$110,$H54,'Calendario F'!$T$8:$T$110,$H$59)+SUMIFS('Calendario F'!$V$8:$V$110,'Calendario F'!$T$8:$T$110,$H54,'Calendario F'!$M$8:$M$110,$H$59),"-")</f>
        <v>-</v>
      </c>
      <c r="AP54" s="13" t="str">
        <f aca="false">$C54</f>
        <v>Camaleonti Caotici-Camaleontiopoli CI</v>
      </c>
      <c r="AQ54" s="14" t="str">
        <f aca="false">IF(AND($H54&lt;&gt;"",$H$52&lt;&gt;"",$H54&lt;&gt;$H$52,IFERROR(VLOOKUP($H54,areaCercaPuntiClassificaSquadra,3,FALSE()),-1)=IFERROR(VLOOKUP($H$52,areaCercaPuntiClassificaSquadra,3,FALSE()),-2)),SUMIFS('Calendario F'!$Q$8:$Q$110,'Calendario F'!$M$8:$M$110,$H54,'Calendario F'!$T$8:$T$110,$H$52)+SUMIFS('Calendario F'!$X$8:$X$110,'Calendario F'!$T$8:$T$110,$H54,'Calendario F'!$M$8:$M$110,$H$52),"-")</f>
        <v>-</v>
      </c>
      <c r="AR54" s="14" t="str">
        <f aca="false">IF(AND($H54&lt;&gt;"",$H$53&lt;&gt;"",$H54&lt;&gt;$H$53,IFERROR(VLOOKUP($H54,areaCercaPuntiClassificaSquadra,3,FALSE()),-1)=IFERROR(VLOOKUP($H$53,areaCercaPuntiClassificaSquadra,3,FALSE()),-2)),SUMIFS('Calendario F'!$Q$8:$Q$110,'Calendario F'!$M$8:$M$110,$H54,'Calendario F'!$T$8:$T$110,$H$53)+SUMIFS('Calendario F'!$X$8:$X$110,'Calendario F'!$T$8:$T$110,$H54,'Calendario F'!$M$8:$M$110,$H$53),"-")</f>
        <v>-</v>
      </c>
      <c r="AS54" s="14" t="str">
        <f aca="false">IF(AND($H54&lt;&gt;"",$H$54&lt;&gt;"",$H54&lt;&gt;$H$54,IFERROR(VLOOKUP($H54,areaCercaPuntiClassificaSquadra,3,FALSE()),-1)=IFERROR(VLOOKUP($H$54,areaCercaPuntiClassificaSquadra,3,FALSE()),-2)),SUMIFS('Calendario F'!$Q$8:$Q$110,'Calendario F'!$M$8:$M$110,$H54,'Calendario F'!$T$8:$T$110,$H$54)+SUMIFS('Calendario F'!$X$8:$X$110,'Calendario F'!$T$8:$T$110,$H54,'Calendario F'!$M$8:$M$110,$H$54),"-")</f>
        <v>-</v>
      </c>
      <c r="AT54" s="14" t="str">
        <f aca="false">IF(AND($H54&lt;&gt;"",$H$55&lt;&gt;"",$H54&lt;&gt;$H$55,IFERROR(VLOOKUP($H54,areaCercaPuntiClassificaSquadra,3,FALSE()),-1)=IFERROR(VLOOKUP($H$55,areaCercaPuntiClassificaSquadra,3,FALSE()),-2)),SUMIFS('Calendario F'!$Q$8:$Q$110,'Calendario F'!$M$8:$M$110,$H54,'Calendario F'!$T$8:$T$110,$H$55)+SUMIFS('Calendario F'!$X$8:$X$110,'Calendario F'!$T$8:$T$110,$H54,'Calendario F'!$M$8:$M$110,$H$55),"-")</f>
        <v>-</v>
      </c>
      <c r="AU54" s="14" t="str">
        <f aca="false">IF(AND($H54&lt;&gt;"",$H$56&lt;&gt;"",$H54&lt;&gt;$H$56,IFERROR(VLOOKUP($H54,areaCercaPuntiClassificaSquadra,3,FALSE()),-1)=IFERROR(VLOOKUP($H$56,areaCercaPuntiClassificaSquadra,3,FALSE()),-2)),SUMIFS('Calendario F'!$Q$8:$Q$110,'Calendario F'!$M$8:$M$110,$H54,'Calendario F'!$T$8:$T$110,$H$56)+SUMIFS('Calendario F'!$X$8:$X$110,'Calendario F'!$T$8:$T$110,$H54,'Calendario F'!$M$8:$M$110,$H$56),"-")</f>
        <v>-</v>
      </c>
      <c r="AV54" s="14" t="str">
        <f aca="false">IF(AND($H54&lt;&gt;"",$H$57&lt;&gt;"",$H54&lt;&gt;$H$57,IFERROR(VLOOKUP($H54,areaCercaPuntiClassificaSquadra,3,FALSE()),-1)=IFERROR(VLOOKUP($H$57,areaCercaPuntiClassificaSquadra,3,FALSE()),-2)),SUMIFS('Calendario F'!$Q$8:$Q$110,'Calendario F'!$M$8:$M$110,$H54,'Calendario F'!$T$8:$T$110,$H$57)+SUMIFS('Calendario F'!$X$8:$X$110,'Calendario F'!$T$8:$T$110,$H54,'Calendario F'!$M$8:$M$110,$H$57),"-")</f>
        <v>-</v>
      </c>
      <c r="AW54" s="14" t="str">
        <f aca="false">IF(AND($H54&lt;&gt;"",$H$58&lt;&gt;"",$H54&lt;&gt;$H$58,IFERROR(VLOOKUP($H54,areaCercaPuntiClassificaSquadra,3,FALSE()),-1)=IFERROR(VLOOKUP($H$58,areaCercaPuntiClassificaSquadra,3,FALSE()),-2)),SUMIFS('Calendario F'!$Q$8:$Q$110,'Calendario F'!$M$8:$M$110,$H54,'Calendario F'!$T$8:$T$110,$H$58)+SUMIFS('Calendario F'!$X$8:$X$110,'Calendario F'!$T$8:$T$110,$H54,'Calendario F'!$M$8:$M$110,$H$58),"-")</f>
        <v>-</v>
      </c>
      <c r="AX54" s="14" t="str">
        <f aca="false">IF(AND($H54&lt;&gt;"",$H$59&lt;&gt;"",$H54&lt;&gt;$H$59,IFERROR(VLOOKUP($H54,areaCercaPuntiClassificaSquadra,3,FALSE()),-1)=IFERROR(VLOOKUP($H$59,areaCercaPuntiClassificaSquadra,3,FALSE()),-2)),SUMIFS('Calendario F'!$Q$8:$Q$110,'Calendario F'!$M$8:$M$110,$H54,'Calendario F'!$T$8:$T$110,$H$59)+SUMIFS('Calendario F'!$X$8:$X$110,'Calendario F'!$T$8:$T$110,$H54,'Calendario F'!$M$8:$M$110,$H$59),"-")</f>
        <v>-</v>
      </c>
      <c r="AY54" s="13" t="str">
        <f aca="false">$C54</f>
        <v>Camaleonti Caotici-Camaleontiopoli CI</v>
      </c>
      <c r="AZ54" s="14" t="str">
        <f aca="false">IF(AND($H54&lt;&gt;"",$H$52&lt;&gt;"",$H54&lt;&gt;$H$52,IFERROR(VLOOKUP($H54,areaCercaPuntiClassificaSquadra,3,FALSE()),-1)=IFERROR(VLOOKUP($H$52,areaCercaPuntiClassificaSquadra,3,FALSE()),-2)),SUMIFS('Calendario F'!$R$8:$R$110,'Calendario F'!$M$8:$M$110,$H54,'Calendario F'!$T$8:$T$110,$H$52)+SUMIFS('Calendario F'!$Y$8:$Y$110,'Calendario F'!$T$8:$T$110,$H54,'Calendario F'!$M$8:$M$110,$H$52),"-")</f>
        <v>-</v>
      </c>
      <c r="BA54" s="14" t="str">
        <f aca="false">IF(AND($H54&lt;&gt;"",$H$53&lt;&gt;"",$H54&lt;&gt;$H$53,IFERROR(VLOOKUP($H54,areaCercaPuntiClassificaSquadra,3,FALSE()),-1)=IFERROR(VLOOKUP($H$53,areaCercaPuntiClassificaSquadra,3,FALSE()),-2)),SUMIFS('Calendario F'!$R$8:$R$110,'Calendario F'!$M$8:$M$110,$H54,'Calendario F'!$T$8:$T$110,$H$53)+SUMIFS('Calendario F'!$Y$8:$Y$110,'Calendario F'!$T$8:$T$110,$H54,'Calendario F'!$M$8:$M$110,$H$53),"-")</f>
        <v>-</v>
      </c>
      <c r="BB54" s="14" t="str">
        <f aca="false">IF(AND($H54&lt;&gt;"",$H$54&lt;&gt;"",$H54&lt;&gt;$H$54,IFERROR(VLOOKUP($H54,areaCercaPuntiClassificaSquadra,3,FALSE()),-1)=IFERROR(VLOOKUP($H$54,areaCercaPuntiClassificaSquadra,3,FALSE()),-2)),SUMIFS('Calendario F'!$R$8:$R$110,'Calendario F'!$M$8:$M$110,$H54,'Calendario F'!$T$8:$T$110,$H$54)+SUMIFS('Calendario F'!$Y$8:$Y$110,'Calendario F'!$T$8:$T$110,$H54,'Calendario F'!$M$8:$M$110,$H$54),"-")</f>
        <v>-</v>
      </c>
      <c r="BC54" s="14" t="str">
        <f aca="false">IF(AND($H54&lt;&gt;"",$H$55&lt;&gt;"",$H54&lt;&gt;$H$55,IFERROR(VLOOKUP($H54,areaCercaPuntiClassificaSquadra,3,FALSE()),-1)=IFERROR(VLOOKUP($H$55,areaCercaPuntiClassificaSquadra,3,FALSE()),-2)),SUMIFS('Calendario F'!$R$8:$R$110,'Calendario F'!$M$8:$M$110,$H54,'Calendario F'!$T$8:$T$110,$H$55)+SUMIFS('Calendario F'!$Y$8:$Y$110,'Calendario F'!$T$8:$T$110,$H54,'Calendario F'!$M$8:$M$110,$H$55),"-")</f>
        <v>-</v>
      </c>
      <c r="BD54" s="14" t="str">
        <f aca="false">IF(AND($H54&lt;&gt;"",$H$56&lt;&gt;"",$H54&lt;&gt;$H$56,IFERROR(VLOOKUP($H54,areaCercaPuntiClassificaSquadra,3,FALSE()),-1)=IFERROR(VLOOKUP($H$56,areaCercaPuntiClassificaSquadra,3,FALSE()),-2)),SUMIFS('Calendario F'!$R$8:$R$110,'Calendario F'!$M$8:$M$110,$H54,'Calendario F'!$T$8:$T$110,$H$56)+SUMIFS('Calendario F'!$Y$8:$Y$110,'Calendario F'!$T$8:$T$110,$H54,'Calendario F'!$M$8:$M$110,$H$56),"-")</f>
        <v>-</v>
      </c>
      <c r="BE54" s="14" t="str">
        <f aca="false">IF(AND($H54&lt;&gt;"",$H$57&lt;&gt;"",$H54&lt;&gt;$H$57,IFERROR(VLOOKUP($H54,areaCercaPuntiClassificaSquadra,3,FALSE()),-1)=IFERROR(VLOOKUP($H$57,areaCercaPuntiClassificaSquadra,3,FALSE()),-2)),SUMIFS('Calendario F'!$R$8:$R$110,'Calendario F'!$M$8:$M$110,$H54,'Calendario F'!$T$8:$T$110,$H$57)+SUMIFS('Calendario F'!$Y$8:$Y$110,'Calendario F'!$T$8:$T$110,$H54,'Calendario F'!$M$8:$M$110,$H$57),"-")</f>
        <v>-</v>
      </c>
      <c r="BF54" s="14" t="str">
        <f aca="false">IF(AND($H54&lt;&gt;"",$H$58&lt;&gt;"",$H54&lt;&gt;$H$58,IFERROR(VLOOKUP($H54,areaCercaPuntiClassificaSquadra,3,FALSE()),-1)=IFERROR(VLOOKUP($H$58,areaCercaPuntiClassificaSquadra,3,FALSE()),-2)),SUMIFS('Calendario F'!$R$8:$R$110,'Calendario F'!$M$8:$M$110,$H54,'Calendario F'!$T$8:$T$110,$H$58)+SUMIFS('Calendario F'!$Y$8:$Y$110,'Calendario F'!$T$8:$T$110,$H54,'Calendario F'!$M$8:$M$110,$H$58),"-")</f>
        <v>-</v>
      </c>
      <c r="BG54" s="14" t="str">
        <f aca="false">IF(AND($H54&lt;&gt;"",$H$59&lt;&gt;"",$H54&lt;&gt;$H$59,IFERROR(VLOOKUP($H54,areaCercaPuntiClassificaSquadra,3,FALSE()),-1)=IFERROR(VLOOKUP($H$59,areaCercaPuntiClassificaSquadra,3,FALSE()),-2)),SUMIFS('Calendario F'!$R$8:$R$110,'Calendario F'!$M$8:$M$110,$H54,'Calendario F'!$T$8:$T$110,$H$59)+SUMIFS('Calendario F'!$Y$8:$Y$110,'Calendario F'!$T$8:$T$110,$H54,'Calendario F'!$M$8:$M$110,$H$59),"-")</f>
        <v>-</v>
      </c>
    </row>
    <row r="55" customFormat="false" ht="15" hidden="false" customHeight="false" outlineLevel="0" collapsed="false">
      <c r="B55" s="7" t="s">
        <v>139</v>
      </c>
      <c r="C55" s="8" t="s">
        <v>140</v>
      </c>
      <c r="D55" s="9"/>
      <c r="E55" s="23" t="s">
        <v>134</v>
      </c>
      <c r="G55" s="24" t="str">
        <f aca="false">IF($C55="","",$E55&amp;(COUNTIFS(I$12:I$75,"&gt;"&amp;I55,E$12:E$75,"="&amp;E55,C$12:C$75,"&lt;&gt;")+COUNTIFS(I$12:I$75,"="&amp;I55,H$12:H$75,"&lt;="&amp;H55,E$12:E$75,"="&amp;E55,C$12:C$75,"&lt;&gt;")))</f>
        <v>F1</v>
      </c>
      <c r="H55" s="12" t="str">
        <f aca="false">IF($C55="","",IFERROR(LEFT($C55,FIND("-",$C55)-1),$C55))</f>
        <v>Donnole Determinate</v>
      </c>
      <c r="I55" s="7" t="str">
        <f aca="false">TEXT(1000000000+J55,"|0000000000|")&amp;TEXT(SUM(Y55:AF55),"0000000000|")&amp;IF(SUM(AZ55:BG55)=0,"0000000000|",TEXT(ROUND(SUM(AQ55:AX55)/SUM(AZ55:BG55),4)*100000,"0000000000|"))&amp;IF(P55=0,"0000000000|",TEXT(ROUND(O55/P55,4)*100000,"0000000000|"))</f>
        <v>|1000000019|0000000001|0000119670|0000128610|</v>
      </c>
      <c r="J55" s="24" t="n">
        <f aca="false">L55*constPuntiVittoria+M55*constPuntiSconfitta+N55*constPuntiForfait+IF(D55="",0,D55)</f>
        <v>19</v>
      </c>
      <c r="K55" s="7" t="n">
        <f aca="false">SUM(L55:N55)</f>
        <v>7</v>
      </c>
      <c r="L55" s="7" t="n">
        <f aca="false">IF($H55="",0,SUMIF('Calendario F'!$M$8:$M$110,$H55,'Calendario F'!$N$8:$N$110)+SUMIF('Calendario F'!$T$8:$T$110,$H55,'Calendario F'!$U$8:$U$110))</f>
        <v>6</v>
      </c>
      <c r="M55" s="7" t="n">
        <f aca="false">IF($H55="",0,SUMIF('Calendario F'!$M$8:$M$110,$H55,'Calendario F'!$P$8:$P$110)+SUMIF('Calendario F'!$T$8:$T$110,$H55,'Calendario F'!$W$8:$W$110))</f>
        <v>1</v>
      </c>
      <c r="N55" s="7" t="n">
        <f aca="false">IF($H55="",0,SUMIF('Calendario F'!$M$8:$M$110,$H55,'Calendario F'!$O$8:$O$110)+SUMIF('Calendario F'!$T$8:$T$110,$H55,'Calendario F'!$V$8:$V$110))</f>
        <v>0</v>
      </c>
      <c r="O55" s="7" t="n">
        <f aca="false">IF($H55="",0,SUMIF('Calendario F'!$M$8:$M$110,$H55,'Calendario F'!$Q$8:$Q$110)+SUMIF('Calendario F'!$T$8:$T$110,$H55,'Calendario F'!$X$8:$X$110))</f>
        <v>481</v>
      </c>
      <c r="P55" s="7" t="n">
        <f aca="false">IF($H55="",0,SUMIF('Calendario F'!$M$8:$M$110,$H55,'Calendario F'!$R$8:$R$110)+SUMIF('Calendario F'!$T$8:$T$110,$H55,'Calendario F'!$Y$8:$Y$110))</f>
        <v>374</v>
      </c>
      <c r="Q55" s="7" t="n">
        <f aca="false">IF($H55="",0,SUMIF('Calendario F'!$M$8:$M$110,$H55,'Calendario F'!$S$8:$S$110)+SUMIF('Calendario F'!$T$8:$T$110,$H55,'Calendario F'!$Z$8:$Z$110))</f>
        <v>107</v>
      </c>
      <c r="R55" s="7" t="n">
        <f aca="false">IF(K55=0,0,ROUND(O55/K55,2))</f>
        <v>68.71</v>
      </c>
      <c r="S55" s="7" t="n">
        <f aca="false">IF(K55=0,0,ROUND(P55/K55,2))</f>
        <v>53.43</v>
      </c>
      <c r="T55" s="7" t="n">
        <f aca="false">IF(K55=0,0,ROUND(Q55/K55,2))</f>
        <v>15.29</v>
      </c>
      <c r="U55" s="7" t="str">
        <f aca="false">IF(COUNT(Y55:AF55)=0,"-",SUM(Y55:AF55)&amp;"-"&amp;SUM(AH55:AO55))</f>
        <v>1-0</v>
      </c>
      <c r="V55" s="7" t="str">
        <f aca="false">IF(COUNT(Y55:AF55)=0,"-",IF(SUM(AZ55:BG55)=0,TEXT(0,"0.0000"),TEXT(ROUND(SUM(AQ55:AX55)/SUM(AZ55:BG55),4),"0.0000")))</f>
        <v>1.1967</v>
      </c>
      <c r="W55" s="7" t="str">
        <f aca="false">IF(H55="","-",IF(P55=0,TEXT(0,"0.0000"),TEXT(ROUND(O55/P55,4),"0.0000")))</f>
        <v>1.2861</v>
      </c>
      <c r="X55" s="13" t="str">
        <f aca="false">$C55</f>
        <v>Donnole Determinate-Donnoleopoli DE</v>
      </c>
      <c r="Y55" s="14" t="str">
        <f aca="false">IF(AND($H55&lt;&gt;"",$H$52&lt;&gt;"",$H55&lt;&gt;$H$52,IFERROR(VLOOKUP($H55,areaCercaPuntiClassificaSquadra,3,FALSE()),-1)=IFERROR(VLOOKUP($H$52,areaCercaPuntiClassificaSquadra,3,FALSE()),-2)),SUMIFS('Calendario F'!$N$8:$N$110,'Calendario F'!$M$8:$M$110,$H55,'Calendario F'!$T$8:$T$110,$H$52)+SUMIFS('Calendario F'!$U$8:$U$110,'Calendario F'!$T$8:$T$110,$H55,'Calendario F'!$M$8:$M$110,$H$52),"-")</f>
        <v>-</v>
      </c>
      <c r="Z55" s="14" t="str">
        <f aca="false">IF(AND($H55&lt;&gt;"",$H$53&lt;&gt;"",$H55&lt;&gt;$H$53,IFERROR(VLOOKUP($H55,areaCercaPuntiClassificaSquadra,3,FALSE()),-1)=IFERROR(VLOOKUP($H$53,areaCercaPuntiClassificaSquadra,3,FALSE()),-2)),SUMIFS('Calendario F'!$N$8:$N$110,'Calendario F'!$M$8:$M$110,$H55,'Calendario F'!$T$8:$T$110,$H$53)+SUMIFS('Calendario F'!$U$8:$U$110,'Calendario F'!$T$8:$T$110,$H55,'Calendario F'!$M$8:$M$110,$H$53),"-")</f>
        <v>-</v>
      </c>
      <c r="AA55" s="14" t="str">
        <f aca="false">IF(AND($H55&lt;&gt;"",$H$54&lt;&gt;"",$H55&lt;&gt;$H$54,IFERROR(VLOOKUP($H55,areaCercaPuntiClassificaSquadra,3,FALSE()),-1)=IFERROR(VLOOKUP($H$54,areaCercaPuntiClassificaSquadra,3,FALSE()),-2)),SUMIFS('Calendario F'!$N$8:$N$110,'Calendario F'!$M$8:$M$110,$H55,'Calendario F'!$T$8:$T$110,$H$54)+SUMIFS('Calendario F'!$U$8:$U$110,'Calendario F'!$T$8:$T$110,$H55,'Calendario F'!$M$8:$M$110,$H$54),"-")</f>
        <v>-</v>
      </c>
      <c r="AB55" s="14" t="str">
        <f aca="false">IF(AND($H55&lt;&gt;"",$H$55&lt;&gt;"",$H55&lt;&gt;$H$55,IFERROR(VLOOKUP($H55,areaCercaPuntiClassificaSquadra,3,FALSE()),-1)=IFERROR(VLOOKUP($H$55,areaCercaPuntiClassificaSquadra,3,FALSE()),-2)),SUMIFS('Calendario F'!$N$8:$N$110,'Calendario F'!$M$8:$M$110,$H55,'Calendario F'!$T$8:$T$110,$H$55)+SUMIFS('Calendario F'!$U$8:$U$110,'Calendario F'!$T$8:$T$110,$H55,'Calendario F'!$M$8:$M$110,$H$55),"-")</f>
        <v>-</v>
      </c>
      <c r="AC55" s="14" t="str">
        <f aca="false">IF(AND($H55&lt;&gt;"",$H$56&lt;&gt;"",$H55&lt;&gt;$H$56,IFERROR(VLOOKUP($H55,areaCercaPuntiClassificaSquadra,3,FALSE()),-1)=IFERROR(VLOOKUP($H$56,areaCercaPuntiClassificaSquadra,3,FALSE()),-2)),SUMIFS('Calendario F'!$N$8:$N$110,'Calendario F'!$M$8:$M$110,$H55,'Calendario F'!$T$8:$T$110,$H$56)+SUMIFS('Calendario F'!$U$8:$U$110,'Calendario F'!$T$8:$T$110,$H55,'Calendario F'!$M$8:$M$110,$H$56),"-")</f>
        <v>-</v>
      </c>
      <c r="AD55" s="14" t="str">
        <f aca="false">IF(AND($H55&lt;&gt;"",$H$57&lt;&gt;"",$H55&lt;&gt;$H$57,IFERROR(VLOOKUP($H55,areaCercaPuntiClassificaSquadra,3,FALSE()),-1)=IFERROR(VLOOKUP($H$57,areaCercaPuntiClassificaSquadra,3,FALSE()),-2)),SUMIFS('Calendario F'!$N$8:$N$110,'Calendario F'!$M$8:$M$110,$H55,'Calendario F'!$T$8:$T$110,$H$57)+SUMIFS('Calendario F'!$U$8:$U$110,'Calendario F'!$T$8:$T$110,$H55,'Calendario F'!$M$8:$M$110,$H$57),"-")</f>
        <v>-</v>
      </c>
      <c r="AE55" s="14" t="str">
        <f aca="false">IF(AND($H55&lt;&gt;"",$H$58&lt;&gt;"",$H55&lt;&gt;$H$58,IFERROR(VLOOKUP($H55,areaCercaPuntiClassificaSquadra,3,FALSE()),-1)=IFERROR(VLOOKUP($H$58,areaCercaPuntiClassificaSquadra,3,FALSE()),-2)),SUMIFS('Calendario F'!$N$8:$N$110,'Calendario F'!$M$8:$M$110,$H55,'Calendario F'!$T$8:$T$110,$H$58)+SUMIFS('Calendario F'!$U$8:$U$110,'Calendario F'!$T$8:$T$110,$H55,'Calendario F'!$M$8:$M$110,$H$58),"-")</f>
        <v>-</v>
      </c>
      <c r="AF55" s="14" t="n">
        <f aca="false">IF(AND($H55&lt;&gt;"",$H$59&lt;&gt;"",$H55&lt;&gt;$H$59,IFERROR(VLOOKUP($H55,areaCercaPuntiClassificaSquadra,3,FALSE()),-1)=IFERROR(VLOOKUP($H$59,areaCercaPuntiClassificaSquadra,3,FALSE()),-2)),SUMIFS('Calendario F'!$N$8:$N$110,'Calendario F'!$M$8:$M$110,$H55,'Calendario F'!$T$8:$T$110,$H$59)+SUMIFS('Calendario F'!$U$8:$U$110,'Calendario F'!$T$8:$T$110,$H55,'Calendario F'!$M$8:$M$110,$H$59),"-")</f>
        <v>1</v>
      </c>
      <c r="AG55" s="13" t="str">
        <f aca="false">$C55</f>
        <v>Donnole Determinate-Donnoleopoli DE</v>
      </c>
      <c r="AH55" s="14" t="str">
        <f aca="false">IF(AND($H55&lt;&gt;"",$H$52&lt;&gt;"",$H55&lt;&gt;$H$52,IFERROR(VLOOKUP($H55,areaCercaPuntiClassificaSquadra,3,FALSE()),-1)=IFERROR(VLOOKUP($H$52,areaCercaPuntiClassificaSquadra,3,FALSE()),-2)),SUMIFS('Calendario F'!$P$8:$P$110,'Calendario F'!$M$8:$M$110,$H55,'Calendario F'!$T$8:$T$110,$H$52)+SUMIFS('Calendario F'!$W$8:$W$110,'Calendario F'!$T$8:$T$110,$H55,'Calendario F'!$M$8:$M$110,$H$52)+SUMIFS('Calendario F'!$O$8:$O$110,'Calendario F'!$M$8:$M$110,$H55,'Calendario F'!$T$8:$T$110,$H$52)+SUMIFS('Calendario F'!$V$8:$V$110,'Calendario F'!$T$8:$T$110,$H55,'Calendario F'!$M$8:$M$110,$H$52),"-")</f>
        <v>-</v>
      </c>
      <c r="AI55" s="14" t="str">
        <f aca="false">IF(AND($H55&lt;&gt;"",$H$53&lt;&gt;"",$H55&lt;&gt;$H$53,IFERROR(VLOOKUP($H55,areaCercaPuntiClassificaSquadra,3,FALSE()),-1)=IFERROR(VLOOKUP($H$53,areaCercaPuntiClassificaSquadra,3,FALSE()),-2)),SUMIFS('Calendario F'!$P$8:$P$110,'Calendario F'!$M$8:$M$110,$H55,'Calendario F'!$T$8:$T$110,$H$53)+SUMIFS('Calendario F'!$W$8:$W$110,'Calendario F'!$T$8:$T$110,$H55,'Calendario F'!$M$8:$M$110,$H$53)+SUMIFS('Calendario F'!$O$8:$O$110,'Calendario F'!$M$8:$M$110,$H55,'Calendario F'!$T$8:$T$110,$H$53)+SUMIFS('Calendario F'!$V$8:$V$110,'Calendario F'!$T$8:$T$110,$H55,'Calendario F'!$M$8:$M$110,$H$53),"-")</f>
        <v>-</v>
      </c>
      <c r="AJ55" s="14" t="str">
        <f aca="false">IF(AND($H55&lt;&gt;"",$H$54&lt;&gt;"",$H55&lt;&gt;$H$54,IFERROR(VLOOKUP($H55,areaCercaPuntiClassificaSquadra,3,FALSE()),-1)=IFERROR(VLOOKUP($H$54,areaCercaPuntiClassificaSquadra,3,FALSE()),-2)),SUMIFS('Calendario F'!$P$8:$P$110,'Calendario F'!$M$8:$M$110,$H55,'Calendario F'!$T$8:$T$110,$H$54)+SUMIFS('Calendario F'!$W$8:$W$110,'Calendario F'!$T$8:$T$110,$H55,'Calendario F'!$M$8:$M$110,$H$54)+SUMIFS('Calendario F'!$O$8:$O$110,'Calendario F'!$M$8:$M$110,$H55,'Calendario F'!$T$8:$T$110,$H$54)+SUMIFS('Calendario F'!$V$8:$V$110,'Calendario F'!$T$8:$T$110,$H55,'Calendario F'!$M$8:$M$110,$H$54),"-")</f>
        <v>-</v>
      </c>
      <c r="AK55" s="14" t="str">
        <f aca="false">IF(AND($H55&lt;&gt;"",$H$55&lt;&gt;"",$H55&lt;&gt;$H$55,IFERROR(VLOOKUP($H55,areaCercaPuntiClassificaSquadra,3,FALSE()),-1)=IFERROR(VLOOKUP($H$55,areaCercaPuntiClassificaSquadra,3,FALSE()),-2)),SUMIFS('Calendario F'!$P$8:$P$110,'Calendario F'!$M$8:$M$110,$H55,'Calendario F'!$T$8:$T$110,$H$55)+SUMIFS('Calendario F'!$W$8:$W$110,'Calendario F'!$T$8:$T$110,$H55,'Calendario F'!$M$8:$M$110,$H$55)+SUMIFS('Calendario F'!$O$8:$O$110,'Calendario F'!$M$8:$M$110,$H55,'Calendario F'!$T$8:$T$110,$H$55)+SUMIFS('Calendario F'!$V$8:$V$110,'Calendario F'!$T$8:$T$110,$H55,'Calendario F'!$M$8:$M$110,$H$55),"-")</f>
        <v>-</v>
      </c>
      <c r="AL55" s="14" t="str">
        <f aca="false">IF(AND($H55&lt;&gt;"",$H$56&lt;&gt;"",$H55&lt;&gt;$H$56,IFERROR(VLOOKUP($H55,areaCercaPuntiClassificaSquadra,3,FALSE()),-1)=IFERROR(VLOOKUP($H$56,areaCercaPuntiClassificaSquadra,3,FALSE()),-2)),SUMIFS('Calendario F'!$P$8:$P$110,'Calendario F'!$M$8:$M$110,$H55,'Calendario F'!$T$8:$T$110,$H$56)+SUMIFS('Calendario F'!$W$8:$W$110,'Calendario F'!$T$8:$T$110,$H55,'Calendario F'!$M$8:$M$110,$H$56)+SUMIFS('Calendario F'!$O$8:$O$110,'Calendario F'!$M$8:$M$110,$H55,'Calendario F'!$T$8:$T$110,$H$56)+SUMIFS('Calendario F'!$V$8:$V$110,'Calendario F'!$T$8:$T$110,$H55,'Calendario F'!$M$8:$M$110,$H$56),"-")</f>
        <v>-</v>
      </c>
      <c r="AM55" s="14" t="str">
        <f aca="false">IF(AND($H55&lt;&gt;"",$H$57&lt;&gt;"",$H55&lt;&gt;$H$57,IFERROR(VLOOKUP($H55,areaCercaPuntiClassificaSquadra,3,FALSE()),-1)=IFERROR(VLOOKUP($H$57,areaCercaPuntiClassificaSquadra,3,FALSE()),-2)),SUMIFS('Calendario F'!$P$8:$P$110,'Calendario F'!$M$8:$M$110,$H55,'Calendario F'!$T$8:$T$110,$H$57)+SUMIFS('Calendario F'!$W$8:$W$110,'Calendario F'!$T$8:$T$110,$H55,'Calendario F'!$M$8:$M$110,$H$57)+SUMIFS('Calendario F'!$O$8:$O$110,'Calendario F'!$M$8:$M$110,$H55,'Calendario F'!$T$8:$T$110,$H$57)+SUMIFS('Calendario F'!$V$8:$V$110,'Calendario F'!$T$8:$T$110,$H55,'Calendario F'!$M$8:$M$110,$H$57),"-")</f>
        <v>-</v>
      </c>
      <c r="AN55" s="14" t="str">
        <f aca="false">IF(AND($H55&lt;&gt;"",$H$58&lt;&gt;"",$H55&lt;&gt;$H$58,IFERROR(VLOOKUP($H55,areaCercaPuntiClassificaSquadra,3,FALSE()),-1)=IFERROR(VLOOKUP($H$58,areaCercaPuntiClassificaSquadra,3,FALSE()),-2)),SUMIFS('Calendario F'!$P$8:$P$110,'Calendario F'!$M$8:$M$110,$H55,'Calendario F'!$T$8:$T$110,$H$58)+SUMIFS('Calendario F'!$W$8:$W$110,'Calendario F'!$T$8:$T$110,$H55,'Calendario F'!$M$8:$M$110,$H$58)+SUMIFS('Calendario F'!$O$8:$O$110,'Calendario F'!$M$8:$M$110,$H55,'Calendario F'!$T$8:$T$110,$H$58)+SUMIFS('Calendario F'!$V$8:$V$110,'Calendario F'!$T$8:$T$110,$H55,'Calendario F'!$M$8:$M$110,$H$58),"-")</f>
        <v>-</v>
      </c>
      <c r="AO55" s="14" t="n">
        <f aca="false">IF(AND($H55&lt;&gt;"",$H$59&lt;&gt;"",$H55&lt;&gt;$H$59,IFERROR(VLOOKUP($H55,areaCercaPuntiClassificaSquadra,3,FALSE()),-1)=IFERROR(VLOOKUP($H$59,areaCercaPuntiClassificaSquadra,3,FALSE()),-2)),SUMIFS('Calendario F'!$P$8:$P$110,'Calendario F'!$M$8:$M$110,$H55,'Calendario F'!$T$8:$T$110,$H$59)+SUMIFS('Calendario F'!$W$8:$W$110,'Calendario F'!$T$8:$T$110,$H55,'Calendario F'!$M$8:$M$110,$H$59)+SUMIFS('Calendario F'!$O$8:$O$110,'Calendario F'!$M$8:$M$110,$H55,'Calendario F'!$T$8:$T$110,$H$59)+SUMIFS('Calendario F'!$V$8:$V$110,'Calendario F'!$T$8:$T$110,$H55,'Calendario F'!$M$8:$M$110,$H$59),"-")</f>
        <v>0</v>
      </c>
      <c r="AP55" s="13" t="str">
        <f aca="false">$C55</f>
        <v>Donnole Determinate-Donnoleopoli DE</v>
      </c>
      <c r="AQ55" s="14" t="str">
        <f aca="false">IF(AND($H55&lt;&gt;"",$H$52&lt;&gt;"",$H55&lt;&gt;$H$52,IFERROR(VLOOKUP($H55,areaCercaPuntiClassificaSquadra,3,FALSE()),-1)=IFERROR(VLOOKUP($H$52,areaCercaPuntiClassificaSquadra,3,FALSE()),-2)),SUMIFS('Calendario F'!$Q$8:$Q$110,'Calendario F'!$M$8:$M$110,$H55,'Calendario F'!$T$8:$T$110,$H$52)+SUMIFS('Calendario F'!$X$8:$X$110,'Calendario F'!$T$8:$T$110,$H55,'Calendario F'!$M$8:$M$110,$H$52),"-")</f>
        <v>-</v>
      </c>
      <c r="AR55" s="14" t="str">
        <f aca="false">IF(AND($H55&lt;&gt;"",$H$53&lt;&gt;"",$H55&lt;&gt;$H$53,IFERROR(VLOOKUP($H55,areaCercaPuntiClassificaSquadra,3,FALSE()),-1)=IFERROR(VLOOKUP($H$53,areaCercaPuntiClassificaSquadra,3,FALSE()),-2)),SUMIFS('Calendario F'!$Q$8:$Q$110,'Calendario F'!$M$8:$M$110,$H55,'Calendario F'!$T$8:$T$110,$H$53)+SUMIFS('Calendario F'!$X$8:$X$110,'Calendario F'!$T$8:$T$110,$H55,'Calendario F'!$M$8:$M$110,$H$53),"-")</f>
        <v>-</v>
      </c>
      <c r="AS55" s="14" t="str">
        <f aca="false">IF(AND($H55&lt;&gt;"",$H$54&lt;&gt;"",$H55&lt;&gt;$H$54,IFERROR(VLOOKUP($H55,areaCercaPuntiClassificaSquadra,3,FALSE()),-1)=IFERROR(VLOOKUP($H$54,areaCercaPuntiClassificaSquadra,3,FALSE()),-2)),SUMIFS('Calendario F'!$Q$8:$Q$110,'Calendario F'!$M$8:$M$110,$H55,'Calendario F'!$T$8:$T$110,$H$54)+SUMIFS('Calendario F'!$X$8:$X$110,'Calendario F'!$T$8:$T$110,$H55,'Calendario F'!$M$8:$M$110,$H$54),"-")</f>
        <v>-</v>
      </c>
      <c r="AT55" s="14" t="str">
        <f aca="false">IF(AND($H55&lt;&gt;"",$H$55&lt;&gt;"",$H55&lt;&gt;$H$55,IFERROR(VLOOKUP($H55,areaCercaPuntiClassificaSquadra,3,FALSE()),-1)=IFERROR(VLOOKUP($H$55,areaCercaPuntiClassificaSquadra,3,FALSE()),-2)),SUMIFS('Calendario F'!$Q$8:$Q$110,'Calendario F'!$M$8:$M$110,$H55,'Calendario F'!$T$8:$T$110,$H$55)+SUMIFS('Calendario F'!$X$8:$X$110,'Calendario F'!$T$8:$T$110,$H55,'Calendario F'!$M$8:$M$110,$H$55),"-")</f>
        <v>-</v>
      </c>
      <c r="AU55" s="14" t="str">
        <f aca="false">IF(AND($H55&lt;&gt;"",$H$56&lt;&gt;"",$H55&lt;&gt;$H$56,IFERROR(VLOOKUP($H55,areaCercaPuntiClassificaSquadra,3,FALSE()),-1)=IFERROR(VLOOKUP($H$56,areaCercaPuntiClassificaSquadra,3,FALSE()),-2)),SUMIFS('Calendario F'!$Q$8:$Q$110,'Calendario F'!$M$8:$M$110,$H55,'Calendario F'!$T$8:$T$110,$H$56)+SUMIFS('Calendario F'!$X$8:$X$110,'Calendario F'!$T$8:$T$110,$H55,'Calendario F'!$M$8:$M$110,$H$56),"-")</f>
        <v>-</v>
      </c>
      <c r="AV55" s="14" t="str">
        <f aca="false">IF(AND($H55&lt;&gt;"",$H$57&lt;&gt;"",$H55&lt;&gt;$H$57,IFERROR(VLOOKUP($H55,areaCercaPuntiClassificaSquadra,3,FALSE()),-1)=IFERROR(VLOOKUP($H$57,areaCercaPuntiClassificaSquadra,3,FALSE()),-2)),SUMIFS('Calendario F'!$Q$8:$Q$110,'Calendario F'!$M$8:$M$110,$H55,'Calendario F'!$T$8:$T$110,$H$57)+SUMIFS('Calendario F'!$X$8:$X$110,'Calendario F'!$T$8:$T$110,$H55,'Calendario F'!$M$8:$M$110,$H$57),"-")</f>
        <v>-</v>
      </c>
      <c r="AW55" s="14" t="str">
        <f aca="false">IF(AND($H55&lt;&gt;"",$H$58&lt;&gt;"",$H55&lt;&gt;$H$58,IFERROR(VLOOKUP($H55,areaCercaPuntiClassificaSquadra,3,FALSE()),-1)=IFERROR(VLOOKUP($H$58,areaCercaPuntiClassificaSquadra,3,FALSE()),-2)),SUMIFS('Calendario F'!$Q$8:$Q$110,'Calendario F'!$M$8:$M$110,$H55,'Calendario F'!$T$8:$T$110,$H$58)+SUMIFS('Calendario F'!$X$8:$X$110,'Calendario F'!$T$8:$T$110,$H55,'Calendario F'!$M$8:$M$110,$H$58),"-")</f>
        <v>-</v>
      </c>
      <c r="AX55" s="14" t="n">
        <f aca="false">IF(AND($H55&lt;&gt;"",$H$59&lt;&gt;"",$H55&lt;&gt;$H$59,IFERROR(VLOOKUP($H55,areaCercaPuntiClassificaSquadra,3,FALSE()),-1)=IFERROR(VLOOKUP($H$59,areaCercaPuntiClassificaSquadra,3,FALSE()),-2)),SUMIFS('Calendario F'!$Q$8:$Q$110,'Calendario F'!$M$8:$M$110,$H55,'Calendario F'!$T$8:$T$110,$H$59)+SUMIFS('Calendario F'!$X$8:$X$110,'Calendario F'!$T$8:$T$110,$H55,'Calendario F'!$M$8:$M$110,$H$59),"-")</f>
        <v>73</v>
      </c>
      <c r="AY55" s="13" t="str">
        <f aca="false">$C55</f>
        <v>Donnole Determinate-Donnoleopoli DE</v>
      </c>
      <c r="AZ55" s="14" t="str">
        <f aca="false">IF(AND($H55&lt;&gt;"",$H$52&lt;&gt;"",$H55&lt;&gt;$H$52,IFERROR(VLOOKUP($H55,areaCercaPuntiClassificaSquadra,3,FALSE()),-1)=IFERROR(VLOOKUP($H$52,areaCercaPuntiClassificaSquadra,3,FALSE()),-2)),SUMIFS('Calendario F'!$R$8:$R$110,'Calendario F'!$M$8:$M$110,$H55,'Calendario F'!$T$8:$T$110,$H$52)+SUMIFS('Calendario F'!$Y$8:$Y$110,'Calendario F'!$T$8:$T$110,$H55,'Calendario F'!$M$8:$M$110,$H$52),"-")</f>
        <v>-</v>
      </c>
      <c r="BA55" s="14" t="str">
        <f aca="false">IF(AND($H55&lt;&gt;"",$H$53&lt;&gt;"",$H55&lt;&gt;$H$53,IFERROR(VLOOKUP($H55,areaCercaPuntiClassificaSquadra,3,FALSE()),-1)=IFERROR(VLOOKUP($H$53,areaCercaPuntiClassificaSquadra,3,FALSE()),-2)),SUMIFS('Calendario F'!$R$8:$R$110,'Calendario F'!$M$8:$M$110,$H55,'Calendario F'!$T$8:$T$110,$H$53)+SUMIFS('Calendario F'!$Y$8:$Y$110,'Calendario F'!$T$8:$T$110,$H55,'Calendario F'!$M$8:$M$110,$H$53),"-")</f>
        <v>-</v>
      </c>
      <c r="BB55" s="14" t="str">
        <f aca="false">IF(AND($H55&lt;&gt;"",$H$54&lt;&gt;"",$H55&lt;&gt;$H$54,IFERROR(VLOOKUP($H55,areaCercaPuntiClassificaSquadra,3,FALSE()),-1)=IFERROR(VLOOKUP($H$54,areaCercaPuntiClassificaSquadra,3,FALSE()),-2)),SUMIFS('Calendario F'!$R$8:$R$110,'Calendario F'!$M$8:$M$110,$H55,'Calendario F'!$T$8:$T$110,$H$54)+SUMIFS('Calendario F'!$Y$8:$Y$110,'Calendario F'!$T$8:$T$110,$H55,'Calendario F'!$M$8:$M$110,$H$54),"-")</f>
        <v>-</v>
      </c>
      <c r="BC55" s="14" t="str">
        <f aca="false">IF(AND($H55&lt;&gt;"",$H$55&lt;&gt;"",$H55&lt;&gt;$H$55,IFERROR(VLOOKUP($H55,areaCercaPuntiClassificaSquadra,3,FALSE()),-1)=IFERROR(VLOOKUP($H$55,areaCercaPuntiClassificaSquadra,3,FALSE()),-2)),SUMIFS('Calendario F'!$R$8:$R$110,'Calendario F'!$M$8:$M$110,$H55,'Calendario F'!$T$8:$T$110,$H$55)+SUMIFS('Calendario F'!$Y$8:$Y$110,'Calendario F'!$T$8:$T$110,$H55,'Calendario F'!$M$8:$M$110,$H$55),"-")</f>
        <v>-</v>
      </c>
      <c r="BD55" s="14" t="str">
        <f aca="false">IF(AND($H55&lt;&gt;"",$H$56&lt;&gt;"",$H55&lt;&gt;$H$56,IFERROR(VLOOKUP($H55,areaCercaPuntiClassificaSquadra,3,FALSE()),-1)=IFERROR(VLOOKUP($H$56,areaCercaPuntiClassificaSquadra,3,FALSE()),-2)),SUMIFS('Calendario F'!$R$8:$R$110,'Calendario F'!$M$8:$M$110,$H55,'Calendario F'!$T$8:$T$110,$H$56)+SUMIFS('Calendario F'!$Y$8:$Y$110,'Calendario F'!$T$8:$T$110,$H55,'Calendario F'!$M$8:$M$110,$H$56),"-")</f>
        <v>-</v>
      </c>
      <c r="BE55" s="14" t="str">
        <f aca="false">IF(AND($H55&lt;&gt;"",$H$57&lt;&gt;"",$H55&lt;&gt;$H$57,IFERROR(VLOOKUP($H55,areaCercaPuntiClassificaSquadra,3,FALSE()),-1)=IFERROR(VLOOKUP($H$57,areaCercaPuntiClassificaSquadra,3,FALSE()),-2)),SUMIFS('Calendario F'!$R$8:$R$110,'Calendario F'!$M$8:$M$110,$H55,'Calendario F'!$T$8:$T$110,$H$57)+SUMIFS('Calendario F'!$Y$8:$Y$110,'Calendario F'!$T$8:$T$110,$H55,'Calendario F'!$M$8:$M$110,$H$57),"-")</f>
        <v>-</v>
      </c>
      <c r="BF55" s="14" t="str">
        <f aca="false">IF(AND($H55&lt;&gt;"",$H$58&lt;&gt;"",$H55&lt;&gt;$H$58,IFERROR(VLOOKUP($H55,areaCercaPuntiClassificaSquadra,3,FALSE()),-1)=IFERROR(VLOOKUP($H$58,areaCercaPuntiClassificaSquadra,3,FALSE()),-2)),SUMIFS('Calendario F'!$R$8:$R$110,'Calendario F'!$M$8:$M$110,$H55,'Calendario F'!$T$8:$T$110,$H$58)+SUMIFS('Calendario F'!$Y$8:$Y$110,'Calendario F'!$T$8:$T$110,$H55,'Calendario F'!$M$8:$M$110,$H$58),"-")</f>
        <v>-</v>
      </c>
      <c r="BG55" s="14" t="n">
        <f aca="false">IF(AND($H55&lt;&gt;"",$H$59&lt;&gt;"",$H55&lt;&gt;$H$59,IFERROR(VLOOKUP($H55,areaCercaPuntiClassificaSquadra,3,FALSE()),-1)=IFERROR(VLOOKUP($H$59,areaCercaPuntiClassificaSquadra,3,FALSE()),-2)),SUMIFS('Calendario F'!$R$8:$R$110,'Calendario F'!$M$8:$M$110,$H55,'Calendario F'!$T$8:$T$110,$H$59)+SUMIFS('Calendario F'!$Y$8:$Y$110,'Calendario F'!$T$8:$T$110,$H55,'Calendario F'!$M$8:$M$110,$H$59),"-")</f>
        <v>61</v>
      </c>
    </row>
    <row r="56" customFormat="false" ht="15" hidden="false" customHeight="false" outlineLevel="0" collapsed="false">
      <c r="B56" s="7" t="s">
        <v>141</v>
      </c>
      <c r="C56" s="8" t="s">
        <v>142</v>
      </c>
      <c r="D56" s="9"/>
      <c r="E56" s="23" t="s">
        <v>134</v>
      </c>
      <c r="G56" s="24" t="str">
        <f aca="false">IF($C56="","",$E56&amp;(COUNTIFS(I$12:I$75,"&gt;"&amp;I56,E$12:E$75,"="&amp;E56,C$12:C$75,"&lt;&gt;")+COUNTIFS(I$12:I$75,"="&amp;I56,H$12:H$75,"&lt;="&amp;H56,E$12:E$75,"="&amp;E56,C$12:C$75,"&lt;&gt;")))</f>
        <v>F4</v>
      </c>
      <c r="H56" s="12" t="str">
        <f aca="false">IF($C56="","",IFERROR(LEFT($C56,FIND("-",$C56)-1),$C56))</f>
        <v>Emu Energici</v>
      </c>
      <c r="I56" s="7" t="str">
        <f aca="false">TEXT(1000000000+J56,"|0000000000|")&amp;TEXT(SUM(Y56:AF56),"0000000000|")&amp;IF(SUM(AZ56:BG56)=0,"0000000000|",TEXT(ROUND(SUM(AQ56:AX56)/SUM(AZ56:BG56),4)*100000,"0000000000|"))&amp;IF(P56=0,"0000000000|",TEXT(ROUND(O56/P56,4)*100000,"0000000000|"))</f>
        <v>|1000000015|0000000000|0000000000|0000124250|</v>
      </c>
      <c r="J56" s="24" t="n">
        <f aca="false">L56*constPuntiVittoria+M56*constPuntiSconfitta+N56*constPuntiForfait+IF(D56="",0,D56)</f>
        <v>15</v>
      </c>
      <c r="K56" s="7" t="n">
        <f aca="false">SUM(L56:N56)</f>
        <v>7</v>
      </c>
      <c r="L56" s="7" t="n">
        <f aca="false">IF($H56="",0,SUMIF('Calendario F'!$M$8:$M$110,$H56,'Calendario F'!$N$8:$N$110)+SUMIF('Calendario F'!$T$8:$T$110,$H56,'Calendario F'!$U$8:$U$110))</f>
        <v>4</v>
      </c>
      <c r="M56" s="7" t="n">
        <f aca="false">IF($H56="",0,SUMIF('Calendario F'!$M$8:$M$110,$H56,'Calendario F'!$P$8:$P$110)+SUMIF('Calendario F'!$T$8:$T$110,$H56,'Calendario F'!$W$8:$W$110))</f>
        <v>3</v>
      </c>
      <c r="N56" s="7" t="n">
        <f aca="false">IF($H56="",0,SUMIF('Calendario F'!$M$8:$M$110,$H56,'Calendario F'!$O$8:$O$110)+SUMIF('Calendario F'!$T$8:$T$110,$H56,'Calendario F'!$V$8:$V$110))</f>
        <v>0</v>
      </c>
      <c r="O56" s="7" t="n">
        <f aca="false">IF($H56="",0,SUMIF('Calendario F'!$M$8:$M$110,$H56,'Calendario F'!$Q$8:$Q$110)+SUMIF('Calendario F'!$T$8:$T$110,$H56,'Calendario F'!$X$8:$X$110))</f>
        <v>456</v>
      </c>
      <c r="P56" s="7" t="n">
        <f aca="false">IF($H56="",0,SUMIF('Calendario F'!$M$8:$M$110,$H56,'Calendario F'!$R$8:$R$110)+SUMIF('Calendario F'!$T$8:$T$110,$H56,'Calendario F'!$Y$8:$Y$110))</f>
        <v>367</v>
      </c>
      <c r="Q56" s="7" t="n">
        <f aca="false">IF($H56="",0,SUMIF('Calendario F'!$M$8:$M$110,$H56,'Calendario F'!$S$8:$S$110)+SUMIF('Calendario F'!$T$8:$T$110,$H56,'Calendario F'!$Z$8:$Z$110))</f>
        <v>89</v>
      </c>
      <c r="R56" s="7" t="n">
        <f aca="false">IF(K56=0,0,ROUND(O56/K56,2))</f>
        <v>65.14</v>
      </c>
      <c r="S56" s="7" t="n">
        <f aca="false">IF(K56=0,0,ROUND(P56/K56,2))</f>
        <v>52.43</v>
      </c>
      <c r="T56" s="7" t="n">
        <f aca="false">IF(K56=0,0,ROUND(Q56/K56,2))</f>
        <v>12.71</v>
      </c>
      <c r="U56" s="7" t="str">
        <f aca="false">IF(COUNT(Y56:AF56)=0,"-",SUM(Y56:AF56)&amp;"-"&amp;SUM(AH56:AO56))</f>
        <v>-</v>
      </c>
      <c r="V56" s="7" t="str">
        <f aca="false">IF(COUNT(Y56:AF56)=0,"-",IF(SUM(AZ56:BG56)=0,TEXT(0,"0.0000"),TEXT(ROUND(SUM(AQ56:AX56)/SUM(AZ56:BG56),4),"0.0000")))</f>
        <v>-</v>
      </c>
      <c r="W56" s="7" t="str">
        <f aca="false">IF(H56="","-",IF(P56=0,TEXT(0,"0.0000"),TEXT(ROUND(O56/P56,4),"0.0000")))</f>
        <v>1.2425</v>
      </c>
      <c r="X56" s="13" t="str">
        <f aca="false">$C56</f>
        <v>Emu Energici-Emuopoli EU</v>
      </c>
      <c r="Y56" s="14" t="str">
        <f aca="false">IF(AND($H56&lt;&gt;"",$H$52&lt;&gt;"",$H56&lt;&gt;$H$52,IFERROR(VLOOKUP($H56,areaCercaPuntiClassificaSquadra,3,FALSE()),-1)=IFERROR(VLOOKUP($H$52,areaCercaPuntiClassificaSquadra,3,FALSE()),-2)),SUMIFS('Calendario F'!$N$8:$N$110,'Calendario F'!$M$8:$M$110,$H56,'Calendario F'!$T$8:$T$110,$H$52)+SUMIFS('Calendario F'!$U$8:$U$110,'Calendario F'!$T$8:$T$110,$H56,'Calendario F'!$M$8:$M$110,$H$52),"-")</f>
        <v>-</v>
      </c>
      <c r="Z56" s="14" t="str">
        <f aca="false">IF(AND($H56&lt;&gt;"",$H$53&lt;&gt;"",$H56&lt;&gt;$H$53,IFERROR(VLOOKUP($H56,areaCercaPuntiClassificaSquadra,3,FALSE()),-1)=IFERROR(VLOOKUP($H$53,areaCercaPuntiClassificaSquadra,3,FALSE()),-2)),SUMIFS('Calendario F'!$N$8:$N$110,'Calendario F'!$M$8:$M$110,$H56,'Calendario F'!$T$8:$T$110,$H$53)+SUMIFS('Calendario F'!$U$8:$U$110,'Calendario F'!$T$8:$T$110,$H56,'Calendario F'!$M$8:$M$110,$H$53),"-")</f>
        <v>-</v>
      </c>
      <c r="AA56" s="14" t="str">
        <f aca="false">IF(AND($H56&lt;&gt;"",$H$54&lt;&gt;"",$H56&lt;&gt;$H$54,IFERROR(VLOOKUP($H56,areaCercaPuntiClassificaSquadra,3,FALSE()),-1)=IFERROR(VLOOKUP($H$54,areaCercaPuntiClassificaSquadra,3,FALSE()),-2)),SUMIFS('Calendario F'!$N$8:$N$110,'Calendario F'!$M$8:$M$110,$H56,'Calendario F'!$T$8:$T$110,$H$54)+SUMIFS('Calendario F'!$U$8:$U$110,'Calendario F'!$T$8:$T$110,$H56,'Calendario F'!$M$8:$M$110,$H$54),"-")</f>
        <v>-</v>
      </c>
      <c r="AB56" s="14" t="str">
        <f aca="false">IF(AND($H56&lt;&gt;"",$H$55&lt;&gt;"",$H56&lt;&gt;$H$55,IFERROR(VLOOKUP($H56,areaCercaPuntiClassificaSquadra,3,FALSE()),-1)=IFERROR(VLOOKUP($H$55,areaCercaPuntiClassificaSquadra,3,FALSE()),-2)),SUMIFS('Calendario F'!$N$8:$N$110,'Calendario F'!$M$8:$M$110,$H56,'Calendario F'!$T$8:$T$110,$H$55)+SUMIFS('Calendario F'!$U$8:$U$110,'Calendario F'!$T$8:$T$110,$H56,'Calendario F'!$M$8:$M$110,$H$55),"-")</f>
        <v>-</v>
      </c>
      <c r="AC56" s="14" t="str">
        <f aca="false">IF(AND($H56&lt;&gt;"",$H$56&lt;&gt;"",$H56&lt;&gt;$H$56,IFERROR(VLOOKUP($H56,areaCercaPuntiClassificaSquadra,3,FALSE()),-1)=IFERROR(VLOOKUP($H$56,areaCercaPuntiClassificaSquadra,3,FALSE()),-2)),SUMIFS('Calendario F'!$N$8:$N$110,'Calendario F'!$M$8:$M$110,$H56,'Calendario F'!$T$8:$T$110,$H$56)+SUMIFS('Calendario F'!$U$8:$U$110,'Calendario F'!$T$8:$T$110,$H56,'Calendario F'!$M$8:$M$110,$H$56),"-")</f>
        <v>-</v>
      </c>
      <c r="AD56" s="14" t="str">
        <f aca="false">IF(AND($H56&lt;&gt;"",$H$57&lt;&gt;"",$H56&lt;&gt;$H$57,IFERROR(VLOOKUP($H56,areaCercaPuntiClassificaSquadra,3,FALSE()),-1)=IFERROR(VLOOKUP($H$57,areaCercaPuntiClassificaSquadra,3,FALSE()),-2)),SUMIFS('Calendario F'!$N$8:$N$110,'Calendario F'!$M$8:$M$110,$H56,'Calendario F'!$T$8:$T$110,$H$57)+SUMIFS('Calendario F'!$U$8:$U$110,'Calendario F'!$T$8:$T$110,$H56,'Calendario F'!$M$8:$M$110,$H$57),"-")</f>
        <v>-</v>
      </c>
      <c r="AE56" s="14" t="str">
        <f aca="false">IF(AND($H56&lt;&gt;"",$H$58&lt;&gt;"",$H56&lt;&gt;$H$58,IFERROR(VLOOKUP($H56,areaCercaPuntiClassificaSquadra,3,FALSE()),-1)=IFERROR(VLOOKUP($H$58,areaCercaPuntiClassificaSquadra,3,FALSE()),-2)),SUMIFS('Calendario F'!$N$8:$N$110,'Calendario F'!$M$8:$M$110,$H56,'Calendario F'!$T$8:$T$110,$H$58)+SUMIFS('Calendario F'!$U$8:$U$110,'Calendario F'!$T$8:$T$110,$H56,'Calendario F'!$M$8:$M$110,$H$58),"-")</f>
        <v>-</v>
      </c>
      <c r="AF56" s="14" t="str">
        <f aca="false">IF(AND($H56&lt;&gt;"",$H$59&lt;&gt;"",$H56&lt;&gt;$H$59,IFERROR(VLOOKUP($H56,areaCercaPuntiClassificaSquadra,3,FALSE()),-1)=IFERROR(VLOOKUP($H$59,areaCercaPuntiClassificaSquadra,3,FALSE()),-2)),SUMIFS('Calendario F'!$N$8:$N$110,'Calendario F'!$M$8:$M$110,$H56,'Calendario F'!$T$8:$T$110,$H$59)+SUMIFS('Calendario F'!$U$8:$U$110,'Calendario F'!$T$8:$T$110,$H56,'Calendario F'!$M$8:$M$110,$H$59),"-")</f>
        <v>-</v>
      </c>
      <c r="AG56" s="13" t="str">
        <f aca="false">$C56</f>
        <v>Emu Energici-Emuopoli EU</v>
      </c>
      <c r="AH56" s="14" t="str">
        <f aca="false">IF(AND($H56&lt;&gt;"",$H$52&lt;&gt;"",$H56&lt;&gt;$H$52,IFERROR(VLOOKUP($H56,areaCercaPuntiClassificaSquadra,3,FALSE()),-1)=IFERROR(VLOOKUP($H$52,areaCercaPuntiClassificaSquadra,3,FALSE()),-2)),SUMIFS('Calendario F'!$P$8:$P$110,'Calendario F'!$M$8:$M$110,$H56,'Calendario F'!$T$8:$T$110,$H$52)+SUMIFS('Calendario F'!$W$8:$W$110,'Calendario F'!$T$8:$T$110,$H56,'Calendario F'!$M$8:$M$110,$H$52)+SUMIFS('Calendario F'!$O$8:$O$110,'Calendario F'!$M$8:$M$110,$H56,'Calendario F'!$T$8:$T$110,$H$52)+SUMIFS('Calendario F'!$V$8:$V$110,'Calendario F'!$T$8:$T$110,$H56,'Calendario F'!$M$8:$M$110,$H$52),"-")</f>
        <v>-</v>
      </c>
      <c r="AI56" s="14" t="str">
        <f aca="false">IF(AND($H56&lt;&gt;"",$H$53&lt;&gt;"",$H56&lt;&gt;$H$53,IFERROR(VLOOKUP($H56,areaCercaPuntiClassificaSquadra,3,FALSE()),-1)=IFERROR(VLOOKUP($H$53,areaCercaPuntiClassificaSquadra,3,FALSE()),-2)),SUMIFS('Calendario F'!$P$8:$P$110,'Calendario F'!$M$8:$M$110,$H56,'Calendario F'!$T$8:$T$110,$H$53)+SUMIFS('Calendario F'!$W$8:$W$110,'Calendario F'!$T$8:$T$110,$H56,'Calendario F'!$M$8:$M$110,$H$53)+SUMIFS('Calendario F'!$O$8:$O$110,'Calendario F'!$M$8:$M$110,$H56,'Calendario F'!$T$8:$T$110,$H$53)+SUMIFS('Calendario F'!$V$8:$V$110,'Calendario F'!$T$8:$T$110,$H56,'Calendario F'!$M$8:$M$110,$H$53),"-")</f>
        <v>-</v>
      </c>
      <c r="AJ56" s="14" t="str">
        <f aca="false">IF(AND($H56&lt;&gt;"",$H$54&lt;&gt;"",$H56&lt;&gt;$H$54,IFERROR(VLOOKUP($H56,areaCercaPuntiClassificaSquadra,3,FALSE()),-1)=IFERROR(VLOOKUP($H$54,areaCercaPuntiClassificaSquadra,3,FALSE()),-2)),SUMIFS('Calendario F'!$P$8:$P$110,'Calendario F'!$M$8:$M$110,$H56,'Calendario F'!$T$8:$T$110,$H$54)+SUMIFS('Calendario F'!$W$8:$W$110,'Calendario F'!$T$8:$T$110,$H56,'Calendario F'!$M$8:$M$110,$H$54)+SUMIFS('Calendario F'!$O$8:$O$110,'Calendario F'!$M$8:$M$110,$H56,'Calendario F'!$T$8:$T$110,$H$54)+SUMIFS('Calendario F'!$V$8:$V$110,'Calendario F'!$T$8:$T$110,$H56,'Calendario F'!$M$8:$M$110,$H$54),"-")</f>
        <v>-</v>
      </c>
      <c r="AK56" s="14" t="str">
        <f aca="false">IF(AND($H56&lt;&gt;"",$H$55&lt;&gt;"",$H56&lt;&gt;$H$55,IFERROR(VLOOKUP($H56,areaCercaPuntiClassificaSquadra,3,FALSE()),-1)=IFERROR(VLOOKUP($H$55,areaCercaPuntiClassificaSquadra,3,FALSE()),-2)),SUMIFS('Calendario F'!$P$8:$P$110,'Calendario F'!$M$8:$M$110,$H56,'Calendario F'!$T$8:$T$110,$H$55)+SUMIFS('Calendario F'!$W$8:$W$110,'Calendario F'!$T$8:$T$110,$H56,'Calendario F'!$M$8:$M$110,$H$55)+SUMIFS('Calendario F'!$O$8:$O$110,'Calendario F'!$M$8:$M$110,$H56,'Calendario F'!$T$8:$T$110,$H$55)+SUMIFS('Calendario F'!$V$8:$V$110,'Calendario F'!$T$8:$T$110,$H56,'Calendario F'!$M$8:$M$110,$H$55),"-")</f>
        <v>-</v>
      </c>
      <c r="AL56" s="14" t="str">
        <f aca="false">IF(AND($H56&lt;&gt;"",$H$56&lt;&gt;"",$H56&lt;&gt;$H$56,IFERROR(VLOOKUP($H56,areaCercaPuntiClassificaSquadra,3,FALSE()),-1)=IFERROR(VLOOKUP($H$56,areaCercaPuntiClassificaSquadra,3,FALSE()),-2)),SUMIFS('Calendario F'!$P$8:$P$110,'Calendario F'!$M$8:$M$110,$H56,'Calendario F'!$T$8:$T$110,$H$56)+SUMIFS('Calendario F'!$W$8:$W$110,'Calendario F'!$T$8:$T$110,$H56,'Calendario F'!$M$8:$M$110,$H$56)+SUMIFS('Calendario F'!$O$8:$O$110,'Calendario F'!$M$8:$M$110,$H56,'Calendario F'!$T$8:$T$110,$H$56)+SUMIFS('Calendario F'!$V$8:$V$110,'Calendario F'!$T$8:$T$110,$H56,'Calendario F'!$M$8:$M$110,$H$56),"-")</f>
        <v>-</v>
      </c>
      <c r="AM56" s="14" t="str">
        <f aca="false">IF(AND($H56&lt;&gt;"",$H$57&lt;&gt;"",$H56&lt;&gt;$H$57,IFERROR(VLOOKUP($H56,areaCercaPuntiClassificaSquadra,3,FALSE()),-1)=IFERROR(VLOOKUP($H$57,areaCercaPuntiClassificaSquadra,3,FALSE()),-2)),SUMIFS('Calendario F'!$P$8:$P$110,'Calendario F'!$M$8:$M$110,$H56,'Calendario F'!$T$8:$T$110,$H$57)+SUMIFS('Calendario F'!$W$8:$W$110,'Calendario F'!$T$8:$T$110,$H56,'Calendario F'!$M$8:$M$110,$H$57)+SUMIFS('Calendario F'!$O$8:$O$110,'Calendario F'!$M$8:$M$110,$H56,'Calendario F'!$T$8:$T$110,$H$57)+SUMIFS('Calendario F'!$V$8:$V$110,'Calendario F'!$T$8:$T$110,$H56,'Calendario F'!$M$8:$M$110,$H$57),"-")</f>
        <v>-</v>
      </c>
      <c r="AN56" s="14" t="str">
        <f aca="false">IF(AND($H56&lt;&gt;"",$H$58&lt;&gt;"",$H56&lt;&gt;$H$58,IFERROR(VLOOKUP($H56,areaCercaPuntiClassificaSquadra,3,FALSE()),-1)=IFERROR(VLOOKUP($H$58,areaCercaPuntiClassificaSquadra,3,FALSE()),-2)),SUMIFS('Calendario F'!$P$8:$P$110,'Calendario F'!$M$8:$M$110,$H56,'Calendario F'!$T$8:$T$110,$H$58)+SUMIFS('Calendario F'!$W$8:$W$110,'Calendario F'!$T$8:$T$110,$H56,'Calendario F'!$M$8:$M$110,$H$58)+SUMIFS('Calendario F'!$O$8:$O$110,'Calendario F'!$M$8:$M$110,$H56,'Calendario F'!$T$8:$T$110,$H$58)+SUMIFS('Calendario F'!$V$8:$V$110,'Calendario F'!$T$8:$T$110,$H56,'Calendario F'!$M$8:$M$110,$H$58),"-")</f>
        <v>-</v>
      </c>
      <c r="AO56" s="14" t="str">
        <f aca="false">IF(AND($H56&lt;&gt;"",$H$59&lt;&gt;"",$H56&lt;&gt;$H$59,IFERROR(VLOOKUP($H56,areaCercaPuntiClassificaSquadra,3,FALSE()),-1)=IFERROR(VLOOKUP($H$59,areaCercaPuntiClassificaSquadra,3,FALSE()),-2)),SUMIFS('Calendario F'!$P$8:$P$110,'Calendario F'!$M$8:$M$110,$H56,'Calendario F'!$T$8:$T$110,$H$59)+SUMIFS('Calendario F'!$W$8:$W$110,'Calendario F'!$T$8:$T$110,$H56,'Calendario F'!$M$8:$M$110,$H$59)+SUMIFS('Calendario F'!$O$8:$O$110,'Calendario F'!$M$8:$M$110,$H56,'Calendario F'!$T$8:$T$110,$H$59)+SUMIFS('Calendario F'!$V$8:$V$110,'Calendario F'!$T$8:$T$110,$H56,'Calendario F'!$M$8:$M$110,$H$59),"-")</f>
        <v>-</v>
      </c>
      <c r="AP56" s="13" t="str">
        <f aca="false">$C56</f>
        <v>Emu Energici-Emuopoli EU</v>
      </c>
      <c r="AQ56" s="14" t="str">
        <f aca="false">IF(AND($H56&lt;&gt;"",$H$52&lt;&gt;"",$H56&lt;&gt;$H$52,IFERROR(VLOOKUP($H56,areaCercaPuntiClassificaSquadra,3,FALSE()),-1)=IFERROR(VLOOKUP($H$52,areaCercaPuntiClassificaSquadra,3,FALSE()),-2)),SUMIFS('Calendario F'!$Q$8:$Q$110,'Calendario F'!$M$8:$M$110,$H56,'Calendario F'!$T$8:$T$110,$H$52)+SUMIFS('Calendario F'!$X$8:$X$110,'Calendario F'!$T$8:$T$110,$H56,'Calendario F'!$M$8:$M$110,$H$52),"-")</f>
        <v>-</v>
      </c>
      <c r="AR56" s="14" t="str">
        <f aca="false">IF(AND($H56&lt;&gt;"",$H$53&lt;&gt;"",$H56&lt;&gt;$H$53,IFERROR(VLOOKUP($H56,areaCercaPuntiClassificaSquadra,3,FALSE()),-1)=IFERROR(VLOOKUP($H$53,areaCercaPuntiClassificaSquadra,3,FALSE()),-2)),SUMIFS('Calendario F'!$Q$8:$Q$110,'Calendario F'!$M$8:$M$110,$H56,'Calendario F'!$T$8:$T$110,$H$53)+SUMIFS('Calendario F'!$X$8:$X$110,'Calendario F'!$T$8:$T$110,$H56,'Calendario F'!$M$8:$M$110,$H$53),"-")</f>
        <v>-</v>
      </c>
      <c r="AS56" s="14" t="str">
        <f aca="false">IF(AND($H56&lt;&gt;"",$H$54&lt;&gt;"",$H56&lt;&gt;$H$54,IFERROR(VLOOKUP($H56,areaCercaPuntiClassificaSquadra,3,FALSE()),-1)=IFERROR(VLOOKUP($H$54,areaCercaPuntiClassificaSquadra,3,FALSE()),-2)),SUMIFS('Calendario F'!$Q$8:$Q$110,'Calendario F'!$M$8:$M$110,$H56,'Calendario F'!$T$8:$T$110,$H$54)+SUMIFS('Calendario F'!$X$8:$X$110,'Calendario F'!$T$8:$T$110,$H56,'Calendario F'!$M$8:$M$110,$H$54),"-")</f>
        <v>-</v>
      </c>
      <c r="AT56" s="14" t="str">
        <f aca="false">IF(AND($H56&lt;&gt;"",$H$55&lt;&gt;"",$H56&lt;&gt;$H$55,IFERROR(VLOOKUP($H56,areaCercaPuntiClassificaSquadra,3,FALSE()),-1)=IFERROR(VLOOKUP($H$55,areaCercaPuntiClassificaSquadra,3,FALSE()),-2)),SUMIFS('Calendario F'!$Q$8:$Q$110,'Calendario F'!$M$8:$M$110,$H56,'Calendario F'!$T$8:$T$110,$H$55)+SUMIFS('Calendario F'!$X$8:$X$110,'Calendario F'!$T$8:$T$110,$H56,'Calendario F'!$M$8:$M$110,$H$55),"-")</f>
        <v>-</v>
      </c>
      <c r="AU56" s="14" t="str">
        <f aca="false">IF(AND($H56&lt;&gt;"",$H$56&lt;&gt;"",$H56&lt;&gt;$H$56,IFERROR(VLOOKUP($H56,areaCercaPuntiClassificaSquadra,3,FALSE()),-1)=IFERROR(VLOOKUP($H$56,areaCercaPuntiClassificaSquadra,3,FALSE()),-2)),SUMIFS('Calendario F'!$Q$8:$Q$110,'Calendario F'!$M$8:$M$110,$H56,'Calendario F'!$T$8:$T$110,$H$56)+SUMIFS('Calendario F'!$X$8:$X$110,'Calendario F'!$T$8:$T$110,$H56,'Calendario F'!$M$8:$M$110,$H$56),"-")</f>
        <v>-</v>
      </c>
      <c r="AV56" s="14" t="str">
        <f aca="false">IF(AND($H56&lt;&gt;"",$H$57&lt;&gt;"",$H56&lt;&gt;$H$57,IFERROR(VLOOKUP($H56,areaCercaPuntiClassificaSquadra,3,FALSE()),-1)=IFERROR(VLOOKUP($H$57,areaCercaPuntiClassificaSquadra,3,FALSE()),-2)),SUMIFS('Calendario F'!$Q$8:$Q$110,'Calendario F'!$M$8:$M$110,$H56,'Calendario F'!$T$8:$T$110,$H$57)+SUMIFS('Calendario F'!$X$8:$X$110,'Calendario F'!$T$8:$T$110,$H56,'Calendario F'!$M$8:$M$110,$H$57),"-")</f>
        <v>-</v>
      </c>
      <c r="AW56" s="14" t="str">
        <f aca="false">IF(AND($H56&lt;&gt;"",$H$58&lt;&gt;"",$H56&lt;&gt;$H$58,IFERROR(VLOOKUP($H56,areaCercaPuntiClassificaSquadra,3,FALSE()),-1)=IFERROR(VLOOKUP($H$58,areaCercaPuntiClassificaSquadra,3,FALSE()),-2)),SUMIFS('Calendario F'!$Q$8:$Q$110,'Calendario F'!$M$8:$M$110,$H56,'Calendario F'!$T$8:$T$110,$H$58)+SUMIFS('Calendario F'!$X$8:$X$110,'Calendario F'!$T$8:$T$110,$H56,'Calendario F'!$M$8:$M$110,$H$58),"-")</f>
        <v>-</v>
      </c>
      <c r="AX56" s="14" t="str">
        <f aca="false">IF(AND($H56&lt;&gt;"",$H$59&lt;&gt;"",$H56&lt;&gt;$H$59,IFERROR(VLOOKUP($H56,areaCercaPuntiClassificaSquadra,3,FALSE()),-1)=IFERROR(VLOOKUP($H$59,areaCercaPuntiClassificaSquadra,3,FALSE()),-2)),SUMIFS('Calendario F'!$Q$8:$Q$110,'Calendario F'!$M$8:$M$110,$H56,'Calendario F'!$T$8:$T$110,$H$59)+SUMIFS('Calendario F'!$X$8:$X$110,'Calendario F'!$T$8:$T$110,$H56,'Calendario F'!$M$8:$M$110,$H$59),"-")</f>
        <v>-</v>
      </c>
      <c r="AY56" s="13" t="str">
        <f aca="false">$C56</f>
        <v>Emu Energici-Emuopoli EU</v>
      </c>
      <c r="AZ56" s="14" t="str">
        <f aca="false">IF(AND($H56&lt;&gt;"",$H$52&lt;&gt;"",$H56&lt;&gt;$H$52,IFERROR(VLOOKUP($H56,areaCercaPuntiClassificaSquadra,3,FALSE()),-1)=IFERROR(VLOOKUP($H$52,areaCercaPuntiClassificaSquadra,3,FALSE()),-2)),SUMIFS('Calendario F'!$R$8:$R$110,'Calendario F'!$M$8:$M$110,$H56,'Calendario F'!$T$8:$T$110,$H$52)+SUMIFS('Calendario F'!$Y$8:$Y$110,'Calendario F'!$T$8:$T$110,$H56,'Calendario F'!$M$8:$M$110,$H$52),"-")</f>
        <v>-</v>
      </c>
      <c r="BA56" s="14" t="str">
        <f aca="false">IF(AND($H56&lt;&gt;"",$H$53&lt;&gt;"",$H56&lt;&gt;$H$53,IFERROR(VLOOKUP($H56,areaCercaPuntiClassificaSquadra,3,FALSE()),-1)=IFERROR(VLOOKUP($H$53,areaCercaPuntiClassificaSquadra,3,FALSE()),-2)),SUMIFS('Calendario F'!$R$8:$R$110,'Calendario F'!$M$8:$M$110,$H56,'Calendario F'!$T$8:$T$110,$H$53)+SUMIFS('Calendario F'!$Y$8:$Y$110,'Calendario F'!$T$8:$T$110,$H56,'Calendario F'!$M$8:$M$110,$H$53),"-")</f>
        <v>-</v>
      </c>
      <c r="BB56" s="14" t="str">
        <f aca="false">IF(AND($H56&lt;&gt;"",$H$54&lt;&gt;"",$H56&lt;&gt;$H$54,IFERROR(VLOOKUP($H56,areaCercaPuntiClassificaSquadra,3,FALSE()),-1)=IFERROR(VLOOKUP($H$54,areaCercaPuntiClassificaSquadra,3,FALSE()),-2)),SUMIFS('Calendario F'!$R$8:$R$110,'Calendario F'!$M$8:$M$110,$H56,'Calendario F'!$T$8:$T$110,$H$54)+SUMIFS('Calendario F'!$Y$8:$Y$110,'Calendario F'!$T$8:$T$110,$H56,'Calendario F'!$M$8:$M$110,$H$54),"-")</f>
        <v>-</v>
      </c>
      <c r="BC56" s="14" t="str">
        <f aca="false">IF(AND($H56&lt;&gt;"",$H$55&lt;&gt;"",$H56&lt;&gt;$H$55,IFERROR(VLOOKUP($H56,areaCercaPuntiClassificaSquadra,3,FALSE()),-1)=IFERROR(VLOOKUP($H$55,areaCercaPuntiClassificaSquadra,3,FALSE()),-2)),SUMIFS('Calendario F'!$R$8:$R$110,'Calendario F'!$M$8:$M$110,$H56,'Calendario F'!$T$8:$T$110,$H$55)+SUMIFS('Calendario F'!$Y$8:$Y$110,'Calendario F'!$T$8:$T$110,$H56,'Calendario F'!$M$8:$M$110,$H$55),"-")</f>
        <v>-</v>
      </c>
      <c r="BD56" s="14" t="str">
        <f aca="false">IF(AND($H56&lt;&gt;"",$H$56&lt;&gt;"",$H56&lt;&gt;$H$56,IFERROR(VLOOKUP($H56,areaCercaPuntiClassificaSquadra,3,FALSE()),-1)=IFERROR(VLOOKUP($H$56,areaCercaPuntiClassificaSquadra,3,FALSE()),-2)),SUMIFS('Calendario F'!$R$8:$R$110,'Calendario F'!$M$8:$M$110,$H56,'Calendario F'!$T$8:$T$110,$H$56)+SUMIFS('Calendario F'!$Y$8:$Y$110,'Calendario F'!$T$8:$T$110,$H56,'Calendario F'!$M$8:$M$110,$H$56),"-")</f>
        <v>-</v>
      </c>
      <c r="BE56" s="14" t="str">
        <f aca="false">IF(AND($H56&lt;&gt;"",$H$57&lt;&gt;"",$H56&lt;&gt;$H$57,IFERROR(VLOOKUP($H56,areaCercaPuntiClassificaSquadra,3,FALSE()),-1)=IFERROR(VLOOKUP($H$57,areaCercaPuntiClassificaSquadra,3,FALSE()),-2)),SUMIFS('Calendario F'!$R$8:$R$110,'Calendario F'!$M$8:$M$110,$H56,'Calendario F'!$T$8:$T$110,$H$57)+SUMIFS('Calendario F'!$Y$8:$Y$110,'Calendario F'!$T$8:$T$110,$H56,'Calendario F'!$M$8:$M$110,$H$57),"-")</f>
        <v>-</v>
      </c>
      <c r="BF56" s="14" t="str">
        <f aca="false">IF(AND($H56&lt;&gt;"",$H$58&lt;&gt;"",$H56&lt;&gt;$H$58,IFERROR(VLOOKUP($H56,areaCercaPuntiClassificaSquadra,3,FALSE()),-1)=IFERROR(VLOOKUP($H$58,areaCercaPuntiClassificaSquadra,3,FALSE()),-2)),SUMIFS('Calendario F'!$R$8:$R$110,'Calendario F'!$M$8:$M$110,$H56,'Calendario F'!$T$8:$T$110,$H$58)+SUMIFS('Calendario F'!$Y$8:$Y$110,'Calendario F'!$T$8:$T$110,$H56,'Calendario F'!$M$8:$M$110,$H$58),"-")</f>
        <v>-</v>
      </c>
      <c r="BG56" s="14" t="str">
        <f aca="false">IF(AND($H56&lt;&gt;"",$H$59&lt;&gt;"",$H56&lt;&gt;$H$59,IFERROR(VLOOKUP($H56,areaCercaPuntiClassificaSquadra,3,FALSE()),-1)=IFERROR(VLOOKUP($H$59,areaCercaPuntiClassificaSquadra,3,FALSE()),-2)),SUMIFS('Calendario F'!$R$8:$R$110,'Calendario F'!$M$8:$M$110,$H56,'Calendario F'!$T$8:$T$110,$H$59)+SUMIFS('Calendario F'!$Y$8:$Y$110,'Calendario F'!$T$8:$T$110,$H56,'Calendario F'!$M$8:$M$110,$H$59),"-")</f>
        <v>-</v>
      </c>
    </row>
    <row r="57" customFormat="false" ht="15" hidden="false" customHeight="false" outlineLevel="0" collapsed="false">
      <c r="B57" s="7" t="s">
        <v>143</v>
      </c>
      <c r="C57" s="8" t="s">
        <v>144</v>
      </c>
      <c r="D57" s="9"/>
      <c r="E57" s="23" t="s">
        <v>134</v>
      </c>
      <c r="G57" s="24" t="str">
        <f aca="false">IF($C57="","",$E57&amp;(COUNTIFS(I$12:I$75,"&gt;"&amp;I57,E$12:E$75,"="&amp;E57,C$12:C$75,"&lt;&gt;")+COUNTIFS(I$12:I$75,"="&amp;I57,H$12:H$75,"&lt;="&amp;H57,E$12:E$75,"="&amp;E57,C$12:C$75,"&lt;&gt;")))</f>
        <v>F6</v>
      </c>
      <c r="H57" s="12" t="str">
        <f aca="false">IF($C57="","",IFERROR(LEFT($C57,FIND("-",$C57)-1),$C57))</f>
        <v>Foche Frenetiche</v>
      </c>
      <c r="I57" s="7" t="str">
        <f aca="false">TEXT(1000000000+J57,"|0000000000|")&amp;TEXT(SUM(Y57:AF57),"0000000000|")&amp;IF(SUM(AZ57:BG57)=0,"0000000000|",TEXT(ROUND(SUM(AQ57:AX57)/SUM(AZ57:BG57),4)*100000,"0000000000|"))&amp;IF(P57=0,"0000000000|",TEXT(ROUND(O57/P57,4)*100000,"0000000000|"))</f>
        <v>|1000000011|0000000000|0000000000|0000083780|</v>
      </c>
      <c r="J57" s="24" t="n">
        <f aca="false">L57*constPuntiVittoria+M57*constPuntiSconfitta+N57*constPuntiForfait+IF(D57="",0,D57)</f>
        <v>11</v>
      </c>
      <c r="K57" s="7" t="n">
        <f aca="false">SUM(L57:N57)</f>
        <v>7</v>
      </c>
      <c r="L57" s="7" t="n">
        <f aca="false">IF($H57="",0,SUMIF('Calendario F'!$M$8:$M$110,$H57,'Calendario F'!$N$8:$N$110)+SUMIF('Calendario F'!$T$8:$T$110,$H57,'Calendario F'!$U$8:$U$110))</f>
        <v>2</v>
      </c>
      <c r="M57" s="7" t="n">
        <f aca="false">IF($H57="",0,SUMIF('Calendario F'!$M$8:$M$110,$H57,'Calendario F'!$P$8:$P$110)+SUMIF('Calendario F'!$T$8:$T$110,$H57,'Calendario F'!$W$8:$W$110))</f>
        <v>5</v>
      </c>
      <c r="N57" s="7" t="n">
        <f aca="false">IF($H57="",0,SUMIF('Calendario F'!$M$8:$M$110,$H57,'Calendario F'!$O$8:$O$110)+SUMIF('Calendario F'!$T$8:$T$110,$H57,'Calendario F'!$V$8:$V$110))</f>
        <v>0</v>
      </c>
      <c r="O57" s="7" t="n">
        <f aca="false">IF($H57="",0,SUMIF('Calendario F'!$M$8:$M$110,$H57,'Calendario F'!$Q$8:$Q$110)+SUMIF('Calendario F'!$T$8:$T$110,$H57,'Calendario F'!$X$8:$X$110))</f>
        <v>377</v>
      </c>
      <c r="P57" s="7" t="n">
        <f aca="false">IF($H57="",0,SUMIF('Calendario F'!$M$8:$M$110,$H57,'Calendario F'!$R$8:$R$110)+SUMIF('Calendario F'!$T$8:$T$110,$H57,'Calendario F'!$Y$8:$Y$110))</f>
        <v>450</v>
      </c>
      <c r="Q57" s="7" t="n">
        <f aca="false">IF($H57="",0,SUMIF('Calendario F'!$M$8:$M$110,$H57,'Calendario F'!$S$8:$S$110)+SUMIF('Calendario F'!$T$8:$T$110,$H57,'Calendario F'!$Z$8:$Z$110))</f>
        <v>-73</v>
      </c>
      <c r="R57" s="7" t="n">
        <f aca="false">IF(K57=0,0,ROUND(O57/K57,2))</f>
        <v>53.86</v>
      </c>
      <c r="S57" s="7" t="n">
        <f aca="false">IF(K57=0,0,ROUND(P57/K57,2))</f>
        <v>64.29</v>
      </c>
      <c r="T57" s="7" t="n">
        <f aca="false">IF(K57=0,0,ROUND(Q57/K57,2))</f>
        <v>-10.43</v>
      </c>
      <c r="U57" s="7" t="str">
        <f aca="false">IF(COUNT(Y57:AF57)=0,"-",SUM(Y57:AF57)&amp;"-"&amp;SUM(AH57:AO57))</f>
        <v>-</v>
      </c>
      <c r="V57" s="7" t="str">
        <f aca="false">IF(COUNT(Y57:AF57)=0,"-",IF(SUM(AZ57:BG57)=0,TEXT(0,"0.0000"),TEXT(ROUND(SUM(AQ57:AX57)/SUM(AZ57:BG57),4),"0.0000")))</f>
        <v>-</v>
      </c>
      <c r="W57" s="7" t="str">
        <f aca="false">IF(H57="","-",IF(P57=0,TEXT(0,"0.0000"),TEXT(ROUND(O57/P57,4),"0.0000")))</f>
        <v>0.8378</v>
      </c>
      <c r="X57" s="13" t="str">
        <f aca="false">$C57</f>
        <v>Foche Frenetiche-Focheopoli FE</v>
      </c>
      <c r="Y57" s="14" t="str">
        <f aca="false">IF(AND($H57&lt;&gt;"",$H$52&lt;&gt;"",$H57&lt;&gt;$H$52,IFERROR(VLOOKUP($H57,areaCercaPuntiClassificaSquadra,3,FALSE()),-1)=IFERROR(VLOOKUP($H$52,areaCercaPuntiClassificaSquadra,3,FALSE()),-2)),SUMIFS('Calendario F'!$N$8:$N$110,'Calendario F'!$M$8:$M$110,$H57,'Calendario F'!$T$8:$T$110,$H$52)+SUMIFS('Calendario F'!$U$8:$U$110,'Calendario F'!$T$8:$T$110,$H57,'Calendario F'!$M$8:$M$110,$H$52),"-")</f>
        <v>-</v>
      </c>
      <c r="Z57" s="14" t="str">
        <f aca="false">IF(AND($H57&lt;&gt;"",$H$53&lt;&gt;"",$H57&lt;&gt;$H$53,IFERROR(VLOOKUP($H57,areaCercaPuntiClassificaSquadra,3,FALSE()),-1)=IFERROR(VLOOKUP($H$53,areaCercaPuntiClassificaSquadra,3,FALSE()),-2)),SUMIFS('Calendario F'!$N$8:$N$110,'Calendario F'!$M$8:$M$110,$H57,'Calendario F'!$T$8:$T$110,$H$53)+SUMIFS('Calendario F'!$U$8:$U$110,'Calendario F'!$T$8:$T$110,$H57,'Calendario F'!$M$8:$M$110,$H$53),"-")</f>
        <v>-</v>
      </c>
      <c r="AA57" s="14" t="str">
        <f aca="false">IF(AND($H57&lt;&gt;"",$H$54&lt;&gt;"",$H57&lt;&gt;$H$54,IFERROR(VLOOKUP($H57,areaCercaPuntiClassificaSquadra,3,FALSE()),-1)=IFERROR(VLOOKUP($H$54,areaCercaPuntiClassificaSquadra,3,FALSE()),-2)),SUMIFS('Calendario F'!$N$8:$N$110,'Calendario F'!$M$8:$M$110,$H57,'Calendario F'!$T$8:$T$110,$H$54)+SUMIFS('Calendario F'!$U$8:$U$110,'Calendario F'!$T$8:$T$110,$H57,'Calendario F'!$M$8:$M$110,$H$54),"-")</f>
        <v>-</v>
      </c>
      <c r="AB57" s="14" t="str">
        <f aca="false">IF(AND($H57&lt;&gt;"",$H$55&lt;&gt;"",$H57&lt;&gt;$H$55,IFERROR(VLOOKUP($H57,areaCercaPuntiClassificaSquadra,3,FALSE()),-1)=IFERROR(VLOOKUP($H$55,areaCercaPuntiClassificaSquadra,3,FALSE()),-2)),SUMIFS('Calendario F'!$N$8:$N$110,'Calendario F'!$M$8:$M$110,$H57,'Calendario F'!$T$8:$T$110,$H$55)+SUMIFS('Calendario F'!$U$8:$U$110,'Calendario F'!$T$8:$T$110,$H57,'Calendario F'!$M$8:$M$110,$H$55),"-")</f>
        <v>-</v>
      </c>
      <c r="AC57" s="14" t="str">
        <f aca="false">IF(AND($H57&lt;&gt;"",$H$56&lt;&gt;"",$H57&lt;&gt;$H$56,IFERROR(VLOOKUP($H57,areaCercaPuntiClassificaSquadra,3,FALSE()),-1)=IFERROR(VLOOKUP($H$56,areaCercaPuntiClassificaSquadra,3,FALSE()),-2)),SUMIFS('Calendario F'!$N$8:$N$110,'Calendario F'!$M$8:$M$110,$H57,'Calendario F'!$T$8:$T$110,$H$56)+SUMIFS('Calendario F'!$U$8:$U$110,'Calendario F'!$T$8:$T$110,$H57,'Calendario F'!$M$8:$M$110,$H$56),"-")</f>
        <v>-</v>
      </c>
      <c r="AD57" s="14" t="str">
        <f aca="false">IF(AND($H57&lt;&gt;"",$H$57&lt;&gt;"",$H57&lt;&gt;$H$57,IFERROR(VLOOKUP($H57,areaCercaPuntiClassificaSquadra,3,FALSE()),-1)=IFERROR(VLOOKUP($H$57,areaCercaPuntiClassificaSquadra,3,FALSE()),-2)),SUMIFS('Calendario F'!$N$8:$N$110,'Calendario F'!$M$8:$M$110,$H57,'Calendario F'!$T$8:$T$110,$H$57)+SUMIFS('Calendario F'!$U$8:$U$110,'Calendario F'!$T$8:$T$110,$H57,'Calendario F'!$M$8:$M$110,$H$57),"-")</f>
        <v>-</v>
      </c>
      <c r="AE57" s="14" t="str">
        <f aca="false">IF(AND($H57&lt;&gt;"",$H$58&lt;&gt;"",$H57&lt;&gt;$H$58,IFERROR(VLOOKUP($H57,areaCercaPuntiClassificaSquadra,3,FALSE()),-1)=IFERROR(VLOOKUP($H$58,areaCercaPuntiClassificaSquadra,3,FALSE()),-2)),SUMIFS('Calendario F'!$N$8:$N$110,'Calendario F'!$M$8:$M$110,$H57,'Calendario F'!$T$8:$T$110,$H$58)+SUMIFS('Calendario F'!$U$8:$U$110,'Calendario F'!$T$8:$T$110,$H57,'Calendario F'!$M$8:$M$110,$H$58),"-")</f>
        <v>-</v>
      </c>
      <c r="AF57" s="14" t="str">
        <f aca="false">IF(AND($H57&lt;&gt;"",$H$59&lt;&gt;"",$H57&lt;&gt;$H$59,IFERROR(VLOOKUP($H57,areaCercaPuntiClassificaSquadra,3,FALSE()),-1)=IFERROR(VLOOKUP($H$59,areaCercaPuntiClassificaSquadra,3,FALSE()),-2)),SUMIFS('Calendario F'!$N$8:$N$110,'Calendario F'!$M$8:$M$110,$H57,'Calendario F'!$T$8:$T$110,$H$59)+SUMIFS('Calendario F'!$U$8:$U$110,'Calendario F'!$T$8:$T$110,$H57,'Calendario F'!$M$8:$M$110,$H$59),"-")</f>
        <v>-</v>
      </c>
      <c r="AG57" s="13" t="str">
        <f aca="false">$C57</f>
        <v>Foche Frenetiche-Focheopoli FE</v>
      </c>
      <c r="AH57" s="14" t="str">
        <f aca="false">IF(AND($H57&lt;&gt;"",$H$52&lt;&gt;"",$H57&lt;&gt;$H$52,IFERROR(VLOOKUP($H57,areaCercaPuntiClassificaSquadra,3,FALSE()),-1)=IFERROR(VLOOKUP($H$52,areaCercaPuntiClassificaSquadra,3,FALSE()),-2)),SUMIFS('Calendario F'!$P$8:$P$110,'Calendario F'!$M$8:$M$110,$H57,'Calendario F'!$T$8:$T$110,$H$52)+SUMIFS('Calendario F'!$W$8:$W$110,'Calendario F'!$T$8:$T$110,$H57,'Calendario F'!$M$8:$M$110,$H$52)+SUMIFS('Calendario F'!$O$8:$O$110,'Calendario F'!$M$8:$M$110,$H57,'Calendario F'!$T$8:$T$110,$H$52)+SUMIFS('Calendario F'!$V$8:$V$110,'Calendario F'!$T$8:$T$110,$H57,'Calendario F'!$M$8:$M$110,$H$52),"-")</f>
        <v>-</v>
      </c>
      <c r="AI57" s="14" t="str">
        <f aca="false">IF(AND($H57&lt;&gt;"",$H$53&lt;&gt;"",$H57&lt;&gt;$H$53,IFERROR(VLOOKUP($H57,areaCercaPuntiClassificaSquadra,3,FALSE()),-1)=IFERROR(VLOOKUP($H$53,areaCercaPuntiClassificaSquadra,3,FALSE()),-2)),SUMIFS('Calendario F'!$P$8:$P$110,'Calendario F'!$M$8:$M$110,$H57,'Calendario F'!$T$8:$T$110,$H$53)+SUMIFS('Calendario F'!$W$8:$W$110,'Calendario F'!$T$8:$T$110,$H57,'Calendario F'!$M$8:$M$110,$H$53)+SUMIFS('Calendario F'!$O$8:$O$110,'Calendario F'!$M$8:$M$110,$H57,'Calendario F'!$T$8:$T$110,$H$53)+SUMIFS('Calendario F'!$V$8:$V$110,'Calendario F'!$T$8:$T$110,$H57,'Calendario F'!$M$8:$M$110,$H$53),"-")</f>
        <v>-</v>
      </c>
      <c r="AJ57" s="14" t="str">
        <f aca="false">IF(AND($H57&lt;&gt;"",$H$54&lt;&gt;"",$H57&lt;&gt;$H$54,IFERROR(VLOOKUP($H57,areaCercaPuntiClassificaSquadra,3,FALSE()),-1)=IFERROR(VLOOKUP($H$54,areaCercaPuntiClassificaSquadra,3,FALSE()),-2)),SUMIFS('Calendario F'!$P$8:$P$110,'Calendario F'!$M$8:$M$110,$H57,'Calendario F'!$T$8:$T$110,$H$54)+SUMIFS('Calendario F'!$W$8:$W$110,'Calendario F'!$T$8:$T$110,$H57,'Calendario F'!$M$8:$M$110,$H$54)+SUMIFS('Calendario F'!$O$8:$O$110,'Calendario F'!$M$8:$M$110,$H57,'Calendario F'!$T$8:$T$110,$H$54)+SUMIFS('Calendario F'!$V$8:$V$110,'Calendario F'!$T$8:$T$110,$H57,'Calendario F'!$M$8:$M$110,$H$54),"-")</f>
        <v>-</v>
      </c>
      <c r="AK57" s="14" t="str">
        <f aca="false">IF(AND($H57&lt;&gt;"",$H$55&lt;&gt;"",$H57&lt;&gt;$H$55,IFERROR(VLOOKUP($H57,areaCercaPuntiClassificaSquadra,3,FALSE()),-1)=IFERROR(VLOOKUP($H$55,areaCercaPuntiClassificaSquadra,3,FALSE()),-2)),SUMIFS('Calendario F'!$P$8:$P$110,'Calendario F'!$M$8:$M$110,$H57,'Calendario F'!$T$8:$T$110,$H$55)+SUMIFS('Calendario F'!$W$8:$W$110,'Calendario F'!$T$8:$T$110,$H57,'Calendario F'!$M$8:$M$110,$H$55)+SUMIFS('Calendario F'!$O$8:$O$110,'Calendario F'!$M$8:$M$110,$H57,'Calendario F'!$T$8:$T$110,$H$55)+SUMIFS('Calendario F'!$V$8:$V$110,'Calendario F'!$T$8:$T$110,$H57,'Calendario F'!$M$8:$M$110,$H$55),"-")</f>
        <v>-</v>
      </c>
      <c r="AL57" s="14" t="str">
        <f aca="false">IF(AND($H57&lt;&gt;"",$H$56&lt;&gt;"",$H57&lt;&gt;$H$56,IFERROR(VLOOKUP($H57,areaCercaPuntiClassificaSquadra,3,FALSE()),-1)=IFERROR(VLOOKUP($H$56,areaCercaPuntiClassificaSquadra,3,FALSE()),-2)),SUMIFS('Calendario F'!$P$8:$P$110,'Calendario F'!$M$8:$M$110,$H57,'Calendario F'!$T$8:$T$110,$H$56)+SUMIFS('Calendario F'!$W$8:$W$110,'Calendario F'!$T$8:$T$110,$H57,'Calendario F'!$M$8:$M$110,$H$56)+SUMIFS('Calendario F'!$O$8:$O$110,'Calendario F'!$M$8:$M$110,$H57,'Calendario F'!$T$8:$T$110,$H$56)+SUMIFS('Calendario F'!$V$8:$V$110,'Calendario F'!$T$8:$T$110,$H57,'Calendario F'!$M$8:$M$110,$H$56),"-")</f>
        <v>-</v>
      </c>
      <c r="AM57" s="14" t="str">
        <f aca="false">IF(AND($H57&lt;&gt;"",$H$57&lt;&gt;"",$H57&lt;&gt;$H$57,IFERROR(VLOOKUP($H57,areaCercaPuntiClassificaSquadra,3,FALSE()),-1)=IFERROR(VLOOKUP($H$57,areaCercaPuntiClassificaSquadra,3,FALSE()),-2)),SUMIFS('Calendario F'!$P$8:$P$110,'Calendario F'!$M$8:$M$110,$H57,'Calendario F'!$T$8:$T$110,$H$57)+SUMIFS('Calendario F'!$W$8:$W$110,'Calendario F'!$T$8:$T$110,$H57,'Calendario F'!$M$8:$M$110,$H$57)+SUMIFS('Calendario F'!$O$8:$O$110,'Calendario F'!$M$8:$M$110,$H57,'Calendario F'!$T$8:$T$110,$H$57)+SUMIFS('Calendario F'!$V$8:$V$110,'Calendario F'!$T$8:$T$110,$H57,'Calendario F'!$M$8:$M$110,$H$57),"-")</f>
        <v>-</v>
      </c>
      <c r="AN57" s="14" t="str">
        <f aca="false">IF(AND($H57&lt;&gt;"",$H$58&lt;&gt;"",$H57&lt;&gt;$H$58,IFERROR(VLOOKUP($H57,areaCercaPuntiClassificaSquadra,3,FALSE()),-1)=IFERROR(VLOOKUP($H$58,areaCercaPuntiClassificaSquadra,3,FALSE()),-2)),SUMIFS('Calendario F'!$P$8:$P$110,'Calendario F'!$M$8:$M$110,$H57,'Calendario F'!$T$8:$T$110,$H$58)+SUMIFS('Calendario F'!$W$8:$W$110,'Calendario F'!$T$8:$T$110,$H57,'Calendario F'!$M$8:$M$110,$H$58)+SUMIFS('Calendario F'!$O$8:$O$110,'Calendario F'!$M$8:$M$110,$H57,'Calendario F'!$T$8:$T$110,$H$58)+SUMIFS('Calendario F'!$V$8:$V$110,'Calendario F'!$T$8:$T$110,$H57,'Calendario F'!$M$8:$M$110,$H$58),"-")</f>
        <v>-</v>
      </c>
      <c r="AO57" s="14" t="str">
        <f aca="false">IF(AND($H57&lt;&gt;"",$H$59&lt;&gt;"",$H57&lt;&gt;$H$59,IFERROR(VLOOKUP($H57,areaCercaPuntiClassificaSquadra,3,FALSE()),-1)=IFERROR(VLOOKUP($H$59,areaCercaPuntiClassificaSquadra,3,FALSE()),-2)),SUMIFS('Calendario F'!$P$8:$P$110,'Calendario F'!$M$8:$M$110,$H57,'Calendario F'!$T$8:$T$110,$H$59)+SUMIFS('Calendario F'!$W$8:$W$110,'Calendario F'!$T$8:$T$110,$H57,'Calendario F'!$M$8:$M$110,$H$59)+SUMIFS('Calendario F'!$O$8:$O$110,'Calendario F'!$M$8:$M$110,$H57,'Calendario F'!$T$8:$T$110,$H$59)+SUMIFS('Calendario F'!$V$8:$V$110,'Calendario F'!$T$8:$T$110,$H57,'Calendario F'!$M$8:$M$110,$H$59),"-")</f>
        <v>-</v>
      </c>
      <c r="AP57" s="13" t="str">
        <f aca="false">$C57</f>
        <v>Foche Frenetiche-Focheopoli FE</v>
      </c>
      <c r="AQ57" s="14" t="str">
        <f aca="false">IF(AND($H57&lt;&gt;"",$H$52&lt;&gt;"",$H57&lt;&gt;$H$52,IFERROR(VLOOKUP($H57,areaCercaPuntiClassificaSquadra,3,FALSE()),-1)=IFERROR(VLOOKUP($H$52,areaCercaPuntiClassificaSquadra,3,FALSE()),-2)),SUMIFS('Calendario F'!$Q$8:$Q$110,'Calendario F'!$M$8:$M$110,$H57,'Calendario F'!$T$8:$T$110,$H$52)+SUMIFS('Calendario F'!$X$8:$X$110,'Calendario F'!$T$8:$T$110,$H57,'Calendario F'!$M$8:$M$110,$H$52),"-")</f>
        <v>-</v>
      </c>
      <c r="AR57" s="14" t="str">
        <f aca="false">IF(AND($H57&lt;&gt;"",$H$53&lt;&gt;"",$H57&lt;&gt;$H$53,IFERROR(VLOOKUP($H57,areaCercaPuntiClassificaSquadra,3,FALSE()),-1)=IFERROR(VLOOKUP($H$53,areaCercaPuntiClassificaSquadra,3,FALSE()),-2)),SUMIFS('Calendario F'!$Q$8:$Q$110,'Calendario F'!$M$8:$M$110,$H57,'Calendario F'!$T$8:$T$110,$H$53)+SUMIFS('Calendario F'!$X$8:$X$110,'Calendario F'!$T$8:$T$110,$H57,'Calendario F'!$M$8:$M$110,$H$53),"-")</f>
        <v>-</v>
      </c>
      <c r="AS57" s="14" t="str">
        <f aca="false">IF(AND($H57&lt;&gt;"",$H$54&lt;&gt;"",$H57&lt;&gt;$H$54,IFERROR(VLOOKUP($H57,areaCercaPuntiClassificaSquadra,3,FALSE()),-1)=IFERROR(VLOOKUP($H$54,areaCercaPuntiClassificaSquadra,3,FALSE()),-2)),SUMIFS('Calendario F'!$Q$8:$Q$110,'Calendario F'!$M$8:$M$110,$H57,'Calendario F'!$T$8:$T$110,$H$54)+SUMIFS('Calendario F'!$X$8:$X$110,'Calendario F'!$T$8:$T$110,$H57,'Calendario F'!$M$8:$M$110,$H$54),"-")</f>
        <v>-</v>
      </c>
      <c r="AT57" s="14" t="str">
        <f aca="false">IF(AND($H57&lt;&gt;"",$H$55&lt;&gt;"",$H57&lt;&gt;$H$55,IFERROR(VLOOKUP($H57,areaCercaPuntiClassificaSquadra,3,FALSE()),-1)=IFERROR(VLOOKUP($H$55,areaCercaPuntiClassificaSquadra,3,FALSE()),-2)),SUMIFS('Calendario F'!$Q$8:$Q$110,'Calendario F'!$M$8:$M$110,$H57,'Calendario F'!$T$8:$T$110,$H$55)+SUMIFS('Calendario F'!$X$8:$X$110,'Calendario F'!$T$8:$T$110,$H57,'Calendario F'!$M$8:$M$110,$H$55),"-")</f>
        <v>-</v>
      </c>
      <c r="AU57" s="14" t="str">
        <f aca="false">IF(AND($H57&lt;&gt;"",$H$56&lt;&gt;"",$H57&lt;&gt;$H$56,IFERROR(VLOOKUP($H57,areaCercaPuntiClassificaSquadra,3,FALSE()),-1)=IFERROR(VLOOKUP($H$56,areaCercaPuntiClassificaSquadra,3,FALSE()),-2)),SUMIFS('Calendario F'!$Q$8:$Q$110,'Calendario F'!$M$8:$M$110,$H57,'Calendario F'!$T$8:$T$110,$H$56)+SUMIFS('Calendario F'!$X$8:$X$110,'Calendario F'!$T$8:$T$110,$H57,'Calendario F'!$M$8:$M$110,$H$56),"-")</f>
        <v>-</v>
      </c>
      <c r="AV57" s="14" t="str">
        <f aca="false">IF(AND($H57&lt;&gt;"",$H$57&lt;&gt;"",$H57&lt;&gt;$H$57,IFERROR(VLOOKUP($H57,areaCercaPuntiClassificaSquadra,3,FALSE()),-1)=IFERROR(VLOOKUP($H$57,areaCercaPuntiClassificaSquadra,3,FALSE()),-2)),SUMIFS('Calendario F'!$Q$8:$Q$110,'Calendario F'!$M$8:$M$110,$H57,'Calendario F'!$T$8:$T$110,$H$57)+SUMIFS('Calendario F'!$X$8:$X$110,'Calendario F'!$T$8:$T$110,$H57,'Calendario F'!$M$8:$M$110,$H$57),"-")</f>
        <v>-</v>
      </c>
      <c r="AW57" s="14" t="str">
        <f aca="false">IF(AND($H57&lt;&gt;"",$H$58&lt;&gt;"",$H57&lt;&gt;$H$58,IFERROR(VLOOKUP($H57,areaCercaPuntiClassificaSquadra,3,FALSE()),-1)=IFERROR(VLOOKUP($H$58,areaCercaPuntiClassificaSquadra,3,FALSE()),-2)),SUMIFS('Calendario F'!$Q$8:$Q$110,'Calendario F'!$M$8:$M$110,$H57,'Calendario F'!$T$8:$T$110,$H$58)+SUMIFS('Calendario F'!$X$8:$X$110,'Calendario F'!$T$8:$T$110,$H57,'Calendario F'!$M$8:$M$110,$H$58),"-")</f>
        <v>-</v>
      </c>
      <c r="AX57" s="14" t="str">
        <f aca="false">IF(AND($H57&lt;&gt;"",$H$59&lt;&gt;"",$H57&lt;&gt;$H$59,IFERROR(VLOOKUP($H57,areaCercaPuntiClassificaSquadra,3,FALSE()),-1)=IFERROR(VLOOKUP($H$59,areaCercaPuntiClassificaSquadra,3,FALSE()),-2)),SUMIFS('Calendario F'!$Q$8:$Q$110,'Calendario F'!$M$8:$M$110,$H57,'Calendario F'!$T$8:$T$110,$H$59)+SUMIFS('Calendario F'!$X$8:$X$110,'Calendario F'!$T$8:$T$110,$H57,'Calendario F'!$M$8:$M$110,$H$59),"-")</f>
        <v>-</v>
      </c>
      <c r="AY57" s="13" t="str">
        <f aca="false">$C57</f>
        <v>Foche Frenetiche-Focheopoli FE</v>
      </c>
      <c r="AZ57" s="14" t="str">
        <f aca="false">IF(AND($H57&lt;&gt;"",$H$52&lt;&gt;"",$H57&lt;&gt;$H$52,IFERROR(VLOOKUP($H57,areaCercaPuntiClassificaSquadra,3,FALSE()),-1)=IFERROR(VLOOKUP($H$52,areaCercaPuntiClassificaSquadra,3,FALSE()),-2)),SUMIFS('Calendario F'!$R$8:$R$110,'Calendario F'!$M$8:$M$110,$H57,'Calendario F'!$T$8:$T$110,$H$52)+SUMIFS('Calendario F'!$Y$8:$Y$110,'Calendario F'!$T$8:$T$110,$H57,'Calendario F'!$M$8:$M$110,$H$52),"-")</f>
        <v>-</v>
      </c>
      <c r="BA57" s="14" t="str">
        <f aca="false">IF(AND($H57&lt;&gt;"",$H$53&lt;&gt;"",$H57&lt;&gt;$H$53,IFERROR(VLOOKUP($H57,areaCercaPuntiClassificaSquadra,3,FALSE()),-1)=IFERROR(VLOOKUP($H$53,areaCercaPuntiClassificaSquadra,3,FALSE()),-2)),SUMIFS('Calendario F'!$R$8:$R$110,'Calendario F'!$M$8:$M$110,$H57,'Calendario F'!$T$8:$T$110,$H$53)+SUMIFS('Calendario F'!$Y$8:$Y$110,'Calendario F'!$T$8:$T$110,$H57,'Calendario F'!$M$8:$M$110,$H$53),"-")</f>
        <v>-</v>
      </c>
      <c r="BB57" s="14" t="str">
        <f aca="false">IF(AND($H57&lt;&gt;"",$H$54&lt;&gt;"",$H57&lt;&gt;$H$54,IFERROR(VLOOKUP($H57,areaCercaPuntiClassificaSquadra,3,FALSE()),-1)=IFERROR(VLOOKUP($H$54,areaCercaPuntiClassificaSquadra,3,FALSE()),-2)),SUMIFS('Calendario F'!$R$8:$R$110,'Calendario F'!$M$8:$M$110,$H57,'Calendario F'!$T$8:$T$110,$H$54)+SUMIFS('Calendario F'!$Y$8:$Y$110,'Calendario F'!$T$8:$T$110,$H57,'Calendario F'!$M$8:$M$110,$H$54),"-")</f>
        <v>-</v>
      </c>
      <c r="BC57" s="14" t="str">
        <f aca="false">IF(AND($H57&lt;&gt;"",$H$55&lt;&gt;"",$H57&lt;&gt;$H$55,IFERROR(VLOOKUP($H57,areaCercaPuntiClassificaSquadra,3,FALSE()),-1)=IFERROR(VLOOKUP($H$55,areaCercaPuntiClassificaSquadra,3,FALSE()),-2)),SUMIFS('Calendario F'!$R$8:$R$110,'Calendario F'!$M$8:$M$110,$H57,'Calendario F'!$T$8:$T$110,$H$55)+SUMIFS('Calendario F'!$Y$8:$Y$110,'Calendario F'!$T$8:$T$110,$H57,'Calendario F'!$M$8:$M$110,$H$55),"-")</f>
        <v>-</v>
      </c>
      <c r="BD57" s="14" t="str">
        <f aca="false">IF(AND($H57&lt;&gt;"",$H$56&lt;&gt;"",$H57&lt;&gt;$H$56,IFERROR(VLOOKUP($H57,areaCercaPuntiClassificaSquadra,3,FALSE()),-1)=IFERROR(VLOOKUP($H$56,areaCercaPuntiClassificaSquadra,3,FALSE()),-2)),SUMIFS('Calendario F'!$R$8:$R$110,'Calendario F'!$M$8:$M$110,$H57,'Calendario F'!$T$8:$T$110,$H$56)+SUMIFS('Calendario F'!$Y$8:$Y$110,'Calendario F'!$T$8:$T$110,$H57,'Calendario F'!$M$8:$M$110,$H$56),"-")</f>
        <v>-</v>
      </c>
      <c r="BE57" s="14" t="str">
        <f aca="false">IF(AND($H57&lt;&gt;"",$H$57&lt;&gt;"",$H57&lt;&gt;$H$57,IFERROR(VLOOKUP($H57,areaCercaPuntiClassificaSquadra,3,FALSE()),-1)=IFERROR(VLOOKUP($H$57,areaCercaPuntiClassificaSquadra,3,FALSE()),-2)),SUMIFS('Calendario F'!$R$8:$R$110,'Calendario F'!$M$8:$M$110,$H57,'Calendario F'!$T$8:$T$110,$H$57)+SUMIFS('Calendario F'!$Y$8:$Y$110,'Calendario F'!$T$8:$T$110,$H57,'Calendario F'!$M$8:$M$110,$H$57),"-")</f>
        <v>-</v>
      </c>
      <c r="BF57" s="14" t="str">
        <f aca="false">IF(AND($H57&lt;&gt;"",$H$58&lt;&gt;"",$H57&lt;&gt;$H$58,IFERROR(VLOOKUP($H57,areaCercaPuntiClassificaSquadra,3,FALSE()),-1)=IFERROR(VLOOKUP($H$58,areaCercaPuntiClassificaSquadra,3,FALSE()),-2)),SUMIFS('Calendario F'!$R$8:$R$110,'Calendario F'!$M$8:$M$110,$H57,'Calendario F'!$T$8:$T$110,$H$58)+SUMIFS('Calendario F'!$Y$8:$Y$110,'Calendario F'!$T$8:$T$110,$H57,'Calendario F'!$M$8:$M$110,$H$58),"-")</f>
        <v>-</v>
      </c>
      <c r="BG57" s="14" t="str">
        <f aca="false">IF(AND($H57&lt;&gt;"",$H$59&lt;&gt;"",$H57&lt;&gt;$H$59,IFERROR(VLOOKUP($H57,areaCercaPuntiClassificaSquadra,3,FALSE()),-1)=IFERROR(VLOOKUP($H$59,areaCercaPuntiClassificaSquadra,3,FALSE()),-2)),SUMIFS('Calendario F'!$R$8:$R$110,'Calendario F'!$M$8:$M$110,$H57,'Calendario F'!$T$8:$T$110,$H$59)+SUMIFS('Calendario F'!$Y$8:$Y$110,'Calendario F'!$T$8:$T$110,$H57,'Calendario F'!$M$8:$M$110,$H$59),"-")</f>
        <v>-</v>
      </c>
    </row>
    <row r="58" customFormat="false" ht="15" hidden="false" customHeight="false" outlineLevel="0" collapsed="false">
      <c r="B58" s="7" t="s">
        <v>145</v>
      </c>
      <c r="C58" s="8" t="s">
        <v>146</v>
      </c>
      <c r="D58" s="9"/>
      <c r="E58" s="23" t="s">
        <v>134</v>
      </c>
      <c r="G58" s="24" t="str">
        <f aca="false">IF($C58="","",$E58&amp;(COUNTIFS(I$12:I$75,"&gt;"&amp;I58,E$12:E$75,"="&amp;E58,C$12:C$75,"&lt;&gt;")+COUNTIFS(I$12:I$75,"="&amp;I58,H$12:H$75,"&lt;="&amp;H58,E$12:E$75,"="&amp;E58,C$12:C$75,"&lt;&gt;")))</f>
        <v>F3</v>
      </c>
      <c r="H58" s="12" t="str">
        <f aca="false">IF($C58="","",IFERROR(LEFT($C58,FIND("-",$C58)-1),$C58))</f>
        <v>Gufi Golosi</v>
      </c>
      <c r="I58" s="7" t="str">
        <f aca="false">TEXT(1000000000+J58,"|0000000000|")&amp;TEXT(SUM(Y58:AF58),"0000000000|")&amp;IF(SUM(AZ58:BG58)=0,"0000000000|",TEXT(ROUND(SUM(AQ58:AX58)/SUM(AZ58:BG58),4)*100000,"0000000000|"))&amp;IF(P58=0,"0000000000|",TEXT(ROUND(O58/P58,4)*100000,"0000000000|"))</f>
        <v>|1000000017|0000000000|0000000000|0000098320|</v>
      </c>
      <c r="J58" s="24" t="n">
        <f aca="false">L58*constPuntiVittoria+M58*constPuntiSconfitta+N58*constPuntiForfait+IF(D58="",0,D58)</f>
        <v>17</v>
      </c>
      <c r="K58" s="7" t="n">
        <f aca="false">SUM(L58:N58)</f>
        <v>7</v>
      </c>
      <c r="L58" s="7" t="n">
        <f aca="false">IF($H58="",0,SUMIF('Calendario F'!$M$8:$M$110,$H58,'Calendario F'!$N$8:$N$110)+SUMIF('Calendario F'!$T$8:$T$110,$H58,'Calendario F'!$U$8:$U$110))</f>
        <v>5</v>
      </c>
      <c r="M58" s="7" t="n">
        <f aca="false">IF($H58="",0,SUMIF('Calendario F'!$M$8:$M$110,$H58,'Calendario F'!$P$8:$P$110)+SUMIF('Calendario F'!$T$8:$T$110,$H58,'Calendario F'!$W$8:$W$110))</f>
        <v>2</v>
      </c>
      <c r="N58" s="7" t="n">
        <f aca="false">IF($H58="",0,SUMIF('Calendario F'!$M$8:$M$110,$H58,'Calendario F'!$O$8:$O$110)+SUMIF('Calendario F'!$T$8:$T$110,$H58,'Calendario F'!$V$8:$V$110))</f>
        <v>0</v>
      </c>
      <c r="O58" s="7" t="n">
        <f aca="false">IF($H58="",0,SUMIF('Calendario F'!$M$8:$M$110,$H58,'Calendario F'!$Q$8:$Q$110)+SUMIF('Calendario F'!$T$8:$T$110,$H58,'Calendario F'!$X$8:$X$110))</f>
        <v>410</v>
      </c>
      <c r="P58" s="7" t="n">
        <f aca="false">IF($H58="",0,SUMIF('Calendario F'!$M$8:$M$110,$H58,'Calendario F'!$R$8:$R$110)+SUMIF('Calendario F'!$T$8:$T$110,$H58,'Calendario F'!$Y$8:$Y$110))</f>
        <v>417</v>
      </c>
      <c r="Q58" s="7" t="n">
        <f aca="false">IF($H58="",0,SUMIF('Calendario F'!$M$8:$M$110,$H58,'Calendario F'!$S$8:$S$110)+SUMIF('Calendario F'!$T$8:$T$110,$H58,'Calendario F'!$Z$8:$Z$110))</f>
        <v>-7</v>
      </c>
      <c r="R58" s="7" t="n">
        <f aca="false">IF(K58=0,0,ROUND(O58/K58,2))</f>
        <v>58.57</v>
      </c>
      <c r="S58" s="7" t="n">
        <f aca="false">IF(K58=0,0,ROUND(P58/K58,2))</f>
        <v>59.57</v>
      </c>
      <c r="T58" s="7" t="n">
        <f aca="false">IF(K58=0,0,ROUND(Q58/K58,2))</f>
        <v>-1</v>
      </c>
      <c r="U58" s="7" t="str">
        <f aca="false">IF(COUNT(Y58:AF58)=0,"-",SUM(Y58:AF58)&amp;"-"&amp;SUM(AH58:AO58))</f>
        <v>-</v>
      </c>
      <c r="V58" s="7" t="str">
        <f aca="false">IF(COUNT(Y58:AF58)=0,"-",IF(SUM(AZ58:BG58)=0,TEXT(0,"0.0000"),TEXT(ROUND(SUM(AQ58:AX58)/SUM(AZ58:BG58),4),"0.0000")))</f>
        <v>-</v>
      </c>
      <c r="W58" s="7" t="str">
        <f aca="false">IF(H58="","-",IF(P58=0,TEXT(0,"0.0000"),TEXT(ROUND(O58/P58,4),"0.0000")))</f>
        <v>0.9832</v>
      </c>
      <c r="X58" s="13" t="str">
        <f aca="false">$C58</f>
        <v>Gufi Golosi-Gufiopoli GI</v>
      </c>
      <c r="Y58" s="14" t="str">
        <f aca="false">IF(AND($H58&lt;&gt;"",$H$52&lt;&gt;"",$H58&lt;&gt;$H$52,IFERROR(VLOOKUP($H58,areaCercaPuntiClassificaSquadra,3,FALSE()),-1)=IFERROR(VLOOKUP($H$52,areaCercaPuntiClassificaSquadra,3,FALSE()),-2)),SUMIFS('Calendario F'!$N$8:$N$110,'Calendario F'!$M$8:$M$110,$H58,'Calendario F'!$T$8:$T$110,$H$52)+SUMIFS('Calendario F'!$U$8:$U$110,'Calendario F'!$T$8:$T$110,$H58,'Calendario F'!$M$8:$M$110,$H$52),"-")</f>
        <v>-</v>
      </c>
      <c r="Z58" s="14" t="str">
        <f aca="false">IF(AND($H58&lt;&gt;"",$H$53&lt;&gt;"",$H58&lt;&gt;$H$53,IFERROR(VLOOKUP($H58,areaCercaPuntiClassificaSquadra,3,FALSE()),-1)=IFERROR(VLOOKUP($H$53,areaCercaPuntiClassificaSquadra,3,FALSE()),-2)),SUMIFS('Calendario F'!$N$8:$N$110,'Calendario F'!$M$8:$M$110,$H58,'Calendario F'!$T$8:$T$110,$H$53)+SUMIFS('Calendario F'!$U$8:$U$110,'Calendario F'!$T$8:$T$110,$H58,'Calendario F'!$M$8:$M$110,$H$53),"-")</f>
        <v>-</v>
      </c>
      <c r="AA58" s="14" t="str">
        <f aca="false">IF(AND($H58&lt;&gt;"",$H$54&lt;&gt;"",$H58&lt;&gt;$H$54,IFERROR(VLOOKUP($H58,areaCercaPuntiClassificaSquadra,3,FALSE()),-1)=IFERROR(VLOOKUP($H$54,areaCercaPuntiClassificaSquadra,3,FALSE()),-2)),SUMIFS('Calendario F'!$N$8:$N$110,'Calendario F'!$M$8:$M$110,$H58,'Calendario F'!$T$8:$T$110,$H$54)+SUMIFS('Calendario F'!$U$8:$U$110,'Calendario F'!$T$8:$T$110,$H58,'Calendario F'!$M$8:$M$110,$H$54),"-")</f>
        <v>-</v>
      </c>
      <c r="AB58" s="14" t="str">
        <f aca="false">IF(AND($H58&lt;&gt;"",$H$55&lt;&gt;"",$H58&lt;&gt;$H$55,IFERROR(VLOOKUP($H58,areaCercaPuntiClassificaSquadra,3,FALSE()),-1)=IFERROR(VLOOKUP($H$55,areaCercaPuntiClassificaSquadra,3,FALSE()),-2)),SUMIFS('Calendario F'!$N$8:$N$110,'Calendario F'!$M$8:$M$110,$H58,'Calendario F'!$T$8:$T$110,$H$55)+SUMIFS('Calendario F'!$U$8:$U$110,'Calendario F'!$T$8:$T$110,$H58,'Calendario F'!$M$8:$M$110,$H$55),"-")</f>
        <v>-</v>
      </c>
      <c r="AC58" s="14" t="str">
        <f aca="false">IF(AND($H58&lt;&gt;"",$H$56&lt;&gt;"",$H58&lt;&gt;$H$56,IFERROR(VLOOKUP($H58,areaCercaPuntiClassificaSquadra,3,FALSE()),-1)=IFERROR(VLOOKUP($H$56,areaCercaPuntiClassificaSquadra,3,FALSE()),-2)),SUMIFS('Calendario F'!$N$8:$N$110,'Calendario F'!$M$8:$M$110,$H58,'Calendario F'!$T$8:$T$110,$H$56)+SUMIFS('Calendario F'!$U$8:$U$110,'Calendario F'!$T$8:$T$110,$H58,'Calendario F'!$M$8:$M$110,$H$56),"-")</f>
        <v>-</v>
      </c>
      <c r="AD58" s="14" t="str">
        <f aca="false">IF(AND($H58&lt;&gt;"",$H$57&lt;&gt;"",$H58&lt;&gt;$H$57,IFERROR(VLOOKUP($H58,areaCercaPuntiClassificaSquadra,3,FALSE()),-1)=IFERROR(VLOOKUP($H$57,areaCercaPuntiClassificaSquadra,3,FALSE()),-2)),SUMIFS('Calendario F'!$N$8:$N$110,'Calendario F'!$M$8:$M$110,$H58,'Calendario F'!$T$8:$T$110,$H$57)+SUMIFS('Calendario F'!$U$8:$U$110,'Calendario F'!$T$8:$T$110,$H58,'Calendario F'!$M$8:$M$110,$H$57),"-")</f>
        <v>-</v>
      </c>
      <c r="AE58" s="14" t="str">
        <f aca="false">IF(AND($H58&lt;&gt;"",$H$58&lt;&gt;"",$H58&lt;&gt;$H$58,IFERROR(VLOOKUP($H58,areaCercaPuntiClassificaSquadra,3,FALSE()),-1)=IFERROR(VLOOKUP($H$58,areaCercaPuntiClassificaSquadra,3,FALSE()),-2)),SUMIFS('Calendario F'!$N$8:$N$110,'Calendario F'!$M$8:$M$110,$H58,'Calendario F'!$T$8:$T$110,$H$58)+SUMIFS('Calendario F'!$U$8:$U$110,'Calendario F'!$T$8:$T$110,$H58,'Calendario F'!$M$8:$M$110,$H$58),"-")</f>
        <v>-</v>
      </c>
      <c r="AF58" s="14" t="str">
        <f aca="false">IF(AND($H58&lt;&gt;"",$H$59&lt;&gt;"",$H58&lt;&gt;$H$59,IFERROR(VLOOKUP($H58,areaCercaPuntiClassificaSquadra,3,FALSE()),-1)=IFERROR(VLOOKUP($H$59,areaCercaPuntiClassificaSquadra,3,FALSE()),-2)),SUMIFS('Calendario F'!$N$8:$N$110,'Calendario F'!$M$8:$M$110,$H58,'Calendario F'!$T$8:$T$110,$H$59)+SUMIFS('Calendario F'!$U$8:$U$110,'Calendario F'!$T$8:$T$110,$H58,'Calendario F'!$M$8:$M$110,$H$59),"-")</f>
        <v>-</v>
      </c>
      <c r="AG58" s="13" t="str">
        <f aca="false">$C58</f>
        <v>Gufi Golosi-Gufiopoli GI</v>
      </c>
      <c r="AH58" s="14" t="str">
        <f aca="false">IF(AND($H58&lt;&gt;"",$H$52&lt;&gt;"",$H58&lt;&gt;$H$52,IFERROR(VLOOKUP($H58,areaCercaPuntiClassificaSquadra,3,FALSE()),-1)=IFERROR(VLOOKUP($H$52,areaCercaPuntiClassificaSquadra,3,FALSE()),-2)),SUMIFS('Calendario F'!$P$8:$P$110,'Calendario F'!$M$8:$M$110,$H58,'Calendario F'!$T$8:$T$110,$H$52)+SUMIFS('Calendario F'!$W$8:$W$110,'Calendario F'!$T$8:$T$110,$H58,'Calendario F'!$M$8:$M$110,$H$52)+SUMIFS('Calendario F'!$O$8:$O$110,'Calendario F'!$M$8:$M$110,$H58,'Calendario F'!$T$8:$T$110,$H$52)+SUMIFS('Calendario F'!$V$8:$V$110,'Calendario F'!$T$8:$T$110,$H58,'Calendario F'!$M$8:$M$110,$H$52),"-")</f>
        <v>-</v>
      </c>
      <c r="AI58" s="14" t="str">
        <f aca="false">IF(AND($H58&lt;&gt;"",$H$53&lt;&gt;"",$H58&lt;&gt;$H$53,IFERROR(VLOOKUP($H58,areaCercaPuntiClassificaSquadra,3,FALSE()),-1)=IFERROR(VLOOKUP($H$53,areaCercaPuntiClassificaSquadra,3,FALSE()),-2)),SUMIFS('Calendario F'!$P$8:$P$110,'Calendario F'!$M$8:$M$110,$H58,'Calendario F'!$T$8:$T$110,$H$53)+SUMIFS('Calendario F'!$W$8:$W$110,'Calendario F'!$T$8:$T$110,$H58,'Calendario F'!$M$8:$M$110,$H$53)+SUMIFS('Calendario F'!$O$8:$O$110,'Calendario F'!$M$8:$M$110,$H58,'Calendario F'!$T$8:$T$110,$H$53)+SUMIFS('Calendario F'!$V$8:$V$110,'Calendario F'!$T$8:$T$110,$H58,'Calendario F'!$M$8:$M$110,$H$53),"-")</f>
        <v>-</v>
      </c>
      <c r="AJ58" s="14" t="str">
        <f aca="false">IF(AND($H58&lt;&gt;"",$H$54&lt;&gt;"",$H58&lt;&gt;$H$54,IFERROR(VLOOKUP($H58,areaCercaPuntiClassificaSquadra,3,FALSE()),-1)=IFERROR(VLOOKUP($H$54,areaCercaPuntiClassificaSquadra,3,FALSE()),-2)),SUMIFS('Calendario F'!$P$8:$P$110,'Calendario F'!$M$8:$M$110,$H58,'Calendario F'!$T$8:$T$110,$H$54)+SUMIFS('Calendario F'!$W$8:$W$110,'Calendario F'!$T$8:$T$110,$H58,'Calendario F'!$M$8:$M$110,$H$54)+SUMIFS('Calendario F'!$O$8:$O$110,'Calendario F'!$M$8:$M$110,$H58,'Calendario F'!$T$8:$T$110,$H$54)+SUMIFS('Calendario F'!$V$8:$V$110,'Calendario F'!$T$8:$T$110,$H58,'Calendario F'!$M$8:$M$110,$H$54),"-")</f>
        <v>-</v>
      </c>
      <c r="AK58" s="14" t="str">
        <f aca="false">IF(AND($H58&lt;&gt;"",$H$55&lt;&gt;"",$H58&lt;&gt;$H$55,IFERROR(VLOOKUP($H58,areaCercaPuntiClassificaSquadra,3,FALSE()),-1)=IFERROR(VLOOKUP($H$55,areaCercaPuntiClassificaSquadra,3,FALSE()),-2)),SUMIFS('Calendario F'!$P$8:$P$110,'Calendario F'!$M$8:$M$110,$H58,'Calendario F'!$T$8:$T$110,$H$55)+SUMIFS('Calendario F'!$W$8:$W$110,'Calendario F'!$T$8:$T$110,$H58,'Calendario F'!$M$8:$M$110,$H$55)+SUMIFS('Calendario F'!$O$8:$O$110,'Calendario F'!$M$8:$M$110,$H58,'Calendario F'!$T$8:$T$110,$H$55)+SUMIFS('Calendario F'!$V$8:$V$110,'Calendario F'!$T$8:$T$110,$H58,'Calendario F'!$M$8:$M$110,$H$55),"-")</f>
        <v>-</v>
      </c>
      <c r="AL58" s="14" t="str">
        <f aca="false">IF(AND($H58&lt;&gt;"",$H$56&lt;&gt;"",$H58&lt;&gt;$H$56,IFERROR(VLOOKUP($H58,areaCercaPuntiClassificaSquadra,3,FALSE()),-1)=IFERROR(VLOOKUP($H$56,areaCercaPuntiClassificaSquadra,3,FALSE()),-2)),SUMIFS('Calendario F'!$P$8:$P$110,'Calendario F'!$M$8:$M$110,$H58,'Calendario F'!$T$8:$T$110,$H$56)+SUMIFS('Calendario F'!$W$8:$W$110,'Calendario F'!$T$8:$T$110,$H58,'Calendario F'!$M$8:$M$110,$H$56)+SUMIFS('Calendario F'!$O$8:$O$110,'Calendario F'!$M$8:$M$110,$H58,'Calendario F'!$T$8:$T$110,$H$56)+SUMIFS('Calendario F'!$V$8:$V$110,'Calendario F'!$T$8:$T$110,$H58,'Calendario F'!$M$8:$M$110,$H$56),"-")</f>
        <v>-</v>
      </c>
      <c r="AM58" s="14" t="str">
        <f aca="false">IF(AND($H58&lt;&gt;"",$H$57&lt;&gt;"",$H58&lt;&gt;$H$57,IFERROR(VLOOKUP($H58,areaCercaPuntiClassificaSquadra,3,FALSE()),-1)=IFERROR(VLOOKUP($H$57,areaCercaPuntiClassificaSquadra,3,FALSE()),-2)),SUMIFS('Calendario F'!$P$8:$P$110,'Calendario F'!$M$8:$M$110,$H58,'Calendario F'!$T$8:$T$110,$H$57)+SUMIFS('Calendario F'!$W$8:$W$110,'Calendario F'!$T$8:$T$110,$H58,'Calendario F'!$M$8:$M$110,$H$57)+SUMIFS('Calendario F'!$O$8:$O$110,'Calendario F'!$M$8:$M$110,$H58,'Calendario F'!$T$8:$T$110,$H$57)+SUMIFS('Calendario F'!$V$8:$V$110,'Calendario F'!$T$8:$T$110,$H58,'Calendario F'!$M$8:$M$110,$H$57),"-")</f>
        <v>-</v>
      </c>
      <c r="AN58" s="14" t="str">
        <f aca="false">IF(AND($H58&lt;&gt;"",$H$58&lt;&gt;"",$H58&lt;&gt;$H$58,IFERROR(VLOOKUP($H58,areaCercaPuntiClassificaSquadra,3,FALSE()),-1)=IFERROR(VLOOKUP($H$58,areaCercaPuntiClassificaSquadra,3,FALSE()),-2)),SUMIFS('Calendario F'!$P$8:$P$110,'Calendario F'!$M$8:$M$110,$H58,'Calendario F'!$T$8:$T$110,$H$58)+SUMIFS('Calendario F'!$W$8:$W$110,'Calendario F'!$T$8:$T$110,$H58,'Calendario F'!$M$8:$M$110,$H$58)+SUMIFS('Calendario F'!$O$8:$O$110,'Calendario F'!$M$8:$M$110,$H58,'Calendario F'!$T$8:$T$110,$H$58)+SUMIFS('Calendario F'!$V$8:$V$110,'Calendario F'!$T$8:$T$110,$H58,'Calendario F'!$M$8:$M$110,$H$58),"-")</f>
        <v>-</v>
      </c>
      <c r="AO58" s="14" t="str">
        <f aca="false">IF(AND($H58&lt;&gt;"",$H$59&lt;&gt;"",$H58&lt;&gt;$H$59,IFERROR(VLOOKUP($H58,areaCercaPuntiClassificaSquadra,3,FALSE()),-1)=IFERROR(VLOOKUP($H$59,areaCercaPuntiClassificaSquadra,3,FALSE()),-2)),SUMIFS('Calendario F'!$P$8:$P$110,'Calendario F'!$M$8:$M$110,$H58,'Calendario F'!$T$8:$T$110,$H$59)+SUMIFS('Calendario F'!$W$8:$W$110,'Calendario F'!$T$8:$T$110,$H58,'Calendario F'!$M$8:$M$110,$H$59)+SUMIFS('Calendario F'!$O$8:$O$110,'Calendario F'!$M$8:$M$110,$H58,'Calendario F'!$T$8:$T$110,$H$59)+SUMIFS('Calendario F'!$V$8:$V$110,'Calendario F'!$T$8:$T$110,$H58,'Calendario F'!$M$8:$M$110,$H$59),"-")</f>
        <v>-</v>
      </c>
      <c r="AP58" s="13" t="str">
        <f aca="false">$C58</f>
        <v>Gufi Golosi-Gufiopoli GI</v>
      </c>
      <c r="AQ58" s="14" t="str">
        <f aca="false">IF(AND($H58&lt;&gt;"",$H$52&lt;&gt;"",$H58&lt;&gt;$H$52,IFERROR(VLOOKUP($H58,areaCercaPuntiClassificaSquadra,3,FALSE()),-1)=IFERROR(VLOOKUP($H$52,areaCercaPuntiClassificaSquadra,3,FALSE()),-2)),SUMIFS('Calendario F'!$Q$8:$Q$110,'Calendario F'!$M$8:$M$110,$H58,'Calendario F'!$T$8:$T$110,$H$52)+SUMIFS('Calendario F'!$X$8:$X$110,'Calendario F'!$T$8:$T$110,$H58,'Calendario F'!$M$8:$M$110,$H$52),"-")</f>
        <v>-</v>
      </c>
      <c r="AR58" s="14" t="str">
        <f aca="false">IF(AND($H58&lt;&gt;"",$H$53&lt;&gt;"",$H58&lt;&gt;$H$53,IFERROR(VLOOKUP($H58,areaCercaPuntiClassificaSquadra,3,FALSE()),-1)=IFERROR(VLOOKUP($H$53,areaCercaPuntiClassificaSquadra,3,FALSE()),-2)),SUMIFS('Calendario F'!$Q$8:$Q$110,'Calendario F'!$M$8:$M$110,$H58,'Calendario F'!$T$8:$T$110,$H$53)+SUMIFS('Calendario F'!$X$8:$X$110,'Calendario F'!$T$8:$T$110,$H58,'Calendario F'!$M$8:$M$110,$H$53),"-")</f>
        <v>-</v>
      </c>
      <c r="AS58" s="14" t="str">
        <f aca="false">IF(AND($H58&lt;&gt;"",$H$54&lt;&gt;"",$H58&lt;&gt;$H$54,IFERROR(VLOOKUP($H58,areaCercaPuntiClassificaSquadra,3,FALSE()),-1)=IFERROR(VLOOKUP($H$54,areaCercaPuntiClassificaSquadra,3,FALSE()),-2)),SUMIFS('Calendario F'!$Q$8:$Q$110,'Calendario F'!$M$8:$M$110,$H58,'Calendario F'!$T$8:$T$110,$H$54)+SUMIFS('Calendario F'!$X$8:$X$110,'Calendario F'!$T$8:$T$110,$H58,'Calendario F'!$M$8:$M$110,$H$54),"-")</f>
        <v>-</v>
      </c>
      <c r="AT58" s="14" t="str">
        <f aca="false">IF(AND($H58&lt;&gt;"",$H$55&lt;&gt;"",$H58&lt;&gt;$H$55,IFERROR(VLOOKUP($H58,areaCercaPuntiClassificaSquadra,3,FALSE()),-1)=IFERROR(VLOOKUP($H$55,areaCercaPuntiClassificaSquadra,3,FALSE()),-2)),SUMIFS('Calendario F'!$Q$8:$Q$110,'Calendario F'!$M$8:$M$110,$H58,'Calendario F'!$T$8:$T$110,$H$55)+SUMIFS('Calendario F'!$X$8:$X$110,'Calendario F'!$T$8:$T$110,$H58,'Calendario F'!$M$8:$M$110,$H$55),"-")</f>
        <v>-</v>
      </c>
      <c r="AU58" s="14" t="str">
        <f aca="false">IF(AND($H58&lt;&gt;"",$H$56&lt;&gt;"",$H58&lt;&gt;$H$56,IFERROR(VLOOKUP($H58,areaCercaPuntiClassificaSquadra,3,FALSE()),-1)=IFERROR(VLOOKUP($H$56,areaCercaPuntiClassificaSquadra,3,FALSE()),-2)),SUMIFS('Calendario F'!$Q$8:$Q$110,'Calendario F'!$M$8:$M$110,$H58,'Calendario F'!$T$8:$T$110,$H$56)+SUMIFS('Calendario F'!$X$8:$X$110,'Calendario F'!$T$8:$T$110,$H58,'Calendario F'!$M$8:$M$110,$H$56),"-")</f>
        <v>-</v>
      </c>
      <c r="AV58" s="14" t="str">
        <f aca="false">IF(AND($H58&lt;&gt;"",$H$57&lt;&gt;"",$H58&lt;&gt;$H$57,IFERROR(VLOOKUP($H58,areaCercaPuntiClassificaSquadra,3,FALSE()),-1)=IFERROR(VLOOKUP($H$57,areaCercaPuntiClassificaSquadra,3,FALSE()),-2)),SUMIFS('Calendario F'!$Q$8:$Q$110,'Calendario F'!$M$8:$M$110,$H58,'Calendario F'!$T$8:$T$110,$H$57)+SUMIFS('Calendario F'!$X$8:$X$110,'Calendario F'!$T$8:$T$110,$H58,'Calendario F'!$M$8:$M$110,$H$57),"-")</f>
        <v>-</v>
      </c>
      <c r="AW58" s="14" t="str">
        <f aca="false">IF(AND($H58&lt;&gt;"",$H$58&lt;&gt;"",$H58&lt;&gt;$H$58,IFERROR(VLOOKUP($H58,areaCercaPuntiClassificaSquadra,3,FALSE()),-1)=IFERROR(VLOOKUP($H$58,areaCercaPuntiClassificaSquadra,3,FALSE()),-2)),SUMIFS('Calendario F'!$Q$8:$Q$110,'Calendario F'!$M$8:$M$110,$H58,'Calendario F'!$T$8:$T$110,$H$58)+SUMIFS('Calendario F'!$X$8:$X$110,'Calendario F'!$T$8:$T$110,$H58,'Calendario F'!$M$8:$M$110,$H$58),"-")</f>
        <v>-</v>
      </c>
      <c r="AX58" s="14" t="str">
        <f aca="false">IF(AND($H58&lt;&gt;"",$H$59&lt;&gt;"",$H58&lt;&gt;$H$59,IFERROR(VLOOKUP($H58,areaCercaPuntiClassificaSquadra,3,FALSE()),-1)=IFERROR(VLOOKUP($H$59,areaCercaPuntiClassificaSquadra,3,FALSE()),-2)),SUMIFS('Calendario F'!$Q$8:$Q$110,'Calendario F'!$M$8:$M$110,$H58,'Calendario F'!$T$8:$T$110,$H$59)+SUMIFS('Calendario F'!$X$8:$X$110,'Calendario F'!$T$8:$T$110,$H58,'Calendario F'!$M$8:$M$110,$H$59),"-")</f>
        <v>-</v>
      </c>
      <c r="AY58" s="13" t="str">
        <f aca="false">$C58</f>
        <v>Gufi Golosi-Gufiopoli GI</v>
      </c>
      <c r="AZ58" s="14" t="str">
        <f aca="false">IF(AND($H58&lt;&gt;"",$H$52&lt;&gt;"",$H58&lt;&gt;$H$52,IFERROR(VLOOKUP($H58,areaCercaPuntiClassificaSquadra,3,FALSE()),-1)=IFERROR(VLOOKUP($H$52,areaCercaPuntiClassificaSquadra,3,FALSE()),-2)),SUMIFS('Calendario F'!$R$8:$R$110,'Calendario F'!$M$8:$M$110,$H58,'Calendario F'!$T$8:$T$110,$H$52)+SUMIFS('Calendario F'!$Y$8:$Y$110,'Calendario F'!$T$8:$T$110,$H58,'Calendario F'!$M$8:$M$110,$H$52),"-")</f>
        <v>-</v>
      </c>
      <c r="BA58" s="14" t="str">
        <f aca="false">IF(AND($H58&lt;&gt;"",$H$53&lt;&gt;"",$H58&lt;&gt;$H$53,IFERROR(VLOOKUP($H58,areaCercaPuntiClassificaSquadra,3,FALSE()),-1)=IFERROR(VLOOKUP($H$53,areaCercaPuntiClassificaSquadra,3,FALSE()),-2)),SUMIFS('Calendario F'!$R$8:$R$110,'Calendario F'!$M$8:$M$110,$H58,'Calendario F'!$T$8:$T$110,$H$53)+SUMIFS('Calendario F'!$Y$8:$Y$110,'Calendario F'!$T$8:$T$110,$H58,'Calendario F'!$M$8:$M$110,$H$53),"-")</f>
        <v>-</v>
      </c>
      <c r="BB58" s="14" t="str">
        <f aca="false">IF(AND($H58&lt;&gt;"",$H$54&lt;&gt;"",$H58&lt;&gt;$H$54,IFERROR(VLOOKUP($H58,areaCercaPuntiClassificaSquadra,3,FALSE()),-1)=IFERROR(VLOOKUP($H$54,areaCercaPuntiClassificaSquadra,3,FALSE()),-2)),SUMIFS('Calendario F'!$R$8:$R$110,'Calendario F'!$M$8:$M$110,$H58,'Calendario F'!$T$8:$T$110,$H$54)+SUMIFS('Calendario F'!$Y$8:$Y$110,'Calendario F'!$T$8:$T$110,$H58,'Calendario F'!$M$8:$M$110,$H$54),"-")</f>
        <v>-</v>
      </c>
      <c r="BC58" s="14" t="str">
        <f aca="false">IF(AND($H58&lt;&gt;"",$H$55&lt;&gt;"",$H58&lt;&gt;$H$55,IFERROR(VLOOKUP($H58,areaCercaPuntiClassificaSquadra,3,FALSE()),-1)=IFERROR(VLOOKUP($H$55,areaCercaPuntiClassificaSquadra,3,FALSE()),-2)),SUMIFS('Calendario F'!$R$8:$R$110,'Calendario F'!$M$8:$M$110,$H58,'Calendario F'!$T$8:$T$110,$H$55)+SUMIFS('Calendario F'!$Y$8:$Y$110,'Calendario F'!$T$8:$T$110,$H58,'Calendario F'!$M$8:$M$110,$H$55),"-")</f>
        <v>-</v>
      </c>
      <c r="BD58" s="14" t="str">
        <f aca="false">IF(AND($H58&lt;&gt;"",$H$56&lt;&gt;"",$H58&lt;&gt;$H$56,IFERROR(VLOOKUP($H58,areaCercaPuntiClassificaSquadra,3,FALSE()),-1)=IFERROR(VLOOKUP($H$56,areaCercaPuntiClassificaSquadra,3,FALSE()),-2)),SUMIFS('Calendario F'!$R$8:$R$110,'Calendario F'!$M$8:$M$110,$H58,'Calendario F'!$T$8:$T$110,$H$56)+SUMIFS('Calendario F'!$Y$8:$Y$110,'Calendario F'!$T$8:$T$110,$H58,'Calendario F'!$M$8:$M$110,$H$56),"-")</f>
        <v>-</v>
      </c>
      <c r="BE58" s="14" t="str">
        <f aca="false">IF(AND($H58&lt;&gt;"",$H$57&lt;&gt;"",$H58&lt;&gt;$H$57,IFERROR(VLOOKUP($H58,areaCercaPuntiClassificaSquadra,3,FALSE()),-1)=IFERROR(VLOOKUP($H$57,areaCercaPuntiClassificaSquadra,3,FALSE()),-2)),SUMIFS('Calendario F'!$R$8:$R$110,'Calendario F'!$M$8:$M$110,$H58,'Calendario F'!$T$8:$T$110,$H$57)+SUMIFS('Calendario F'!$Y$8:$Y$110,'Calendario F'!$T$8:$T$110,$H58,'Calendario F'!$M$8:$M$110,$H$57),"-")</f>
        <v>-</v>
      </c>
      <c r="BF58" s="14" t="str">
        <f aca="false">IF(AND($H58&lt;&gt;"",$H$58&lt;&gt;"",$H58&lt;&gt;$H$58,IFERROR(VLOOKUP($H58,areaCercaPuntiClassificaSquadra,3,FALSE()),-1)=IFERROR(VLOOKUP($H$58,areaCercaPuntiClassificaSquadra,3,FALSE()),-2)),SUMIFS('Calendario F'!$R$8:$R$110,'Calendario F'!$M$8:$M$110,$H58,'Calendario F'!$T$8:$T$110,$H$58)+SUMIFS('Calendario F'!$Y$8:$Y$110,'Calendario F'!$T$8:$T$110,$H58,'Calendario F'!$M$8:$M$110,$H$58),"-")</f>
        <v>-</v>
      </c>
      <c r="BG58" s="14" t="str">
        <f aca="false">IF(AND($H58&lt;&gt;"",$H$59&lt;&gt;"",$H58&lt;&gt;$H$59,IFERROR(VLOOKUP($H58,areaCercaPuntiClassificaSquadra,3,FALSE()),-1)=IFERROR(VLOOKUP($H$59,areaCercaPuntiClassificaSquadra,3,FALSE()),-2)),SUMIFS('Calendario F'!$R$8:$R$110,'Calendario F'!$M$8:$M$110,$H58,'Calendario F'!$T$8:$T$110,$H$59)+SUMIFS('Calendario F'!$Y$8:$Y$110,'Calendario F'!$T$8:$T$110,$H58,'Calendario F'!$M$8:$M$110,$H$59),"-")</f>
        <v>-</v>
      </c>
    </row>
    <row r="59" customFormat="false" ht="15" hidden="false" customHeight="false" outlineLevel="0" collapsed="false">
      <c r="B59" s="7" t="s">
        <v>147</v>
      </c>
      <c r="C59" s="8" t="s">
        <v>148</v>
      </c>
      <c r="D59" s="9"/>
      <c r="E59" s="23" t="s">
        <v>134</v>
      </c>
      <c r="G59" s="24" t="str">
        <f aca="false">IF($C59="","",$E59&amp;(COUNTIFS(I$12:I$75,"&gt;"&amp;I59,E$12:E$75,"="&amp;E59,C$12:C$75,"&lt;&gt;")+COUNTIFS(I$12:I$75,"="&amp;I59,H$12:H$75,"&lt;="&amp;H59,E$12:E$75,"="&amp;E59,C$12:C$75,"&lt;&gt;")))</f>
        <v>F2</v>
      </c>
      <c r="H59" s="12" t="str">
        <f aca="false">IF($C59="","",IFERROR(LEFT($C59,FIND("-",$C59)-1),$C59))</f>
        <v>Iene Ilari</v>
      </c>
      <c r="I59" s="7" t="str">
        <f aca="false">TEXT(1000000000+J59,"|0000000000|")&amp;TEXT(SUM(Y59:AF59),"0000000000|")&amp;IF(SUM(AZ59:BG59)=0,"0000000000|",TEXT(ROUND(SUM(AQ59:AX59)/SUM(AZ59:BG59),4)*100000,"0000000000|"))&amp;IF(P59=0,"0000000000|",TEXT(ROUND(O59/P59,4)*100000,"0000000000|"))</f>
        <v>|1000000019|0000000000|0000083560|0000121200|</v>
      </c>
      <c r="J59" s="24" t="n">
        <f aca="false">L59*constPuntiVittoria+M59*constPuntiSconfitta+N59*constPuntiForfait+IF(D59="",0,D59)</f>
        <v>19</v>
      </c>
      <c r="K59" s="7" t="n">
        <f aca="false">SUM(L59:N59)</f>
        <v>7</v>
      </c>
      <c r="L59" s="7" t="n">
        <f aca="false">IF($H59="",0,SUMIF('Calendario F'!$M$8:$M$110,$H59,'Calendario F'!$N$8:$N$110)+SUMIF('Calendario F'!$T$8:$T$110,$H59,'Calendario F'!$U$8:$U$110))</f>
        <v>6</v>
      </c>
      <c r="M59" s="7" t="n">
        <f aca="false">IF($H59="",0,SUMIF('Calendario F'!$M$8:$M$110,$H59,'Calendario F'!$P$8:$P$110)+SUMIF('Calendario F'!$T$8:$T$110,$H59,'Calendario F'!$W$8:$W$110))</f>
        <v>1</v>
      </c>
      <c r="N59" s="7" t="n">
        <f aca="false">IF($H59="",0,SUMIF('Calendario F'!$M$8:$M$110,$H59,'Calendario F'!$O$8:$O$110)+SUMIF('Calendario F'!$T$8:$T$110,$H59,'Calendario F'!$V$8:$V$110))</f>
        <v>0</v>
      </c>
      <c r="O59" s="7" t="n">
        <f aca="false">IF($H59="",0,SUMIF('Calendario F'!$M$8:$M$110,$H59,'Calendario F'!$Q$8:$Q$110)+SUMIF('Calendario F'!$T$8:$T$110,$H59,'Calendario F'!$X$8:$X$110))</f>
        <v>486</v>
      </c>
      <c r="P59" s="7" t="n">
        <f aca="false">IF($H59="",0,SUMIF('Calendario F'!$M$8:$M$110,$H59,'Calendario F'!$R$8:$R$110)+SUMIF('Calendario F'!$T$8:$T$110,$H59,'Calendario F'!$Y$8:$Y$110))</f>
        <v>401</v>
      </c>
      <c r="Q59" s="7" t="n">
        <f aca="false">IF($H59="",0,SUMIF('Calendario F'!$M$8:$M$110,$H59,'Calendario F'!$S$8:$S$110)+SUMIF('Calendario F'!$T$8:$T$110,$H59,'Calendario F'!$Z$8:$Z$110))</f>
        <v>85</v>
      </c>
      <c r="R59" s="7" t="n">
        <f aca="false">IF(K59=0,0,ROUND(O59/K59,2))</f>
        <v>69.43</v>
      </c>
      <c r="S59" s="7" t="n">
        <f aca="false">IF(K59=0,0,ROUND(P59/K59,2))</f>
        <v>57.29</v>
      </c>
      <c r="T59" s="7" t="n">
        <f aca="false">IF(K59=0,0,ROUND(Q59/K59,2))</f>
        <v>12.14</v>
      </c>
      <c r="U59" s="7" t="str">
        <f aca="false">IF(COUNT(Y59:AF59)=0,"-",SUM(Y59:AF59)&amp;"-"&amp;SUM(AH59:AO59))</f>
        <v>0-1</v>
      </c>
      <c r="V59" s="7" t="str">
        <f aca="false">IF(COUNT(Y59:AF59)=0,"-",IF(SUM(AZ59:BG59)=0,TEXT(0,"0.0000"),TEXT(ROUND(SUM(AQ59:AX59)/SUM(AZ59:BG59),4),"0.0000")))</f>
        <v>0.8356</v>
      </c>
      <c r="W59" s="7" t="str">
        <f aca="false">IF(H59="","-",IF(P59=0,TEXT(0,"0.0000"),TEXT(ROUND(O59/P59,4),"0.0000")))</f>
        <v>1.2120</v>
      </c>
      <c r="X59" s="13" t="str">
        <f aca="false">$C59</f>
        <v>Iene Ilari-Ieneopoli IE</v>
      </c>
      <c r="Y59" s="14" t="str">
        <f aca="false">IF(AND($H59&lt;&gt;"",$H$52&lt;&gt;"",$H59&lt;&gt;$H$52,IFERROR(VLOOKUP($H59,areaCercaPuntiClassificaSquadra,3,FALSE()),-1)=IFERROR(VLOOKUP($H$52,areaCercaPuntiClassificaSquadra,3,FALSE()),-2)),SUMIFS('Calendario F'!$N$8:$N$110,'Calendario F'!$M$8:$M$110,$H59,'Calendario F'!$T$8:$T$110,$H$52)+SUMIFS('Calendario F'!$U$8:$U$110,'Calendario F'!$T$8:$T$110,$H59,'Calendario F'!$M$8:$M$110,$H$52),"-")</f>
        <v>-</v>
      </c>
      <c r="Z59" s="14" t="str">
        <f aca="false">IF(AND($H59&lt;&gt;"",$H$53&lt;&gt;"",$H59&lt;&gt;$H$53,IFERROR(VLOOKUP($H59,areaCercaPuntiClassificaSquadra,3,FALSE()),-1)=IFERROR(VLOOKUP($H$53,areaCercaPuntiClassificaSquadra,3,FALSE()),-2)),SUMIFS('Calendario F'!$N$8:$N$110,'Calendario F'!$M$8:$M$110,$H59,'Calendario F'!$T$8:$T$110,$H$53)+SUMIFS('Calendario F'!$U$8:$U$110,'Calendario F'!$T$8:$T$110,$H59,'Calendario F'!$M$8:$M$110,$H$53),"-")</f>
        <v>-</v>
      </c>
      <c r="AA59" s="14" t="str">
        <f aca="false">IF(AND($H59&lt;&gt;"",$H$54&lt;&gt;"",$H59&lt;&gt;$H$54,IFERROR(VLOOKUP($H59,areaCercaPuntiClassificaSquadra,3,FALSE()),-1)=IFERROR(VLOOKUP($H$54,areaCercaPuntiClassificaSquadra,3,FALSE()),-2)),SUMIFS('Calendario F'!$N$8:$N$110,'Calendario F'!$M$8:$M$110,$H59,'Calendario F'!$T$8:$T$110,$H$54)+SUMIFS('Calendario F'!$U$8:$U$110,'Calendario F'!$T$8:$T$110,$H59,'Calendario F'!$M$8:$M$110,$H$54),"-")</f>
        <v>-</v>
      </c>
      <c r="AB59" s="14" t="n">
        <f aca="false">IF(AND($H59&lt;&gt;"",$H$55&lt;&gt;"",$H59&lt;&gt;$H$55,IFERROR(VLOOKUP($H59,areaCercaPuntiClassificaSquadra,3,FALSE()),-1)=IFERROR(VLOOKUP($H$55,areaCercaPuntiClassificaSquadra,3,FALSE()),-2)),SUMIFS('Calendario F'!$N$8:$N$110,'Calendario F'!$M$8:$M$110,$H59,'Calendario F'!$T$8:$T$110,$H$55)+SUMIFS('Calendario F'!$U$8:$U$110,'Calendario F'!$T$8:$T$110,$H59,'Calendario F'!$M$8:$M$110,$H$55),"-")</f>
        <v>0</v>
      </c>
      <c r="AC59" s="14" t="str">
        <f aca="false">IF(AND($H59&lt;&gt;"",$H$56&lt;&gt;"",$H59&lt;&gt;$H$56,IFERROR(VLOOKUP($H59,areaCercaPuntiClassificaSquadra,3,FALSE()),-1)=IFERROR(VLOOKUP($H$56,areaCercaPuntiClassificaSquadra,3,FALSE()),-2)),SUMIFS('Calendario F'!$N$8:$N$110,'Calendario F'!$M$8:$M$110,$H59,'Calendario F'!$T$8:$T$110,$H$56)+SUMIFS('Calendario F'!$U$8:$U$110,'Calendario F'!$T$8:$T$110,$H59,'Calendario F'!$M$8:$M$110,$H$56),"-")</f>
        <v>-</v>
      </c>
      <c r="AD59" s="14" t="str">
        <f aca="false">IF(AND($H59&lt;&gt;"",$H$57&lt;&gt;"",$H59&lt;&gt;$H$57,IFERROR(VLOOKUP($H59,areaCercaPuntiClassificaSquadra,3,FALSE()),-1)=IFERROR(VLOOKUP($H$57,areaCercaPuntiClassificaSquadra,3,FALSE()),-2)),SUMIFS('Calendario F'!$N$8:$N$110,'Calendario F'!$M$8:$M$110,$H59,'Calendario F'!$T$8:$T$110,$H$57)+SUMIFS('Calendario F'!$U$8:$U$110,'Calendario F'!$T$8:$T$110,$H59,'Calendario F'!$M$8:$M$110,$H$57),"-")</f>
        <v>-</v>
      </c>
      <c r="AE59" s="14" t="str">
        <f aca="false">IF(AND($H59&lt;&gt;"",$H$58&lt;&gt;"",$H59&lt;&gt;$H$58,IFERROR(VLOOKUP($H59,areaCercaPuntiClassificaSquadra,3,FALSE()),-1)=IFERROR(VLOOKUP($H$58,areaCercaPuntiClassificaSquadra,3,FALSE()),-2)),SUMIFS('Calendario F'!$N$8:$N$110,'Calendario F'!$M$8:$M$110,$H59,'Calendario F'!$T$8:$T$110,$H$58)+SUMIFS('Calendario F'!$U$8:$U$110,'Calendario F'!$T$8:$T$110,$H59,'Calendario F'!$M$8:$M$110,$H$58),"-")</f>
        <v>-</v>
      </c>
      <c r="AF59" s="14" t="str">
        <f aca="false">IF(AND($H59&lt;&gt;"",$H$59&lt;&gt;"",$H59&lt;&gt;$H$59,IFERROR(VLOOKUP($H59,areaCercaPuntiClassificaSquadra,3,FALSE()),-1)=IFERROR(VLOOKUP($H$59,areaCercaPuntiClassificaSquadra,3,FALSE()),-2)),SUMIFS('Calendario F'!$N$8:$N$110,'Calendario F'!$M$8:$M$110,$H59,'Calendario F'!$T$8:$T$110,$H$59)+SUMIFS('Calendario F'!$U$8:$U$110,'Calendario F'!$T$8:$T$110,$H59,'Calendario F'!$M$8:$M$110,$H$59),"-")</f>
        <v>-</v>
      </c>
      <c r="AG59" s="13" t="str">
        <f aca="false">$C59</f>
        <v>Iene Ilari-Ieneopoli IE</v>
      </c>
      <c r="AH59" s="14" t="str">
        <f aca="false">IF(AND($H59&lt;&gt;"",$H$52&lt;&gt;"",$H59&lt;&gt;$H$52,IFERROR(VLOOKUP($H59,areaCercaPuntiClassificaSquadra,3,FALSE()),-1)=IFERROR(VLOOKUP($H$52,areaCercaPuntiClassificaSquadra,3,FALSE()),-2)),SUMIFS('Calendario F'!$P$8:$P$110,'Calendario F'!$M$8:$M$110,$H59,'Calendario F'!$T$8:$T$110,$H$52)+SUMIFS('Calendario F'!$W$8:$W$110,'Calendario F'!$T$8:$T$110,$H59,'Calendario F'!$M$8:$M$110,$H$52)+SUMIFS('Calendario F'!$O$8:$O$110,'Calendario F'!$M$8:$M$110,$H59,'Calendario F'!$T$8:$T$110,$H$52)+SUMIFS('Calendario F'!$V$8:$V$110,'Calendario F'!$T$8:$T$110,$H59,'Calendario F'!$M$8:$M$110,$H$52),"-")</f>
        <v>-</v>
      </c>
      <c r="AI59" s="14" t="str">
        <f aca="false">IF(AND($H59&lt;&gt;"",$H$53&lt;&gt;"",$H59&lt;&gt;$H$53,IFERROR(VLOOKUP($H59,areaCercaPuntiClassificaSquadra,3,FALSE()),-1)=IFERROR(VLOOKUP($H$53,areaCercaPuntiClassificaSquadra,3,FALSE()),-2)),SUMIFS('Calendario F'!$P$8:$P$110,'Calendario F'!$M$8:$M$110,$H59,'Calendario F'!$T$8:$T$110,$H$53)+SUMIFS('Calendario F'!$W$8:$W$110,'Calendario F'!$T$8:$T$110,$H59,'Calendario F'!$M$8:$M$110,$H$53)+SUMIFS('Calendario F'!$O$8:$O$110,'Calendario F'!$M$8:$M$110,$H59,'Calendario F'!$T$8:$T$110,$H$53)+SUMIFS('Calendario F'!$V$8:$V$110,'Calendario F'!$T$8:$T$110,$H59,'Calendario F'!$M$8:$M$110,$H$53),"-")</f>
        <v>-</v>
      </c>
      <c r="AJ59" s="14" t="str">
        <f aca="false">IF(AND($H59&lt;&gt;"",$H$54&lt;&gt;"",$H59&lt;&gt;$H$54,IFERROR(VLOOKUP($H59,areaCercaPuntiClassificaSquadra,3,FALSE()),-1)=IFERROR(VLOOKUP($H$54,areaCercaPuntiClassificaSquadra,3,FALSE()),-2)),SUMIFS('Calendario F'!$P$8:$P$110,'Calendario F'!$M$8:$M$110,$H59,'Calendario F'!$T$8:$T$110,$H$54)+SUMIFS('Calendario F'!$W$8:$W$110,'Calendario F'!$T$8:$T$110,$H59,'Calendario F'!$M$8:$M$110,$H$54)+SUMIFS('Calendario F'!$O$8:$O$110,'Calendario F'!$M$8:$M$110,$H59,'Calendario F'!$T$8:$T$110,$H$54)+SUMIFS('Calendario F'!$V$8:$V$110,'Calendario F'!$T$8:$T$110,$H59,'Calendario F'!$M$8:$M$110,$H$54),"-")</f>
        <v>-</v>
      </c>
      <c r="AK59" s="14" t="n">
        <f aca="false">IF(AND($H59&lt;&gt;"",$H$55&lt;&gt;"",$H59&lt;&gt;$H$55,IFERROR(VLOOKUP($H59,areaCercaPuntiClassificaSquadra,3,FALSE()),-1)=IFERROR(VLOOKUP($H$55,areaCercaPuntiClassificaSquadra,3,FALSE()),-2)),SUMIFS('Calendario F'!$P$8:$P$110,'Calendario F'!$M$8:$M$110,$H59,'Calendario F'!$T$8:$T$110,$H$55)+SUMIFS('Calendario F'!$W$8:$W$110,'Calendario F'!$T$8:$T$110,$H59,'Calendario F'!$M$8:$M$110,$H$55)+SUMIFS('Calendario F'!$O$8:$O$110,'Calendario F'!$M$8:$M$110,$H59,'Calendario F'!$T$8:$T$110,$H$55)+SUMIFS('Calendario F'!$V$8:$V$110,'Calendario F'!$T$8:$T$110,$H59,'Calendario F'!$M$8:$M$110,$H$55),"-")</f>
        <v>1</v>
      </c>
      <c r="AL59" s="14" t="str">
        <f aca="false">IF(AND($H59&lt;&gt;"",$H$56&lt;&gt;"",$H59&lt;&gt;$H$56,IFERROR(VLOOKUP($H59,areaCercaPuntiClassificaSquadra,3,FALSE()),-1)=IFERROR(VLOOKUP($H$56,areaCercaPuntiClassificaSquadra,3,FALSE()),-2)),SUMIFS('Calendario F'!$P$8:$P$110,'Calendario F'!$M$8:$M$110,$H59,'Calendario F'!$T$8:$T$110,$H$56)+SUMIFS('Calendario F'!$W$8:$W$110,'Calendario F'!$T$8:$T$110,$H59,'Calendario F'!$M$8:$M$110,$H$56)+SUMIFS('Calendario F'!$O$8:$O$110,'Calendario F'!$M$8:$M$110,$H59,'Calendario F'!$T$8:$T$110,$H$56)+SUMIFS('Calendario F'!$V$8:$V$110,'Calendario F'!$T$8:$T$110,$H59,'Calendario F'!$M$8:$M$110,$H$56),"-")</f>
        <v>-</v>
      </c>
      <c r="AM59" s="14" t="str">
        <f aca="false">IF(AND($H59&lt;&gt;"",$H$57&lt;&gt;"",$H59&lt;&gt;$H$57,IFERROR(VLOOKUP($H59,areaCercaPuntiClassificaSquadra,3,FALSE()),-1)=IFERROR(VLOOKUP($H$57,areaCercaPuntiClassificaSquadra,3,FALSE()),-2)),SUMIFS('Calendario F'!$P$8:$P$110,'Calendario F'!$M$8:$M$110,$H59,'Calendario F'!$T$8:$T$110,$H$57)+SUMIFS('Calendario F'!$W$8:$W$110,'Calendario F'!$T$8:$T$110,$H59,'Calendario F'!$M$8:$M$110,$H$57)+SUMIFS('Calendario F'!$O$8:$O$110,'Calendario F'!$M$8:$M$110,$H59,'Calendario F'!$T$8:$T$110,$H$57)+SUMIFS('Calendario F'!$V$8:$V$110,'Calendario F'!$T$8:$T$110,$H59,'Calendario F'!$M$8:$M$110,$H$57),"-")</f>
        <v>-</v>
      </c>
      <c r="AN59" s="14" t="str">
        <f aca="false">IF(AND($H59&lt;&gt;"",$H$58&lt;&gt;"",$H59&lt;&gt;$H$58,IFERROR(VLOOKUP($H59,areaCercaPuntiClassificaSquadra,3,FALSE()),-1)=IFERROR(VLOOKUP($H$58,areaCercaPuntiClassificaSquadra,3,FALSE()),-2)),SUMIFS('Calendario F'!$P$8:$P$110,'Calendario F'!$M$8:$M$110,$H59,'Calendario F'!$T$8:$T$110,$H$58)+SUMIFS('Calendario F'!$W$8:$W$110,'Calendario F'!$T$8:$T$110,$H59,'Calendario F'!$M$8:$M$110,$H$58)+SUMIFS('Calendario F'!$O$8:$O$110,'Calendario F'!$M$8:$M$110,$H59,'Calendario F'!$T$8:$T$110,$H$58)+SUMIFS('Calendario F'!$V$8:$V$110,'Calendario F'!$T$8:$T$110,$H59,'Calendario F'!$M$8:$M$110,$H$58),"-")</f>
        <v>-</v>
      </c>
      <c r="AO59" s="14" t="str">
        <f aca="false">IF(AND($H59&lt;&gt;"",$H$59&lt;&gt;"",$H59&lt;&gt;$H$59,IFERROR(VLOOKUP($H59,areaCercaPuntiClassificaSquadra,3,FALSE()),-1)=IFERROR(VLOOKUP($H$59,areaCercaPuntiClassificaSquadra,3,FALSE()),-2)),SUMIFS('Calendario F'!$P$8:$P$110,'Calendario F'!$M$8:$M$110,$H59,'Calendario F'!$T$8:$T$110,$H$59)+SUMIFS('Calendario F'!$W$8:$W$110,'Calendario F'!$T$8:$T$110,$H59,'Calendario F'!$M$8:$M$110,$H$59)+SUMIFS('Calendario F'!$O$8:$O$110,'Calendario F'!$M$8:$M$110,$H59,'Calendario F'!$T$8:$T$110,$H$59)+SUMIFS('Calendario F'!$V$8:$V$110,'Calendario F'!$T$8:$T$110,$H59,'Calendario F'!$M$8:$M$110,$H$59),"-")</f>
        <v>-</v>
      </c>
      <c r="AP59" s="13" t="str">
        <f aca="false">$C59</f>
        <v>Iene Ilari-Ieneopoli IE</v>
      </c>
      <c r="AQ59" s="14" t="str">
        <f aca="false">IF(AND($H59&lt;&gt;"",$H$52&lt;&gt;"",$H59&lt;&gt;$H$52,IFERROR(VLOOKUP($H59,areaCercaPuntiClassificaSquadra,3,FALSE()),-1)=IFERROR(VLOOKUP($H$52,areaCercaPuntiClassificaSquadra,3,FALSE()),-2)),SUMIFS('Calendario F'!$Q$8:$Q$110,'Calendario F'!$M$8:$M$110,$H59,'Calendario F'!$T$8:$T$110,$H$52)+SUMIFS('Calendario F'!$X$8:$X$110,'Calendario F'!$T$8:$T$110,$H59,'Calendario F'!$M$8:$M$110,$H$52),"-")</f>
        <v>-</v>
      </c>
      <c r="AR59" s="14" t="str">
        <f aca="false">IF(AND($H59&lt;&gt;"",$H$53&lt;&gt;"",$H59&lt;&gt;$H$53,IFERROR(VLOOKUP($H59,areaCercaPuntiClassificaSquadra,3,FALSE()),-1)=IFERROR(VLOOKUP($H$53,areaCercaPuntiClassificaSquadra,3,FALSE()),-2)),SUMIFS('Calendario F'!$Q$8:$Q$110,'Calendario F'!$M$8:$M$110,$H59,'Calendario F'!$T$8:$T$110,$H$53)+SUMIFS('Calendario F'!$X$8:$X$110,'Calendario F'!$T$8:$T$110,$H59,'Calendario F'!$M$8:$M$110,$H$53),"-")</f>
        <v>-</v>
      </c>
      <c r="AS59" s="14" t="str">
        <f aca="false">IF(AND($H59&lt;&gt;"",$H$54&lt;&gt;"",$H59&lt;&gt;$H$54,IFERROR(VLOOKUP($H59,areaCercaPuntiClassificaSquadra,3,FALSE()),-1)=IFERROR(VLOOKUP($H$54,areaCercaPuntiClassificaSquadra,3,FALSE()),-2)),SUMIFS('Calendario F'!$Q$8:$Q$110,'Calendario F'!$M$8:$M$110,$H59,'Calendario F'!$T$8:$T$110,$H$54)+SUMIFS('Calendario F'!$X$8:$X$110,'Calendario F'!$T$8:$T$110,$H59,'Calendario F'!$M$8:$M$110,$H$54),"-")</f>
        <v>-</v>
      </c>
      <c r="AT59" s="14" t="n">
        <f aca="false">IF(AND($H59&lt;&gt;"",$H$55&lt;&gt;"",$H59&lt;&gt;$H$55,IFERROR(VLOOKUP($H59,areaCercaPuntiClassificaSquadra,3,FALSE()),-1)=IFERROR(VLOOKUP($H$55,areaCercaPuntiClassificaSquadra,3,FALSE()),-2)),SUMIFS('Calendario F'!$Q$8:$Q$110,'Calendario F'!$M$8:$M$110,$H59,'Calendario F'!$T$8:$T$110,$H$55)+SUMIFS('Calendario F'!$X$8:$X$110,'Calendario F'!$T$8:$T$110,$H59,'Calendario F'!$M$8:$M$110,$H$55),"-")</f>
        <v>61</v>
      </c>
      <c r="AU59" s="14" t="str">
        <f aca="false">IF(AND($H59&lt;&gt;"",$H$56&lt;&gt;"",$H59&lt;&gt;$H$56,IFERROR(VLOOKUP($H59,areaCercaPuntiClassificaSquadra,3,FALSE()),-1)=IFERROR(VLOOKUP($H$56,areaCercaPuntiClassificaSquadra,3,FALSE()),-2)),SUMIFS('Calendario F'!$Q$8:$Q$110,'Calendario F'!$M$8:$M$110,$H59,'Calendario F'!$T$8:$T$110,$H$56)+SUMIFS('Calendario F'!$X$8:$X$110,'Calendario F'!$T$8:$T$110,$H59,'Calendario F'!$M$8:$M$110,$H$56),"-")</f>
        <v>-</v>
      </c>
      <c r="AV59" s="14" t="str">
        <f aca="false">IF(AND($H59&lt;&gt;"",$H$57&lt;&gt;"",$H59&lt;&gt;$H$57,IFERROR(VLOOKUP($H59,areaCercaPuntiClassificaSquadra,3,FALSE()),-1)=IFERROR(VLOOKUP($H$57,areaCercaPuntiClassificaSquadra,3,FALSE()),-2)),SUMIFS('Calendario F'!$Q$8:$Q$110,'Calendario F'!$M$8:$M$110,$H59,'Calendario F'!$T$8:$T$110,$H$57)+SUMIFS('Calendario F'!$X$8:$X$110,'Calendario F'!$T$8:$T$110,$H59,'Calendario F'!$M$8:$M$110,$H$57),"-")</f>
        <v>-</v>
      </c>
      <c r="AW59" s="14" t="str">
        <f aca="false">IF(AND($H59&lt;&gt;"",$H$58&lt;&gt;"",$H59&lt;&gt;$H$58,IFERROR(VLOOKUP($H59,areaCercaPuntiClassificaSquadra,3,FALSE()),-1)=IFERROR(VLOOKUP($H$58,areaCercaPuntiClassificaSquadra,3,FALSE()),-2)),SUMIFS('Calendario F'!$Q$8:$Q$110,'Calendario F'!$M$8:$M$110,$H59,'Calendario F'!$T$8:$T$110,$H$58)+SUMIFS('Calendario F'!$X$8:$X$110,'Calendario F'!$T$8:$T$110,$H59,'Calendario F'!$M$8:$M$110,$H$58),"-")</f>
        <v>-</v>
      </c>
      <c r="AX59" s="14" t="str">
        <f aca="false">IF(AND($H59&lt;&gt;"",$H$59&lt;&gt;"",$H59&lt;&gt;$H$59,IFERROR(VLOOKUP($H59,areaCercaPuntiClassificaSquadra,3,FALSE()),-1)=IFERROR(VLOOKUP($H$59,areaCercaPuntiClassificaSquadra,3,FALSE()),-2)),SUMIFS('Calendario F'!$Q$8:$Q$110,'Calendario F'!$M$8:$M$110,$H59,'Calendario F'!$T$8:$T$110,$H$59)+SUMIFS('Calendario F'!$X$8:$X$110,'Calendario F'!$T$8:$T$110,$H59,'Calendario F'!$M$8:$M$110,$H$59),"-")</f>
        <v>-</v>
      </c>
      <c r="AY59" s="13" t="str">
        <f aca="false">$C59</f>
        <v>Iene Ilari-Ieneopoli IE</v>
      </c>
      <c r="AZ59" s="14" t="str">
        <f aca="false">IF(AND($H59&lt;&gt;"",$H$52&lt;&gt;"",$H59&lt;&gt;$H$52,IFERROR(VLOOKUP($H59,areaCercaPuntiClassificaSquadra,3,FALSE()),-1)=IFERROR(VLOOKUP($H$52,areaCercaPuntiClassificaSquadra,3,FALSE()),-2)),SUMIFS('Calendario F'!$R$8:$R$110,'Calendario F'!$M$8:$M$110,$H59,'Calendario F'!$T$8:$T$110,$H$52)+SUMIFS('Calendario F'!$Y$8:$Y$110,'Calendario F'!$T$8:$T$110,$H59,'Calendario F'!$M$8:$M$110,$H$52),"-")</f>
        <v>-</v>
      </c>
      <c r="BA59" s="14" t="str">
        <f aca="false">IF(AND($H59&lt;&gt;"",$H$53&lt;&gt;"",$H59&lt;&gt;$H$53,IFERROR(VLOOKUP($H59,areaCercaPuntiClassificaSquadra,3,FALSE()),-1)=IFERROR(VLOOKUP($H$53,areaCercaPuntiClassificaSquadra,3,FALSE()),-2)),SUMIFS('Calendario F'!$R$8:$R$110,'Calendario F'!$M$8:$M$110,$H59,'Calendario F'!$T$8:$T$110,$H$53)+SUMIFS('Calendario F'!$Y$8:$Y$110,'Calendario F'!$T$8:$T$110,$H59,'Calendario F'!$M$8:$M$110,$H$53),"-")</f>
        <v>-</v>
      </c>
      <c r="BB59" s="14" t="str">
        <f aca="false">IF(AND($H59&lt;&gt;"",$H$54&lt;&gt;"",$H59&lt;&gt;$H$54,IFERROR(VLOOKUP($H59,areaCercaPuntiClassificaSquadra,3,FALSE()),-1)=IFERROR(VLOOKUP($H$54,areaCercaPuntiClassificaSquadra,3,FALSE()),-2)),SUMIFS('Calendario F'!$R$8:$R$110,'Calendario F'!$M$8:$M$110,$H59,'Calendario F'!$T$8:$T$110,$H$54)+SUMIFS('Calendario F'!$Y$8:$Y$110,'Calendario F'!$T$8:$T$110,$H59,'Calendario F'!$M$8:$M$110,$H$54),"-")</f>
        <v>-</v>
      </c>
      <c r="BC59" s="14" t="n">
        <f aca="false">IF(AND($H59&lt;&gt;"",$H$55&lt;&gt;"",$H59&lt;&gt;$H$55,IFERROR(VLOOKUP($H59,areaCercaPuntiClassificaSquadra,3,FALSE()),-1)=IFERROR(VLOOKUP($H$55,areaCercaPuntiClassificaSquadra,3,FALSE()),-2)),SUMIFS('Calendario F'!$R$8:$R$110,'Calendario F'!$M$8:$M$110,$H59,'Calendario F'!$T$8:$T$110,$H$55)+SUMIFS('Calendario F'!$Y$8:$Y$110,'Calendario F'!$T$8:$T$110,$H59,'Calendario F'!$M$8:$M$110,$H$55),"-")</f>
        <v>73</v>
      </c>
      <c r="BD59" s="14" t="str">
        <f aca="false">IF(AND($H59&lt;&gt;"",$H$56&lt;&gt;"",$H59&lt;&gt;$H$56,IFERROR(VLOOKUP($H59,areaCercaPuntiClassificaSquadra,3,FALSE()),-1)=IFERROR(VLOOKUP($H$56,areaCercaPuntiClassificaSquadra,3,FALSE()),-2)),SUMIFS('Calendario F'!$R$8:$R$110,'Calendario F'!$M$8:$M$110,$H59,'Calendario F'!$T$8:$T$110,$H$56)+SUMIFS('Calendario F'!$Y$8:$Y$110,'Calendario F'!$T$8:$T$110,$H59,'Calendario F'!$M$8:$M$110,$H$56),"-")</f>
        <v>-</v>
      </c>
      <c r="BE59" s="14" t="str">
        <f aca="false">IF(AND($H59&lt;&gt;"",$H$57&lt;&gt;"",$H59&lt;&gt;$H$57,IFERROR(VLOOKUP($H59,areaCercaPuntiClassificaSquadra,3,FALSE()),-1)=IFERROR(VLOOKUP($H$57,areaCercaPuntiClassificaSquadra,3,FALSE()),-2)),SUMIFS('Calendario F'!$R$8:$R$110,'Calendario F'!$M$8:$M$110,$H59,'Calendario F'!$T$8:$T$110,$H$57)+SUMIFS('Calendario F'!$Y$8:$Y$110,'Calendario F'!$T$8:$T$110,$H59,'Calendario F'!$M$8:$M$110,$H$57),"-")</f>
        <v>-</v>
      </c>
      <c r="BF59" s="14" t="str">
        <f aca="false">IF(AND($H59&lt;&gt;"",$H$58&lt;&gt;"",$H59&lt;&gt;$H$58,IFERROR(VLOOKUP($H59,areaCercaPuntiClassificaSquadra,3,FALSE()),-1)=IFERROR(VLOOKUP($H$58,areaCercaPuntiClassificaSquadra,3,FALSE()),-2)),SUMIFS('Calendario F'!$R$8:$R$110,'Calendario F'!$M$8:$M$110,$H59,'Calendario F'!$T$8:$T$110,$H$58)+SUMIFS('Calendario F'!$Y$8:$Y$110,'Calendario F'!$T$8:$T$110,$H59,'Calendario F'!$M$8:$M$110,$H$58),"-")</f>
        <v>-</v>
      </c>
      <c r="BG59" s="14" t="str">
        <f aca="false">IF(AND($H59&lt;&gt;"",$H$59&lt;&gt;"",$H59&lt;&gt;$H$59,IFERROR(VLOOKUP($H59,areaCercaPuntiClassificaSquadra,3,FALSE()),-1)=IFERROR(VLOOKUP($H$59,areaCercaPuntiClassificaSquadra,3,FALSE()),-2)),SUMIFS('Calendario F'!$R$8:$R$110,'Calendario F'!$M$8:$M$110,$H59,'Calendario F'!$T$8:$T$110,$H$59)+SUMIFS('Calendario F'!$Y$8:$Y$110,'Calendario F'!$T$8:$T$110,$H59,'Calendario F'!$M$8:$M$110,$H$59),"-")</f>
        <v>-</v>
      </c>
    </row>
    <row r="60" customFormat="false" ht="15" hidden="false" customHeight="false" outlineLevel="0" collapsed="false">
      <c r="B60" s="7" t="s">
        <v>149</v>
      </c>
      <c r="C60" s="8" t="s">
        <v>150</v>
      </c>
      <c r="D60" s="9"/>
      <c r="E60" s="25" t="s">
        <v>151</v>
      </c>
      <c r="G60" s="26" t="str">
        <f aca="false">IF($C60="","",$E60&amp;(COUNTIFS(I$12:I$75,"&gt;"&amp;I60,E$12:E$75,"="&amp;E60,C$12:C$75,"&lt;&gt;")+COUNTIFS(I$12:I$75,"="&amp;I60,H$12:H$75,"&lt;="&amp;H60,E$12:E$75,"="&amp;E60,C$12:C$75,"&lt;&gt;")))</f>
        <v>G5</v>
      </c>
      <c r="H60" s="12" t="str">
        <f aca="false">IF($C60="","",IFERROR(LEFT($C60,FIND("-",$C60)-1),$C60))</f>
        <v>Koala Kolossali</v>
      </c>
      <c r="I60" s="7" t="str">
        <f aca="false">TEXT(1000000000+J60,"|0000000000|")&amp;TEXT(SUM(Y60:AF60),"0000000000|")&amp;IF(SUM(AZ60:BG60)=0,"0000000000|",TEXT(ROUND(SUM(AQ60:AX60)/SUM(AZ60:BG60),4)*100000,"0000000000|"))&amp;IF(P60=0,"0000000000|",TEXT(ROUND(O60/P60,4)*100000,"0000000000|"))</f>
        <v>|1000000013|0000000000|0000000000|0000096450|</v>
      </c>
      <c r="J60" s="26" t="n">
        <f aca="false">L60*constPuntiVittoria+M60*constPuntiSconfitta+N60*constPuntiForfait+IF(D60="",0,D60)</f>
        <v>13</v>
      </c>
      <c r="K60" s="7" t="n">
        <f aca="false">SUM(L60:N60)</f>
        <v>7</v>
      </c>
      <c r="L60" s="7" t="n">
        <f aca="false">IF($H60="",0,SUMIF('Calendario G'!$M$8:$M$110,$H60,'Calendario G'!$N$8:$N$110)+SUMIF('Calendario G'!$T$8:$T$110,$H60,'Calendario G'!$U$8:$U$110))</f>
        <v>3</v>
      </c>
      <c r="M60" s="7" t="n">
        <f aca="false">IF($H60="",0,SUMIF('Calendario G'!$M$8:$M$110,$H60,'Calendario G'!$P$8:$P$110)+SUMIF('Calendario G'!$T$8:$T$110,$H60,'Calendario G'!$W$8:$W$110))</f>
        <v>4</v>
      </c>
      <c r="N60" s="7" t="n">
        <f aca="false">IF($H60="",0,SUMIF('Calendario G'!$M$8:$M$110,$H60,'Calendario G'!$O$8:$O$110)+SUMIF('Calendario G'!$T$8:$T$110,$H60,'Calendario G'!$V$8:$V$110))</f>
        <v>0</v>
      </c>
      <c r="O60" s="7" t="n">
        <f aca="false">IF($H60="",0,SUMIF('Calendario G'!$M$8:$M$110,$H60,'Calendario G'!$Q$8:$Q$110)+SUMIF('Calendario G'!$T$8:$T$110,$H60,'Calendario G'!$X$8:$X$110))</f>
        <v>408</v>
      </c>
      <c r="P60" s="7" t="n">
        <f aca="false">IF($H60="",0,SUMIF('Calendario G'!$M$8:$M$110,$H60,'Calendario G'!$R$8:$R$110)+SUMIF('Calendario G'!$T$8:$T$110,$H60,'Calendario G'!$Y$8:$Y$110))</f>
        <v>423</v>
      </c>
      <c r="Q60" s="7" t="n">
        <f aca="false">IF($H60="",0,SUMIF('Calendario G'!$M$8:$M$110,$H60,'Calendario G'!$S$8:$S$110)+SUMIF('Calendario G'!$T$8:$T$110,$H60,'Calendario G'!$Z$8:$Z$110))</f>
        <v>-15</v>
      </c>
      <c r="R60" s="7" t="n">
        <f aca="false">IF(K60=0,0,ROUND(O60/K60,2))</f>
        <v>58.29</v>
      </c>
      <c r="S60" s="7" t="n">
        <f aca="false">IF(K60=0,0,ROUND(P60/K60,2))</f>
        <v>60.43</v>
      </c>
      <c r="T60" s="7" t="n">
        <f aca="false">IF(K60=0,0,ROUND(Q60/K60,2))</f>
        <v>-2.14</v>
      </c>
      <c r="U60" s="7" t="str">
        <f aca="false">IF(COUNT(Y60:AF60)=0,"-",SUM(Y60:AF60)&amp;"-"&amp;SUM(AH60:AO60))</f>
        <v>-</v>
      </c>
      <c r="V60" s="7" t="str">
        <f aca="false">IF(COUNT(Y60:AF60)=0,"-",IF(SUM(AZ60:BG60)=0,TEXT(0,"0.0000"),TEXT(ROUND(SUM(AQ60:AX60)/SUM(AZ60:BG60),4),"0.0000")))</f>
        <v>-</v>
      </c>
      <c r="W60" s="7" t="str">
        <f aca="false">IF(H60="","-",IF(P60=0,TEXT(0,"0.0000"),TEXT(ROUND(O60/P60,4),"0.0000")))</f>
        <v>0.9645</v>
      </c>
      <c r="X60" s="13" t="str">
        <f aca="false">$C60</f>
        <v>Koala Kolossali-Koalaopoli KA</v>
      </c>
      <c r="Y60" s="14" t="str">
        <f aca="false">IF(AND($H60&lt;&gt;"",$H$60&lt;&gt;"",$H60&lt;&gt;$H$60,IFERROR(VLOOKUP($H60,areaCercaPuntiClassificaSquadra,3,FALSE()),-1)=IFERROR(VLOOKUP($H$60,areaCercaPuntiClassificaSquadra,3,FALSE()),-2)),SUMIFS('Calendario G'!$N$8:$N$110,'Calendario G'!$M$8:$M$110,$H60,'Calendario G'!$T$8:$T$110,$H$60)+SUMIFS('Calendario G'!$U$8:$U$110,'Calendario G'!$T$8:$T$110,$H60,'Calendario G'!$M$8:$M$110,$H$60),"-")</f>
        <v>-</v>
      </c>
      <c r="Z60" s="14" t="str">
        <f aca="false">IF(AND($H60&lt;&gt;"",$H$61&lt;&gt;"",$H60&lt;&gt;$H$61,IFERROR(VLOOKUP($H60,areaCercaPuntiClassificaSquadra,3,FALSE()),-1)=IFERROR(VLOOKUP($H$61,areaCercaPuntiClassificaSquadra,3,FALSE()),-2)),SUMIFS('Calendario G'!$N$8:$N$110,'Calendario G'!$M$8:$M$110,$H60,'Calendario G'!$T$8:$T$110,$H$61)+SUMIFS('Calendario G'!$U$8:$U$110,'Calendario G'!$T$8:$T$110,$H60,'Calendario G'!$M$8:$M$110,$H$61),"-")</f>
        <v>-</v>
      </c>
      <c r="AA60" s="14" t="str">
        <f aca="false">IF(AND($H60&lt;&gt;"",$H$62&lt;&gt;"",$H60&lt;&gt;$H$62,IFERROR(VLOOKUP($H60,areaCercaPuntiClassificaSquadra,3,FALSE()),-1)=IFERROR(VLOOKUP($H$62,areaCercaPuntiClassificaSquadra,3,FALSE()),-2)),SUMIFS('Calendario G'!$N$8:$N$110,'Calendario G'!$M$8:$M$110,$H60,'Calendario G'!$T$8:$T$110,$H$62)+SUMIFS('Calendario G'!$U$8:$U$110,'Calendario G'!$T$8:$T$110,$H60,'Calendario G'!$M$8:$M$110,$H$62),"-")</f>
        <v>-</v>
      </c>
      <c r="AB60" s="14" t="str">
        <f aca="false">IF(AND($H60&lt;&gt;"",$H$63&lt;&gt;"",$H60&lt;&gt;$H$63,IFERROR(VLOOKUP($H60,areaCercaPuntiClassificaSquadra,3,FALSE()),-1)=IFERROR(VLOOKUP($H$63,areaCercaPuntiClassificaSquadra,3,FALSE()),-2)),SUMIFS('Calendario G'!$N$8:$N$110,'Calendario G'!$M$8:$M$110,$H60,'Calendario G'!$T$8:$T$110,$H$63)+SUMIFS('Calendario G'!$U$8:$U$110,'Calendario G'!$T$8:$T$110,$H60,'Calendario G'!$M$8:$M$110,$H$63),"-")</f>
        <v>-</v>
      </c>
      <c r="AC60" s="14" t="str">
        <f aca="false">IF(AND($H60&lt;&gt;"",$H$64&lt;&gt;"",$H60&lt;&gt;$H$64,IFERROR(VLOOKUP($H60,areaCercaPuntiClassificaSquadra,3,FALSE()),-1)=IFERROR(VLOOKUP($H$64,areaCercaPuntiClassificaSquadra,3,FALSE()),-2)),SUMIFS('Calendario G'!$N$8:$N$110,'Calendario G'!$M$8:$M$110,$H60,'Calendario G'!$T$8:$T$110,$H$64)+SUMIFS('Calendario G'!$U$8:$U$110,'Calendario G'!$T$8:$T$110,$H60,'Calendario G'!$M$8:$M$110,$H$64),"-")</f>
        <v>-</v>
      </c>
      <c r="AD60" s="14" t="str">
        <f aca="false">IF(AND($H60&lt;&gt;"",$H$65&lt;&gt;"",$H60&lt;&gt;$H$65,IFERROR(VLOOKUP($H60,areaCercaPuntiClassificaSquadra,3,FALSE()),-1)=IFERROR(VLOOKUP($H$65,areaCercaPuntiClassificaSquadra,3,FALSE()),-2)),SUMIFS('Calendario G'!$N$8:$N$110,'Calendario G'!$M$8:$M$110,$H60,'Calendario G'!$T$8:$T$110,$H$65)+SUMIFS('Calendario G'!$U$8:$U$110,'Calendario G'!$T$8:$T$110,$H60,'Calendario G'!$M$8:$M$110,$H$65),"-")</f>
        <v>-</v>
      </c>
      <c r="AE60" s="14" t="str">
        <f aca="false">IF(AND($H60&lt;&gt;"",$H$66&lt;&gt;"",$H60&lt;&gt;$H$66,IFERROR(VLOOKUP($H60,areaCercaPuntiClassificaSquadra,3,FALSE()),-1)=IFERROR(VLOOKUP($H$66,areaCercaPuntiClassificaSquadra,3,FALSE()),-2)),SUMIFS('Calendario G'!$N$8:$N$110,'Calendario G'!$M$8:$M$110,$H60,'Calendario G'!$T$8:$T$110,$H$66)+SUMIFS('Calendario G'!$U$8:$U$110,'Calendario G'!$T$8:$T$110,$H60,'Calendario G'!$M$8:$M$110,$H$66),"-")</f>
        <v>-</v>
      </c>
      <c r="AF60" s="14" t="str">
        <f aca="false">IF(AND($H60&lt;&gt;"",$H$67&lt;&gt;"",$H60&lt;&gt;$H$67,IFERROR(VLOOKUP($H60,areaCercaPuntiClassificaSquadra,3,FALSE()),-1)=IFERROR(VLOOKUP($H$67,areaCercaPuntiClassificaSquadra,3,FALSE()),-2)),SUMIFS('Calendario G'!$N$8:$N$110,'Calendario G'!$M$8:$M$110,$H60,'Calendario G'!$T$8:$T$110,$H$67)+SUMIFS('Calendario G'!$U$8:$U$110,'Calendario G'!$T$8:$T$110,$H60,'Calendario G'!$M$8:$M$110,$H$67),"-")</f>
        <v>-</v>
      </c>
      <c r="AG60" s="13" t="str">
        <f aca="false">$C60</f>
        <v>Koala Kolossali-Koalaopoli KA</v>
      </c>
      <c r="AH60" s="14" t="str">
        <f aca="false">IF(AND($H60&lt;&gt;"",$H$60&lt;&gt;"",$H60&lt;&gt;$H$60,IFERROR(VLOOKUP($H60,areaCercaPuntiClassificaSquadra,3,FALSE()),-1)=IFERROR(VLOOKUP($H$60,areaCercaPuntiClassificaSquadra,3,FALSE()),-2)),SUMIFS('Calendario G'!$P$8:$P$110,'Calendario G'!$M$8:$M$110,$H60,'Calendario G'!$T$8:$T$110,$H$60)+SUMIFS('Calendario G'!$W$8:$W$110,'Calendario G'!$T$8:$T$110,$H60,'Calendario G'!$M$8:$M$110,$H$60)+SUMIFS('Calendario G'!$O$8:$O$110,'Calendario G'!$M$8:$M$110,$H60,'Calendario G'!$T$8:$T$110,$H$60)+SUMIFS('Calendario G'!$V$8:$V$110,'Calendario G'!$T$8:$T$110,$H60,'Calendario G'!$M$8:$M$110,$H$60),"-")</f>
        <v>-</v>
      </c>
      <c r="AI60" s="14" t="str">
        <f aca="false">IF(AND($H60&lt;&gt;"",$H$61&lt;&gt;"",$H60&lt;&gt;$H$61,IFERROR(VLOOKUP($H60,areaCercaPuntiClassificaSquadra,3,FALSE()),-1)=IFERROR(VLOOKUP($H$61,areaCercaPuntiClassificaSquadra,3,FALSE()),-2)),SUMIFS('Calendario G'!$P$8:$P$110,'Calendario G'!$M$8:$M$110,$H60,'Calendario G'!$T$8:$T$110,$H$61)+SUMIFS('Calendario G'!$W$8:$W$110,'Calendario G'!$T$8:$T$110,$H60,'Calendario G'!$M$8:$M$110,$H$61)+SUMIFS('Calendario G'!$O$8:$O$110,'Calendario G'!$M$8:$M$110,$H60,'Calendario G'!$T$8:$T$110,$H$61)+SUMIFS('Calendario G'!$V$8:$V$110,'Calendario G'!$T$8:$T$110,$H60,'Calendario G'!$M$8:$M$110,$H$61),"-")</f>
        <v>-</v>
      </c>
      <c r="AJ60" s="14" t="str">
        <f aca="false">IF(AND($H60&lt;&gt;"",$H$62&lt;&gt;"",$H60&lt;&gt;$H$62,IFERROR(VLOOKUP($H60,areaCercaPuntiClassificaSquadra,3,FALSE()),-1)=IFERROR(VLOOKUP($H$62,areaCercaPuntiClassificaSquadra,3,FALSE()),-2)),SUMIFS('Calendario G'!$P$8:$P$110,'Calendario G'!$M$8:$M$110,$H60,'Calendario G'!$T$8:$T$110,$H$62)+SUMIFS('Calendario G'!$W$8:$W$110,'Calendario G'!$T$8:$T$110,$H60,'Calendario G'!$M$8:$M$110,$H$62)+SUMIFS('Calendario G'!$O$8:$O$110,'Calendario G'!$M$8:$M$110,$H60,'Calendario G'!$T$8:$T$110,$H$62)+SUMIFS('Calendario G'!$V$8:$V$110,'Calendario G'!$T$8:$T$110,$H60,'Calendario G'!$M$8:$M$110,$H$62),"-")</f>
        <v>-</v>
      </c>
      <c r="AK60" s="14" t="str">
        <f aca="false">IF(AND($H60&lt;&gt;"",$H$63&lt;&gt;"",$H60&lt;&gt;$H$63,IFERROR(VLOOKUP($H60,areaCercaPuntiClassificaSquadra,3,FALSE()),-1)=IFERROR(VLOOKUP($H$63,areaCercaPuntiClassificaSquadra,3,FALSE()),-2)),SUMIFS('Calendario G'!$P$8:$P$110,'Calendario G'!$M$8:$M$110,$H60,'Calendario G'!$T$8:$T$110,$H$63)+SUMIFS('Calendario G'!$W$8:$W$110,'Calendario G'!$T$8:$T$110,$H60,'Calendario G'!$M$8:$M$110,$H$63)+SUMIFS('Calendario G'!$O$8:$O$110,'Calendario G'!$M$8:$M$110,$H60,'Calendario G'!$T$8:$T$110,$H$63)+SUMIFS('Calendario G'!$V$8:$V$110,'Calendario G'!$T$8:$T$110,$H60,'Calendario G'!$M$8:$M$110,$H$63),"-")</f>
        <v>-</v>
      </c>
      <c r="AL60" s="14" t="str">
        <f aca="false">IF(AND($H60&lt;&gt;"",$H$64&lt;&gt;"",$H60&lt;&gt;$H$64,IFERROR(VLOOKUP($H60,areaCercaPuntiClassificaSquadra,3,FALSE()),-1)=IFERROR(VLOOKUP($H$64,areaCercaPuntiClassificaSquadra,3,FALSE()),-2)),SUMIFS('Calendario G'!$P$8:$P$110,'Calendario G'!$M$8:$M$110,$H60,'Calendario G'!$T$8:$T$110,$H$64)+SUMIFS('Calendario G'!$W$8:$W$110,'Calendario G'!$T$8:$T$110,$H60,'Calendario G'!$M$8:$M$110,$H$64)+SUMIFS('Calendario G'!$O$8:$O$110,'Calendario G'!$M$8:$M$110,$H60,'Calendario G'!$T$8:$T$110,$H$64)+SUMIFS('Calendario G'!$V$8:$V$110,'Calendario G'!$T$8:$T$110,$H60,'Calendario G'!$M$8:$M$110,$H$64),"-")</f>
        <v>-</v>
      </c>
      <c r="AM60" s="14" t="str">
        <f aca="false">IF(AND($H60&lt;&gt;"",$H$65&lt;&gt;"",$H60&lt;&gt;$H$65,IFERROR(VLOOKUP($H60,areaCercaPuntiClassificaSquadra,3,FALSE()),-1)=IFERROR(VLOOKUP($H$65,areaCercaPuntiClassificaSquadra,3,FALSE()),-2)),SUMIFS('Calendario G'!$P$8:$P$110,'Calendario G'!$M$8:$M$110,$H60,'Calendario G'!$T$8:$T$110,$H$65)+SUMIFS('Calendario G'!$W$8:$W$110,'Calendario G'!$T$8:$T$110,$H60,'Calendario G'!$M$8:$M$110,$H$65)+SUMIFS('Calendario G'!$O$8:$O$110,'Calendario G'!$M$8:$M$110,$H60,'Calendario G'!$T$8:$T$110,$H$65)+SUMIFS('Calendario G'!$V$8:$V$110,'Calendario G'!$T$8:$T$110,$H60,'Calendario G'!$M$8:$M$110,$H$65),"-")</f>
        <v>-</v>
      </c>
      <c r="AN60" s="14" t="str">
        <f aca="false">IF(AND($H60&lt;&gt;"",$H$66&lt;&gt;"",$H60&lt;&gt;$H$66,IFERROR(VLOOKUP($H60,areaCercaPuntiClassificaSquadra,3,FALSE()),-1)=IFERROR(VLOOKUP($H$66,areaCercaPuntiClassificaSquadra,3,FALSE()),-2)),SUMIFS('Calendario G'!$P$8:$P$110,'Calendario G'!$M$8:$M$110,$H60,'Calendario G'!$T$8:$T$110,$H$66)+SUMIFS('Calendario G'!$W$8:$W$110,'Calendario G'!$T$8:$T$110,$H60,'Calendario G'!$M$8:$M$110,$H$66)+SUMIFS('Calendario G'!$O$8:$O$110,'Calendario G'!$M$8:$M$110,$H60,'Calendario G'!$T$8:$T$110,$H$66)+SUMIFS('Calendario G'!$V$8:$V$110,'Calendario G'!$T$8:$T$110,$H60,'Calendario G'!$M$8:$M$110,$H$66),"-")</f>
        <v>-</v>
      </c>
      <c r="AO60" s="14" t="str">
        <f aca="false">IF(AND($H60&lt;&gt;"",$H$67&lt;&gt;"",$H60&lt;&gt;$H$67,IFERROR(VLOOKUP($H60,areaCercaPuntiClassificaSquadra,3,FALSE()),-1)=IFERROR(VLOOKUP($H$67,areaCercaPuntiClassificaSquadra,3,FALSE()),-2)),SUMIFS('Calendario G'!$P$8:$P$110,'Calendario G'!$M$8:$M$110,$H60,'Calendario G'!$T$8:$T$110,$H$67)+SUMIFS('Calendario G'!$W$8:$W$110,'Calendario G'!$T$8:$T$110,$H60,'Calendario G'!$M$8:$M$110,$H$67)+SUMIFS('Calendario G'!$O$8:$O$110,'Calendario G'!$M$8:$M$110,$H60,'Calendario G'!$T$8:$T$110,$H$67)+SUMIFS('Calendario G'!$V$8:$V$110,'Calendario G'!$T$8:$T$110,$H60,'Calendario G'!$M$8:$M$110,$H$67),"-")</f>
        <v>-</v>
      </c>
      <c r="AP60" s="13" t="str">
        <f aca="false">$C60</f>
        <v>Koala Kolossali-Koalaopoli KA</v>
      </c>
      <c r="AQ60" s="14" t="str">
        <f aca="false">IF(AND($H60&lt;&gt;"",$H$60&lt;&gt;"",$H60&lt;&gt;$H$60,IFERROR(VLOOKUP($H60,areaCercaPuntiClassificaSquadra,3,FALSE()),-1)=IFERROR(VLOOKUP($H$60,areaCercaPuntiClassificaSquadra,3,FALSE()),-2)),SUMIFS('Calendario G'!$Q$8:$Q$110,'Calendario G'!$M$8:$M$110,$H60,'Calendario G'!$T$8:$T$110,$H$60)+SUMIFS('Calendario G'!$X$8:$X$110,'Calendario G'!$T$8:$T$110,$H60,'Calendario G'!$M$8:$M$110,$H$60),"-")</f>
        <v>-</v>
      </c>
      <c r="AR60" s="14" t="str">
        <f aca="false">IF(AND($H60&lt;&gt;"",$H$61&lt;&gt;"",$H60&lt;&gt;$H$61,IFERROR(VLOOKUP($H60,areaCercaPuntiClassificaSquadra,3,FALSE()),-1)=IFERROR(VLOOKUP($H$61,areaCercaPuntiClassificaSquadra,3,FALSE()),-2)),SUMIFS('Calendario G'!$Q$8:$Q$110,'Calendario G'!$M$8:$M$110,$H60,'Calendario G'!$T$8:$T$110,$H$61)+SUMIFS('Calendario G'!$X$8:$X$110,'Calendario G'!$T$8:$T$110,$H60,'Calendario G'!$M$8:$M$110,$H$61),"-")</f>
        <v>-</v>
      </c>
      <c r="AS60" s="14" t="str">
        <f aca="false">IF(AND($H60&lt;&gt;"",$H$62&lt;&gt;"",$H60&lt;&gt;$H$62,IFERROR(VLOOKUP($H60,areaCercaPuntiClassificaSquadra,3,FALSE()),-1)=IFERROR(VLOOKUP($H$62,areaCercaPuntiClassificaSquadra,3,FALSE()),-2)),SUMIFS('Calendario G'!$Q$8:$Q$110,'Calendario G'!$M$8:$M$110,$H60,'Calendario G'!$T$8:$T$110,$H$62)+SUMIFS('Calendario G'!$X$8:$X$110,'Calendario G'!$T$8:$T$110,$H60,'Calendario G'!$M$8:$M$110,$H$62),"-")</f>
        <v>-</v>
      </c>
      <c r="AT60" s="14" t="str">
        <f aca="false">IF(AND($H60&lt;&gt;"",$H$63&lt;&gt;"",$H60&lt;&gt;$H$63,IFERROR(VLOOKUP($H60,areaCercaPuntiClassificaSquadra,3,FALSE()),-1)=IFERROR(VLOOKUP($H$63,areaCercaPuntiClassificaSquadra,3,FALSE()),-2)),SUMIFS('Calendario G'!$Q$8:$Q$110,'Calendario G'!$M$8:$M$110,$H60,'Calendario G'!$T$8:$T$110,$H$63)+SUMIFS('Calendario G'!$X$8:$X$110,'Calendario G'!$T$8:$T$110,$H60,'Calendario G'!$M$8:$M$110,$H$63),"-")</f>
        <v>-</v>
      </c>
      <c r="AU60" s="14" t="str">
        <f aca="false">IF(AND($H60&lt;&gt;"",$H$64&lt;&gt;"",$H60&lt;&gt;$H$64,IFERROR(VLOOKUP($H60,areaCercaPuntiClassificaSquadra,3,FALSE()),-1)=IFERROR(VLOOKUP($H$64,areaCercaPuntiClassificaSquadra,3,FALSE()),-2)),SUMIFS('Calendario G'!$Q$8:$Q$110,'Calendario G'!$M$8:$M$110,$H60,'Calendario G'!$T$8:$T$110,$H$64)+SUMIFS('Calendario G'!$X$8:$X$110,'Calendario G'!$T$8:$T$110,$H60,'Calendario G'!$M$8:$M$110,$H$64),"-")</f>
        <v>-</v>
      </c>
      <c r="AV60" s="14" t="str">
        <f aca="false">IF(AND($H60&lt;&gt;"",$H$65&lt;&gt;"",$H60&lt;&gt;$H$65,IFERROR(VLOOKUP($H60,areaCercaPuntiClassificaSquadra,3,FALSE()),-1)=IFERROR(VLOOKUP($H$65,areaCercaPuntiClassificaSquadra,3,FALSE()),-2)),SUMIFS('Calendario G'!$Q$8:$Q$110,'Calendario G'!$M$8:$M$110,$H60,'Calendario G'!$T$8:$T$110,$H$65)+SUMIFS('Calendario G'!$X$8:$X$110,'Calendario G'!$T$8:$T$110,$H60,'Calendario G'!$M$8:$M$110,$H$65),"-")</f>
        <v>-</v>
      </c>
      <c r="AW60" s="14" t="str">
        <f aca="false">IF(AND($H60&lt;&gt;"",$H$66&lt;&gt;"",$H60&lt;&gt;$H$66,IFERROR(VLOOKUP($H60,areaCercaPuntiClassificaSquadra,3,FALSE()),-1)=IFERROR(VLOOKUP($H$66,areaCercaPuntiClassificaSquadra,3,FALSE()),-2)),SUMIFS('Calendario G'!$Q$8:$Q$110,'Calendario G'!$M$8:$M$110,$H60,'Calendario G'!$T$8:$T$110,$H$66)+SUMIFS('Calendario G'!$X$8:$X$110,'Calendario G'!$T$8:$T$110,$H60,'Calendario G'!$M$8:$M$110,$H$66),"-")</f>
        <v>-</v>
      </c>
      <c r="AX60" s="14" t="str">
        <f aca="false">IF(AND($H60&lt;&gt;"",$H$67&lt;&gt;"",$H60&lt;&gt;$H$67,IFERROR(VLOOKUP($H60,areaCercaPuntiClassificaSquadra,3,FALSE()),-1)=IFERROR(VLOOKUP($H$67,areaCercaPuntiClassificaSquadra,3,FALSE()),-2)),SUMIFS('Calendario G'!$Q$8:$Q$110,'Calendario G'!$M$8:$M$110,$H60,'Calendario G'!$T$8:$T$110,$H$67)+SUMIFS('Calendario G'!$X$8:$X$110,'Calendario G'!$T$8:$T$110,$H60,'Calendario G'!$M$8:$M$110,$H$67),"-")</f>
        <v>-</v>
      </c>
      <c r="AY60" s="13" t="str">
        <f aca="false">$C60</f>
        <v>Koala Kolossali-Koalaopoli KA</v>
      </c>
      <c r="AZ60" s="14" t="str">
        <f aca="false">IF(AND($H60&lt;&gt;"",$H$60&lt;&gt;"",$H60&lt;&gt;$H$60,IFERROR(VLOOKUP($H60,areaCercaPuntiClassificaSquadra,3,FALSE()),-1)=IFERROR(VLOOKUP($H$60,areaCercaPuntiClassificaSquadra,3,FALSE()),-2)),SUMIFS('Calendario G'!$R$8:$R$110,'Calendario G'!$M$8:$M$110,$H60,'Calendario G'!$T$8:$T$110,$H$60)+SUMIFS('Calendario G'!$Y$8:$Y$110,'Calendario G'!$T$8:$T$110,$H60,'Calendario G'!$M$8:$M$110,$H$60),"-")</f>
        <v>-</v>
      </c>
      <c r="BA60" s="14" t="str">
        <f aca="false">IF(AND($H60&lt;&gt;"",$H$61&lt;&gt;"",$H60&lt;&gt;$H$61,IFERROR(VLOOKUP($H60,areaCercaPuntiClassificaSquadra,3,FALSE()),-1)=IFERROR(VLOOKUP($H$61,areaCercaPuntiClassificaSquadra,3,FALSE()),-2)),SUMIFS('Calendario G'!$R$8:$R$110,'Calendario G'!$M$8:$M$110,$H60,'Calendario G'!$T$8:$T$110,$H$61)+SUMIFS('Calendario G'!$Y$8:$Y$110,'Calendario G'!$T$8:$T$110,$H60,'Calendario G'!$M$8:$M$110,$H$61),"-")</f>
        <v>-</v>
      </c>
      <c r="BB60" s="14" t="str">
        <f aca="false">IF(AND($H60&lt;&gt;"",$H$62&lt;&gt;"",$H60&lt;&gt;$H$62,IFERROR(VLOOKUP($H60,areaCercaPuntiClassificaSquadra,3,FALSE()),-1)=IFERROR(VLOOKUP($H$62,areaCercaPuntiClassificaSquadra,3,FALSE()),-2)),SUMIFS('Calendario G'!$R$8:$R$110,'Calendario G'!$M$8:$M$110,$H60,'Calendario G'!$T$8:$T$110,$H$62)+SUMIFS('Calendario G'!$Y$8:$Y$110,'Calendario G'!$T$8:$T$110,$H60,'Calendario G'!$M$8:$M$110,$H$62),"-")</f>
        <v>-</v>
      </c>
      <c r="BC60" s="14" t="str">
        <f aca="false">IF(AND($H60&lt;&gt;"",$H$63&lt;&gt;"",$H60&lt;&gt;$H$63,IFERROR(VLOOKUP($H60,areaCercaPuntiClassificaSquadra,3,FALSE()),-1)=IFERROR(VLOOKUP($H$63,areaCercaPuntiClassificaSquadra,3,FALSE()),-2)),SUMIFS('Calendario G'!$R$8:$R$110,'Calendario G'!$M$8:$M$110,$H60,'Calendario G'!$T$8:$T$110,$H$63)+SUMIFS('Calendario G'!$Y$8:$Y$110,'Calendario G'!$T$8:$T$110,$H60,'Calendario G'!$M$8:$M$110,$H$63),"-")</f>
        <v>-</v>
      </c>
      <c r="BD60" s="14" t="str">
        <f aca="false">IF(AND($H60&lt;&gt;"",$H$64&lt;&gt;"",$H60&lt;&gt;$H$64,IFERROR(VLOOKUP($H60,areaCercaPuntiClassificaSquadra,3,FALSE()),-1)=IFERROR(VLOOKUP($H$64,areaCercaPuntiClassificaSquadra,3,FALSE()),-2)),SUMIFS('Calendario G'!$R$8:$R$110,'Calendario G'!$M$8:$M$110,$H60,'Calendario G'!$T$8:$T$110,$H$64)+SUMIFS('Calendario G'!$Y$8:$Y$110,'Calendario G'!$T$8:$T$110,$H60,'Calendario G'!$M$8:$M$110,$H$64),"-")</f>
        <v>-</v>
      </c>
      <c r="BE60" s="14" t="str">
        <f aca="false">IF(AND($H60&lt;&gt;"",$H$65&lt;&gt;"",$H60&lt;&gt;$H$65,IFERROR(VLOOKUP($H60,areaCercaPuntiClassificaSquadra,3,FALSE()),-1)=IFERROR(VLOOKUP($H$65,areaCercaPuntiClassificaSquadra,3,FALSE()),-2)),SUMIFS('Calendario G'!$R$8:$R$110,'Calendario G'!$M$8:$M$110,$H60,'Calendario G'!$T$8:$T$110,$H$65)+SUMIFS('Calendario G'!$Y$8:$Y$110,'Calendario G'!$T$8:$T$110,$H60,'Calendario G'!$M$8:$M$110,$H$65),"-")</f>
        <v>-</v>
      </c>
      <c r="BF60" s="14" t="str">
        <f aca="false">IF(AND($H60&lt;&gt;"",$H$66&lt;&gt;"",$H60&lt;&gt;$H$66,IFERROR(VLOOKUP($H60,areaCercaPuntiClassificaSquadra,3,FALSE()),-1)=IFERROR(VLOOKUP($H$66,areaCercaPuntiClassificaSquadra,3,FALSE()),-2)),SUMIFS('Calendario G'!$R$8:$R$110,'Calendario G'!$M$8:$M$110,$H60,'Calendario G'!$T$8:$T$110,$H$66)+SUMIFS('Calendario G'!$Y$8:$Y$110,'Calendario G'!$T$8:$T$110,$H60,'Calendario G'!$M$8:$M$110,$H$66),"-")</f>
        <v>-</v>
      </c>
      <c r="BG60" s="14" t="str">
        <f aca="false">IF(AND($H60&lt;&gt;"",$H$67&lt;&gt;"",$H60&lt;&gt;$H$67,IFERROR(VLOOKUP($H60,areaCercaPuntiClassificaSquadra,3,FALSE()),-1)=IFERROR(VLOOKUP($H$67,areaCercaPuntiClassificaSquadra,3,FALSE()),-2)),SUMIFS('Calendario G'!$R$8:$R$110,'Calendario G'!$M$8:$M$110,$H60,'Calendario G'!$T$8:$T$110,$H$67)+SUMIFS('Calendario G'!$Y$8:$Y$110,'Calendario G'!$T$8:$T$110,$H60,'Calendario G'!$M$8:$M$110,$H$67),"-")</f>
        <v>-</v>
      </c>
    </row>
    <row r="61" customFormat="false" ht="15" hidden="false" customHeight="false" outlineLevel="0" collapsed="false">
      <c r="B61" s="7" t="s">
        <v>152</v>
      </c>
      <c r="C61" s="8" t="s">
        <v>153</v>
      </c>
      <c r="D61" s="9"/>
      <c r="E61" s="25" t="s">
        <v>151</v>
      </c>
      <c r="G61" s="26" t="str">
        <f aca="false">IF($C61="","",$E61&amp;(COUNTIFS(I$12:I$75,"&gt;"&amp;I61,E$12:E$75,"="&amp;E61,C$12:C$75,"&lt;&gt;")+COUNTIFS(I$12:I$75,"="&amp;I61,H$12:H$75,"&lt;="&amp;H61,E$12:E$75,"="&amp;E61,C$12:C$75,"&lt;&gt;")))</f>
        <v>G3</v>
      </c>
      <c r="H61" s="12" t="str">
        <f aca="false">IF($C61="","",IFERROR(LEFT($C61,FIND("-",$C61)-1),$C61))</f>
        <v>Leopardi Leggiadri</v>
      </c>
      <c r="I61" s="7" t="str">
        <f aca="false">TEXT(1000000000+J61,"|0000000000|")&amp;TEXT(SUM(Y61:AF61),"0000000000|")&amp;IF(SUM(AZ61:BG61)=0,"0000000000|",TEXT(ROUND(SUM(AQ61:AX61)/SUM(AZ61:BG61),4)*100000,"0000000000|"))&amp;IF(P61=0,"0000000000|",TEXT(ROUND(O61/P61,4)*100000,"0000000000|"))</f>
        <v>|1000000015|0000000001|0000113640|0000094370|</v>
      </c>
      <c r="J61" s="26" t="n">
        <f aca="false">L61*constPuntiVittoria+M61*constPuntiSconfitta+N61*constPuntiForfait+IF(D61="",0,D61)</f>
        <v>15</v>
      </c>
      <c r="K61" s="7" t="n">
        <f aca="false">SUM(L61:N61)</f>
        <v>7</v>
      </c>
      <c r="L61" s="7" t="n">
        <f aca="false">IF($H61="",0,SUMIF('Calendario G'!$M$8:$M$110,$H61,'Calendario G'!$N$8:$N$110)+SUMIF('Calendario G'!$T$8:$T$110,$H61,'Calendario G'!$U$8:$U$110))</f>
        <v>4</v>
      </c>
      <c r="M61" s="7" t="n">
        <f aca="false">IF($H61="",0,SUMIF('Calendario G'!$M$8:$M$110,$H61,'Calendario G'!$P$8:$P$110)+SUMIF('Calendario G'!$T$8:$T$110,$H61,'Calendario G'!$W$8:$W$110))</f>
        <v>3</v>
      </c>
      <c r="N61" s="7" t="n">
        <f aca="false">IF($H61="",0,SUMIF('Calendario G'!$M$8:$M$110,$H61,'Calendario G'!$O$8:$O$110)+SUMIF('Calendario G'!$T$8:$T$110,$H61,'Calendario G'!$V$8:$V$110))</f>
        <v>0</v>
      </c>
      <c r="O61" s="7" t="n">
        <f aca="false">IF($H61="",0,SUMIF('Calendario G'!$M$8:$M$110,$H61,'Calendario G'!$Q$8:$Q$110)+SUMIF('Calendario G'!$T$8:$T$110,$H61,'Calendario G'!$X$8:$X$110))</f>
        <v>419</v>
      </c>
      <c r="P61" s="7" t="n">
        <f aca="false">IF($H61="",0,SUMIF('Calendario G'!$M$8:$M$110,$H61,'Calendario G'!$R$8:$R$110)+SUMIF('Calendario G'!$T$8:$T$110,$H61,'Calendario G'!$Y$8:$Y$110))</f>
        <v>444</v>
      </c>
      <c r="Q61" s="7" t="n">
        <f aca="false">IF($H61="",0,SUMIF('Calendario G'!$M$8:$M$110,$H61,'Calendario G'!$S$8:$S$110)+SUMIF('Calendario G'!$T$8:$T$110,$H61,'Calendario G'!$Z$8:$Z$110))</f>
        <v>-25</v>
      </c>
      <c r="R61" s="7" t="n">
        <f aca="false">IF(K61=0,0,ROUND(O61/K61,2))</f>
        <v>59.86</v>
      </c>
      <c r="S61" s="7" t="n">
        <f aca="false">IF(K61=0,0,ROUND(P61/K61,2))</f>
        <v>63.43</v>
      </c>
      <c r="T61" s="7" t="n">
        <f aca="false">IF(K61=0,0,ROUND(Q61/K61,2))</f>
        <v>-3.57</v>
      </c>
      <c r="U61" s="7" t="str">
        <f aca="false">IF(COUNT(Y61:AF61)=0,"-",SUM(Y61:AF61)&amp;"-"&amp;SUM(AH61:AO61))</f>
        <v>1-0</v>
      </c>
      <c r="V61" s="7" t="str">
        <f aca="false">IF(COUNT(Y61:AF61)=0,"-",IF(SUM(AZ61:BG61)=0,TEXT(0,"0.0000"),TEXT(ROUND(SUM(AQ61:AX61)/SUM(AZ61:BG61),4),"0.0000")))</f>
        <v>1.1364</v>
      </c>
      <c r="W61" s="7" t="str">
        <f aca="false">IF(H61="","-",IF(P61=0,TEXT(0,"0.0000"),TEXT(ROUND(O61/P61,4),"0.0000")))</f>
        <v>0.9437</v>
      </c>
      <c r="X61" s="13" t="str">
        <f aca="false">$C61</f>
        <v>Leopardi Leggiadri-Leopardiopoli LI</v>
      </c>
      <c r="Y61" s="14" t="str">
        <f aca="false">IF(AND($H61&lt;&gt;"",$H$60&lt;&gt;"",$H61&lt;&gt;$H$60,IFERROR(VLOOKUP($H61,areaCercaPuntiClassificaSquadra,3,FALSE()),-1)=IFERROR(VLOOKUP($H$60,areaCercaPuntiClassificaSquadra,3,FALSE()),-2)),SUMIFS('Calendario G'!$N$8:$N$110,'Calendario G'!$M$8:$M$110,$H61,'Calendario G'!$T$8:$T$110,$H$60)+SUMIFS('Calendario G'!$U$8:$U$110,'Calendario G'!$T$8:$T$110,$H61,'Calendario G'!$M$8:$M$110,$H$60),"-")</f>
        <v>-</v>
      </c>
      <c r="Z61" s="14" t="str">
        <f aca="false">IF(AND($H61&lt;&gt;"",$H$61&lt;&gt;"",$H61&lt;&gt;$H$61,IFERROR(VLOOKUP($H61,areaCercaPuntiClassificaSquadra,3,FALSE()),-1)=IFERROR(VLOOKUP($H$61,areaCercaPuntiClassificaSquadra,3,FALSE()),-2)),SUMIFS('Calendario G'!$N$8:$N$110,'Calendario G'!$M$8:$M$110,$H61,'Calendario G'!$T$8:$T$110,$H$61)+SUMIFS('Calendario G'!$U$8:$U$110,'Calendario G'!$T$8:$T$110,$H61,'Calendario G'!$M$8:$M$110,$H$61),"-")</f>
        <v>-</v>
      </c>
      <c r="AA61" s="14" t="n">
        <f aca="false">IF(AND($H61&lt;&gt;"",$H$62&lt;&gt;"",$H61&lt;&gt;$H$62,IFERROR(VLOOKUP($H61,areaCercaPuntiClassificaSquadra,3,FALSE()),-1)=IFERROR(VLOOKUP($H$62,areaCercaPuntiClassificaSquadra,3,FALSE()),-2)),SUMIFS('Calendario G'!$N$8:$N$110,'Calendario G'!$M$8:$M$110,$H61,'Calendario G'!$T$8:$T$110,$H$62)+SUMIFS('Calendario G'!$U$8:$U$110,'Calendario G'!$T$8:$T$110,$H61,'Calendario G'!$M$8:$M$110,$H$62),"-")</f>
        <v>1</v>
      </c>
      <c r="AB61" s="14" t="str">
        <f aca="false">IF(AND($H61&lt;&gt;"",$H$63&lt;&gt;"",$H61&lt;&gt;$H$63,IFERROR(VLOOKUP($H61,areaCercaPuntiClassificaSquadra,3,FALSE()),-1)=IFERROR(VLOOKUP($H$63,areaCercaPuntiClassificaSquadra,3,FALSE()),-2)),SUMIFS('Calendario G'!$N$8:$N$110,'Calendario G'!$M$8:$M$110,$H61,'Calendario G'!$T$8:$T$110,$H$63)+SUMIFS('Calendario G'!$U$8:$U$110,'Calendario G'!$T$8:$T$110,$H61,'Calendario G'!$M$8:$M$110,$H$63),"-")</f>
        <v>-</v>
      </c>
      <c r="AC61" s="14" t="str">
        <f aca="false">IF(AND($H61&lt;&gt;"",$H$64&lt;&gt;"",$H61&lt;&gt;$H$64,IFERROR(VLOOKUP($H61,areaCercaPuntiClassificaSquadra,3,FALSE()),-1)=IFERROR(VLOOKUP($H$64,areaCercaPuntiClassificaSquadra,3,FALSE()),-2)),SUMIFS('Calendario G'!$N$8:$N$110,'Calendario G'!$M$8:$M$110,$H61,'Calendario G'!$T$8:$T$110,$H$64)+SUMIFS('Calendario G'!$U$8:$U$110,'Calendario G'!$T$8:$T$110,$H61,'Calendario G'!$M$8:$M$110,$H$64),"-")</f>
        <v>-</v>
      </c>
      <c r="AD61" s="14" t="str">
        <f aca="false">IF(AND($H61&lt;&gt;"",$H$65&lt;&gt;"",$H61&lt;&gt;$H$65,IFERROR(VLOOKUP($H61,areaCercaPuntiClassificaSquadra,3,FALSE()),-1)=IFERROR(VLOOKUP($H$65,areaCercaPuntiClassificaSquadra,3,FALSE()),-2)),SUMIFS('Calendario G'!$N$8:$N$110,'Calendario G'!$M$8:$M$110,$H61,'Calendario G'!$T$8:$T$110,$H$65)+SUMIFS('Calendario G'!$U$8:$U$110,'Calendario G'!$T$8:$T$110,$H61,'Calendario G'!$M$8:$M$110,$H$65),"-")</f>
        <v>-</v>
      </c>
      <c r="AE61" s="14" t="str">
        <f aca="false">IF(AND($H61&lt;&gt;"",$H$66&lt;&gt;"",$H61&lt;&gt;$H$66,IFERROR(VLOOKUP($H61,areaCercaPuntiClassificaSquadra,3,FALSE()),-1)=IFERROR(VLOOKUP($H$66,areaCercaPuntiClassificaSquadra,3,FALSE()),-2)),SUMIFS('Calendario G'!$N$8:$N$110,'Calendario G'!$M$8:$M$110,$H61,'Calendario G'!$T$8:$T$110,$H$66)+SUMIFS('Calendario G'!$U$8:$U$110,'Calendario G'!$T$8:$T$110,$H61,'Calendario G'!$M$8:$M$110,$H$66),"-")</f>
        <v>-</v>
      </c>
      <c r="AF61" s="14" t="str">
        <f aca="false">IF(AND($H61&lt;&gt;"",$H$67&lt;&gt;"",$H61&lt;&gt;$H$67,IFERROR(VLOOKUP($H61,areaCercaPuntiClassificaSquadra,3,FALSE()),-1)=IFERROR(VLOOKUP($H$67,areaCercaPuntiClassificaSquadra,3,FALSE()),-2)),SUMIFS('Calendario G'!$N$8:$N$110,'Calendario G'!$M$8:$M$110,$H61,'Calendario G'!$T$8:$T$110,$H$67)+SUMIFS('Calendario G'!$U$8:$U$110,'Calendario G'!$T$8:$T$110,$H61,'Calendario G'!$M$8:$M$110,$H$67),"-")</f>
        <v>-</v>
      </c>
      <c r="AG61" s="13" t="str">
        <f aca="false">$C61</f>
        <v>Leopardi Leggiadri-Leopardiopoli LI</v>
      </c>
      <c r="AH61" s="14" t="str">
        <f aca="false">IF(AND($H61&lt;&gt;"",$H$60&lt;&gt;"",$H61&lt;&gt;$H$60,IFERROR(VLOOKUP($H61,areaCercaPuntiClassificaSquadra,3,FALSE()),-1)=IFERROR(VLOOKUP($H$60,areaCercaPuntiClassificaSquadra,3,FALSE()),-2)),SUMIFS('Calendario G'!$P$8:$P$110,'Calendario G'!$M$8:$M$110,$H61,'Calendario G'!$T$8:$T$110,$H$60)+SUMIFS('Calendario G'!$W$8:$W$110,'Calendario G'!$T$8:$T$110,$H61,'Calendario G'!$M$8:$M$110,$H$60)+SUMIFS('Calendario G'!$O$8:$O$110,'Calendario G'!$M$8:$M$110,$H61,'Calendario G'!$T$8:$T$110,$H$60)+SUMIFS('Calendario G'!$V$8:$V$110,'Calendario G'!$T$8:$T$110,$H61,'Calendario G'!$M$8:$M$110,$H$60),"-")</f>
        <v>-</v>
      </c>
      <c r="AI61" s="14" t="str">
        <f aca="false">IF(AND($H61&lt;&gt;"",$H$61&lt;&gt;"",$H61&lt;&gt;$H$61,IFERROR(VLOOKUP($H61,areaCercaPuntiClassificaSquadra,3,FALSE()),-1)=IFERROR(VLOOKUP($H$61,areaCercaPuntiClassificaSquadra,3,FALSE()),-2)),SUMIFS('Calendario G'!$P$8:$P$110,'Calendario G'!$M$8:$M$110,$H61,'Calendario G'!$T$8:$T$110,$H$61)+SUMIFS('Calendario G'!$W$8:$W$110,'Calendario G'!$T$8:$T$110,$H61,'Calendario G'!$M$8:$M$110,$H$61)+SUMIFS('Calendario G'!$O$8:$O$110,'Calendario G'!$M$8:$M$110,$H61,'Calendario G'!$T$8:$T$110,$H$61)+SUMIFS('Calendario G'!$V$8:$V$110,'Calendario G'!$T$8:$T$110,$H61,'Calendario G'!$M$8:$M$110,$H$61),"-")</f>
        <v>-</v>
      </c>
      <c r="AJ61" s="14" t="n">
        <f aca="false">IF(AND($H61&lt;&gt;"",$H$62&lt;&gt;"",$H61&lt;&gt;$H$62,IFERROR(VLOOKUP($H61,areaCercaPuntiClassificaSquadra,3,FALSE()),-1)=IFERROR(VLOOKUP($H$62,areaCercaPuntiClassificaSquadra,3,FALSE()),-2)),SUMIFS('Calendario G'!$P$8:$P$110,'Calendario G'!$M$8:$M$110,$H61,'Calendario G'!$T$8:$T$110,$H$62)+SUMIFS('Calendario G'!$W$8:$W$110,'Calendario G'!$T$8:$T$110,$H61,'Calendario G'!$M$8:$M$110,$H$62)+SUMIFS('Calendario G'!$O$8:$O$110,'Calendario G'!$M$8:$M$110,$H61,'Calendario G'!$T$8:$T$110,$H$62)+SUMIFS('Calendario G'!$V$8:$V$110,'Calendario G'!$T$8:$T$110,$H61,'Calendario G'!$M$8:$M$110,$H$62),"-")</f>
        <v>0</v>
      </c>
      <c r="AK61" s="14" t="str">
        <f aca="false">IF(AND($H61&lt;&gt;"",$H$63&lt;&gt;"",$H61&lt;&gt;$H$63,IFERROR(VLOOKUP($H61,areaCercaPuntiClassificaSquadra,3,FALSE()),-1)=IFERROR(VLOOKUP($H$63,areaCercaPuntiClassificaSquadra,3,FALSE()),-2)),SUMIFS('Calendario G'!$P$8:$P$110,'Calendario G'!$M$8:$M$110,$H61,'Calendario G'!$T$8:$T$110,$H$63)+SUMIFS('Calendario G'!$W$8:$W$110,'Calendario G'!$T$8:$T$110,$H61,'Calendario G'!$M$8:$M$110,$H$63)+SUMIFS('Calendario G'!$O$8:$O$110,'Calendario G'!$M$8:$M$110,$H61,'Calendario G'!$T$8:$T$110,$H$63)+SUMIFS('Calendario G'!$V$8:$V$110,'Calendario G'!$T$8:$T$110,$H61,'Calendario G'!$M$8:$M$110,$H$63),"-")</f>
        <v>-</v>
      </c>
      <c r="AL61" s="14" t="str">
        <f aca="false">IF(AND($H61&lt;&gt;"",$H$64&lt;&gt;"",$H61&lt;&gt;$H$64,IFERROR(VLOOKUP($H61,areaCercaPuntiClassificaSquadra,3,FALSE()),-1)=IFERROR(VLOOKUP($H$64,areaCercaPuntiClassificaSquadra,3,FALSE()),-2)),SUMIFS('Calendario G'!$P$8:$P$110,'Calendario G'!$M$8:$M$110,$H61,'Calendario G'!$T$8:$T$110,$H$64)+SUMIFS('Calendario G'!$W$8:$W$110,'Calendario G'!$T$8:$T$110,$H61,'Calendario G'!$M$8:$M$110,$H$64)+SUMIFS('Calendario G'!$O$8:$O$110,'Calendario G'!$M$8:$M$110,$H61,'Calendario G'!$T$8:$T$110,$H$64)+SUMIFS('Calendario G'!$V$8:$V$110,'Calendario G'!$T$8:$T$110,$H61,'Calendario G'!$M$8:$M$110,$H$64),"-")</f>
        <v>-</v>
      </c>
      <c r="AM61" s="14" t="str">
        <f aca="false">IF(AND($H61&lt;&gt;"",$H$65&lt;&gt;"",$H61&lt;&gt;$H$65,IFERROR(VLOOKUP($H61,areaCercaPuntiClassificaSquadra,3,FALSE()),-1)=IFERROR(VLOOKUP($H$65,areaCercaPuntiClassificaSquadra,3,FALSE()),-2)),SUMIFS('Calendario G'!$P$8:$P$110,'Calendario G'!$M$8:$M$110,$H61,'Calendario G'!$T$8:$T$110,$H$65)+SUMIFS('Calendario G'!$W$8:$W$110,'Calendario G'!$T$8:$T$110,$H61,'Calendario G'!$M$8:$M$110,$H$65)+SUMIFS('Calendario G'!$O$8:$O$110,'Calendario G'!$M$8:$M$110,$H61,'Calendario G'!$T$8:$T$110,$H$65)+SUMIFS('Calendario G'!$V$8:$V$110,'Calendario G'!$T$8:$T$110,$H61,'Calendario G'!$M$8:$M$110,$H$65),"-")</f>
        <v>-</v>
      </c>
      <c r="AN61" s="14" t="str">
        <f aca="false">IF(AND($H61&lt;&gt;"",$H$66&lt;&gt;"",$H61&lt;&gt;$H$66,IFERROR(VLOOKUP($H61,areaCercaPuntiClassificaSquadra,3,FALSE()),-1)=IFERROR(VLOOKUP($H$66,areaCercaPuntiClassificaSquadra,3,FALSE()),-2)),SUMIFS('Calendario G'!$P$8:$P$110,'Calendario G'!$M$8:$M$110,$H61,'Calendario G'!$T$8:$T$110,$H$66)+SUMIFS('Calendario G'!$W$8:$W$110,'Calendario G'!$T$8:$T$110,$H61,'Calendario G'!$M$8:$M$110,$H$66)+SUMIFS('Calendario G'!$O$8:$O$110,'Calendario G'!$M$8:$M$110,$H61,'Calendario G'!$T$8:$T$110,$H$66)+SUMIFS('Calendario G'!$V$8:$V$110,'Calendario G'!$T$8:$T$110,$H61,'Calendario G'!$M$8:$M$110,$H$66),"-")</f>
        <v>-</v>
      </c>
      <c r="AO61" s="14" t="str">
        <f aca="false">IF(AND($H61&lt;&gt;"",$H$67&lt;&gt;"",$H61&lt;&gt;$H$67,IFERROR(VLOOKUP($H61,areaCercaPuntiClassificaSquadra,3,FALSE()),-1)=IFERROR(VLOOKUP($H$67,areaCercaPuntiClassificaSquadra,3,FALSE()),-2)),SUMIFS('Calendario G'!$P$8:$P$110,'Calendario G'!$M$8:$M$110,$H61,'Calendario G'!$T$8:$T$110,$H$67)+SUMIFS('Calendario G'!$W$8:$W$110,'Calendario G'!$T$8:$T$110,$H61,'Calendario G'!$M$8:$M$110,$H$67)+SUMIFS('Calendario G'!$O$8:$O$110,'Calendario G'!$M$8:$M$110,$H61,'Calendario G'!$T$8:$T$110,$H$67)+SUMIFS('Calendario G'!$V$8:$V$110,'Calendario G'!$T$8:$T$110,$H61,'Calendario G'!$M$8:$M$110,$H$67),"-")</f>
        <v>-</v>
      </c>
      <c r="AP61" s="13" t="str">
        <f aca="false">$C61</f>
        <v>Leopardi Leggiadri-Leopardiopoli LI</v>
      </c>
      <c r="AQ61" s="14" t="str">
        <f aca="false">IF(AND($H61&lt;&gt;"",$H$60&lt;&gt;"",$H61&lt;&gt;$H$60,IFERROR(VLOOKUP($H61,areaCercaPuntiClassificaSquadra,3,FALSE()),-1)=IFERROR(VLOOKUP($H$60,areaCercaPuntiClassificaSquadra,3,FALSE()),-2)),SUMIFS('Calendario G'!$Q$8:$Q$110,'Calendario G'!$M$8:$M$110,$H61,'Calendario G'!$T$8:$T$110,$H$60)+SUMIFS('Calendario G'!$X$8:$X$110,'Calendario G'!$T$8:$T$110,$H61,'Calendario G'!$M$8:$M$110,$H$60),"-")</f>
        <v>-</v>
      </c>
      <c r="AR61" s="14" t="str">
        <f aca="false">IF(AND($H61&lt;&gt;"",$H$61&lt;&gt;"",$H61&lt;&gt;$H$61,IFERROR(VLOOKUP($H61,areaCercaPuntiClassificaSquadra,3,FALSE()),-1)=IFERROR(VLOOKUP($H$61,areaCercaPuntiClassificaSquadra,3,FALSE()),-2)),SUMIFS('Calendario G'!$Q$8:$Q$110,'Calendario G'!$M$8:$M$110,$H61,'Calendario G'!$T$8:$T$110,$H$61)+SUMIFS('Calendario G'!$X$8:$X$110,'Calendario G'!$T$8:$T$110,$H61,'Calendario G'!$M$8:$M$110,$H$61),"-")</f>
        <v>-</v>
      </c>
      <c r="AS61" s="14" t="n">
        <f aca="false">IF(AND($H61&lt;&gt;"",$H$62&lt;&gt;"",$H61&lt;&gt;$H$62,IFERROR(VLOOKUP($H61,areaCercaPuntiClassificaSquadra,3,FALSE()),-1)=IFERROR(VLOOKUP($H$62,areaCercaPuntiClassificaSquadra,3,FALSE()),-2)),SUMIFS('Calendario G'!$Q$8:$Q$110,'Calendario G'!$M$8:$M$110,$H61,'Calendario G'!$T$8:$T$110,$H$62)+SUMIFS('Calendario G'!$X$8:$X$110,'Calendario G'!$T$8:$T$110,$H61,'Calendario G'!$M$8:$M$110,$H$62),"-")</f>
        <v>75</v>
      </c>
      <c r="AT61" s="14" t="str">
        <f aca="false">IF(AND($H61&lt;&gt;"",$H$63&lt;&gt;"",$H61&lt;&gt;$H$63,IFERROR(VLOOKUP($H61,areaCercaPuntiClassificaSquadra,3,FALSE()),-1)=IFERROR(VLOOKUP($H$63,areaCercaPuntiClassificaSquadra,3,FALSE()),-2)),SUMIFS('Calendario G'!$Q$8:$Q$110,'Calendario G'!$M$8:$M$110,$H61,'Calendario G'!$T$8:$T$110,$H$63)+SUMIFS('Calendario G'!$X$8:$X$110,'Calendario G'!$T$8:$T$110,$H61,'Calendario G'!$M$8:$M$110,$H$63),"-")</f>
        <v>-</v>
      </c>
      <c r="AU61" s="14" t="str">
        <f aca="false">IF(AND($H61&lt;&gt;"",$H$64&lt;&gt;"",$H61&lt;&gt;$H$64,IFERROR(VLOOKUP($H61,areaCercaPuntiClassificaSquadra,3,FALSE()),-1)=IFERROR(VLOOKUP($H$64,areaCercaPuntiClassificaSquadra,3,FALSE()),-2)),SUMIFS('Calendario G'!$Q$8:$Q$110,'Calendario G'!$M$8:$M$110,$H61,'Calendario G'!$T$8:$T$110,$H$64)+SUMIFS('Calendario G'!$X$8:$X$110,'Calendario G'!$T$8:$T$110,$H61,'Calendario G'!$M$8:$M$110,$H$64),"-")</f>
        <v>-</v>
      </c>
      <c r="AV61" s="14" t="str">
        <f aca="false">IF(AND($H61&lt;&gt;"",$H$65&lt;&gt;"",$H61&lt;&gt;$H$65,IFERROR(VLOOKUP($H61,areaCercaPuntiClassificaSquadra,3,FALSE()),-1)=IFERROR(VLOOKUP($H$65,areaCercaPuntiClassificaSquadra,3,FALSE()),-2)),SUMIFS('Calendario G'!$Q$8:$Q$110,'Calendario G'!$M$8:$M$110,$H61,'Calendario G'!$T$8:$T$110,$H$65)+SUMIFS('Calendario G'!$X$8:$X$110,'Calendario G'!$T$8:$T$110,$H61,'Calendario G'!$M$8:$M$110,$H$65),"-")</f>
        <v>-</v>
      </c>
      <c r="AW61" s="14" t="str">
        <f aca="false">IF(AND($H61&lt;&gt;"",$H$66&lt;&gt;"",$H61&lt;&gt;$H$66,IFERROR(VLOOKUP($H61,areaCercaPuntiClassificaSquadra,3,FALSE()),-1)=IFERROR(VLOOKUP($H$66,areaCercaPuntiClassificaSquadra,3,FALSE()),-2)),SUMIFS('Calendario G'!$Q$8:$Q$110,'Calendario G'!$M$8:$M$110,$H61,'Calendario G'!$T$8:$T$110,$H$66)+SUMIFS('Calendario G'!$X$8:$X$110,'Calendario G'!$T$8:$T$110,$H61,'Calendario G'!$M$8:$M$110,$H$66),"-")</f>
        <v>-</v>
      </c>
      <c r="AX61" s="14" t="str">
        <f aca="false">IF(AND($H61&lt;&gt;"",$H$67&lt;&gt;"",$H61&lt;&gt;$H$67,IFERROR(VLOOKUP($H61,areaCercaPuntiClassificaSquadra,3,FALSE()),-1)=IFERROR(VLOOKUP($H$67,areaCercaPuntiClassificaSquadra,3,FALSE()),-2)),SUMIFS('Calendario G'!$Q$8:$Q$110,'Calendario G'!$M$8:$M$110,$H61,'Calendario G'!$T$8:$T$110,$H$67)+SUMIFS('Calendario G'!$X$8:$X$110,'Calendario G'!$T$8:$T$110,$H61,'Calendario G'!$M$8:$M$110,$H$67),"-")</f>
        <v>-</v>
      </c>
      <c r="AY61" s="13" t="str">
        <f aca="false">$C61</f>
        <v>Leopardi Leggiadri-Leopardiopoli LI</v>
      </c>
      <c r="AZ61" s="14" t="str">
        <f aca="false">IF(AND($H61&lt;&gt;"",$H$60&lt;&gt;"",$H61&lt;&gt;$H$60,IFERROR(VLOOKUP($H61,areaCercaPuntiClassificaSquadra,3,FALSE()),-1)=IFERROR(VLOOKUP($H$60,areaCercaPuntiClassificaSquadra,3,FALSE()),-2)),SUMIFS('Calendario G'!$R$8:$R$110,'Calendario G'!$M$8:$M$110,$H61,'Calendario G'!$T$8:$T$110,$H$60)+SUMIFS('Calendario G'!$Y$8:$Y$110,'Calendario G'!$T$8:$T$110,$H61,'Calendario G'!$M$8:$M$110,$H$60),"-")</f>
        <v>-</v>
      </c>
      <c r="BA61" s="14" t="str">
        <f aca="false">IF(AND($H61&lt;&gt;"",$H$61&lt;&gt;"",$H61&lt;&gt;$H$61,IFERROR(VLOOKUP($H61,areaCercaPuntiClassificaSquadra,3,FALSE()),-1)=IFERROR(VLOOKUP($H$61,areaCercaPuntiClassificaSquadra,3,FALSE()),-2)),SUMIFS('Calendario G'!$R$8:$R$110,'Calendario G'!$M$8:$M$110,$H61,'Calendario G'!$T$8:$T$110,$H$61)+SUMIFS('Calendario G'!$Y$8:$Y$110,'Calendario G'!$T$8:$T$110,$H61,'Calendario G'!$M$8:$M$110,$H$61),"-")</f>
        <v>-</v>
      </c>
      <c r="BB61" s="14" t="n">
        <f aca="false">IF(AND($H61&lt;&gt;"",$H$62&lt;&gt;"",$H61&lt;&gt;$H$62,IFERROR(VLOOKUP($H61,areaCercaPuntiClassificaSquadra,3,FALSE()),-1)=IFERROR(VLOOKUP($H$62,areaCercaPuntiClassificaSquadra,3,FALSE()),-2)),SUMIFS('Calendario G'!$R$8:$R$110,'Calendario G'!$M$8:$M$110,$H61,'Calendario G'!$T$8:$T$110,$H$62)+SUMIFS('Calendario G'!$Y$8:$Y$110,'Calendario G'!$T$8:$T$110,$H61,'Calendario G'!$M$8:$M$110,$H$62),"-")</f>
        <v>66</v>
      </c>
      <c r="BC61" s="14" t="str">
        <f aca="false">IF(AND($H61&lt;&gt;"",$H$63&lt;&gt;"",$H61&lt;&gt;$H$63,IFERROR(VLOOKUP($H61,areaCercaPuntiClassificaSquadra,3,FALSE()),-1)=IFERROR(VLOOKUP($H$63,areaCercaPuntiClassificaSquadra,3,FALSE()),-2)),SUMIFS('Calendario G'!$R$8:$R$110,'Calendario G'!$M$8:$M$110,$H61,'Calendario G'!$T$8:$T$110,$H$63)+SUMIFS('Calendario G'!$Y$8:$Y$110,'Calendario G'!$T$8:$T$110,$H61,'Calendario G'!$M$8:$M$110,$H$63),"-")</f>
        <v>-</v>
      </c>
      <c r="BD61" s="14" t="str">
        <f aca="false">IF(AND($H61&lt;&gt;"",$H$64&lt;&gt;"",$H61&lt;&gt;$H$64,IFERROR(VLOOKUP($H61,areaCercaPuntiClassificaSquadra,3,FALSE()),-1)=IFERROR(VLOOKUP($H$64,areaCercaPuntiClassificaSquadra,3,FALSE()),-2)),SUMIFS('Calendario G'!$R$8:$R$110,'Calendario G'!$M$8:$M$110,$H61,'Calendario G'!$T$8:$T$110,$H$64)+SUMIFS('Calendario G'!$Y$8:$Y$110,'Calendario G'!$T$8:$T$110,$H61,'Calendario G'!$M$8:$M$110,$H$64),"-")</f>
        <v>-</v>
      </c>
      <c r="BE61" s="14" t="str">
        <f aca="false">IF(AND($H61&lt;&gt;"",$H$65&lt;&gt;"",$H61&lt;&gt;$H$65,IFERROR(VLOOKUP($H61,areaCercaPuntiClassificaSquadra,3,FALSE()),-1)=IFERROR(VLOOKUP($H$65,areaCercaPuntiClassificaSquadra,3,FALSE()),-2)),SUMIFS('Calendario G'!$R$8:$R$110,'Calendario G'!$M$8:$M$110,$H61,'Calendario G'!$T$8:$T$110,$H$65)+SUMIFS('Calendario G'!$Y$8:$Y$110,'Calendario G'!$T$8:$T$110,$H61,'Calendario G'!$M$8:$M$110,$H$65),"-")</f>
        <v>-</v>
      </c>
      <c r="BF61" s="14" t="str">
        <f aca="false">IF(AND($H61&lt;&gt;"",$H$66&lt;&gt;"",$H61&lt;&gt;$H$66,IFERROR(VLOOKUP($H61,areaCercaPuntiClassificaSquadra,3,FALSE()),-1)=IFERROR(VLOOKUP($H$66,areaCercaPuntiClassificaSquadra,3,FALSE()),-2)),SUMIFS('Calendario G'!$R$8:$R$110,'Calendario G'!$M$8:$M$110,$H61,'Calendario G'!$T$8:$T$110,$H$66)+SUMIFS('Calendario G'!$Y$8:$Y$110,'Calendario G'!$T$8:$T$110,$H61,'Calendario G'!$M$8:$M$110,$H$66),"-")</f>
        <v>-</v>
      </c>
      <c r="BG61" s="14" t="str">
        <f aca="false">IF(AND($H61&lt;&gt;"",$H$67&lt;&gt;"",$H61&lt;&gt;$H$67,IFERROR(VLOOKUP($H61,areaCercaPuntiClassificaSquadra,3,FALSE()),-1)=IFERROR(VLOOKUP($H$67,areaCercaPuntiClassificaSquadra,3,FALSE()),-2)),SUMIFS('Calendario G'!$R$8:$R$110,'Calendario G'!$M$8:$M$110,$H61,'Calendario G'!$T$8:$T$110,$H$67)+SUMIFS('Calendario G'!$Y$8:$Y$110,'Calendario G'!$T$8:$T$110,$H61,'Calendario G'!$M$8:$M$110,$H$67),"-")</f>
        <v>-</v>
      </c>
    </row>
    <row r="62" customFormat="false" ht="15" hidden="false" customHeight="false" outlineLevel="0" collapsed="false">
      <c r="B62" s="7" t="s">
        <v>154</v>
      </c>
      <c r="C62" s="8" t="s">
        <v>155</v>
      </c>
      <c r="D62" s="9"/>
      <c r="E62" s="25" t="s">
        <v>151</v>
      </c>
      <c r="G62" s="26" t="str">
        <f aca="false">IF($C62="","",$E62&amp;(COUNTIFS(I$12:I$75,"&gt;"&amp;I62,E$12:E$75,"="&amp;E62,C$12:C$75,"&lt;&gt;")+COUNTIFS(I$12:I$75,"="&amp;I62,H$12:H$75,"&lt;="&amp;H62,E$12:E$75,"="&amp;E62,C$12:C$75,"&lt;&gt;")))</f>
        <v>G4</v>
      </c>
      <c r="H62" s="12" t="str">
        <f aca="false">IF($C62="","",IFERROR(LEFT($C62,FIND("-",$C62)-1),$C62))</f>
        <v>Meduse Malandrine</v>
      </c>
      <c r="I62" s="7" t="str">
        <f aca="false">TEXT(1000000000+J62,"|0000000000|")&amp;TEXT(SUM(Y62:AF62),"0000000000|")&amp;IF(SUM(AZ62:BG62)=0,"0000000000|",TEXT(ROUND(SUM(AQ62:AX62)/SUM(AZ62:BG62),4)*100000,"0000000000|"))&amp;IF(P62=0,"0000000000|",TEXT(ROUND(O62/P62,4)*100000,"0000000000|"))</f>
        <v>|1000000015|0000000000|0000088000|0000093610|</v>
      </c>
      <c r="J62" s="26" t="n">
        <f aca="false">L62*constPuntiVittoria+M62*constPuntiSconfitta+N62*constPuntiForfait+IF(D62="",0,D62)</f>
        <v>15</v>
      </c>
      <c r="K62" s="7" t="n">
        <f aca="false">SUM(L62:N62)</f>
        <v>7</v>
      </c>
      <c r="L62" s="7" t="n">
        <f aca="false">IF($H62="",0,SUMIF('Calendario G'!$M$8:$M$110,$H62,'Calendario G'!$N$8:$N$110)+SUMIF('Calendario G'!$T$8:$T$110,$H62,'Calendario G'!$U$8:$U$110))</f>
        <v>4</v>
      </c>
      <c r="M62" s="7" t="n">
        <f aca="false">IF($H62="",0,SUMIF('Calendario G'!$M$8:$M$110,$H62,'Calendario G'!$P$8:$P$110)+SUMIF('Calendario G'!$T$8:$T$110,$H62,'Calendario G'!$W$8:$W$110))</f>
        <v>3</v>
      </c>
      <c r="N62" s="7" t="n">
        <f aca="false">IF($H62="",0,SUMIF('Calendario G'!$M$8:$M$110,$H62,'Calendario G'!$O$8:$O$110)+SUMIF('Calendario G'!$T$8:$T$110,$H62,'Calendario G'!$V$8:$V$110))</f>
        <v>0</v>
      </c>
      <c r="O62" s="7" t="n">
        <f aca="false">IF($H62="",0,SUMIF('Calendario G'!$M$8:$M$110,$H62,'Calendario G'!$Q$8:$Q$110)+SUMIF('Calendario G'!$T$8:$T$110,$H62,'Calendario G'!$X$8:$X$110))</f>
        <v>410</v>
      </c>
      <c r="P62" s="7" t="n">
        <f aca="false">IF($H62="",0,SUMIF('Calendario G'!$M$8:$M$110,$H62,'Calendario G'!$R$8:$R$110)+SUMIF('Calendario G'!$T$8:$T$110,$H62,'Calendario G'!$Y$8:$Y$110))</f>
        <v>438</v>
      </c>
      <c r="Q62" s="7" t="n">
        <f aca="false">IF($H62="",0,SUMIF('Calendario G'!$M$8:$M$110,$H62,'Calendario G'!$S$8:$S$110)+SUMIF('Calendario G'!$T$8:$T$110,$H62,'Calendario G'!$Z$8:$Z$110))</f>
        <v>-28</v>
      </c>
      <c r="R62" s="7" t="n">
        <f aca="false">IF(K62=0,0,ROUND(O62/K62,2))</f>
        <v>58.57</v>
      </c>
      <c r="S62" s="7" t="n">
        <f aca="false">IF(K62=0,0,ROUND(P62/K62,2))</f>
        <v>62.57</v>
      </c>
      <c r="T62" s="7" t="n">
        <f aca="false">IF(K62=0,0,ROUND(Q62/K62,2))</f>
        <v>-4</v>
      </c>
      <c r="U62" s="7" t="str">
        <f aca="false">IF(COUNT(Y62:AF62)=0,"-",SUM(Y62:AF62)&amp;"-"&amp;SUM(AH62:AO62))</f>
        <v>0-1</v>
      </c>
      <c r="V62" s="7" t="str">
        <f aca="false">IF(COUNT(Y62:AF62)=0,"-",IF(SUM(AZ62:BG62)=0,TEXT(0,"0.0000"),TEXT(ROUND(SUM(AQ62:AX62)/SUM(AZ62:BG62),4),"0.0000")))</f>
        <v>0.8800</v>
      </c>
      <c r="W62" s="7" t="str">
        <f aca="false">IF(H62="","-",IF(P62=0,TEXT(0,"0.0000"),TEXT(ROUND(O62/P62,4),"0.0000")))</f>
        <v>0.9361</v>
      </c>
      <c r="X62" s="13" t="str">
        <f aca="false">$C62</f>
        <v>Meduse Malandrine-Meduseopoli ME</v>
      </c>
      <c r="Y62" s="14" t="str">
        <f aca="false">IF(AND($H62&lt;&gt;"",$H$60&lt;&gt;"",$H62&lt;&gt;$H$60,IFERROR(VLOOKUP($H62,areaCercaPuntiClassificaSquadra,3,FALSE()),-1)=IFERROR(VLOOKUP($H$60,areaCercaPuntiClassificaSquadra,3,FALSE()),-2)),SUMIFS('Calendario G'!$N$8:$N$110,'Calendario G'!$M$8:$M$110,$H62,'Calendario G'!$T$8:$T$110,$H$60)+SUMIFS('Calendario G'!$U$8:$U$110,'Calendario G'!$T$8:$T$110,$H62,'Calendario G'!$M$8:$M$110,$H$60),"-")</f>
        <v>-</v>
      </c>
      <c r="Z62" s="14" t="n">
        <f aca="false">IF(AND($H62&lt;&gt;"",$H$61&lt;&gt;"",$H62&lt;&gt;$H$61,IFERROR(VLOOKUP($H62,areaCercaPuntiClassificaSquadra,3,FALSE()),-1)=IFERROR(VLOOKUP($H$61,areaCercaPuntiClassificaSquadra,3,FALSE()),-2)),SUMIFS('Calendario G'!$N$8:$N$110,'Calendario G'!$M$8:$M$110,$H62,'Calendario G'!$T$8:$T$110,$H$61)+SUMIFS('Calendario G'!$U$8:$U$110,'Calendario G'!$T$8:$T$110,$H62,'Calendario G'!$M$8:$M$110,$H$61),"-")</f>
        <v>0</v>
      </c>
      <c r="AA62" s="14" t="str">
        <f aca="false">IF(AND($H62&lt;&gt;"",$H$62&lt;&gt;"",$H62&lt;&gt;$H$62,IFERROR(VLOOKUP($H62,areaCercaPuntiClassificaSquadra,3,FALSE()),-1)=IFERROR(VLOOKUP($H$62,areaCercaPuntiClassificaSquadra,3,FALSE()),-2)),SUMIFS('Calendario G'!$N$8:$N$110,'Calendario G'!$M$8:$M$110,$H62,'Calendario G'!$T$8:$T$110,$H$62)+SUMIFS('Calendario G'!$U$8:$U$110,'Calendario G'!$T$8:$T$110,$H62,'Calendario G'!$M$8:$M$110,$H$62),"-")</f>
        <v>-</v>
      </c>
      <c r="AB62" s="14" t="str">
        <f aca="false">IF(AND($H62&lt;&gt;"",$H$63&lt;&gt;"",$H62&lt;&gt;$H$63,IFERROR(VLOOKUP($H62,areaCercaPuntiClassificaSquadra,3,FALSE()),-1)=IFERROR(VLOOKUP($H$63,areaCercaPuntiClassificaSquadra,3,FALSE()),-2)),SUMIFS('Calendario G'!$N$8:$N$110,'Calendario G'!$M$8:$M$110,$H62,'Calendario G'!$T$8:$T$110,$H$63)+SUMIFS('Calendario G'!$U$8:$U$110,'Calendario G'!$T$8:$T$110,$H62,'Calendario G'!$M$8:$M$110,$H$63),"-")</f>
        <v>-</v>
      </c>
      <c r="AC62" s="14" t="str">
        <f aca="false">IF(AND($H62&lt;&gt;"",$H$64&lt;&gt;"",$H62&lt;&gt;$H$64,IFERROR(VLOOKUP($H62,areaCercaPuntiClassificaSquadra,3,FALSE()),-1)=IFERROR(VLOOKUP($H$64,areaCercaPuntiClassificaSquadra,3,FALSE()),-2)),SUMIFS('Calendario G'!$N$8:$N$110,'Calendario G'!$M$8:$M$110,$H62,'Calendario G'!$T$8:$T$110,$H$64)+SUMIFS('Calendario G'!$U$8:$U$110,'Calendario G'!$T$8:$T$110,$H62,'Calendario G'!$M$8:$M$110,$H$64),"-")</f>
        <v>-</v>
      </c>
      <c r="AD62" s="14" t="str">
        <f aca="false">IF(AND($H62&lt;&gt;"",$H$65&lt;&gt;"",$H62&lt;&gt;$H$65,IFERROR(VLOOKUP($H62,areaCercaPuntiClassificaSquadra,3,FALSE()),-1)=IFERROR(VLOOKUP($H$65,areaCercaPuntiClassificaSquadra,3,FALSE()),-2)),SUMIFS('Calendario G'!$N$8:$N$110,'Calendario G'!$M$8:$M$110,$H62,'Calendario G'!$T$8:$T$110,$H$65)+SUMIFS('Calendario G'!$U$8:$U$110,'Calendario G'!$T$8:$T$110,$H62,'Calendario G'!$M$8:$M$110,$H$65),"-")</f>
        <v>-</v>
      </c>
      <c r="AE62" s="14" t="str">
        <f aca="false">IF(AND($H62&lt;&gt;"",$H$66&lt;&gt;"",$H62&lt;&gt;$H$66,IFERROR(VLOOKUP($H62,areaCercaPuntiClassificaSquadra,3,FALSE()),-1)=IFERROR(VLOOKUP($H$66,areaCercaPuntiClassificaSquadra,3,FALSE()),-2)),SUMIFS('Calendario G'!$N$8:$N$110,'Calendario G'!$M$8:$M$110,$H62,'Calendario G'!$T$8:$T$110,$H$66)+SUMIFS('Calendario G'!$U$8:$U$110,'Calendario G'!$T$8:$T$110,$H62,'Calendario G'!$M$8:$M$110,$H$66),"-")</f>
        <v>-</v>
      </c>
      <c r="AF62" s="14" t="str">
        <f aca="false">IF(AND($H62&lt;&gt;"",$H$67&lt;&gt;"",$H62&lt;&gt;$H$67,IFERROR(VLOOKUP($H62,areaCercaPuntiClassificaSquadra,3,FALSE()),-1)=IFERROR(VLOOKUP($H$67,areaCercaPuntiClassificaSquadra,3,FALSE()),-2)),SUMIFS('Calendario G'!$N$8:$N$110,'Calendario G'!$M$8:$M$110,$H62,'Calendario G'!$T$8:$T$110,$H$67)+SUMIFS('Calendario G'!$U$8:$U$110,'Calendario G'!$T$8:$T$110,$H62,'Calendario G'!$M$8:$M$110,$H$67),"-")</f>
        <v>-</v>
      </c>
      <c r="AG62" s="13" t="str">
        <f aca="false">$C62</f>
        <v>Meduse Malandrine-Meduseopoli ME</v>
      </c>
      <c r="AH62" s="14" t="str">
        <f aca="false">IF(AND($H62&lt;&gt;"",$H$60&lt;&gt;"",$H62&lt;&gt;$H$60,IFERROR(VLOOKUP($H62,areaCercaPuntiClassificaSquadra,3,FALSE()),-1)=IFERROR(VLOOKUP($H$60,areaCercaPuntiClassificaSquadra,3,FALSE()),-2)),SUMIFS('Calendario G'!$P$8:$P$110,'Calendario G'!$M$8:$M$110,$H62,'Calendario G'!$T$8:$T$110,$H$60)+SUMIFS('Calendario G'!$W$8:$W$110,'Calendario G'!$T$8:$T$110,$H62,'Calendario G'!$M$8:$M$110,$H$60)+SUMIFS('Calendario G'!$O$8:$O$110,'Calendario G'!$M$8:$M$110,$H62,'Calendario G'!$T$8:$T$110,$H$60)+SUMIFS('Calendario G'!$V$8:$V$110,'Calendario G'!$T$8:$T$110,$H62,'Calendario G'!$M$8:$M$110,$H$60),"-")</f>
        <v>-</v>
      </c>
      <c r="AI62" s="14" t="n">
        <f aca="false">IF(AND($H62&lt;&gt;"",$H$61&lt;&gt;"",$H62&lt;&gt;$H$61,IFERROR(VLOOKUP($H62,areaCercaPuntiClassificaSquadra,3,FALSE()),-1)=IFERROR(VLOOKUP($H$61,areaCercaPuntiClassificaSquadra,3,FALSE()),-2)),SUMIFS('Calendario G'!$P$8:$P$110,'Calendario G'!$M$8:$M$110,$H62,'Calendario G'!$T$8:$T$110,$H$61)+SUMIFS('Calendario G'!$W$8:$W$110,'Calendario G'!$T$8:$T$110,$H62,'Calendario G'!$M$8:$M$110,$H$61)+SUMIFS('Calendario G'!$O$8:$O$110,'Calendario G'!$M$8:$M$110,$H62,'Calendario G'!$T$8:$T$110,$H$61)+SUMIFS('Calendario G'!$V$8:$V$110,'Calendario G'!$T$8:$T$110,$H62,'Calendario G'!$M$8:$M$110,$H$61),"-")</f>
        <v>1</v>
      </c>
      <c r="AJ62" s="14" t="str">
        <f aca="false">IF(AND($H62&lt;&gt;"",$H$62&lt;&gt;"",$H62&lt;&gt;$H$62,IFERROR(VLOOKUP($H62,areaCercaPuntiClassificaSquadra,3,FALSE()),-1)=IFERROR(VLOOKUP($H$62,areaCercaPuntiClassificaSquadra,3,FALSE()),-2)),SUMIFS('Calendario G'!$P$8:$P$110,'Calendario G'!$M$8:$M$110,$H62,'Calendario G'!$T$8:$T$110,$H$62)+SUMIFS('Calendario G'!$W$8:$W$110,'Calendario G'!$T$8:$T$110,$H62,'Calendario G'!$M$8:$M$110,$H$62)+SUMIFS('Calendario G'!$O$8:$O$110,'Calendario G'!$M$8:$M$110,$H62,'Calendario G'!$T$8:$T$110,$H$62)+SUMIFS('Calendario G'!$V$8:$V$110,'Calendario G'!$T$8:$T$110,$H62,'Calendario G'!$M$8:$M$110,$H$62),"-")</f>
        <v>-</v>
      </c>
      <c r="AK62" s="14" t="str">
        <f aca="false">IF(AND($H62&lt;&gt;"",$H$63&lt;&gt;"",$H62&lt;&gt;$H$63,IFERROR(VLOOKUP($H62,areaCercaPuntiClassificaSquadra,3,FALSE()),-1)=IFERROR(VLOOKUP($H$63,areaCercaPuntiClassificaSquadra,3,FALSE()),-2)),SUMIFS('Calendario G'!$P$8:$P$110,'Calendario G'!$M$8:$M$110,$H62,'Calendario G'!$T$8:$T$110,$H$63)+SUMIFS('Calendario G'!$W$8:$W$110,'Calendario G'!$T$8:$T$110,$H62,'Calendario G'!$M$8:$M$110,$H$63)+SUMIFS('Calendario G'!$O$8:$O$110,'Calendario G'!$M$8:$M$110,$H62,'Calendario G'!$T$8:$T$110,$H$63)+SUMIFS('Calendario G'!$V$8:$V$110,'Calendario G'!$T$8:$T$110,$H62,'Calendario G'!$M$8:$M$110,$H$63),"-")</f>
        <v>-</v>
      </c>
      <c r="AL62" s="14" t="str">
        <f aca="false">IF(AND($H62&lt;&gt;"",$H$64&lt;&gt;"",$H62&lt;&gt;$H$64,IFERROR(VLOOKUP($H62,areaCercaPuntiClassificaSquadra,3,FALSE()),-1)=IFERROR(VLOOKUP($H$64,areaCercaPuntiClassificaSquadra,3,FALSE()),-2)),SUMIFS('Calendario G'!$P$8:$P$110,'Calendario G'!$M$8:$M$110,$H62,'Calendario G'!$T$8:$T$110,$H$64)+SUMIFS('Calendario G'!$W$8:$W$110,'Calendario G'!$T$8:$T$110,$H62,'Calendario G'!$M$8:$M$110,$H$64)+SUMIFS('Calendario G'!$O$8:$O$110,'Calendario G'!$M$8:$M$110,$H62,'Calendario G'!$T$8:$T$110,$H$64)+SUMIFS('Calendario G'!$V$8:$V$110,'Calendario G'!$T$8:$T$110,$H62,'Calendario G'!$M$8:$M$110,$H$64),"-")</f>
        <v>-</v>
      </c>
      <c r="AM62" s="14" t="str">
        <f aca="false">IF(AND($H62&lt;&gt;"",$H$65&lt;&gt;"",$H62&lt;&gt;$H$65,IFERROR(VLOOKUP($H62,areaCercaPuntiClassificaSquadra,3,FALSE()),-1)=IFERROR(VLOOKUP($H$65,areaCercaPuntiClassificaSquadra,3,FALSE()),-2)),SUMIFS('Calendario G'!$P$8:$P$110,'Calendario G'!$M$8:$M$110,$H62,'Calendario G'!$T$8:$T$110,$H$65)+SUMIFS('Calendario G'!$W$8:$W$110,'Calendario G'!$T$8:$T$110,$H62,'Calendario G'!$M$8:$M$110,$H$65)+SUMIFS('Calendario G'!$O$8:$O$110,'Calendario G'!$M$8:$M$110,$H62,'Calendario G'!$T$8:$T$110,$H$65)+SUMIFS('Calendario G'!$V$8:$V$110,'Calendario G'!$T$8:$T$110,$H62,'Calendario G'!$M$8:$M$110,$H$65),"-")</f>
        <v>-</v>
      </c>
      <c r="AN62" s="14" t="str">
        <f aca="false">IF(AND($H62&lt;&gt;"",$H$66&lt;&gt;"",$H62&lt;&gt;$H$66,IFERROR(VLOOKUP($H62,areaCercaPuntiClassificaSquadra,3,FALSE()),-1)=IFERROR(VLOOKUP($H$66,areaCercaPuntiClassificaSquadra,3,FALSE()),-2)),SUMIFS('Calendario G'!$P$8:$P$110,'Calendario G'!$M$8:$M$110,$H62,'Calendario G'!$T$8:$T$110,$H$66)+SUMIFS('Calendario G'!$W$8:$W$110,'Calendario G'!$T$8:$T$110,$H62,'Calendario G'!$M$8:$M$110,$H$66)+SUMIFS('Calendario G'!$O$8:$O$110,'Calendario G'!$M$8:$M$110,$H62,'Calendario G'!$T$8:$T$110,$H$66)+SUMIFS('Calendario G'!$V$8:$V$110,'Calendario G'!$T$8:$T$110,$H62,'Calendario G'!$M$8:$M$110,$H$66),"-")</f>
        <v>-</v>
      </c>
      <c r="AO62" s="14" t="str">
        <f aca="false">IF(AND($H62&lt;&gt;"",$H$67&lt;&gt;"",$H62&lt;&gt;$H$67,IFERROR(VLOOKUP($H62,areaCercaPuntiClassificaSquadra,3,FALSE()),-1)=IFERROR(VLOOKUP($H$67,areaCercaPuntiClassificaSquadra,3,FALSE()),-2)),SUMIFS('Calendario G'!$P$8:$P$110,'Calendario G'!$M$8:$M$110,$H62,'Calendario G'!$T$8:$T$110,$H$67)+SUMIFS('Calendario G'!$W$8:$W$110,'Calendario G'!$T$8:$T$110,$H62,'Calendario G'!$M$8:$M$110,$H$67)+SUMIFS('Calendario G'!$O$8:$O$110,'Calendario G'!$M$8:$M$110,$H62,'Calendario G'!$T$8:$T$110,$H$67)+SUMIFS('Calendario G'!$V$8:$V$110,'Calendario G'!$T$8:$T$110,$H62,'Calendario G'!$M$8:$M$110,$H$67),"-")</f>
        <v>-</v>
      </c>
      <c r="AP62" s="13" t="str">
        <f aca="false">$C62</f>
        <v>Meduse Malandrine-Meduseopoli ME</v>
      </c>
      <c r="AQ62" s="14" t="str">
        <f aca="false">IF(AND($H62&lt;&gt;"",$H$60&lt;&gt;"",$H62&lt;&gt;$H$60,IFERROR(VLOOKUP($H62,areaCercaPuntiClassificaSquadra,3,FALSE()),-1)=IFERROR(VLOOKUP($H$60,areaCercaPuntiClassificaSquadra,3,FALSE()),-2)),SUMIFS('Calendario G'!$Q$8:$Q$110,'Calendario G'!$M$8:$M$110,$H62,'Calendario G'!$T$8:$T$110,$H$60)+SUMIFS('Calendario G'!$X$8:$X$110,'Calendario G'!$T$8:$T$110,$H62,'Calendario G'!$M$8:$M$110,$H$60),"-")</f>
        <v>-</v>
      </c>
      <c r="AR62" s="14" t="n">
        <f aca="false">IF(AND($H62&lt;&gt;"",$H$61&lt;&gt;"",$H62&lt;&gt;$H$61,IFERROR(VLOOKUP($H62,areaCercaPuntiClassificaSquadra,3,FALSE()),-1)=IFERROR(VLOOKUP($H$61,areaCercaPuntiClassificaSquadra,3,FALSE()),-2)),SUMIFS('Calendario G'!$Q$8:$Q$110,'Calendario G'!$M$8:$M$110,$H62,'Calendario G'!$T$8:$T$110,$H$61)+SUMIFS('Calendario G'!$X$8:$X$110,'Calendario G'!$T$8:$T$110,$H62,'Calendario G'!$M$8:$M$110,$H$61),"-")</f>
        <v>66</v>
      </c>
      <c r="AS62" s="14" t="str">
        <f aca="false">IF(AND($H62&lt;&gt;"",$H$62&lt;&gt;"",$H62&lt;&gt;$H$62,IFERROR(VLOOKUP($H62,areaCercaPuntiClassificaSquadra,3,FALSE()),-1)=IFERROR(VLOOKUP($H$62,areaCercaPuntiClassificaSquadra,3,FALSE()),-2)),SUMIFS('Calendario G'!$Q$8:$Q$110,'Calendario G'!$M$8:$M$110,$H62,'Calendario G'!$T$8:$T$110,$H$62)+SUMIFS('Calendario G'!$X$8:$X$110,'Calendario G'!$T$8:$T$110,$H62,'Calendario G'!$M$8:$M$110,$H$62),"-")</f>
        <v>-</v>
      </c>
      <c r="AT62" s="14" t="str">
        <f aca="false">IF(AND($H62&lt;&gt;"",$H$63&lt;&gt;"",$H62&lt;&gt;$H$63,IFERROR(VLOOKUP($H62,areaCercaPuntiClassificaSquadra,3,FALSE()),-1)=IFERROR(VLOOKUP($H$63,areaCercaPuntiClassificaSquadra,3,FALSE()),-2)),SUMIFS('Calendario G'!$Q$8:$Q$110,'Calendario G'!$M$8:$M$110,$H62,'Calendario G'!$T$8:$T$110,$H$63)+SUMIFS('Calendario G'!$X$8:$X$110,'Calendario G'!$T$8:$T$110,$H62,'Calendario G'!$M$8:$M$110,$H$63),"-")</f>
        <v>-</v>
      </c>
      <c r="AU62" s="14" t="str">
        <f aca="false">IF(AND($H62&lt;&gt;"",$H$64&lt;&gt;"",$H62&lt;&gt;$H$64,IFERROR(VLOOKUP($H62,areaCercaPuntiClassificaSquadra,3,FALSE()),-1)=IFERROR(VLOOKUP($H$64,areaCercaPuntiClassificaSquadra,3,FALSE()),-2)),SUMIFS('Calendario G'!$Q$8:$Q$110,'Calendario G'!$M$8:$M$110,$H62,'Calendario G'!$T$8:$T$110,$H$64)+SUMIFS('Calendario G'!$X$8:$X$110,'Calendario G'!$T$8:$T$110,$H62,'Calendario G'!$M$8:$M$110,$H$64),"-")</f>
        <v>-</v>
      </c>
      <c r="AV62" s="14" t="str">
        <f aca="false">IF(AND($H62&lt;&gt;"",$H$65&lt;&gt;"",$H62&lt;&gt;$H$65,IFERROR(VLOOKUP($H62,areaCercaPuntiClassificaSquadra,3,FALSE()),-1)=IFERROR(VLOOKUP($H$65,areaCercaPuntiClassificaSquadra,3,FALSE()),-2)),SUMIFS('Calendario G'!$Q$8:$Q$110,'Calendario G'!$M$8:$M$110,$H62,'Calendario G'!$T$8:$T$110,$H$65)+SUMIFS('Calendario G'!$X$8:$X$110,'Calendario G'!$T$8:$T$110,$H62,'Calendario G'!$M$8:$M$110,$H$65),"-")</f>
        <v>-</v>
      </c>
      <c r="AW62" s="14" t="str">
        <f aca="false">IF(AND($H62&lt;&gt;"",$H$66&lt;&gt;"",$H62&lt;&gt;$H$66,IFERROR(VLOOKUP($H62,areaCercaPuntiClassificaSquadra,3,FALSE()),-1)=IFERROR(VLOOKUP($H$66,areaCercaPuntiClassificaSquadra,3,FALSE()),-2)),SUMIFS('Calendario G'!$Q$8:$Q$110,'Calendario G'!$M$8:$M$110,$H62,'Calendario G'!$T$8:$T$110,$H$66)+SUMIFS('Calendario G'!$X$8:$X$110,'Calendario G'!$T$8:$T$110,$H62,'Calendario G'!$M$8:$M$110,$H$66),"-")</f>
        <v>-</v>
      </c>
      <c r="AX62" s="14" t="str">
        <f aca="false">IF(AND($H62&lt;&gt;"",$H$67&lt;&gt;"",$H62&lt;&gt;$H$67,IFERROR(VLOOKUP($H62,areaCercaPuntiClassificaSquadra,3,FALSE()),-1)=IFERROR(VLOOKUP($H$67,areaCercaPuntiClassificaSquadra,3,FALSE()),-2)),SUMIFS('Calendario G'!$Q$8:$Q$110,'Calendario G'!$M$8:$M$110,$H62,'Calendario G'!$T$8:$T$110,$H$67)+SUMIFS('Calendario G'!$X$8:$X$110,'Calendario G'!$T$8:$T$110,$H62,'Calendario G'!$M$8:$M$110,$H$67),"-")</f>
        <v>-</v>
      </c>
      <c r="AY62" s="13" t="str">
        <f aca="false">$C62</f>
        <v>Meduse Malandrine-Meduseopoli ME</v>
      </c>
      <c r="AZ62" s="14" t="str">
        <f aca="false">IF(AND($H62&lt;&gt;"",$H$60&lt;&gt;"",$H62&lt;&gt;$H$60,IFERROR(VLOOKUP($H62,areaCercaPuntiClassificaSquadra,3,FALSE()),-1)=IFERROR(VLOOKUP($H$60,areaCercaPuntiClassificaSquadra,3,FALSE()),-2)),SUMIFS('Calendario G'!$R$8:$R$110,'Calendario G'!$M$8:$M$110,$H62,'Calendario G'!$T$8:$T$110,$H$60)+SUMIFS('Calendario G'!$Y$8:$Y$110,'Calendario G'!$T$8:$T$110,$H62,'Calendario G'!$M$8:$M$110,$H$60),"-")</f>
        <v>-</v>
      </c>
      <c r="BA62" s="14" t="n">
        <f aca="false">IF(AND($H62&lt;&gt;"",$H$61&lt;&gt;"",$H62&lt;&gt;$H$61,IFERROR(VLOOKUP($H62,areaCercaPuntiClassificaSquadra,3,FALSE()),-1)=IFERROR(VLOOKUP($H$61,areaCercaPuntiClassificaSquadra,3,FALSE()),-2)),SUMIFS('Calendario G'!$R$8:$R$110,'Calendario G'!$M$8:$M$110,$H62,'Calendario G'!$T$8:$T$110,$H$61)+SUMIFS('Calendario G'!$Y$8:$Y$110,'Calendario G'!$T$8:$T$110,$H62,'Calendario G'!$M$8:$M$110,$H$61),"-")</f>
        <v>75</v>
      </c>
      <c r="BB62" s="14" t="str">
        <f aca="false">IF(AND($H62&lt;&gt;"",$H$62&lt;&gt;"",$H62&lt;&gt;$H$62,IFERROR(VLOOKUP($H62,areaCercaPuntiClassificaSquadra,3,FALSE()),-1)=IFERROR(VLOOKUP($H$62,areaCercaPuntiClassificaSquadra,3,FALSE()),-2)),SUMIFS('Calendario G'!$R$8:$R$110,'Calendario G'!$M$8:$M$110,$H62,'Calendario G'!$T$8:$T$110,$H$62)+SUMIFS('Calendario G'!$Y$8:$Y$110,'Calendario G'!$T$8:$T$110,$H62,'Calendario G'!$M$8:$M$110,$H$62),"-")</f>
        <v>-</v>
      </c>
      <c r="BC62" s="14" t="str">
        <f aca="false">IF(AND($H62&lt;&gt;"",$H$63&lt;&gt;"",$H62&lt;&gt;$H$63,IFERROR(VLOOKUP($H62,areaCercaPuntiClassificaSquadra,3,FALSE()),-1)=IFERROR(VLOOKUP($H$63,areaCercaPuntiClassificaSquadra,3,FALSE()),-2)),SUMIFS('Calendario G'!$R$8:$R$110,'Calendario G'!$M$8:$M$110,$H62,'Calendario G'!$T$8:$T$110,$H$63)+SUMIFS('Calendario G'!$Y$8:$Y$110,'Calendario G'!$T$8:$T$110,$H62,'Calendario G'!$M$8:$M$110,$H$63),"-")</f>
        <v>-</v>
      </c>
      <c r="BD62" s="14" t="str">
        <f aca="false">IF(AND($H62&lt;&gt;"",$H$64&lt;&gt;"",$H62&lt;&gt;$H$64,IFERROR(VLOOKUP($H62,areaCercaPuntiClassificaSquadra,3,FALSE()),-1)=IFERROR(VLOOKUP($H$64,areaCercaPuntiClassificaSquadra,3,FALSE()),-2)),SUMIFS('Calendario G'!$R$8:$R$110,'Calendario G'!$M$8:$M$110,$H62,'Calendario G'!$T$8:$T$110,$H$64)+SUMIFS('Calendario G'!$Y$8:$Y$110,'Calendario G'!$T$8:$T$110,$H62,'Calendario G'!$M$8:$M$110,$H$64),"-")</f>
        <v>-</v>
      </c>
      <c r="BE62" s="14" t="str">
        <f aca="false">IF(AND($H62&lt;&gt;"",$H$65&lt;&gt;"",$H62&lt;&gt;$H$65,IFERROR(VLOOKUP($H62,areaCercaPuntiClassificaSquadra,3,FALSE()),-1)=IFERROR(VLOOKUP($H$65,areaCercaPuntiClassificaSquadra,3,FALSE()),-2)),SUMIFS('Calendario G'!$R$8:$R$110,'Calendario G'!$M$8:$M$110,$H62,'Calendario G'!$T$8:$T$110,$H$65)+SUMIFS('Calendario G'!$Y$8:$Y$110,'Calendario G'!$T$8:$T$110,$H62,'Calendario G'!$M$8:$M$110,$H$65),"-")</f>
        <v>-</v>
      </c>
      <c r="BF62" s="14" t="str">
        <f aca="false">IF(AND($H62&lt;&gt;"",$H$66&lt;&gt;"",$H62&lt;&gt;$H$66,IFERROR(VLOOKUP($H62,areaCercaPuntiClassificaSquadra,3,FALSE()),-1)=IFERROR(VLOOKUP($H$66,areaCercaPuntiClassificaSquadra,3,FALSE()),-2)),SUMIFS('Calendario G'!$R$8:$R$110,'Calendario G'!$M$8:$M$110,$H62,'Calendario G'!$T$8:$T$110,$H$66)+SUMIFS('Calendario G'!$Y$8:$Y$110,'Calendario G'!$T$8:$T$110,$H62,'Calendario G'!$M$8:$M$110,$H$66),"-")</f>
        <v>-</v>
      </c>
      <c r="BG62" s="14" t="str">
        <f aca="false">IF(AND($H62&lt;&gt;"",$H$67&lt;&gt;"",$H62&lt;&gt;$H$67,IFERROR(VLOOKUP($H62,areaCercaPuntiClassificaSquadra,3,FALSE()),-1)=IFERROR(VLOOKUP($H$67,areaCercaPuntiClassificaSquadra,3,FALSE()),-2)),SUMIFS('Calendario G'!$R$8:$R$110,'Calendario G'!$M$8:$M$110,$H62,'Calendario G'!$T$8:$T$110,$H$67)+SUMIFS('Calendario G'!$Y$8:$Y$110,'Calendario G'!$T$8:$T$110,$H62,'Calendario G'!$M$8:$M$110,$H$67),"-")</f>
        <v>-</v>
      </c>
    </row>
    <row r="63" customFormat="false" ht="15" hidden="false" customHeight="false" outlineLevel="0" collapsed="false">
      <c r="B63" s="7" t="s">
        <v>156</v>
      </c>
      <c r="C63" s="8" t="s">
        <v>157</v>
      </c>
      <c r="D63" s="9"/>
      <c r="E63" s="25" t="s">
        <v>151</v>
      </c>
      <c r="G63" s="26" t="str">
        <f aca="false">IF($C63="","",$E63&amp;(COUNTIFS(I$12:I$75,"&gt;"&amp;I63,E$12:E$75,"="&amp;E63,C$12:C$75,"&lt;&gt;")+COUNTIFS(I$12:I$75,"="&amp;I63,H$12:H$75,"&lt;="&amp;H63,E$12:E$75,"="&amp;E63,C$12:C$75,"&lt;&gt;")))</f>
        <v>G8</v>
      </c>
      <c r="H63" s="12" t="str">
        <f aca="false">IF($C63="","",IFERROR(LEFT($C63,FIND("-",$C63)-1),$C63))</f>
        <v>Nandu Nottambuli</v>
      </c>
      <c r="I63" s="7" t="str">
        <f aca="false">TEXT(1000000000+J63,"|0000000000|")&amp;TEXT(SUM(Y63:AF63),"0000000000|")&amp;IF(SUM(AZ63:BG63)=0,"0000000000|",TEXT(ROUND(SUM(AQ63:AX63)/SUM(AZ63:BG63),4)*100000,"0000000000|"))&amp;IF(P63=0,"0000000000|",TEXT(ROUND(O63/P63,4)*100000,"0000000000|"))</f>
        <v>|1000000009|0000000000|0000081080|0000081020|</v>
      </c>
      <c r="J63" s="26" t="n">
        <f aca="false">L63*constPuntiVittoria+M63*constPuntiSconfitta+N63*constPuntiForfait+IF(D63="",0,D63)</f>
        <v>9</v>
      </c>
      <c r="K63" s="7" t="n">
        <f aca="false">SUM(L63:N63)</f>
        <v>7</v>
      </c>
      <c r="L63" s="7" t="n">
        <f aca="false">IF($H63="",0,SUMIF('Calendario G'!$M$8:$M$110,$H63,'Calendario G'!$N$8:$N$110)+SUMIF('Calendario G'!$T$8:$T$110,$H63,'Calendario G'!$U$8:$U$110))</f>
        <v>1</v>
      </c>
      <c r="M63" s="7" t="n">
        <f aca="false">IF($H63="",0,SUMIF('Calendario G'!$M$8:$M$110,$H63,'Calendario G'!$P$8:$P$110)+SUMIF('Calendario G'!$T$8:$T$110,$H63,'Calendario G'!$W$8:$W$110))</f>
        <v>6</v>
      </c>
      <c r="N63" s="7" t="n">
        <f aca="false">IF($H63="",0,SUMIF('Calendario G'!$M$8:$M$110,$H63,'Calendario G'!$O$8:$O$110)+SUMIF('Calendario G'!$T$8:$T$110,$H63,'Calendario G'!$V$8:$V$110))</f>
        <v>0</v>
      </c>
      <c r="O63" s="7" t="n">
        <f aca="false">IF($H63="",0,SUMIF('Calendario G'!$M$8:$M$110,$H63,'Calendario G'!$Q$8:$Q$110)+SUMIF('Calendario G'!$T$8:$T$110,$H63,'Calendario G'!$X$8:$X$110))</f>
        <v>397</v>
      </c>
      <c r="P63" s="7" t="n">
        <f aca="false">IF($H63="",0,SUMIF('Calendario G'!$M$8:$M$110,$H63,'Calendario G'!$R$8:$R$110)+SUMIF('Calendario G'!$T$8:$T$110,$H63,'Calendario G'!$Y$8:$Y$110))</f>
        <v>490</v>
      </c>
      <c r="Q63" s="7" t="n">
        <f aca="false">IF($H63="",0,SUMIF('Calendario G'!$M$8:$M$110,$H63,'Calendario G'!$S$8:$S$110)+SUMIF('Calendario G'!$T$8:$T$110,$H63,'Calendario G'!$Z$8:$Z$110))</f>
        <v>-93</v>
      </c>
      <c r="R63" s="7" t="n">
        <f aca="false">IF(K63=0,0,ROUND(O63/K63,2))</f>
        <v>56.71</v>
      </c>
      <c r="S63" s="7" t="n">
        <f aca="false">IF(K63=0,0,ROUND(P63/K63,2))</f>
        <v>70</v>
      </c>
      <c r="T63" s="7" t="n">
        <f aca="false">IF(K63=0,0,ROUND(Q63/K63,2))</f>
        <v>-13.29</v>
      </c>
      <c r="U63" s="7" t="str">
        <f aca="false">IF(COUNT(Y63:AF63)=0,"-",SUM(Y63:AF63)&amp;"-"&amp;SUM(AH63:AO63))</f>
        <v>0-1</v>
      </c>
      <c r="V63" s="7" t="str">
        <f aca="false">IF(COUNT(Y63:AF63)=0,"-",IF(SUM(AZ63:BG63)=0,TEXT(0,"0.0000"),TEXT(ROUND(SUM(AQ63:AX63)/SUM(AZ63:BG63),4),"0.0000")))</f>
        <v>0.8108</v>
      </c>
      <c r="W63" s="7" t="str">
        <f aca="false">IF(H63="","-",IF(P63=0,TEXT(0,"0.0000"),TEXT(ROUND(O63/P63,4),"0.0000")))</f>
        <v>0.8102</v>
      </c>
      <c r="X63" s="13" t="str">
        <f aca="false">$C63</f>
        <v>Nandu Nottambuli-Nanduopoli NU</v>
      </c>
      <c r="Y63" s="14" t="str">
        <f aca="false">IF(AND($H63&lt;&gt;"",$H$60&lt;&gt;"",$H63&lt;&gt;$H$60,IFERROR(VLOOKUP($H63,areaCercaPuntiClassificaSquadra,3,FALSE()),-1)=IFERROR(VLOOKUP($H$60,areaCercaPuntiClassificaSquadra,3,FALSE()),-2)),SUMIFS('Calendario G'!$N$8:$N$110,'Calendario G'!$M$8:$M$110,$H63,'Calendario G'!$T$8:$T$110,$H$60)+SUMIFS('Calendario G'!$U$8:$U$110,'Calendario G'!$T$8:$T$110,$H63,'Calendario G'!$M$8:$M$110,$H$60),"-")</f>
        <v>-</v>
      </c>
      <c r="Z63" s="14" t="str">
        <f aca="false">IF(AND($H63&lt;&gt;"",$H$61&lt;&gt;"",$H63&lt;&gt;$H$61,IFERROR(VLOOKUP($H63,areaCercaPuntiClassificaSquadra,3,FALSE()),-1)=IFERROR(VLOOKUP($H$61,areaCercaPuntiClassificaSquadra,3,FALSE()),-2)),SUMIFS('Calendario G'!$N$8:$N$110,'Calendario G'!$M$8:$M$110,$H63,'Calendario G'!$T$8:$T$110,$H$61)+SUMIFS('Calendario G'!$U$8:$U$110,'Calendario G'!$T$8:$T$110,$H63,'Calendario G'!$M$8:$M$110,$H$61),"-")</f>
        <v>-</v>
      </c>
      <c r="AA63" s="14" t="str">
        <f aca="false">IF(AND($H63&lt;&gt;"",$H$62&lt;&gt;"",$H63&lt;&gt;$H$62,IFERROR(VLOOKUP($H63,areaCercaPuntiClassificaSquadra,3,FALSE()),-1)=IFERROR(VLOOKUP($H$62,areaCercaPuntiClassificaSquadra,3,FALSE()),-2)),SUMIFS('Calendario G'!$N$8:$N$110,'Calendario G'!$M$8:$M$110,$H63,'Calendario G'!$T$8:$T$110,$H$62)+SUMIFS('Calendario G'!$U$8:$U$110,'Calendario G'!$T$8:$T$110,$H63,'Calendario G'!$M$8:$M$110,$H$62),"-")</f>
        <v>-</v>
      </c>
      <c r="AB63" s="14" t="str">
        <f aca="false">IF(AND($H63&lt;&gt;"",$H$63&lt;&gt;"",$H63&lt;&gt;$H$63,IFERROR(VLOOKUP($H63,areaCercaPuntiClassificaSquadra,3,FALSE()),-1)=IFERROR(VLOOKUP($H$63,areaCercaPuntiClassificaSquadra,3,FALSE()),-2)),SUMIFS('Calendario G'!$N$8:$N$110,'Calendario G'!$M$8:$M$110,$H63,'Calendario G'!$T$8:$T$110,$H$63)+SUMIFS('Calendario G'!$U$8:$U$110,'Calendario G'!$T$8:$T$110,$H63,'Calendario G'!$M$8:$M$110,$H$63),"-")</f>
        <v>-</v>
      </c>
      <c r="AC63" s="14" t="str">
        <f aca="false">IF(AND($H63&lt;&gt;"",$H$64&lt;&gt;"",$H63&lt;&gt;$H$64,IFERROR(VLOOKUP($H63,areaCercaPuntiClassificaSquadra,3,FALSE()),-1)=IFERROR(VLOOKUP($H$64,areaCercaPuntiClassificaSquadra,3,FALSE()),-2)),SUMIFS('Calendario G'!$N$8:$N$110,'Calendario G'!$M$8:$M$110,$H63,'Calendario G'!$T$8:$T$110,$H$64)+SUMIFS('Calendario G'!$U$8:$U$110,'Calendario G'!$T$8:$T$110,$H63,'Calendario G'!$M$8:$M$110,$H$64),"-")</f>
        <v>-</v>
      </c>
      <c r="AD63" s="14" t="str">
        <f aca="false">IF(AND($H63&lt;&gt;"",$H$65&lt;&gt;"",$H63&lt;&gt;$H$65,IFERROR(VLOOKUP($H63,areaCercaPuntiClassificaSquadra,3,FALSE()),-1)=IFERROR(VLOOKUP($H$65,areaCercaPuntiClassificaSquadra,3,FALSE()),-2)),SUMIFS('Calendario G'!$N$8:$N$110,'Calendario G'!$M$8:$M$110,$H63,'Calendario G'!$T$8:$T$110,$H$65)+SUMIFS('Calendario G'!$U$8:$U$110,'Calendario G'!$T$8:$T$110,$H63,'Calendario G'!$M$8:$M$110,$H$65),"-")</f>
        <v>-</v>
      </c>
      <c r="AE63" s="14" t="n">
        <f aca="false">IF(AND($H63&lt;&gt;"",$H$66&lt;&gt;"",$H63&lt;&gt;$H$66,IFERROR(VLOOKUP($H63,areaCercaPuntiClassificaSquadra,3,FALSE()),-1)=IFERROR(VLOOKUP($H$66,areaCercaPuntiClassificaSquadra,3,FALSE()),-2)),SUMIFS('Calendario G'!$N$8:$N$110,'Calendario G'!$M$8:$M$110,$H63,'Calendario G'!$T$8:$T$110,$H$66)+SUMIFS('Calendario G'!$U$8:$U$110,'Calendario G'!$T$8:$T$110,$H63,'Calendario G'!$M$8:$M$110,$H$66),"-")</f>
        <v>0</v>
      </c>
      <c r="AF63" s="14" t="str">
        <f aca="false">IF(AND($H63&lt;&gt;"",$H$67&lt;&gt;"",$H63&lt;&gt;$H$67,IFERROR(VLOOKUP($H63,areaCercaPuntiClassificaSquadra,3,FALSE()),-1)=IFERROR(VLOOKUP($H$67,areaCercaPuntiClassificaSquadra,3,FALSE()),-2)),SUMIFS('Calendario G'!$N$8:$N$110,'Calendario G'!$M$8:$M$110,$H63,'Calendario G'!$T$8:$T$110,$H$67)+SUMIFS('Calendario G'!$U$8:$U$110,'Calendario G'!$T$8:$T$110,$H63,'Calendario G'!$M$8:$M$110,$H$67),"-")</f>
        <v>-</v>
      </c>
      <c r="AG63" s="13" t="str">
        <f aca="false">$C63</f>
        <v>Nandu Nottambuli-Nanduopoli NU</v>
      </c>
      <c r="AH63" s="14" t="str">
        <f aca="false">IF(AND($H63&lt;&gt;"",$H$60&lt;&gt;"",$H63&lt;&gt;$H$60,IFERROR(VLOOKUP($H63,areaCercaPuntiClassificaSquadra,3,FALSE()),-1)=IFERROR(VLOOKUP($H$60,areaCercaPuntiClassificaSquadra,3,FALSE()),-2)),SUMIFS('Calendario G'!$P$8:$P$110,'Calendario G'!$M$8:$M$110,$H63,'Calendario G'!$T$8:$T$110,$H$60)+SUMIFS('Calendario G'!$W$8:$W$110,'Calendario G'!$T$8:$T$110,$H63,'Calendario G'!$M$8:$M$110,$H$60)+SUMIFS('Calendario G'!$O$8:$O$110,'Calendario G'!$M$8:$M$110,$H63,'Calendario G'!$T$8:$T$110,$H$60)+SUMIFS('Calendario G'!$V$8:$V$110,'Calendario G'!$T$8:$T$110,$H63,'Calendario G'!$M$8:$M$110,$H$60),"-")</f>
        <v>-</v>
      </c>
      <c r="AI63" s="14" t="str">
        <f aca="false">IF(AND($H63&lt;&gt;"",$H$61&lt;&gt;"",$H63&lt;&gt;$H$61,IFERROR(VLOOKUP($H63,areaCercaPuntiClassificaSquadra,3,FALSE()),-1)=IFERROR(VLOOKUP($H$61,areaCercaPuntiClassificaSquadra,3,FALSE()),-2)),SUMIFS('Calendario G'!$P$8:$P$110,'Calendario G'!$M$8:$M$110,$H63,'Calendario G'!$T$8:$T$110,$H$61)+SUMIFS('Calendario G'!$W$8:$W$110,'Calendario G'!$T$8:$T$110,$H63,'Calendario G'!$M$8:$M$110,$H$61)+SUMIFS('Calendario G'!$O$8:$O$110,'Calendario G'!$M$8:$M$110,$H63,'Calendario G'!$T$8:$T$110,$H$61)+SUMIFS('Calendario G'!$V$8:$V$110,'Calendario G'!$T$8:$T$110,$H63,'Calendario G'!$M$8:$M$110,$H$61),"-")</f>
        <v>-</v>
      </c>
      <c r="AJ63" s="14" t="str">
        <f aca="false">IF(AND($H63&lt;&gt;"",$H$62&lt;&gt;"",$H63&lt;&gt;$H$62,IFERROR(VLOOKUP($H63,areaCercaPuntiClassificaSquadra,3,FALSE()),-1)=IFERROR(VLOOKUP($H$62,areaCercaPuntiClassificaSquadra,3,FALSE()),-2)),SUMIFS('Calendario G'!$P$8:$P$110,'Calendario G'!$M$8:$M$110,$H63,'Calendario G'!$T$8:$T$110,$H$62)+SUMIFS('Calendario G'!$W$8:$W$110,'Calendario G'!$T$8:$T$110,$H63,'Calendario G'!$M$8:$M$110,$H$62)+SUMIFS('Calendario G'!$O$8:$O$110,'Calendario G'!$M$8:$M$110,$H63,'Calendario G'!$T$8:$T$110,$H$62)+SUMIFS('Calendario G'!$V$8:$V$110,'Calendario G'!$T$8:$T$110,$H63,'Calendario G'!$M$8:$M$110,$H$62),"-")</f>
        <v>-</v>
      </c>
      <c r="AK63" s="14" t="str">
        <f aca="false">IF(AND($H63&lt;&gt;"",$H$63&lt;&gt;"",$H63&lt;&gt;$H$63,IFERROR(VLOOKUP($H63,areaCercaPuntiClassificaSquadra,3,FALSE()),-1)=IFERROR(VLOOKUP($H$63,areaCercaPuntiClassificaSquadra,3,FALSE()),-2)),SUMIFS('Calendario G'!$P$8:$P$110,'Calendario G'!$M$8:$M$110,$H63,'Calendario G'!$T$8:$T$110,$H$63)+SUMIFS('Calendario G'!$W$8:$W$110,'Calendario G'!$T$8:$T$110,$H63,'Calendario G'!$M$8:$M$110,$H$63)+SUMIFS('Calendario G'!$O$8:$O$110,'Calendario G'!$M$8:$M$110,$H63,'Calendario G'!$T$8:$T$110,$H$63)+SUMIFS('Calendario G'!$V$8:$V$110,'Calendario G'!$T$8:$T$110,$H63,'Calendario G'!$M$8:$M$110,$H$63),"-")</f>
        <v>-</v>
      </c>
      <c r="AL63" s="14" t="str">
        <f aca="false">IF(AND($H63&lt;&gt;"",$H$64&lt;&gt;"",$H63&lt;&gt;$H$64,IFERROR(VLOOKUP($H63,areaCercaPuntiClassificaSquadra,3,FALSE()),-1)=IFERROR(VLOOKUP($H$64,areaCercaPuntiClassificaSquadra,3,FALSE()),-2)),SUMIFS('Calendario G'!$P$8:$P$110,'Calendario G'!$M$8:$M$110,$H63,'Calendario G'!$T$8:$T$110,$H$64)+SUMIFS('Calendario G'!$W$8:$W$110,'Calendario G'!$T$8:$T$110,$H63,'Calendario G'!$M$8:$M$110,$H$64)+SUMIFS('Calendario G'!$O$8:$O$110,'Calendario G'!$M$8:$M$110,$H63,'Calendario G'!$T$8:$T$110,$H$64)+SUMIFS('Calendario G'!$V$8:$V$110,'Calendario G'!$T$8:$T$110,$H63,'Calendario G'!$M$8:$M$110,$H$64),"-")</f>
        <v>-</v>
      </c>
      <c r="AM63" s="14" t="str">
        <f aca="false">IF(AND($H63&lt;&gt;"",$H$65&lt;&gt;"",$H63&lt;&gt;$H$65,IFERROR(VLOOKUP($H63,areaCercaPuntiClassificaSquadra,3,FALSE()),-1)=IFERROR(VLOOKUP($H$65,areaCercaPuntiClassificaSquadra,3,FALSE()),-2)),SUMIFS('Calendario G'!$P$8:$P$110,'Calendario G'!$M$8:$M$110,$H63,'Calendario G'!$T$8:$T$110,$H$65)+SUMIFS('Calendario G'!$W$8:$W$110,'Calendario G'!$T$8:$T$110,$H63,'Calendario G'!$M$8:$M$110,$H$65)+SUMIFS('Calendario G'!$O$8:$O$110,'Calendario G'!$M$8:$M$110,$H63,'Calendario G'!$T$8:$T$110,$H$65)+SUMIFS('Calendario G'!$V$8:$V$110,'Calendario G'!$T$8:$T$110,$H63,'Calendario G'!$M$8:$M$110,$H$65),"-")</f>
        <v>-</v>
      </c>
      <c r="AN63" s="14" t="n">
        <f aca="false">IF(AND($H63&lt;&gt;"",$H$66&lt;&gt;"",$H63&lt;&gt;$H$66,IFERROR(VLOOKUP($H63,areaCercaPuntiClassificaSquadra,3,FALSE()),-1)=IFERROR(VLOOKUP($H$66,areaCercaPuntiClassificaSquadra,3,FALSE()),-2)),SUMIFS('Calendario G'!$P$8:$P$110,'Calendario G'!$M$8:$M$110,$H63,'Calendario G'!$T$8:$T$110,$H$66)+SUMIFS('Calendario G'!$W$8:$W$110,'Calendario G'!$T$8:$T$110,$H63,'Calendario G'!$M$8:$M$110,$H$66)+SUMIFS('Calendario G'!$O$8:$O$110,'Calendario G'!$M$8:$M$110,$H63,'Calendario G'!$T$8:$T$110,$H$66)+SUMIFS('Calendario G'!$V$8:$V$110,'Calendario G'!$T$8:$T$110,$H63,'Calendario G'!$M$8:$M$110,$H$66),"-")</f>
        <v>1</v>
      </c>
      <c r="AO63" s="14" t="str">
        <f aca="false">IF(AND($H63&lt;&gt;"",$H$67&lt;&gt;"",$H63&lt;&gt;$H$67,IFERROR(VLOOKUP($H63,areaCercaPuntiClassificaSquadra,3,FALSE()),-1)=IFERROR(VLOOKUP($H$67,areaCercaPuntiClassificaSquadra,3,FALSE()),-2)),SUMIFS('Calendario G'!$P$8:$P$110,'Calendario G'!$M$8:$M$110,$H63,'Calendario G'!$T$8:$T$110,$H$67)+SUMIFS('Calendario G'!$W$8:$W$110,'Calendario G'!$T$8:$T$110,$H63,'Calendario G'!$M$8:$M$110,$H$67)+SUMIFS('Calendario G'!$O$8:$O$110,'Calendario G'!$M$8:$M$110,$H63,'Calendario G'!$T$8:$T$110,$H$67)+SUMIFS('Calendario G'!$V$8:$V$110,'Calendario G'!$T$8:$T$110,$H63,'Calendario G'!$M$8:$M$110,$H$67),"-")</f>
        <v>-</v>
      </c>
      <c r="AP63" s="13" t="str">
        <f aca="false">$C63</f>
        <v>Nandu Nottambuli-Nanduopoli NU</v>
      </c>
      <c r="AQ63" s="14" t="str">
        <f aca="false">IF(AND($H63&lt;&gt;"",$H$60&lt;&gt;"",$H63&lt;&gt;$H$60,IFERROR(VLOOKUP($H63,areaCercaPuntiClassificaSquadra,3,FALSE()),-1)=IFERROR(VLOOKUP($H$60,areaCercaPuntiClassificaSquadra,3,FALSE()),-2)),SUMIFS('Calendario G'!$Q$8:$Q$110,'Calendario G'!$M$8:$M$110,$H63,'Calendario G'!$T$8:$T$110,$H$60)+SUMIFS('Calendario G'!$X$8:$X$110,'Calendario G'!$T$8:$T$110,$H63,'Calendario G'!$M$8:$M$110,$H$60),"-")</f>
        <v>-</v>
      </c>
      <c r="AR63" s="14" t="str">
        <f aca="false">IF(AND($H63&lt;&gt;"",$H$61&lt;&gt;"",$H63&lt;&gt;$H$61,IFERROR(VLOOKUP($H63,areaCercaPuntiClassificaSquadra,3,FALSE()),-1)=IFERROR(VLOOKUP($H$61,areaCercaPuntiClassificaSquadra,3,FALSE()),-2)),SUMIFS('Calendario G'!$Q$8:$Q$110,'Calendario G'!$M$8:$M$110,$H63,'Calendario G'!$T$8:$T$110,$H$61)+SUMIFS('Calendario G'!$X$8:$X$110,'Calendario G'!$T$8:$T$110,$H63,'Calendario G'!$M$8:$M$110,$H$61),"-")</f>
        <v>-</v>
      </c>
      <c r="AS63" s="14" t="str">
        <f aca="false">IF(AND($H63&lt;&gt;"",$H$62&lt;&gt;"",$H63&lt;&gt;$H$62,IFERROR(VLOOKUP($H63,areaCercaPuntiClassificaSquadra,3,FALSE()),-1)=IFERROR(VLOOKUP($H$62,areaCercaPuntiClassificaSquadra,3,FALSE()),-2)),SUMIFS('Calendario G'!$Q$8:$Q$110,'Calendario G'!$M$8:$M$110,$H63,'Calendario G'!$T$8:$T$110,$H$62)+SUMIFS('Calendario G'!$X$8:$X$110,'Calendario G'!$T$8:$T$110,$H63,'Calendario G'!$M$8:$M$110,$H$62),"-")</f>
        <v>-</v>
      </c>
      <c r="AT63" s="14" t="str">
        <f aca="false">IF(AND($H63&lt;&gt;"",$H$63&lt;&gt;"",$H63&lt;&gt;$H$63,IFERROR(VLOOKUP($H63,areaCercaPuntiClassificaSquadra,3,FALSE()),-1)=IFERROR(VLOOKUP($H$63,areaCercaPuntiClassificaSquadra,3,FALSE()),-2)),SUMIFS('Calendario G'!$Q$8:$Q$110,'Calendario G'!$M$8:$M$110,$H63,'Calendario G'!$T$8:$T$110,$H$63)+SUMIFS('Calendario G'!$X$8:$X$110,'Calendario G'!$T$8:$T$110,$H63,'Calendario G'!$M$8:$M$110,$H$63),"-")</f>
        <v>-</v>
      </c>
      <c r="AU63" s="14" t="str">
        <f aca="false">IF(AND($H63&lt;&gt;"",$H$64&lt;&gt;"",$H63&lt;&gt;$H$64,IFERROR(VLOOKUP($H63,areaCercaPuntiClassificaSquadra,3,FALSE()),-1)=IFERROR(VLOOKUP($H$64,areaCercaPuntiClassificaSquadra,3,FALSE()),-2)),SUMIFS('Calendario G'!$Q$8:$Q$110,'Calendario G'!$M$8:$M$110,$H63,'Calendario G'!$T$8:$T$110,$H$64)+SUMIFS('Calendario G'!$X$8:$X$110,'Calendario G'!$T$8:$T$110,$H63,'Calendario G'!$M$8:$M$110,$H$64),"-")</f>
        <v>-</v>
      </c>
      <c r="AV63" s="14" t="str">
        <f aca="false">IF(AND($H63&lt;&gt;"",$H$65&lt;&gt;"",$H63&lt;&gt;$H$65,IFERROR(VLOOKUP($H63,areaCercaPuntiClassificaSquadra,3,FALSE()),-1)=IFERROR(VLOOKUP($H$65,areaCercaPuntiClassificaSquadra,3,FALSE()),-2)),SUMIFS('Calendario G'!$Q$8:$Q$110,'Calendario G'!$M$8:$M$110,$H63,'Calendario G'!$T$8:$T$110,$H$65)+SUMIFS('Calendario G'!$X$8:$X$110,'Calendario G'!$T$8:$T$110,$H63,'Calendario G'!$M$8:$M$110,$H$65),"-")</f>
        <v>-</v>
      </c>
      <c r="AW63" s="14" t="n">
        <f aca="false">IF(AND($H63&lt;&gt;"",$H$66&lt;&gt;"",$H63&lt;&gt;$H$66,IFERROR(VLOOKUP($H63,areaCercaPuntiClassificaSquadra,3,FALSE()),-1)=IFERROR(VLOOKUP($H$66,areaCercaPuntiClassificaSquadra,3,FALSE()),-2)),SUMIFS('Calendario G'!$Q$8:$Q$110,'Calendario G'!$M$8:$M$110,$H63,'Calendario G'!$T$8:$T$110,$H$66)+SUMIFS('Calendario G'!$X$8:$X$110,'Calendario G'!$T$8:$T$110,$H63,'Calendario G'!$M$8:$M$110,$H$66),"-")</f>
        <v>60</v>
      </c>
      <c r="AX63" s="14" t="str">
        <f aca="false">IF(AND($H63&lt;&gt;"",$H$67&lt;&gt;"",$H63&lt;&gt;$H$67,IFERROR(VLOOKUP($H63,areaCercaPuntiClassificaSquadra,3,FALSE()),-1)=IFERROR(VLOOKUP($H$67,areaCercaPuntiClassificaSquadra,3,FALSE()),-2)),SUMIFS('Calendario G'!$Q$8:$Q$110,'Calendario G'!$M$8:$M$110,$H63,'Calendario G'!$T$8:$T$110,$H$67)+SUMIFS('Calendario G'!$X$8:$X$110,'Calendario G'!$T$8:$T$110,$H63,'Calendario G'!$M$8:$M$110,$H$67),"-")</f>
        <v>-</v>
      </c>
      <c r="AY63" s="13" t="str">
        <f aca="false">$C63</f>
        <v>Nandu Nottambuli-Nanduopoli NU</v>
      </c>
      <c r="AZ63" s="14" t="str">
        <f aca="false">IF(AND($H63&lt;&gt;"",$H$60&lt;&gt;"",$H63&lt;&gt;$H$60,IFERROR(VLOOKUP($H63,areaCercaPuntiClassificaSquadra,3,FALSE()),-1)=IFERROR(VLOOKUP($H$60,areaCercaPuntiClassificaSquadra,3,FALSE()),-2)),SUMIFS('Calendario G'!$R$8:$R$110,'Calendario G'!$M$8:$M$110,$H63,'Calendario G'!$T$8:$T$110,$H$60)+SUMIFS('Calendario G'!$Y$8:$Y$110,'Calendario G'!$T$8:$T$110,$H63,'Calendario G'!$M$8:$M$110,$H$60),"-")</f>
        <v>-</v>
      </c>
      <c r="BA63" s="14" t="str">
        <f aca="false">IF(AND($H63&lt;&gt;"",$H$61&lt;&gt;"",$H63&lt;&gt;$H$61,IFERROR(VLOOKUP($H63,areaCercaPuntiClassificaSquadra,3,FALSE()),-1)=IFERROR(VLOOKUP($H$61,areaCercaPuntiClassificaSquadra,3,FALSE()),-2)),SUMIFS('Calendario G'!$R$8:$R$110,'Calendario G'!$M$8:$M$110,$H63,'Calendario G'!$T$8:$T$110,$H$61)+SUMIFS('Calendario G'!$Y$8:$Y$110,'Calendario G'!$T$8:$T$110,$H63,'Calendario G'!$M$8:$M$110,$H$61),"-")</f>
        <v>-</v>
      </c>
      <c r="BB63" s="14" t="str">
        <f aca="false">IF(AND($H63&lt;&gt;"",$H$62&lt;&gt;"",$H63&lt;&gt;$H$62,IFERROR(VLOOKUP($H63,areaCercaPuntiClassificaSquadra,3,FALSE()),-1)=IFERROR(VLOOKUP($H$62,areaCercaPuntiClassificaSquadra,3,FALSE()),-2)),SUMIFS('Calendario G'!$R$8:$R$110,'Calendario G'!$M$8:$M$110,$H63,'Calendario G'!$T$8:$T$110,$H$62)+SUMIFS('Calendario G'!$Y$8:$Y$110,'Calendario G'!$T$8:$T$110,$H63,'Calendario G'!$M$8:$M$110,$H$62),"-")</f>
        <v>-</v>
      </c>
      <c r="BC63" s="14" t="str">
        <f aca="false">IF(AND($H63&lt;&gt;"",$H$63&lt;&gt;"",$H63&lt;&gt;$H$63,IFERROR(VLOOKUP($H63,areaCercaPuntiClassificaSquadra,3,FALSE()),-1)=IFERROR(VLOOKUP($H$63,areaCercaPuntiClassificaSquadra,3,FALSE()),-2)),SUMIFS('Calendario G'!$R$8:$R$110,'Calendario G'!$M$8:$M$110,$H63,'Calendario G'!$T$8:$T$110,$H$63)+SUMIFS('Calendario G'!$Y$8:$Y$110,'Calendario G'!$T$8:$T$110,$H63,'Calendario G'!$M$8:$M$110,$H$63),"-")</f>
        <v>-</v>
      </c>
      <c r="BD63" s="14" t="str">
        <f aca="false">IF(AND($H63&lt;&gt;"",$H$64&lt;&gt;"",$H63&lt;&gt;$H$64,IFERROR(VLOOKUP($H63,areaCercaPuntiClassificaSquadra,3,FALSE()),-1)=IFERROR(VLOOKUP($H$64,areaCercaPuntiClassificaSquadra,3,FALSE()),-2)),SUMIFS('Calendario G'!$R$8:$R$110,'Calendario G'!$M$8:$M$110,$H63,'Calendario G'!$T$8:$T$110,$H$64)+SUMIFS('Calendario G'!$Y$8:$Y$110,'Calendario G'!$T$8:$T$110,$H63,'Calendario G'!$M$8:$M$110,$H$64),"-")</f>
        <v>-</v>
      </c>
      <c r="BE63" s="14" t="str">
        <f aca="false">IF(AND($H63&lt;&gt;"",$H$65&lt;&gt;"",$H63&lt;&gt;$H$65,IFERROR(VLOOKUP($H63,areaCercaPuntiClassificaSquadra,3,FALSE()),-1)=IFERROR(VLOOKUP($H$65,areaCercaPuntiClassificaSquadra,3,FALSE()),-2)),SUMIFS('Calendario G'!$R$8:$R$110,'Calendario G'!$M$8:$M$110,$H63,'Calendario G'!$T$8:$T$110,$H$65)+SUMIFS('Calendario G'!$Y$8:$Y$110,'Calendario G'!$T$8:$T$110,$H63,'Calendario G'!$M$8:$M$110,$H$65),"-")</f>
        <v>-</v>
      </c>
      <c r="BF63" s="14" t="n">
        <f aca="false">IF(AND($H63&lt;&gt;"",$H$66&lt;&gt;"",$H63&lt;&gt;$H$66,IFERROR(VLOOKUP($H63,areaCercaPuntiClassificaSquadra,3,FALSE()),-1)=IFERROR(VLOOKUP($H$66,areaCercaPuntiClassificaSquadra,3,FALSE()),-2)),SUMIFS('Calendario G'!$R$8:$R$110,'Calendario G'!$M$8:$M$110,$H63,'Calendario G'!$T$8:$T$110,$H$66)+SUMIFS('Calendario G'!$Y$8:$Y$110,'Calendario G'!$T$8:$T$110,$H63,'Calendario G'!$M$8:$M$110,$H$66),"-")</f>
        <v>74</v>
      </c>
      <c r="BG63" s="14" t="str">
        <f aca="false">IF(AND($H63&lt;&gt;"",$H$67&lt;&gt;"",$H63&lt;&gt;$H$67,IFERROR(VLOOKUP($H63,areaCercaPuntiClassificaSquadra,3,FALSE()),-1)=IFERROR(VLOOKUP($H$67,areaCercaPuntiClassificaSquadra,3,FALSE()),-2)),SUMIFS('Calendario G'!$R$8:$R$110,'Calendario G'!$M$8:$M$110,$H63,'Calendario G'!$T$8:$T$110,$H$67)+SUMIFS('Calendario G'!$Y$8:$Y$110,'Calendario G'!$T$8:$T$110,$H63,'Calendario G'!$M$8:$M$110,$H$67),"-")</f>
        <v>-</v>
      </c>
    </row>
    <row r="64" customFormat="false" ht="15" hidden="false" customHeight="false" outlineLevel="0" collapsed="false">
      <c r="B64" s="7" t="s">
        <v>158</v>
      </c>
      <c r="C64" s="8" t="s">
        <v>159</v>
      </c>
      <c r="D64" s="9"/>
      <c r="E64" s="25" t="s">
        <v>151</v>
      </c>
      <c r="G64" s="26" t="str">
        <f aca="false">IF($C64="","",$E64&amp;(COUNTIFS(I$12:I$75,"&gt;"&amp;I64,E$12:E$75,"="&amp;E64,C$12:C$75,"&lt;&gt;")+COUNTIFS(I$12:I$75,"="&amp;I64,H$12:H$75,"&lt;="&amp;H64,E$12:E$75,"="&amp;E64,C$12:C$75,"&lt;&gt;")))</f>
        <v>G6</v>
      </c>
      <c r="H64" s="12" t="str">
        <f aca="false">IF($C64="","",IFERROR(LEFT($C64,FIND("-",$C64)-1),$C64))</f>
        <v>Orangotanghi Operosi</v>
      </c>
      <c r="I64" s="7" t="str">
        <f aca="false">TEXT(1000000000+J64,"|0000000000|")&amp;TEXT(SUM(Y64:AF64),"0000000000|")&amp;IF(SUM(AZ64:BG64)=0,"0000000000|",TEXT(ROUND(SUM(AQ64:AX64)/SUM(AZ64:BG64),4)*100000,"0000000000|"))&amp;IF(P64=0,"0000000000|",TEXT(ROUND(O64/P64,4)*100000,"0000000000|"))</f>
        <v>|1000000011|0000000000|0000000000|0000094160|</v>
      </c>
      <c r="J64" s="26" t="n">
        <f aca="false">L64*constPuntiVittoria+M64*constPuntiSconfitta+N64*constPuntiForfait+IF(D64="",0,D64)</f>
        <v>11</v>
      </c>
      <c r="K64" s="7" t="n">
        <f aca="false">SUM(L64:N64)</f>
        <v>7</v>
      </c>
      <c r="L64" s="7" t="n">
        <f aca="false">IF($H64="",0,SUMIF('Calendario G'!$M$8:$M$110,$H64,'Calendario G'!$N$8:$N$110)+SUMIF('Calendario G'!$T$8:$T$110,$H64,'Calendario G'!$U$8:$U$110))</f>
        <v>2</v>
      </c>
      <c r="M64" s="7" t="n">
        <f aca="false">IF($H64="",0,SUMIF('Calendario G'!$M$8:$M$110,$H64,'Calendario G'!$P$8:$P$110)+SUMIF('Calendario G'!$T$8:$T$110,$H64,'Calendario G'!$W$8:$W$110))</f>
        <v>5</v>
      </c>
      <c r="N64" s="7" t="n">
        <f aca="false">IF($H64="",0,SUMIF('Calendario G'!$M$8:$M$110,$H64,'Calendario G'!$O$8:$O$110)+SUMIF('Calendario G'!$T$8:$T$110,$H64,'Calendario G'!$V$8:$V$110))</f>
        <v>0</v>
      </c>
      <c r="O64" s="7" t="n">
        <f aca="false">IF($H64="",0,SUMIF('Calendario G'!$M$8:$M$110,$H64,'Calendario G'!$Q$8:$Q$110)+SUMIF('Calendario G'!$T$8:$T$110,$H64,'Calendario G'!$X$8:$X$110))</f>
        <v>419</v>
      </c>
      <c r="P64" s="7" t="n">
        <f aca="false">IF($H64="",0,SUMIF('Calendario G'!$M$8:$M$110,$H64,'Calendario G'!$R$8:$R$110)+SUMIF('Calendario G'!$T$8:$T$110,$H64,'Calendario G'!$Y$8:$Y$110))</f>
        <v>445</v>
      </c>
      <c r="Q64" s="7" t="n">
        <f aca="false">IF($H64="",0,SUMIF('Calendario G'!$M$8:$M$110,$H64,'Calendario G'!$S$8:$S$110)+SUMIF('Calendario G'!$T$8:$T$110,$H64,'Calendario G'!$Z$8:$Z$110))</f>
        <v>-26</v>
      </c>
      <c r="R64" s="7" t="n">
        <f aca="false">IF(K64=0,0,ROUND(O64/K64,2))</f>
        <v>59.86</v>
      </c>
      <c r="S64" s="7" t="n">
        <f aca="false">IF(K64=0,0,ROUND(P64/K64,2))</f>
        <v>63.57</v>
      </c>
      <c r="T64" s="7" t="n">
        <f aca="false">IF(K64=0,0,ROUND(Q64/K64,2))</f>
        <v>-3.71</v>
      </c>
      <c r="U64" s="7" t="str">
        <f aca="false">IF(COUNT(Y64:AF64)=0,"-",SUM(Y64:AF64)&amp;"-"&amp;SUM(AH64:AO64))</f>
        <v>-</v>
      </c>
      <c r="V64" s="7" t="str">
        <f aca="false">IF(COUNT(Y64:AF64)=0,"-",IF(SUM(AZ64:BG64)=0,TEXT(0,"0.0000"),TEXT(ROUND(SUM(AQ64:AX64)/SUM(AZ64:BG64),4),"0.0000")))</f>
        <v>-</v>
      </c>
      <c r="W64" s="7" t="str">
        <f aca="false">IF(H64="","-",IF(P64=0,TEXT(0,"0.0000"),TEXT(ROUND(O64/P64,4),"0.0000")))</f>
        <v>0.9416</v>
      </c>
      <c r="X64" s="13" t="str">
        <f aca="false">$C64</f>
        <v>Orangotanghi Operosi-Orangotanghiopoli OI</v>
      </c>
      <c r="Y64" s="14" t="str">
        <f aca="false">IF(AND($H64&lt;&gt;"",$H$60&lt;&gt;"",$H64&lt;&gt;$H$60,IFERROR(VLOOKUP($H64,areaCercaPuntiClassificaSquadra,3,FALSE()),-1)=IFERROR(VLOOKUP($H$60,areaCercaPuntiClassificaSquadra,3,FALSE()),-2)),SUMIFS('Calendario G'!$N$8:$N$110,'Calendario G'!$M$8:$M$110,$H64,'Calendario G'!$T$8:$T$110,$H$60)+SUMIFS('Calendario G'!$U$8:$U$110,'Calendario G'!$T$8:$T$110,$H64,'Calendario G'!$M$8:$M$110,$H$60),"-")</f>
        <v>-</v>
      </c>
      <c r="Z64" s="14" t="str">
        <f aca="false">IF(AND($H64&lt;&gt;"",$H$61&lt;&gt;"",$H64&lt;&gt;$H$61,IFERROR(VLOOKUP($H64,areaCercaPuntiClassificaSquadra,3,FALSE()),-1)=IFERROR(VLOOKUP($H$61,areaCercaPuntiClassificaSquadra,3,FALSE()),-2)),SUMIFS('Calendario G'!$N$8:$N$110,'Calendario G'!$M$8:$M$110,$H64,'Calendario G'!$T$8:$T$110,$H$61)+SUMIFS('Calendario G'!$U$8:$U$110,'Calendario G'!$T$8:$T$110,$H64,'Calendario G'!$M$8:$M$110,$H$61),"-")</f>
        <v>-</v>
      </c>
      <c r="AA64" s="14" t="str">
        <f aca="false">IF(AND($H64&lt;&gt;"",$H$62&lt;&gt;"",$H64&lt;&gt;$H$62,IFERROR(VLOOKUP($H64,areaCercaPuntiClassificaSquadra,3,FALSE()),-1)=IFERROR(VLOOKUP($H$62,areaCercaPuntiClassificaSquadra,3,FALSE()),-2)),SUMIFS('Calendario G'!$N$8:$N$110,'Calendario G'!$M$8:$M$110,$H64,'Calendario G'!$T$8:$T$110,$H$62)+SUMIFS('Calendario G'!$U$8:$U$110,'Calendario G'!$T$8:$T$110,$H64,'Calendario G'!$M$8:$M$110,$H$62),"-")</f>
        <v>-</v>
      </c>
      <c r="AB64" s="14" t="str">
        <f aca="false">IF(AND($H64&lt;&gt;"",$H$63&lt;&gt;"",$H64&lt;&gt;$H$63,IFERROR(VLOOKUP($H64,areaCercaPuntiClassificaSquadra,3,FALSE()),-1)=IFERROR(VLOOKUP($H$63,areaCercaPuntiClassificaSquadra,3,FALSE()),-2)),SUMIFS('Calendario G'!$N$8:$N$110,'Calendario G'!$M$8:$M$110,$H64,'Calendario G'!$T$8:$T$110,$H$63)+SUMIFS('Calendario G'!$U$8:$U$110,'Calendario G'!$T$8:$T$110,$H64,'Calendario G'!$M$8:$M$110,$H$63),"-")</f>
        <v>-</v>
      </c>
      <c r="AC64" s="14" t="str">
        <f aca="false">IF(AND($H64&lt;&gt;"",$H$64&lt;&gt;"",$H64&lt;&gt;$H$64,IFERROR(VLOOKUP($H64,areaCercaPuntiClassificaSquadra,3,FALSE()),-1)=IFERROR(VLOOKUP($H$64,areaCercaPuntiClassificaSquadra,3,FALSE()),-2)),SUMIFS('Calendario G'!$N$8:$N$110,'Calendario G'!$M$8:$M$110,$H64,'Calendario G'!$T$8:$T$110,$H$64)+SUMIFS('Calendario G'!$U$8:$U$110,'Calendario G'!$T$8:$T$110,$H64,'Calendario G'!$M$8:$M$110,$H$64),"-")</f>
        <v>-</v>
      </c>
      <c r="AD64" s="14" t="str">
        <f aca="false">IF(AND($H64&lt;&gt;"",$H$65&lt;&gt;"",$H64&lt;&gt;$H$65,IFERROR(VLOOKUP($H64,areaCercaPuntiClassificaSquadra,3,FALSE()),-1)=IFERROR(VLOOKUP($H$65,areaCercaPuntiClassificaSquadra,3,FALSE()),-2)),SUMIFS('Calendario G'!$N$8:$N$110,'Calendario G'!$M$8:$M$110,$H64,'Calendario G'!$T$8:$T$110,$H$65)+SUMIFS('Calendario G'!$U$8:$U$110,'Calendario G'!$T$8:$T$110,$H64,'Calendario G'!$M$8:$M$110,$H$65),"-")</f>
        <v>-</v>
      </c>
      <c r="AE64" s="14" t="str">
        <f aca="false">IF(AND($H64&lt;&gt;"",$H$66&lt;&gt;"",$H64&lt;&gt;$H$66,IFERROR(VLOOKUP($H64,areaCercaPuntiClassificaSquadra,3,FALSE()),-1)=IFERROR(VLOOKUP($H$66,areaCercaPuntiClassificaSquadra,3,FALSE()),-2)),SUMIFS('Calendario G'!$N$8:$N$110,'Calendario G'!$M$8:$M$110,$H64,'Calendario G'!$T$8:$T$110,$H$66)+SUMIFS('Calendario G'!$U$8:$U$110,'Calendario G'!$T$8:$T$110,$H64,'Calendario G'!$M$8:$M$110,$H$66),"-")</f>
        <v>-</v>
      </c>
      <c r="AF64" s="14" t="str">
        <f aca="false">IF(AND($H64&lt;&gt;"",$H$67&lt;&gt;"",$H64&lt;&gt;$H$67,IFERROR(VLOOKUP($H64,areaCercaPuntiClassificaSquadra,3,FALSE()),-1)=IFERROR(VLOOKUP($H$67,areaCercaPuntiClassificaSquadra,3,FALSE()),-2)),SUMIFS('Calendario G'!$N$8:$N$110,'Calendario G'!$M$8:$M$110,$H64,'Calendario G'!$T$8:$T$110,$H$67)+SUMIFS('Calendario G'!$U$8:$U$110,'Calendario G'!$T$8:$T$110,$H64,'Calendario G'!$M$8:$M$110,$H$67),"-")</f>
        <v>-</v>
      </c>
      <c r="AG64" s="13" t="str">
        <f aca="false">$C64</f>
        <v>Orangotanghi Operosi-Orangotanghiopoli OI</v>
      </c>
      <c r="AH64" s="14" t="str">
        <f aca="false">IF(AND($H64&lt;&gt;"",$H$60&lt;&gt;"",$H64&lt;&gt;$H$60,IFERROR(VLOOKUP($H64,areaCercaPuntiClassificaSquadra,3,FALSE()),-1)=IFERROR(VLOOKUP($H$60,areaCercaPuntiClassificaSquadra,3,FALSE()),-2)),SUMIFS('Calendario G'!$P$8:$P$110,'Calendario G'!$M$8:$M$110,$H64,'Calendario G'!$T$8:$T$110,$H$60)+SUMIFS('Calendario G'!$W$8:$W$110,'Calendario G'!$T$8:$T$110,$H64,'Calendario G'!$M$8:$M$110,$H$60)+SUMIFS('Calendario G'!$O$8:$O$110,'Calendario G'!$M$8:$M$110,$H64,'Calendario G'!$T$8:$T$110,$H$60)+SUMIFS('Calendario G'!$V$8:$V$110,'Calendario G'!$T$8:$T$110,$H64,'Calendario G'!$M$8:$M$110,$H$60),"-")</f>
        <v>-</v>
      </c>
      <c r="AI64" s="14" t="str">
        <f aca="false">IF(AND($H64&lt;&gt;"",$H$61&lt;&gt;"",$H64&lt;&gt;$H$61,IFERROR(VLOOKUP($H64,areaCercaPuntiClassificaSquadra,3,FALSE()),-1)=IFERROR(VLOOKUP($H$61,areaCercaPuntiClassificaSquadra,3,FALSE()),-2)),SUMIFS('Calendario G'!$P$8:$P$110,'Calendario G'!$M$8:$M$110,$H64,'Calendario G'!$T$8:$T$110,$H$61)+SUMIFS('Calendario G'!$W$8:$W$110,'Calendario G'!$T$8:$T$110,$H64,'Calendario G'!$M$8:$M$110,$H$61)+SUMIFS('Calendario G'!$O$8:$O$110,'Calendario G'!$M$8:$M$110,$H64,'Calendario G'!$T$8:$T$110,$H$61)+SUMIFS('Calendario G'!$V$8:$V$110,'Calendario G'!$T$8:$T$110,$H64,'Calendario G'!$M$8:$M$110,$H$61),"-")</f>
        <v>-</v>
      </c>
      <c r="AJ64" s="14" t="str">
        <f aca="false">IF(AND($H64&lt;&gt;"",$H$62&lt;&gt;"",$H64&lt;&gt;$H$62,IFERROR(VLOOKUP($H64,areaCercaPuntiClassificaSquadra,3,FALSE()),-1)=IFERROR(VLOOKUP($H$62,areaCercaPuntiClassificaSquadra,3,FALSE()),-2)),SUMIFS('Calendario G'!$P$8:$P$110,'Calendario G'!$M$8:$M$110,$H64,'Calendario G'!$T$8:$T$110,$H$62)+SUMIFS('Calendario G'!$W$8:$W$110,'Calendario G'!$T$8:$T$110,$H64,'Calendario G'!$M$8:$M$110,$H$62)+SUMIFS('Calendario G'!$O$8:$O$110,'Calendario G'!$M$8:$M$110,$H64,'Calendario G'!$T$8:$T$110,$H$62)+SUMIFS('Calendario G'!$V$8:$V$110,'Calendario G'!$T$8:$T$110,$H64,'Calendario G'!$M$8:$M$110,$H$62),"-")</f>
        <v>-</v>
      </c>
      <c r="AK64" s="14" t="str">
        <f aca="false">IF(AND($H64&lt;&gt;"",$H$63&lt;&gt;"",$H64&lt;&gt;$H$63,IFERROR(VLOOKUP($H64,areaCercaPuntiClassificaSquadra,3,FALSE()),-1)=IFERROR(VLOOKUP($H$63,areaCercaPuntiClassificaSquadra,3,FALSE()),-2)),SUMIFS('Calendario G'!$P$8:$P$110,'Calendario G'!$M$8:$M$110,$H64,'Calendario G'!$T$8:$T$110,$H$63)+SUMIFS('Calendario G'!$W$8:$W$110,'Calendario G'!$T$8:$T$110,$H64,'Calendario G'!$M$8:$M$110,$H$63)+SUMIFS('Calendario G'!$O$8:$O$110,'Calendario G'!$M$8:$M$110,$H64,'Calendario G'!$T$8:$T$110,$H$63)+SUMIFS('Calendario G'!$V$8:$V$110,'Calendario G'!$T$8:$T$110,$H64,'Calendario G'!$M$8:$M$110,$H$63),"-")</f>
        <v>-</v>
      </c>
      <c r="AL64" s="14" t="str">
        <f aca="false">IF(AND($H64&lt;&gt;"",$H$64&lt;&gt;"",$H64&lt;&gt;$H$64,IFERROR(VLOOKUP($H64,areaCercaPuntiClassificaSquadra,3,FALSE()),-1)=IFERROR(VLOOKUP($H$64,areaCercaPuntiClassificaSquadra,3,FALSE()),-2)),SUMIFS('Calendario G'!$P$8:$P$110,'Calendario G'!$M$8:$M$110,$H64,'Calendario G'!$T$8:$T$110,$H$64)+SUMIFS('Calendario G'!$W$8:$W$110,'Calendario G'!$T$8:$T$110,$H64,'Calendario G'!$M$8:$M$110,$H$64)+SUMIFS('Calendario G'!$O$8:$O$110,'Calendario G'!$M$8:$M$110,$H64,'Calendario G'!$T$8:$T$110,$H$64)+SUMIFS('Calendario G'!$V$8:$V$110,'Calendario G'!$T$8:$T$110,$H64,'Calendario G'!$M$8:$M$110,$H$64),"-")</f>
        <v>-</v>
      </c>
      <c r="AM64" s="14" t="str">
        <f aca="false">IF(AND($H64&lt;&gt;"",$H$65&lt;&gt;"",$H64&lt;&gt;$H$65,IFERROR(VLOOKUP($H64,areaCercaPuntiClassificaSquadra,3,FALSE()),-1)=IFERROR(VLOOKUP($H$65,areaCercaPuntiClassificaSquadra,3,FALSE()),-2)),SUMIFS('Calendario G'!$P$8:$P$110,'Calendario G'!$M$8:$M$110,$H64,'Calendario G'!$T$8:$T$110,$H$65)+SUMIFS('Calendario G'!$W$8:$W$110,'Calendario G'!$T$8:$T$110,$H64,'Calendario G'!$M$8:$M$110,$H$65)+SUMIFS('Calendario G'!$O$8:$O$110,'Calendario G'!$M$8:$M$110,$H64,'Calendario G'!$T$8:$T$110,$H$65)+SUMIFS('Calendario G'!$V$8:$V$110,'Calendario G'!$T$8:$T$110,$H64,'Calendario G'!$M$8:$M$110,$H$65),"-")</f>
        <v>-</v>
      </c>
      <c r="AN64" s="14" t="str">
        <f aca="false">IF(AND($H64&lt;&gt;"",$H$66&lt;&gt;"",$H64&lt;&gt;$H$66,IFERROR(VLOOKUP($H64,areaCercaPuntiClassificaSquadra,3,FALSE()),-1)=IFERROR(VLOOKUP($H$66,areaCercaPuntiClassificaSquadra,3,FALSE()),-2)),SUMIFS('Calendario G'!$P$8:$P$110,'Calendario G'!$M$8:$M$110,$H64,'Calendario G'!$T$8:$T$110,$H$66)+SUMIFS('Calendario G'!$W$8:$W$110,'Calendario G'!$T$8:$T$110,$H64,'Calendario G'!$M$8:$M$110,$H$66)+SUMIFS('Calendario G'!$O$8:$O$110,'Calendario G'!$M$8:$M$110,$H64,'Calendario G'!$T$8:$T$110,$H$66)+SUMIFS('Calendario G'!$V$8:$V$110,'Calendario G'!$T$8:$T$110,$H64,'Calendario G'!$M$8:$M$110,$H$66),"-")</f>
        <v>-</v>
      </c>
      <c r="AO64" s="14" t="str">
        <f aca="false">IF(AND($H64&lt;&gt;"",$H$67&lt;&gt;"",$H64&lt;&gt;$H$67,IFERROR(VLOOKUP($H64,areaCercaPuntiClassificaSquadra,3,FALSE()),-1)=IFERROR(VLOOKUP($H$67,areaCercaPuntiClassificaSquadra,3,FALSE()),-2)),SUMIFS('Calendario G'!$P$8:$P$110,'Calendario G'!$M$8:$M$110,$H64,'Calendario G'!$T$8:$T$110,$H$67)+SUMIFS('Calendario G'!$W$8:$W$110,'Calendario G'!$T$8:$T$110,$H64,'Calendario G'!$M$8:$M$110,$H$67)+SUMIFS('Calendario G'!$O$8:$O$110,'Calendario G'!$M$8:$M$110,$H64,'Calendario G'!$T$8:$T$110,$H$67)+SUMIFS('Calendario G'!$V$8:$V$110,'Calendario G'!$T$8:$T$110,$H64,'Calendario G'!$M$8:$M$110,$H$67),"-")</f>
        <v>-</v>
      </c>
      <c r="AP64" s="13" t="str">
        <f aca="false">$C64</f>
        <v>Orangotanghi Operosi-Orangotanghiopoli OI</v>
      </c>
      <c r="AQ64" s="14" t="str">
        <f aca="false">IF(AND($H64&lt;&gt;"",$H$60&lt;&gt;"",$H64&lt;&gt;$H$60,IFERROR(VLOOKUP($H64,areaCercaPuntiClassificaSquadra,3,FALSE()),-1)=IFERROR(VLOOKUP($H$60,areaCercaPuntiClassificaSquadra,3,FALSE()),-2)),SUMIFS('Calendario G'!$Q$8:$Q$110,'Calendario G'!$M$8:$M$110,$H64,'Calendario G'!$T$8:$T$110,$H$60)+SUMIFS('Calendario G'!$X$8:$X$110,'Calendario G'!$T$8:$T$110,$H64,'Calendario G'!$M$8:$M$110,$H$60),"-")</f>
        <v>-</v>
      </c>
      <c r="AR64" s="14" t="str">
        <f aca="false">IF(AND($H64&lt;&gt;"",$H$61&lt;&gt;"",$H64&lt;&gt;$H$61,IFERROR(VLOOKUP($H64,areaCercaPuntiClassificaSquadra,3,FALSE()),-1)=IFERROR(VLOOKUP($H$61,areaCercaPuntiClassificaSquadra,3,FALSE()),-2)),SUMIFS('Calendario G'!$Q$8:$Q$110,'Calendario G'!$M$8:$M$110,$H64,'Calendario G'!$T$8:$T$110,$H$61)+SUMIFS('Calendario G'!$X$8:$X$110,'Calendario G'!$T$8:$T$110,$H64,'Calendario G'!$M$8:$M$110,$H$61),"-")</f>
        <v>-</v>
      </c>
      <c r="AS64" s="14" t="str">
        <f aca="false">IF(AND($H64&lt;&gt;"",$H$62&lt;&gt;"",$H64&lt;&gt;$H$62,IFERROR(VLOOKUP($H64,areaCercaPuntiClassificaSquadra,3,FALSE()),-1)=IFERROR(VLOOKUP($H$62,areaCercaPuntiClassificaSquadra,3,FALSE()),-2)),SUMIFS('Calendario G'!$Q$8:$Q$110,'Calendario G'!$M$8:$M$110,$H64,'Calendario G'!$T$8:$T$110,$H$62)+SUMIFS('Calendario G'!$X$8:$X$110,'Calendario G'!$T$8:$T$110,$H64,'Calendario G'!$M$8:$M$110,$H$62),"-")</f>
        <v>-</v>
      </c>
      <c r="AT64" s="14" t="str">
        <f aca="false">IF(AND($H64&lt;&gt;"",$H$63&lt;&gt;"",$H64&lt;&gt;$H$63,IFERROR(VLOOKUP($H64,areaCercaPuntiClassificaSquadra,3,FALSE()),-1)=IFERROR(VLOOKUP($H$63,areaCercaPuntiClassificaSquadra,3,FALSE()),-2)),SUMIFS('Calendario G'!$Q$8:$Q$110,'Calendario G'!$M$8:$M$110,$H64,'Calendario G'!$T$8:$T$110,$H$63)+SUMIFS('Calendario G'!$X$8:$X$110,'Calendario G'!$T$8:$T$110,$H64,'Calendario G'!$M$8:$M$110,$H$63),"-")</f>
        <v>-</v>
      </c>
      <c r="AU64" s="14" t="str">
        <f aca="false">IF(AND($H64&lt;&gt;"",$H$64&lt;&gt;"",$H64&lt;&gt;$H$64,IFERROR(VLOOKUP($H64,areaCercaPuntiClassificaSquadra,3,FALSE()),-1)=IFERROR(VLOOKUP($H$64,areaCercaPuntiClassificaSquadra,3,FALSE()),-2)),SUMIFS('Calendario G'!$Q$8:$Q$110,'Calendario G'!$M$8:$M$110,$H64,'Calendario G'!$T$8:$T$110,$H$64)+SUMIFS('Calendario G'!$X$8:$X$110,'Calendario G'!$T$8:$T$110,$H64,'Calendario G'!$M$8:$M$110,$H$64),"-")</f>
        <v>-</v>
      </c>
      <c r="AV64" s="14" t="str">
        <f aca="false">IF(AND($H64&lt;&gt;"",$H$65&lt;&gt;"",$H64&lt;&gt;$H$65,IFERROR(VLOOKUP($H64,areaCercaPuntiClassificaSquadra,3,FALSE()),-1)=IFERROR(VLOOKUP($H$65,areaCercaPuntiClassificaSquadra,3,FALSE()),-2)),SUMIFS('Calendario G'!$Q$8:$Q$110,'Calendario G'!$M$8:$M$110,$H64,'Calendario G'!$T$8:$T$110,$H$65)+SUMIFS('Calendario G'!$X$8:$X$110,'Calendario G'!$T$8:$T$110,$H64,'Calendario G'!$M$8:$M$110,$H$65),"-")</f>
        <v>-</v>
      </c>
      <c r="AW64" s="14" t="str">
        <f aca="false">IF(AND($H64&lt;&gt;"",$H$66&lt;&gt;"",$H64&lt;&gt;$H$66,IFERROR(VLOOKUP($H64,areaCercaPuntiClassificaSquadra,3,FALSE()),-1)=IFERROR(VLOOKUP($H$66,areaCercaPuntiClassificaSquadra,3,FALSE()),-2)),SUMIFS('Calendario G'!$Q$8:$Q$110,'Calendario G'!$M$8:$M$110,$H64,'Calendario G'!$T$8:$T$110,$H$66)+SUMIFS('Calendario G'!$X$8:$X$110,'Calendario G'!$T$8:$T$110,$H64,'Calendario G'!$M$8:$M$110,$H$66),"-")</f>
        <v>-</v>
      </c>
      <c r="AX64" s="14" t="str">
        <f aca="false">IF(AND($H64&lt;&gt;"",$H$67&lt;&gt;"",$H64&lt;&gt;$H$67,IFERROR(VLOOKUP($H64,areaCercaPuntiClassificaSquadra,3,FALSE()),-1)=IFERROR(VLOOKUP($H$67,areaCercaPuntiClassificaSquadra,3,FALSE()),-2)),SUMIFS('Calendario G'!$Q$8:$Q$110,'Calendario G'!$M$8:$M$110,$H64,'Calendario G'!$T$8:$T$110,$H$67)+SUMIFS('Calendario G'!$X$8:$X$110,'Calendario G'!$T$8:$T$110,$H64,'Calendario G'!$M$8:$M$110,$H$67),"-")</f>
        <v>-</v>
      </c>
      <c r="AY64" s="13" t="str">
        <f aca="false">$C64</f>
        <v>Orangotanghi Operosi-Orangotanghiopoli OI</v>
      </c>
      <c r="AZ64" s="14" t="str">
        <f aca="false">IF(AND($H64&lt;&gt;"",$H$60&lt;&gt;"",$H64&lt;&gt;$H$60,IFERROR(VLOOKUP($H64,areaCercaPuntiClassificaSquadra,3,FALSE()),-1)=IFERROR(VLOOKUP($H$60,areaCercaPuntiClassificaSquadra,3,FALSE()),-2)),SUMIFS('Calendario G'!$R$8:$R$110,'Calendario G'!$M$8:$M$110,$H64,'Calendario G'!$T$8:$T$110,$H$60)+SUMIFS('Calendario G'!$Y$8:$Y$110,'Calendario G'!$T$8:$T$110,$H64,'Calendario G'!$M$8:$M$110,$H$60),"-")</f>
        <v>-</v>
      </c>
      <c r="BA64" s="14" t="str">
        <f aca="false">IF(AND($H64&lt;&gt;"",$H$61&lt;&gt;"",$H64&lt;&gt;$H$61,IFERROR(VLOOKUP($H64,areaCercaPuntiClassificaSquadra,3,FALSE()),-1)=IFERROR(VLOOKUP($H$61,areaCercaPuntiClassificaSquadra,3,FALSE()),-2)),SUMIFS('Calendario G'!$R$8:$R$110,'Calendario G'!$M$8:$M$110,$H64,'Calendario G'!$T$8:$T$110,$H$61)+SUMIFS('Calendario G'!$Y$8:$Y$110,'Calendario G'!$T$8:$T$110,$H64,'Calendario G'!$M$8:$M$110,$H$61),"-")</f>
        <v>-</v>
      </c>
      <c r="BB64" s="14" t="str">
        <f aca="false">IF(AND($H64&lt;&gt;"",$H$62&lt;&gt;"",$H64&lt;&gt;$H$62,IFERROR(VLOOKUP($H64,areaCercaPuntiClassificaSquadra,3,FALSE()),-1)=IFERROR(VLOOKUP($H$62,areaCercaPuntiClassificaSquadra,3,FALSE()),-2)),SUMIFS('Calendario G'!$R$8:$R$110,'Calendario G'!$M$8:$M$110,$H64,'Calendario G'!$T$8:$T$110,$H$62)+SUMIFS('Calendario G'!$Y$8:$Y$110,'Calendario G'!$T$8:$T$110,$H64,'Calendario G'!$M$8:$M$110,$H$62),"-")</f>
        <v>-</v>
      </c>
      <c r="BC64" s="14" t="str">
        <f aca="false">IF(AND($H64&lt;&gt;"",$H$63&lt;&gt;"",$H64&lt;&gt;$H$63,IFERROR(VLOOKUP($H64,areaCercaPuntiClassificaSquadra,3,FALSE()),-1)=IFERROR(VLOOKUP($H$63,areaCercaPuntiClassificaSquadra,3,FALSE()),-2)),SUMIFS('Calendario G'!$R$8:$R$110,'Calendario G'!$M$8:$M$110,$H64,'Calendario G'!$T$8:$T$110,$H$63)+SUMIFS('Calendario G'!$Y$8:$Y$110,'Calendario G'!$T$8:$T$110,$H64,'Calendario G'!$M$8:$M$110,$H$63),"-")</f>
        <v>-</v>
      </c>
      <c r="BD64" s="14" t="str">
        <f aca="false">IF(AND($H64&lt;&gt;"",$H$64&lt;&gt;"",$H64&lt;&gt;$H$64,IFERROR(VLOOKUP($H64,areaCercaPuntiClassificaSquadra,3,FALSE()),-1)=IFERROR(VLOOKUP($H$64,areaCercaPuntiClassificaSquadra,3,FALSE()),-2)),SUMIFS('Calendario G'!$R$8:$R$110,'Calendario G'!$M$8:$M$110,$H64,'Calendario G'!$T$8:$T$110,$H$64)+SUMIFS('Calendario G'!$Y$8:$Y$110,'Calendario G'!$T$8:$T$110,$H64,'Calendario G'!$M$8:$M$110,$H$64),"-")</f>
        <v>-</v>
      </c>
      <c r="BE64" s="14" t="str">
        <f aca="false">IF(AND($H64&lt;&gt;"",$H$65&lt;&gt;"",$H64&lt;&gt;$H$65,IFERROR(VLOOKUP($H64,areaCercaPuntiClassificaSquadra,3,FALSE()),-1)=IFERROR(VLOOKUP($H$65,areaCercaPuntiClassificaSquadra,3,FALSE()),-2)),SUMIFS('Calendario G'!$R$8:$R$110,'Calendario G'!$M$8:$M$110,$H64,'Calendario G'!$T$8:$T$110,$H$65)+SUMIFS('Calendario G'!$Y$8:$Y$110,'Calendario G'!$T$8:$T$110,$H64,'Calendario G'!$M$8:$M$110,$H$65),"-")</f>
        <v>-</v>
      </c>
      <c r="BF64" s="14" t="str">
        <f aca="false">IF(AND($H64&lt;&gt;"",$H$66&lt;&gt;"",$H64&lt;&gt;$H$66,IFERROR(VLOOKUP($H64,areaCercaPuntiClassificaSquadra,3,FALSE()),-1)=IFERROR(VLOOKUP($H$66,areaCercaPuntiClassificaSquadra,3,FALSE()),-2)),SUMIFS('Calendario G'!$R$8:$R$110,'Calendario G'!$M$8:$M$110,$H64,'Calendario G'!$T$8:$T$110,$H$66)+SUMIFS('Calendario G'!$Y$8:$Y$110,'Calendario G'!$T$8:$T$110,$H64,'Calendario G'!$M$8:$M$110,$H$66),"-")</f>
        <v>-</v>
      </c>
      <c r="BG64" s="14" t="str">
        <f aca="false">IF(AND($H64&lt;&gt;"",$H$67&lt;&gt;"",$H64&lt;&gt;$H$67,IFERROR(VLOOKUP($H64,areaCercaPuntiClassificaSquadra,3,FALSE()),-1)=IFERROR(VLOOKUP($H$67,areaCercaPuntiClassificaSquadra,3,FALSE()),-2)),SUMIFS('Calendario G'!$R$8:$R$110,'Calendario G'!$M$8:$M$110,$H64,'Calendario G'!$T$8:$T$110,$H$67)+SUMIFS('Calendario G'!$Y$8:$Y$110,'Calendario G'!$T$8:$T$110,$H64,'Calendario G'!$M$8:$M$110,$H$67),"-")</f>
        <v>-</v>
      </c>
    </row>
    <row r="65" customFormat="false" ht="15" hidden="false" customHeight="false" outlineLevel="0" collapsed="false">
      <c r="B65" s="7" t="s">
        <v>160</v>
      </c>
      <c r="C65" s="8" t="s">
        <v>161</v>
      </c>
      <c r="D65" s="9"/>
      <c r="E65" s="25" t="s">
        <v>151</v>
      </c>
      <c r="G65" s="26" t="str">
        <f aca="false">IF($C65="","",$E65&amp;(COUNTIFS(I$12:I$75,"&gt;"&amp;I65,E$12:E$75,"="&amp;E65,C$12:C$75,"&lt;&gt;")+COUNTIFS(I$12:I$75,"="&amp;I65,H$12:H$75,"&lt;="&amp;H65,E$12:E$75,"="&amp;E65,C$12:C$75,"&lt;&gt;")))</f>
        <v>G1</v>
      </c>
      <c r="H65" s="12" t="str">
        <f aca="false">IF($C65="","",IFERROR(LEFT($C65,FIND("-",$C65)-1),$C65))</f>
        <v>Pinguini Prodigiosi</v>
      </c>
      <c r="I65" s="7" t="str">
        <f aca="false">TEXT(1000000000+J65,"|0000000000|")&amp;TEXT(SUM(Y65:AF65),"0000000000|")&amp;IF(SUM(AZ65:BG65)=0,"0000000000|",TEXT(ROUND(SUM(AQ65:AX65)/SUM(AZ65:BG65),4)*100000,"0000000000|"))&amp;IF(P65=0,"0000000000|",TEXT(ROUND(O65/P65,4)*100000,"0000000000|"))</f>
        <v>|1000000021|0000000000|0000000000|0000155060|</v>
      </c>
      <c r="J65" s="26" t="n">
        <f aca="false">L65*constPuntiVittoria+M65*constPuntiSconfitta+N65*constPuntiForfait+IF(D65="",0,D65)</f>
        <v>21</v>
      </c>
      <c r="K65" s="7" t="n">
        <f aca="false">SUM(L65:N65)</f>
        <v>7</v>
      </c>
      <c r="L65" s="7" t="n">
        <f aca="false">IF($H65="",0,SUMIF('Calendario G'!$M$8:$M$110,$H65,'Calendario G'!$N$8:$N$110)+SUMIF('Calendario G'!$T$8:$T$110,$H65,'Calendario G'!$U$8:$U$110))</f>
        <v>7</v>
      </c>
      <c r="M65" s="7" t="n">
        <f aca="false">IF($H65="",0,SUMIF('Calendario G'!$M$8:$M$110,$H65,'Calendario G'!$P$8:$P$110)+SUMIF('Calendario G'!$T$8:$T$110,$H65,'Calendario G'!$W$8:$W$110))</f>
        <v>0</v>
      </c>
      <c r="N65" s="7" t="n">
        <f aca="false">IF($H65="",0,SUMIF('Calendario G'!$M$8:$M$110,$H65,'Calendario G'!$O$8:$O$110)+SUMIF('Calendario G'!$T$8:$T$110,$H65,'Calendario G'!$V$8:$V$110))</f>
        <v>0</v>
      </c>
      <c r="O65" s="7" t="n">
        <f aca="false">IF($H65="",0,SUMIF('Calendario G'!$M$8:$M$110,$H65,'Calendario G'!$Q$8:$Q$110)+SUMIF('Calendario G'!$T$8:$T$110,$H65,'Calendario G'!$X$8:$X$110))</f>
        <v>521</v>
      </c>
      <c r="P65" s="7" t="n">
        <f aca="false">IF($H65="",0,SUMIF('Calendario G'!$M$8:$M$110,$H65,'Calendario G'!$R$8:$R$110)+SUMIF('Calendario G'!$T$8:$T$110,$H65,'Calendario G'!$Y$8:$Y$110))</f>
        <v>336</v>
      </c>
      <c r="Q65" s="7" t="n">
        <f aca="false">IF($H65="",0,SUMIF('Calendario G'!$M$8:$M$110,$H65,'Calendario G'!$S$8:$S$110)+SUMIF('Calendario G'!$T$8:$T$110,$H65,'Calendario G'!$Z$8:$Z$110))</f>
        <v>185</v>
      </c>
      <c r="R65" s="7" t="n">
        <f aca="false">IF(K65=0,0,ROUND(O65/K65,2))</f>
        <v>74.43</v>
      </c>
      <c r="S65" s="7" t="n">
        <f aca="false">IF(K65=0,0,ROUND(P65/K65,2))</f>
        <v>48</v>
      </c>
      <c r="T65" s="7" t="n">
        <f aca="false">IF(K65=0,0,ROUND(Q65/K65,2))</f>
        <v>26.43</v>
      </c>
      <c r="U65" s="7" t="str">
        <f aca="false">IF(COUNT(Y65:AF65)=0,"-",SUM(Y65:AF65)&amp;"-"&amp;SUM(AH65:AO65))</f>
        <v>-</v>
      </c>
      <c r="V65" s="7" t="str">
        <f aca="false">IF(COUNT(Y65:AF65)=0,"-",IF(SUM(AZ65:BG65)=0,TEXT(0,"0.0000"),TEXT(ROUND(SUM(AQ65:AX65)/SUM(AZ65:BG65),4),"0.0000")))</f>
        <v>-</v>
      </c>
      <c r="W65" s="7" t="str">
        <f aca="false">IF(H65="","-",IF(P65=0,TEXT(0,"0.0000"),TEXT(ROUND(O65/P65,4),"0.0000")))</f>
        <v>1.5506</v>
      </c>
      <c r="X65" s="13" t="str">
        <f aca="false">$C65</f>
        <v>Pinguini Prodigiosi-Pinguiniopoli PI</v>
      </c>
      <c r="Y65" s="14" t="str">
        <f aca="false">IF(AND($H65&lt;&gt;"",$H$60&lt;&gt;"",$H65&lt;&gt;$H$60,IFERROR(VLOOKUP($H65,areaCercaPuntiClassificaSquadra,3,FALSE()),-1)=IFERROR(VLOOKUP($H$60,areaCercaPuntiClassificaSquadra,3,FALSE()),-2)),SUMIFS('Calendario G'!$N$8:$N$110,'Calendario G'!$M$8:$M$110,$H65,'Calendario G'!$T$8:$T$110,$H$60)+SUMIFS('Calendario G'!$U$8:$U$110,'Calendario G'!$T$8:$T$110,$H65,'Calendario G'!$M$8:$M$110,$H$60),"-")</f>
        <v>-</v>
      </c>
      <c r="Z65" s="14" t="str">
        <f aca="false">IF(AND($H65&lt;&gt;"",$H$61&lt;&gt;"",$H65&lt;&gt;$H$61,IFERROR(VLOOKUP($H65,areaCercaPuntiClassificaSquadra,3,FALSE()),-1)=IFERROR(VLOOKUP($H$61,areaCercaPuntiClassificaSquadra,3,FALSE()),-2)),SUMIFS('Calendario G'!$N$8:$N$110,'Calendario G'!$M$8:$M$110,$H65,'Calendario G'!$T$8:$T$110,$H$61)+SUMIFS('Calendario G'!$U$8:$U$110,'Calendario G'!$T$8:$T$110,$H65,'Calendario G'!$M$8:$M$110,$H$61),"-")</f>
        <v>-</v>
      </c>
      <c r="AA65" s="14" t="str">
        <f aca="false">IF(AND($H65&lt;&gt;"",$H$62&lt;&gt;"",$H65&lt;&gt;$H$62,IFERROR(VLOOKUP($H65,areaCercaPuntiClassificaSquadra,3,FALSE()),-1)=IFERROR(VLOOKUP($H$62,areaCercaPuntiClassificaSquadra,3,FALSE()),-2)),SUMIFS('Calendario G'!$N$8:$N$110,'Calendario G'!$M$8:$M$110,$H65,'Calendario G'!$T$8:$T$110,$H$62)+SUMIFS('Calendario G'!$U$8:$U$110,'Calendario G'!$T$8:$T$110,$H65,'Calendario G'!$M$8:$M$110,$H$62),"-")</f>
        <v>-</v>
      </c>
      <c r="AB65" s="14" t="str">
        <f aca="false">IF(AND($H65&lt;&gt;"",$H$63&lt;&gt;"",$H65&lt;&gt;$H$63,IFERROR(VLOOKUP($H65,areaCercaPuntiClassificaSquadra,3,FALSE()),-1)=IFERROR(VLOOKUP($H$63,areaCercaPuntiClassificaSquadra,3,FALSE()),-2)),SUMIFS('Calendario G'!$N$8:$N$110,'Calendario G'!$M$8:$M$110,$H65,'Calendario G'!$T$8:$T$110,$H$63)+SUMIFS('Calendario G'!$U$8:$U$110,'Calendario G'!$T$8:$T$110,$H65,'Calendario G'!$M$8:$M$110,$H$63),"-")</f>
        <v>-</v>
      </c>
      <c r="AC65" s="14" t="str">
        <f aca="false">IF(AND($H65&lt;&gt;"",$H$64&lt;&gt;"",$H65&lt;&gt;$H$64,IFERROR(VLOOKUP($H65,areaCercaPuntiClassificaSquadra,3,FALSE()),-1)=IFERROR(VLOOKUP($H$64,areaCercaPuntiClassificaSquadra,3,FALSE()),-2)),SUMIFS('Calendario G'!$N$8:$N$110,'Calendario G'!$M$8:$M$110,$H65,'Calendario G'!$T$8:$T$110,$H$64)+SUMIFS('Calendario G'!$U$8:$U$110,'Calendario G'!$T$8:$T$110,$H65,'Calendario G'!$M$8:$M$110,$H$64),"-")</f>
        <v>-</v>
      </c>
      <c r="AD65" s="14" t="str">
        <f aca="false">IF(AND($H65&lt;&gt;"",$H$65&lt;&gt;"",$H65&lt;&gt;$H$65,IFERROR(VLOOKUP($H65,areaCercaPuntiClassificaSquadra,3,FALSE()),-1)=IFERROR(VLOOKUP($H$65,areaCercaPuntiClassificaSquadra,3,FALSE()),-2)),SUMIFS('Calendario G'!$N$8:$N$110,'Calendario G'!$M$8:$M$110,$H65,'Calendario G'!$T$8:$T$110,$H$65)+SUMIFS('Calendario G'!$U$8:$U$110,'Calendario G'!$T$8:$T$110,$H65,'Calendario G'!$M$8:$M$110,$H$65),"-")</f>
        <v>-</v>
      </c>
      <c r="AE65" s="14" t="str">
        <f aca="false">IF(AND($H65&lt;&gt;"",$H$66&lt;&gt;"",$H65&lt;&gt;$H$66,IFERROR(VLOOKUP($H65,areaCercaPuntiClassificaSquadra,3,FALSE()),-1)=IFERROR(VLOOKUP($H$66,areaCercaPuntiClassificaSquadra,3,FALSE()),-2)),SUMIFS('Calendario G'!$N$8:$N$110,'Calendario G'!$M$8:$M$110,$H65,'Calendario G'!$T$8:$T$110,$H$66)+SUMIFS('Calendario G'!$U$8:$U$110,'Calendario G'!$T$8:$T$110,$H65,'Calendario G'!$M$8:$M$110,$H$66),"-")</f>
        <v>-</v>
      </c>
      <c r="AF65" s="14" t="str">
        <f aca="false">IF(AND($H65&lt;&gt;"",$H$67&lt;&gt;"",$H65&lt;&gt;$H$67,IFERROR(VLOOKUP($H65,areaCercaPuntiClassificaSquadra,3,FALSE()),-1)=IFERROR(VLOOKUP($H$67,areaCercaPuntiClassificaSquadra,3,FALSE()),-2)),SUMIFS('Calendario G'!$N$8:$N$110,'Calendario G'!$M$8:$M$110,$H65,'Calendario G'!$T$8:$T$110,$H$67)+SUMIFS('Calendario G'!$U$8:$U$110,'Calendario G'!$T$8:$T$110,$H65,'Calendario G'!$M$8:$M$110,$H$67),"-")</f>
        <v>-</v>
      </c>
      <c r="AG65" s="13" t="str">
        <f aca="false">$C65</f>
        <v>Pinguini Prodigiosi-Pinguiniopoli PI</v>
      </c>
      <c r="AH65" s="14" t="str">
        <f aca="false">IF(AND($H65&lt;&gt;"",$H$60&lt;&gt;"",$H65&lt;&gt;$H$60,IFERROR(VLOOKUP($H65,areaCercaPuntiClassificaSquadra,3,FALSE()),-1)=IFERROR(VLOOKUP($H$60,areaCercaPuntiClassificaSquadra,3,FALSE()),-2)),SUMIFS('Calendario G'!$P$8:$P$110,'Calendario G'!$M$8:$M$110,$H65,'Calendario G'!$T$8:$T$110,$H$60)+SUMIFS('Calendario G'!$W$8:$W$110,'Calendario G'!$T$8:$T$110,$H65,'Calendario G'!$M$8:$M$110,$H$60)+SUMIFS('Calendario G'!$O$8:$O$110,'Calendario G'!$M$8:$M$110,$H65,'Calendario G'!$T$8:$T$110,$H$60)+SUMIFS('Calendario G'!$V$8:$V$110,'Calendario G'!$T$8:$T$110,$H65,'Calendario G'!$M$8:$M$110,$H$60),"-")</f>
        <v>-</v>
      </c>
      <c r="AI65" s="14" t="str">
        <f aca="false">IF(AND($H65&lt;&gt;"",$H$61&lt;&gt;"",$H65&lt;&gt;$H$61,IFERROR(VLOOKUP($H65,areaCercaPuntiClassificaSquadra,3,FALSE()),-1)=IFERROR(VLOOKUP($H$61,areaCercaPuntiClassificaSquadra,3,FALSE()),-2)),SUMIFS('Calendario G'!$P$8:$P$110,'Calendario G'!$M$8:$M$110,$H65,'Calendario G'!$T$8:$T$110,$H$61)+SUMIFS('Calendario G'!$W$8:$W$110,'Calendario G'!$T$8:$T$110,$H65,'Calendario G'!$M$8:$M$110,$H$61)+SUMIFS('Calendario G'!$O$8:$O$110,'Calendario G'!$M$8:$M$110,$H65,'Calendario G'!$T$8:$T$110,$H$61)+SUMIFS('Calendario G'!$V$8:$V$110,'Calendario G'!$T$8:$T$110,$H65,'Calendario G'!$M$8:$M$110,$H$61),"-")</f>
        <v>-</v>
      </c>
      <c r="AJ65" s="14" t="str">
        <f aca="false">IF(AND($H65&lt;&gt;"",$H$62&lt;&gt;"",$H65&lt;&gt;$H$62,IFERROR(VLOOKUP($H65,areaCercaPuntiClassificaSquadra,3,FALSE()),-1)=IFERROR(VLOOKUP($H$62,areaCercaPuntiClassificaSquadra,3,FALSE()),-2)),SUMIFS('Calendario G'!$P$8:$P$110,'Calendario G'!$M$8:$M$110,$H65,'Calendario G'!$T$8:$T$110,$H$62)+SUMIFS('Calendario G'!$W$8:$W$110,'Calendario G'!$T$8:$T$110,$H65,'Calendario G'!$M$8:$M$110,$H$62)+SUMIFS('Calendario G'!$O$8:$O$110,'Calendario G'!$M$8:$M$110,$H65,'Calendario G'!$T$8:$T$110,$H$62)+SUMIFS('Calendario G'!$V$8:$V$110,'Calendario G'!$T$8:$T$110,$H65,'Calendario G'!$M$8:$M$110,$H$62),"-")</f>
        <v>-</v>
      </c>
      <c r="AK65" s="14" t="str">
        <f aca="false">IF(AND($H65&lt;&gt;"",$H$63&lt;&gt;"",$H65&lt;&gt;$H$63,IFERROR(VLOOKUP($H65,areaCercaPuntiClassificaSquadra,3,FALSE()),-1)=IFERROR(VLOOKUP($H$63,areaCercaPuntiClassificaSquadra,3,FALSE()),-2)),SUMIFS('Calendario G'!$P$8:$P$110,'Calendario G'!$M$8:$M$110,$H65,'Calendario G'!$T$8:$T$110,$H$63)+SUMIFS('Calendario G'!$W$8:$W$110,'Calendario G'!$T$8:$T$110,$H65,'Calendario G'!$M$8:$M$110,$H$63)+SUMIFS('Calendario G'!$O$8:$O$110,'Calendario G'!$M$8:$M$110,$H65,'Calendario G'!$T$8:$T$110,$H$63)+SUMIFS('Calendario G'!$V$8:$V$110,'Calendario G'!$T$8:$T$110,$H65,'Calendario G'!$M$8:$M$110,$H$63),"-")</f>
        <v>-</v>
      </c>
      <c r="AL65" s="14" t="str">
        <f aca="false">IF(AND($H65&lt;&gt;"",$H$64&lt;&gt;"",$H65&lt;&gt;$H$64,IFERROR(VLOOKUP($H65,areaCercaPuntiClassificaSquadra,3,FALSE()),-1)=IFERROR(VLOOKUP($H$64,areaCercaPuntiClassificaSquadra,3,FALSE()),-2)),SUMIFS('Calendario G'!$P$8:$P$110,'Calendario G'!$M$8:$M$110,$H65,'Calendario G'!$T$8:$T$110,$H$64)+SUMIFS('Calendario G'!$W$8:$W$110,'Calendario G'!$T$8:$T$110,$H65,'Calendario G'!$M$8:$M$110,$H$64)+SUMIFS('Calendario G'!$O$8:$O$110,'Calendario G'!$M$8:$M$110,$H65,'Calendario G'!$T$8:$T$110,$H$64)+SUMIFS('Calendario G'!$V$8:$V$110,'Calendario G'!$T$8:$T$110,$H65,'Calendario G'!$M$8:$M$110,$H$64),"-")</f>
        <v>-</v>
      </c>
      <c r="AM65" s="14" t="str">
        <f aca="false">IF(AND($H65&lt;&gt;"",$H$65&lt;&gt;"",$H65&lt;&gt;$H$65,IFERROR(VLOOKUP($H65,areaCercaPuntiClassificaSquadra,3,FALSE()),-1)=IFERROR(VLOOKUP($H$65,areaCercaPuntiClassificaSquadra,3,FALSE()),-2)),SUMIFS('Calendario G'!$P$8:$P$110,'Calendario G'!$M$8:$M$110,$H65,'Calendario G'!$T$8:$T$110,$H$65)+SUMIFS('Calendario G'!$W$8:$W$110,'Calendario G'!$T$8:$T$110,$H65,'Calendario G'!$M$8:$M$110,$H$65)+SUMIFS('Calendario G'!$O$8:$O$110,'Calendario G'!$M$8:$M$110,$H65,'Calendario G'!$T$8:$T$110,$H$65)+SUMIFS('Calendario G'!$V$8:$V$110,'Calendario G'!$T$8:$T$110,$H65,'Calendario G'!$M$8:$M$110,$H$65),"-")</f>
        <v>-</v>
      </c>
      <c r="AN65" s="14" t="str">
        <f aca="false">IF(AND($H65&lt;&gt;"",$H$66&lt;&gt;"",$H65&lt;&gt;$H$66,IFERROR(VLOOKUP($H65,areaCercaPuntiClassificaSquadra,3,FALSE()),-1)=IFERROR(VLOOKUP($H$66,areaCercaPuntiClassificaSquadra,3,FALSE()),-2)),SUMIFS('Calendario G'!$P$8:$P$110,'Calendario G'!$M$8:$M$110,$H65,'Calendario G'!$T$8:$T$110,$H$66)+SUMIFS('Calendario G'!$W$8:$W$110,'Calendario G'!$T$8:$T$110,$H65,'Calendario G'!$M$8:$M$110,$H$66)+SUMIFS('Calendario G'!$O$8:$O$110,'Calendario G'!$M$8:$M$110,$H65,'Calendario G'!$T$8:$T$110,$H$66)+SUMIFS('Calendario G'!$V$8:$V$110,'Calendario G'!$T$8:$T$110,$H65,'Calendario G'!$M$8:$M$110,$H$66),"-")</f>
        <v>-</v>
      </c>
      <c r="AO65" s="14" t="str">
        <f aca="false">IF(AND($H65&lt;&gt;"",$H$67&lt;&gt;"",$H65&lt;&gt;$H$67,IFERROR(VLOOKUP($H65,areaCercaPuntiClassificaSquadra,3,FALSE()),-1)=IFERROR(VLOOKUP($H$67,areaCercaPuntiClassificaSquadra,3,FALSE()),-2)),SUMIFS('Calendario G'!$P$8:$P$110,'Calendario G'!$M$8:$M$110,$H65,'Calendario G'!$T$8:$T$110,$H$67)+SUMIFS('Calendario G'!$W$8:$W$110,'Calendario G'!$T$8:$T$110,$H65,'Calendario G'!$M$8:$M$110,$H$67)+SUMIFS('Calendario G'!$O$8:$O$110,'Calendario G'!$M$8:$M$110,$H65,'Calendario G'!$T$8:$T$110,$H$67)+SUMIFS('Calendario G'!$V$8:$V$110,'Calendario G'!$T$8:$T$110,$H65,'Calendario G'!$M$8:$M$110,$H$67),"-")</f>
        <v>-</v>
      </c>
      <c r="AP65" s="13" t="str">
        <f aca="false">$C65</f>
        <v>Pinguini Prodigiosi-Pinguiniopoli PI</v>
      </c>
      <c r="AQ65" s="14" t="str">
        <f aca="false">IF(AND($H65&lt;&gt;"",$H$60&lt;&gt;"",$H65&lt;&gt;$H$60,IFERROR(VLOOKUP($H65,areaCercaPuntiClassificaSquadra,3,FALSE()),-1)=IFERROR(VLOOKUP($H$60,areaCercaPuntiClassificaSquadra,3,FALSE()),-2)),SUMIFS('Calendario G'!$Q$8:$Q$110,'Calendario G'!$M$8:$M$110,$H65,'Calendario G'!$T$8:$T$110,$H$60)+SUMIFS('Calendario G'!$X$8:$X$110,'Calendario G'!$T$8:$T$110,$H65,'Calendario G'!$M$8:$M$110,$H$60),"-")</f>
        <v>-</v>
      </c>
      <c r="AR65" s="14" t="str">
        <f aca="false">IF(AND($H65&lt;&gt;"",$H$61&lt;&gt;"",$H65&lt;&gt;$H$61,IFERROR(VLOOKUP($H65,areaCercaPuntiClassificaSquadra,3,FALSE()),-1)=IFERROR(VLOOKUP($H$61,areaCercaPuntiClassificaSquadra,3,FALSE()),-2)),SUMIFS('Calendario G'!$Q$8:$Q$110,'Calendario G'!$M$8:$M$110,$H65,'Calendario G'!$T$8:$T$110,$H$61)+SUMIFS('Calendario G'!$X$8:$X$110,'Calendario G'!$T$8:$T$110,$H65,'Calendario G'!$M$8:$M$110,$H$61),"-")</f>
        <v>-</v>
      </c>
      <c r="AS65" s="14" t="str">
        <f aca="false">IF(AND($H65&lt;&gt;"",$H$62&lt;&gt;"",$H65&lt;&gt;$H$62,IFERROR(VLOOKUP($H65,areaCercaPuntiClassificaSquadra,3,FALSE()),-1)=IFERROR(VLOOKUP($H$62,areaCercaPuntiClassificaSquadra,3,FALSE()),-2)),SUMIFS('Calendario G'!$Q$8:$Q$110,'Calendario G'!$M$8:$M$110,$H65,'Calendario G'!$T$8:$T$110,$H$62)+SUMIFS('Calendario G'!$X$8:$X$110,'Calendario G'!$T$8:$T$110,$H65,'Calendario G'!$M$8:$M$110,$H$62),"-")</f>
        <v>-</v>
      </c>
      <c r="AT65" s="14" t="str">
        <f aca="false">IF(AND($H65&lt;&gt;"",$H$63&lt;&gt;"",$H65&lt;&gt;$H$63,IFERROR(VLOOKUP($H65,areaCercaPuntiClassificaSquadra,3,FALSE()),-1)=IFERROR(VLOOKUP($H$63,areaCercaPuntiClassificaSquadra,3,FALSE()),-2)),SUMIFS('Calendario G'!$Q$8:$Q$110,'Calendario G'!$M$8:$M$110,$H65,'Calendario G'!$T$8:$T$110,$H$63)+SUMIFS('Calendario G'!$X$8:$X$110,'Calendario G'!$T$8:$T$110,$H65,'Calendario G'!$M$8:$M$110,$H$63),"-")</f>
        <v>-</v>
      </c>
      <c r="AU65" s="14" t="str">
        <f aca="false">IF(AND($H65&lt;&gt;"",$H$64&lt;&gt;"",$H65&lt;&gt;$H$64,IFERROR(VLOOKUP($H65,areaCercaPuntiClassificaSquadra,3,FALSE()),-1)=IFERROR(VLOOKUP($H$64,areaCercaPuntiClassificaSquadra,3,FALSE()),-2)),SUMIFS('Calendario G'!$Q$8:$Q$110,'Calendario G'!$M$8:$M$110,$H65,'Calendario G'!$T$8:$T$110,$H$64)+SUMIFS('Calendario G'!$X$8:$X$110,'Calendario G'!$T$8:$T$110,$H65,'Calendario G'!$M$8:$M$110,$H$64),"-")</f>
        <v>-</v>
      </c>
      <c r="AV65" s="14" t="str">
        <f aca="false">IF(AND($H65&lt;&gt;"",$H$65&lt;&gt;"",$H65&lt;&gt;$H$65,IFERROR(VLOOKUP($H65,areaCercaPuntiClassificaSquadra,3,FALSE()),-1)=IFERROR(VLOOKUP($H$65,areaCercaPuntiClassificaSquadra,3,FALSE()),-2)),SUMIFS('Calendario G'!$Q$8:$Q$110,'Calendario G'!$M$8:$M$110,$H65,'Calendario G'!$T$8:$T$110,$H$65)+SUMIFS('Calendario G'!$X$8:$X$110,'Calendario G'!$T$8:$T$110,$H65,'Calendario G'!$M$8:$M$110,$H$65),"-")</f>
        <v>-</v>
      </c>
      <c r="AW65" s="14" t="str">
        <f aca="false">IF(AND($H65&lt;&gt;"",$H$66&lt;&gt;"",$H65&lt;&gt;$H$66,IFERROR(VLOOKUP($H65,areaCercaPuntiClassificaSquadra,3,FALSE()),-1)=IFERROR(VLOOKUP($H$66,areaCercaPuntiClassificaSquadra,3,FALSE()),-2)),SUMIFS('Calendario G'!$Q$8:$Q$110,'Calendario G'!$M$8:$M$110,$H65,'Calendario G'!$T$8:$T$110,$H$66)+SUMIFS('Calendario G'!$X$8:$X$110,'Calendario G'!$T$8:$T$110,$H65,'Calendario G'!$M$8:$M$110,$H$66),"-")</f>
        <v>-</v>
      </c>
      <c r="AX65" s="14" t="str">
        <f aca="false">IF(AND($H65&lt;&gt;"",$H$67&lt;&gt;"",$H65&lt;&gt;$H$67,IFERROR(VLOOKUP($H65,areaCercaPuntiClassificaSquadra,3,FALSE()),-1)=IFERROR(VLOOKUP($H$67,areaCercaPuntiClassificaSquadra,3,FALSE()),-2)),SUMIFS('Calendario G'!$Q$8:$Q$110,'Calendario G'!$M$8:$M$110,$H65,'Calendario G'!$T$8:$T$110,$H$67)+SUMIFS('Calendario G'!$X$8:$X$110,'Calendario G'!$T$8:$T$110,$H65,'Calendario G'!$M$8:$M$110,$H$67),"-")</f>
        <v>-</v>
      </c>
      <c r="AY65" s="13" t="str">
        <f aca="false">$C65</f>
        <v>Pinguini Prodigiosi-Pinguiniopoli PI</v>
      </c>
      <c r="AZ65" s="14" t="str">
        <f aca="false">IF(AND($H65&lt;&gt;"",$H$60&lt;&gt;"",$H65&lt;&gt;$H$60,IFERROR(VLOOKUP($H65,areaCercaPuntiClassificaSquadra,3,FALSE()),-1)=IFERROR(VLOOKUP($H$60,areaCercaPuntiClassificaSquadra,3,FALSE()),-2)),SUMIFS('Calendario G'!$R$8:$R$110,'Calendario G'!$M$8:$M$110,$H65,'Calendario G'!$T$8:$T$110,$H$60)+SUMIFS('Calendario G'!$Y$8:$Y$110,'Calendario G'!$T$8:$T$110,$H65,'Calendario G'!$M$8:$M$110,$H$60),"-")</f>
        <v>-</v>
      </c>
      <c r="BA65" s="14" t="str">
        <f aca="false">IF(AND($H65&lt;&gt;"",$H$61&lt;&gt;"",$H65&lt;&gt;$H$61,IFERROR(VLOOKUP($H65,areaCercaPuntiClassificaSquadra,3,FALSE()),-1)=IFERROR(VLOOKUP($H$61,areaCercaPuntiClassificaSquadra,3,FALSE()),-2)),SUMIFS('Calendario G'!$R$8:$R$110,'Calendario G'!$M$8:$M$110,$H65,'Calendario G'!$T$8:$T$110,$H$61)+SUMIFS('Calendario G'!$Y$8:$Y$110,'Calendario G'!$T$8:$T$110,$H65,'Calendario G'!$M$8:$M$110,$H$61),"-")</f>
        <v>-</v>
      </c>
      <c r="BB65" s="14" t="str">
        <f aca="false">IF(AND($H65&lt;&gt;"",$H$62&lt;&gt;"",$H65&lt;&gt;$H$62,IFERROR(VLOOKUP($H65,areaCercaPuntiClassificaSquadra,3,FALSE()),-1)=IFERROR(VLOOKUP($H$62,areaCercaPuntiClassificaSquadra,3,FALSE()),-2)),SUMIFS('Calendario G'!$R$8:$R$110,'Calendario G'!$M$8:$M$110,$H65,'Calendario G'!$T$8:$T$110,$H$62)+SUMIFS('Calendario G'!$Y$8:$Y$110,'Calendario G'!$T$8:$T$110,$H65,'Calendario G'!$M$8:$M$110,$H$62),"-")</f>
        <v>-</v>
      </c>
      <c r="BC65" s="14" t="str">
        <f aca="false">IF(AND($H65&lt;&gt;"",$H$63&lt;&gt;"",$H65&lt;&gt;$H$63,IFERROR(VLOOKUP($H65,areaCercaPuntiClassificaSquadra,3,FALSE()),-1)=IFERROR(VLOOKUP($H$63,areaCercaPuntiClassificaSquadra,3,FALSE()),-2)),SUMIFS('Calendario G'!$R$8:$R$110,'Calendario G'!$M$8:$M$110,$H65,'Calendario G'!$T$8:$T$110,$H$63)+SUMIFS('Calendario G'!$Y$8:$Y$110,'Calendario G'!$T$8:$T$110,$H65,'Calendario G'!$M$8:$M$110,$H$63),"-")</f>
        <v>-</v>
      </c>
      <c r="BD65" s="14" t="str">
        <f aca="false">IF(AND($H65&lt;&gt;"",$H$64&lt;&gt;"",$H65&lt;&gt;$H$64,IFERROR(VLOOKUP($H65,areaCercaPuntiClassificaSquadra,3,FALSE()),-1)=IFERROR(VLOOKUP($H$64,areaCercaPuntiClassificaSquadra,3,FALSE()),-2)),SUMIFS('Calendario G'!$R$8:$R$110,'Calendario G'!$M$8:$M$110,$H65,'Calendario G'!$T$8:$T$110,$H$64)+SUMIFS('Calendario G'!$Y$8:$Y$110,'Calendario G'!$T$8:$T$110,$H65,'Calendario G'!$M$8:$M$110,$H$64),"-")</f>
        <v>-</v>
      </c>
      <c r="BE65" s="14" t="str">
        <f aca="false">IF(AND($H65&lt;&gt;"",$H$65&lt;&gt;"",$H65&lt;&gt;$H$65,IFERROR(VLOOKUP($H65,areaCercaPuntiClassificaSquadra,3,FALSE()),-1)=IFERROR(VLOOKUP($H$65,areaCercaPuntiClassificaSquadra,3,FALSE()),-2)),SUMIFS('Calendario G'!$R$8:$R$110,'Calendario G'!$M$8:$M$110,$H65,'Calendario G'!$T$8:$T$110,$H$65)+SUMIFS('Calendario G'!$Y$8:$Y$110,'Calendario G'!$T$8:$T$110,$H65,'Calendario G'!$M$8:$M$110,$H$65),"-")</f>
        <v>-</v>
      </c>
      <c r="BF65" s="14" t="str">
        <f aca="false">IF(AND($H65&lt;&gt;"",$H$66&lt;&gt;"",$H65&lt;&gt;$H$66,IFERROR(VLOOKUP($H65,areaCercaPuntiClassificaSquadra,3,FALSE()),-1)=IFERROR(VLOOKUP($H$66,areaCercaPuntiClassificaSquadra,3,FALSE()),-2)),SUMIFS('Calendario G'!$R$8:$R$110,'Calendario G'!$M$8:$M$110,$H65,'Calendario G'!$T$8:$T$110,$H$66)+SUMIFS('Calendario G'!$Y$8:$Y$110,'Calendario G'!$T$8:$T$110,$H65,'Calendario G'!$M$8:$M$110,$H$66),"-")</f>
        <v>-</v>
      </c>
      <c r="BG65" s="14" t="str">
        <f aca="false">IF(AND($H65&lt;&gt;"",$H$67&lt;&gt;"",$H65&lt;&gt;$H$67,IFERROR(VLOOKUP($H65,areaCercaPuntiClassificaSquadra,3,FALSE()),-1)=IFERROR(VLOOKUP($H$67,areaCercaPuntiClassificaSquadra,3,FALSE()),-2)),SUMIFS('Calendario G'!$R$8:$R$110,'Calendario G'!$M$8:$M$110,$H65,'Calendario G'!$T$8:$T$110,$H$67)+SUMIFS('Calendario G'!$Y$8:$Y$110,'Calendario G'!$T$8:$T$110,$H65,'Calendario G'!$M$8:$M$110,$H$67),"-")</f>
        <v>-</v>
      </c>
    </row>
    <row r="66" customFormat="false" ht="15" hidden="false" customHeight="false" outlineLevel="0" collapsed="false">
      <c r="B66" s="7" t="s">
        <v>162</v>
      </c>
      <c r="C66" s="8" t="s">
        <v>163</v>
      </c>
      <c r="D66" s="9"/>
      <c r="E66" s="25" t="s">
        <v>151</v>
      </c>
      <c r="G66" s="26" t="str">
        <f aca="false">IF($C66="","",$E66&amp;(COUNTIFS(I$12:I$75,"&gt;"&amp;I66,E$12:E$75,"="&amp;E66,C$12:C$75,"&lt;&gt;")+COUNTIFS(I$12:I$75,"="&amp;I66,H$12:H$75,"&lt;="&amp;H66,E$12:E$75,"="&amp;E66,C$12:C$75,"&lt;&gt;")))</f>
        <v>G7</v>
      </c>
      <c r="H66" s="12" t="str">
        <f aca="false">IF($C66="","",IFERROR(LEFT($C66,FIND("-",$C66)-1),$C66))</f>
        <v>Renne Rocambolesche</v>
      </c>
      <c r="I66" s="7" t="str">
        <f aca="false">TEXT(1000000000+J66,"|0000000000|")&amp;TEXT(SUM(Y66:AF66),"0000000000|")&amp;IF(SUM(AZ66:BG66)=0,"0000000000|",TEXT(ROUND(SUM(AQ66:AX66)/SUM(AZ66:BG66),4)*100000,"0000000000|"))&amp;IF(P66=0,"0000000000|",TEXT(ROUND(O66/P66,4)*100000,"0000000000|"))</f>
        <v>|1000000009|0000000001|0000123330|0000080830|</v>
      </c>
      <c r="J66" s="26" t="n">
        <f aca="false">L66*constPuntiVittoria+M66*constPuntiSconfitta+N66*constPuntiForfait+IF(D66="",0,D66)</f>
        <v>9</v>
      </c>
      <c r="K66" s="7" t="n">
        <f aca="false">SUM(L66:N66)</f>
        <v>7</v>
      </c>
      <c r="L66" s="7" t="n">
        <f aca="false">IF($H66="",0,SUMIF('Calendario G'!$M$8:$M$110,$H66,'Calendario G'!$N$8:$N$110)+SUMIF('Calendario G'!$T$8:$T$110,$H66,'Calendario G'!$U$8:$U$110))</f>
        <v>1</v>
      </c>
      <c r="M66" s="7" t="n">
        <f aca="false">IF($H66="",0,SUMIF('Calendario G'!$M$8:$M$110,$H66,'Calendario G'!$P$8:$P$110)+SUMIF('Calendario G'!$T$8:$T$110,$H66,'Calendario G'!$W$8:$W$110))</f>
        <v>6</v>
      </c>
      <c r="N66" s="7" t="n">
        <f aca="false">IF($H66="",0,SUMIF('Calendario G'!$M$8:$M$110,$H66,'Calendario G'!$O$8:$O$110)+SUMIF('Calendario G'!$T$8:$T$110,$H66,'Calendario G'!$V$8:$V$110))</f>
        <v>0</v>
      </c>
      <c r="O66" s="7" t="n">
        <f aca="false">IF($H66="",0,SUMIF('Calendario G'!$M$8:$M$110,$H66,'Calendario G'!$Q$8:$Q$110)+SUMIF('Calendario G'!$T$8:$T$110,$H66,'Calendario G'!$X$8:$X$110))</f>
        <v>371</v>
      </c>
      <c r="P66" s="7" t="n">
        <f aca="false">IF($H66="",0,SUMIF('Calendario G'!$M$8:$M$110,$H66,'Calendario G'!$R$8:$R$110)+SUMIF('Calendario G'!$T$8:$T$110,$H66,'Calendario G'!$Y$8:$Y$110))</f>
        <v>459</v>
      </c>
      <c r="Q66" s="7" t="n">
        <f aca="false">IF($H66="",0,SUMIF('Calendario G'!$M$8:$M$110,$H66,'Calendario G'!$S$8:$S$110)+SUMIF('Calendario G'!$T$8:$T$110,$H66,'Calendario G'!$Z$8:$Z$110))</f>
        <v>-88</v>
      </c>
      <c r="R66" s="7" t="n">
        <f aca="false">IF(K66=0,0,ROUND(O66/K66,2))</f>
        <v>53</v>
      </c>
      <c r="S66" s="7" t="n">
        <f aca="false">IF(K66=0,0,ROUND(P66/K66,2))</f>
        <v>65.57</v>
      </c>
      <c r="T66" s="7" t="n">
        <f aca="false">IF(K66=0,0,ROUND(Q66/K66,2))</f>
        <v>-12.57</v>
      </c>
      <c r="U66" s="7" t="str">
        <f aca="false">IF(COUNT(Y66:AF66)=0,"-",SUM(Y66:AF66)&amp;"-"&amp;SUM(AH66:AO66))</f>
        <v>1-0</v>
      </c>
      <c r="V66" s="7" t="str">
        <f aca="false">IF(COUNT(Y66:AF66)=0,"-",IF(SUM(AZ66:BG66)=0,TEXT(0,"0.0000"),TEXT(ROUND(SUM(AQ66:AX66)/SUM(AZ66:BG66),4),"0.0000")))</f>
        <v>1.2333</v>
      </c>
      <c r="W66" s="7" t="str">
        <f aca="false">IF(H66="","-",IF(P66=0,TEXT(0,"0.0000"),TEXT(ROUND(O66/P66,4),"0.0000")))</f>
        <v>0.8083</v>
      </c>
      <c r="X66" s="13" t="str">
        <f aca="false">$C66</f>
        <v>Renne Rocambolesche-Renneopoli RE</v>
      </c>
      <c r="Y66" s="14" t="str">
        <f aca="false">IF(AND($H66&lt;&gt;"",$H$60&lt;&gt;"",$H66&lt;&gt;$H$60,IFERROR(VLOOKUP($H66,areaCercaPuntiClassificaSquadra,3,FALSE()),-1)=IFERROR(VLOOKUP($H$60,areaCercaPuntiClassificaSquadra,3,FALSE()),-2)),SUMIFS('Calendario G'!$N$8:$N$110,'Calendario G'!$M$8:$M$110,$H66,'Calendario G'!$T$8:$T$110,$H$60)+SUMIFS('Calendario G'!$U$8:$U$110,'Calendario G'!$T$8:$T$110,$H66,'Calendario G'!$M$8:$M$110,$H$60),"-")</f>
        <v>-</v>
      </c>
      <c r="Z66" s="14" t="str">
        <f aca="false">IF(AND($H66&lt;&gt;"",$H$61&lt;&gt;"",$H66&lt;&gt;$H$61,IFERROR(VLOOKUP($H66,areaCercaPuntiClassificaSquadra,3,FALSE()),-1)=IFERROR(VLOOKUP($H$61,areaCercaPuntiClassificaSquadra,3,FALSE()),-2)),SUMIFS('Calendario G'!$N$8:$N$110,'Calendario G'!$M$8:$M$110,$H66,'Calendario G'!$T$8:$T$110,$H$61)+SUMIFS('Calendario G'!$U$8:$U$110,'Calendario G'!$T$8:$T$110,$H66,'Calendario G'!$M$8:$M$110,$H$61),"-")</f>
        <v>-</v>
      </c>
      <c r="AA66" s="14" t="str">
        <f aca="false">IF(AND($H66&lt;&gt;"",$H$62&lt;&gt;"",$H66&lt;&gt;$H$62,IFERROR(VLOOKUP($H66,areaCercaPuntiClassificaSquadra,3,FALSE()),-1)=IFERROR(VLOOKUP($H$62,areaCercaPuntiClassificaSquadra,3,FALSE()),-2)),SUMIFS('Calendario G'!$N$8:$N$110,'Calendario G'!$M$8:$M$110,$H66,'Calendario G'!$T$8:$T$110,$H$62)+SUMIFS('Calendario G'!$U$8:$U$110,'Calendario G'!$T$8:$T$110,$H66,'Calendario G'!$M$8:$M$110,$H$62),"-")</f>
        <v>-</v>
      </c>
      <c r="AB66" s="14" t="n">
        <f aca="false">IF(AND($H66&lt;&gt;"",$H$63&lt;&gt;"",$H66&lt;&gt;$H$63,IFERROR(VLOOKUP($H66,areaCercaPuntiClassificaSquadra,3,FALSE()),-1)=IFERROR(VLOOKUP($H$63,areaCercaPuntiClassificaSquadra,3,FALSE()),-2)),SUMIFS('Calendario G'!$N$8:$N$110,'Calendario G'!$M$8:$M$110,$H66,'Calendario G'!$T$8:$T$110,$H$63)+SUMIFS('Calendario G'!$U$8:$U$110,'Calendario G'!$T$8:$T$110,$H66,'Calendario G'!$M$8:$M$110,$H$63),"-")</f>
        <v>1</v>
      </c>
      <c r="AC66" s="14" t="str">
        <f aca="false">IF(AND($H66&lt;&gt;"",$H$64&lt;&gt;"",$H66&lt;&gt;$H$64,IFERROR(VLOOKUP($H66,areaCercaPuntiClassificaSquadra,3,FALSE()),-1)=IFERROR(VLOOKUP($H$64,areaCercaPuntiClassificaSquadra,3,FALSE()),-2)),SUMIFS('Calendario G'!$N$8:$N$110,'Calendario G'!$M$8:$M$110,$H66,'Calendario G'!$T$8:$T$110,$H$64)+SUMIFS('Calendario G'!$U$8:$U$110,'Calendario G'!$T$8:$T$110,$H66,'Calendario G'!$M$8:$M$110,$H$64),"-")</f>
        <v>-</v>
      </c>
      <c r="AD66" s="14" t="str">
        <f aca="false">IF(AND($H66&lt;&gt;"",$H$65&lt;&gt;"",$H66&lt;&gt;$H$65,IFERROR(VLOOKUP($H66,areaCercaPuntiClassificaSquadra,3,FALSE()),-1)=IFERROR(VLOOKUP($H$65,areaCercaPuntiClassificaSquadra,3,FALSE()),-2)),SUMIFS('Calendario G'!$N$8:$N$110,'Calendario G'!$M$8:$M$110,$H66,'Calendario G'!$T$8:$T$110,$H$65)+SUMIFS('Calendario G'!$U$8:$U$110,'Calendario G'!$T$8:$T$110,$H66,'Calendario G'!$M$8:$M$110,$H$65),"-")</f>
        <v>-</v>
      </c>
      <c r="AE66" s="14" t="str">
        <f aca="false">IF(AND($H66&lt;&gt;"",$H$66&lt;&gt;"",$H66&lt;&gt;$H$66,IFERROR(VLOOKUP($H66,areaCercaPuntiClassificaSquadra,3,FALSE()),-1)=IFERROR(VLOOKUP($H$66,areaCercaPuntiClassificaSquadra,3,FALSE()),-2)),SUMIFS('Calendario G'!$N$8:$N$110,'Calendario G'!$M$8:$M$110,$H66,'Calendario G'!$T$8:$T$110,$H$66)+SUMIFS('Calendario G'!$U$8:$U$110,'Calendario G'!$T$8:$T$110,$H66,'Calendario G'!$M$8:$M$110,$H$66),"-")</f>
        <v>-</v>
      </c>
      <c r="AF66" s="14" t="str">
        <f aca="false">IF(AND($H66&lt;&gt;"",$H$67&lt;&gt;"",$H66&lt;&gt;$H$67,IFERROR(VLOOKUP($H66,areaCercaPuntiClassificaSquadra,3,FALSE()),-1)=IFERROR(VLOOKUP($H$67,areaCercaPuntiClassificaSquadra,3,FALSE()),-2)),SUMIFS('Calendario G'!$N$8:$N$110,'Calendario G'!$M$8:$M$110,$H66,'Calendario G'!$T$8:$T$110,$H$67)+SUMIFS('Calendario G'!$U$8:$U$110,'Calendario G'!$T$8:$T$110,$H66,'Calendario G'!$M$8:$M$110,$H$67),"-")</f>
        <v>-</v>
      </c>
      <c r="AG66" s="13" t="str">
        <f aca="false">$C66</f>
        <v>Renne Rocambolesche-Renneopoli RE</v>
      </c>
      <c r="AH66" s="14" t="str">
        <f aca="false">IF(AND($H66&lt;&gt;"",$H$60&lt;&gt;"",$H66&lt;&gt;$H$60,IFERROR(VLOOKUP($H66,areaCercaPuntiClassificaSquadra,3,FALSE()),-1)=IFERROR(VLOOKUP($H$60,areaCercaPuntiClassificaSquadra,3,FALSE()),-2)),SUMIFS('Calendario G'!$P$8:$P$110,'Calendario G'!$M$8:$M$110,$H66,'Calendario G'!$T$8:$T$110,$H$60)+SUMIFS('Calendario G'!$W$8:$W$110,'Calendario G'!$T$8:$T$110,$H66,'Calendario G'!$M$8:$M$110,$H$60)+SUMIFS('Calendario G'!$O$8:$O$110,'Calendario G'!$M$8:$M$110,$H66,'Calendario G'!$T$8:$T$110,$H$60)+SUMIFS('Calendario G'!$V$8:$V$110,'Calendario G'!$T$8:$T$110,$H66,'Calendario G'!$M$8:$M$110,$H$60),"-")</f>
        <v>-</v>
      </c>
      <c r="AI66" s="14" t="str">
        <f aca="false">IF(AND($H66&lt;&gt;"",$H$61&lt;&gt;"",$H66&lt;&gt;$H$61,IFERROR(VLOOKUP($H66,areaCercaPuntiClassificaSquadra,3,FALSE()),-1)=IFERROR(VLOOKUP($H$61,areaCercaPuntiClassificaSquadra,3,FALSE()),-2)),SUMIFS('Calendario G'!$P$8:$P$110,'Calendario G'!$M$8:$M$110,$H66,'Calendario G'!$T$8:$T$110,$H$61)+SUMIFS('Calendario G'!$W$8:$W$110,'Calendario G'!$T$8:$T$110,$H66,'Calendario G'!$M$8:$M$110,$H$61)+SUMIFS('Calendario G'!$O$8:$O$110,'Calendario G'!$M$8:$M$110,$H66,'Calendario G'!$T$8:$T$110,$H$61)+SUMIFS('Calendario G'!$V$8:$V$110,'Calendario G'!$T$8:$T$110,$H66,'Calendario G'!$M$8:$M$110,$H$61),"-")</f>
        <v>-</v>
      </c>
      <c r="AJ66" s="14" t="str">
        <f aca="false">IF(AND($H66&lt;&gt;"",$H$62&lt;&gt;"",$H66&lt;&gt;$H$62,IFERROR(VLOOKUP($H66,areaCercaPuntiClassificaSquadra,3,FALSE()),-1)=IFERROR(VLOOKUP($H$62,areaCercaPuntiClassificaSquadra,3,FALSE()),-2)),SUMIFS('Calendario G'!$P$8:$P$110,'Calendario G'!$M$8:$M$110,$H66,'Calendario G'!$T$8:$T$110,$H$62)+SUMIFS('Calendario G'!$W$8:$W$110,'Calendario G'!$T$8:$T$110,$H66,'Calendario G'!$M$8:$M$110,$H$62)+SUMIFS('Calendario G'!$O$8:$O$110,'Calendario G'!$M$8:$M$110,$H66,'Calendario G'!$T$8:$T$110,$H$62)+SUMIFS('Calendario G'!$V$8:$V$110,'Calendario G'!$T$8:$T$110,$H66,'Calendario G'!$M$8:$M$110,$H$62),"-")</f>
        <v>-</v>
      </c>
      <c r="AK66" s="14" t="n">
        <f aca="false">IF(AND($H66&lt;&gt;"",$H$63&lt;&gt;"",$H66&lt;&gt;$H$63,IFERROR(VLOOKUP($H66,areaCercaPuntiClassificaSquadra,3,FALSE()),-1)=IFERROR(VLOOKUP($H$63,areaCercaPuntiClassificaSquadra,3,FALSE()),-2)),SUMIFS('Calendario G'!$P$8:$P$110,'Calendario G'!$M$8:$M$110,$H66,'Calendario G'!$T$8:$T$110,$H$63)+SUMIFS('Calendario G'!$W$8:$W$110,'Calendario G'!$T$8:$T$110,$H66,'Calendario G'!$M$8:$M$110,$H$63)+SUMIFS('Calendario G'!$O$8:$O$110,'Calendario G'!$M$8:$M$110,$H66,'Calendario G'!$T$8:$T$110,$H$63)+SUMIFS('Calendario G'!$V$8:$V$110,'Calendario G'!$T$8:$T$110,$H66,'Calendario G'!$M$8:$M$110,$H$63),"-")</f>
        <v>0</v>
      </c>
      <c r="AL66" s="14" t="str">
        <f aca="false">IF(AND($H66&lt;&gt;"",$H$64&lt;&gt;"",$H66&lt;&gt;$H$64,IFERROR(VLOOKUP($H66,areaCercaPuntiClassificaSquadra,3,FALSE()),-1)=IFERROR(VLOOKUP($H$64,areaCercaPuntiClassificaSquadra,3,FALSE()),-2)),SUMIFS('Calendario G'!$P$8:$P$110,'Calendario G'!$M$8:$M$110,$H66,'Calendario G'!$T$8:$T$110,$H$64)+SUMIFS('Calendario G'!$W$8:$W$110,'Calendario G'!$T$8:$T$110,$H66,'Calendario G'!$M$8:$M$110,$H$64)+SUMIFS('Calendario G'!$O$8:$O$110,'Calendario G'!$M$8:$M$110,$H66,'Calendario G'!$T$8:$T$110,$H$64)+SUMIFS('Calendario G'!$V$8:$V$110,'Calendario G'!$T$8:$T$110,$H66,'Calendario G'!$M$8:$M$110,$H$64),"-")</f>
        <v>-</v>
      </c>
      <c r="AM66" s="14" t="str">
        <f aca="false">IF(AND($H66&lt;&gt;"",$H$65&lt;&gt;"",$H66&lt;&gt;$H$65,IFERROR(VLOOKUP($H66,areaCercaPuntiClassificaSquadra,3,FALSE()),-1)=IFERROR(VLOOKUP($H$65,areaCercaPuntiClassificaSquadra,3,FALSE()),-2)),SUMIFS('Calendario G'!$P$8:$P$110,'Calendario G'!$M$8:$M$110,$H66,'Calendario G'!$T$8:$T$110,$H$65)+SUMIFS('Calendario G'!$W$8:$W$110,'Calendario G'!$T$8:$T$110,$H66,'Calendario G'!$M$8:$M$110,$H$65)+SUMIFS('Calendario G'!$O$8:$O$110,'Calendario G'!$M$8:$M$110,$H66,'Calendario G'!$T$8:$T$110,$H$65)+SUMIFS('Calendario G'!$V$8:$V$110,'Calendario G'!$T$8:$T$110,$H66,'Calendario G'!$M$8:$M$110,$H$65),"-")</f>
        <v>-</v>
      </c>
      <c r="AN66" s="14" t="str">
        <f aca="false">IF(AND($H66&lt;&gt;"",$H$66&lt;&gt;"",$H66&lt;&gt;$H$66,IFERROR(VLOOKUP($H66,areaCercaPuntiClassificaSquadra,3,FALSE()),-1)=IFERROR(VLOOKUP($H$66,areaCercaPuntiClassificaSquadra,3,FALSE()),-2)),SUMIFS('Calendario G'!$P$8:$P$110,'Calendario G'!$M$8:$M$110,$H66,'Calendario G'!$T$8:$T$110,$H$66)+SUMIFS('Calendario G'!$W$8:$W$110,'Calendario G'!$T$8:$T$110,$H66,'Calendario G'!$M$8:$M$110,$H$66)+SUMIFS('Calendario G'!$O$8:$O$110,'Calendario G'!$M$8:$M$110,$H66,'Calendario G'!$T$8:$T$110,$H$66)+SUMIFS('Calendario G'!$V$8:$V$110,'Calendario G'!$T$8:$T$110,$H66,'Calendario G'!$M$8:$M$110,$H$66),"-")</f>
        <v>-</v>
      </c>
      <c r="AO66" s="14" t="str">
        <f aca="false">IF(AND($H66&lt;&gt;"",$H$67&lt;&gt;"",$H66&lt;&gt;$H$67,IFERROR(VLOOKUP($H66,areaCercaPuntiClassificaSquadra,3,FALSE()),-1)=IFERROR(VLOOKUP($H$67,areaCercaPuntiClassificaSquadra,3,FALSE()),-2)),SUMIFS('Calendario G'!$P$8:$P$110,'Calendario G'!$M$8:$M$110,$H66,'Calendario G'!$T$8:$T$110,$H$67)+SUMIFS('Calendario G'!$W$8:$W$110,'Calendario G'!$T$8:$T$110,$H66,'Calendario G'!$M$8:$M$110,$H$67)+SUMIFS('Calendario G'!$O$8:$O$110,'Calendario G'!$M$8:$M$110,$H66,'Calendario G'!$T$8:$T$110,$H$67)+SUMIFS('Calendario G'!$V$8:$V$110,'Calendario G'!$T$8:$T$110,$H66,'Calendario G'!$M$8:$M$110,$H$67),"-")</f>
        <v>-</v>
      </c>
      <c r="AP66" s="13" t="str">
        <f aca="false">$C66</f>
        <v>Renne Rocambolesche-Renneopoli RE</v>
      </c>
      <c r="AQ66" s="14" t="str">
        <f aca="false">IF(AND($H66&lt;&gt;"",$H$60&lt;&gt;"",$H66&lt;&gt;$H$60,IFERROR(VLOOKUP($H66,areaCercaPuntiClassificaSquadra,3,FALSE()),-1)=IFERROR(VLOOKUP($H$60,areaCercaPuntiClassificaSquadra,3,FALSE()),-2)),SUMIFS('Calendario G'!$Q$8:$Q$110,'Calendario G'!$M$8:$M$110,$H66,'Calendario G'!$T$8:$T$110,$H$60)+SUMIFS('Calendario G'!$X$8:$X$110,'Calendario G'!$T$8:$T$110,$H66,'Calendario G'!$M$8:$M$110,$H$60),"-")</f>
        <v>-</v>
      </c>
      <c r="AR66" s="14" t="str">
        <f aca="false">IF(AND($H66&lt;&gt;"",$H$61&lt;&gt;"",$H66&lt;&gt;$H$61,IFERROR(VLOOKUP($H66,areaCercaPuntiClassificaSquadra,3,FALSE()),-1)=IFERROR(VLOOKUP($H$61,areaCercaPuntiClassificaSquadra,3,FALSE()),-2)),SUMIFS('Calendario G'!$Q$8:$Q$110,'Calendario G'!$M$8:$M$110,$H66,'Calendario G'!$T$8:$T$110,$H$61)+SUMIFS('Calendario G'!$X$8:$X$110,'Calendario G'!$T$8:$T$110,$H66,'Calendario G'!$M$8:$M$110,$H$61),"-")</f>
        <v>-</v>
      </c>
      <c r="AS66" s="14" t="str">
        <f aca="false">IF(AND($H66&lt;&gt;"",$H$62&lt;&gt;"",$H66&lt;&gt;$H$62,IFERROR(VLOOKUP($H66,areaCercaPuntiClassificaSquadra,3,FALSE()),-1)=IFERROR(VLOOKUP($H$62,areaCercaPuntiClassificaSquadra,3,FALSE()),-2)),SUMIFS('Calendario G'!$Q$8:$Q$110,'Calendario G'!$M$8:$M$110,$H66,'Calendario G'!$T$8:$T$110,$H$62)+SUMIFS('Calendario G'!$X$8:$X$110,'Calendario G'!$T$8:$T$110,$H66,'Calendario G'!$M$8:$M$110,$H$62),"-")</f>
        <v>-</v>
      </c>
      <c r="AT66" s="14" t="n">
        <f aca="false">IF(AND($H66&lt;&gt;"",$H$63&lt;&gt;"",$H66&lt;&gt;$H$63,IFERROR(VLOOKUP($H66,areaCercaPuntiClassificaSquadra,3,FALSE()),-1)=IFERROR(VLOOKUP($H$63,areaCercaPuntiClassificaSquadra,3,FALSE()),-2)),SUMIFS('Calendario G'!$Q$8:$Q$110,'Calendario G'!$M$8:$M$110,$H66,'Calendario G'!$T$8:$T$110,$H$63)+SUMIFS('Calendario G'!$X$8:$X$110,'Calendario G'!$T$8:$T$110,$H66,'Calendario G'!$M$8:$M$110,$H$63),"-")</f>
        <v>74</v>
      </c>
      <c r="AU66" s="14" t="str">
        <f aca="false">IF(AND($H66&lt;&gt;"",$H$64&lt;&gt;"",$H66&lt;&gt;$H$64,IFERROR(VLOOKUP($H66,areaCercaPuntiClassificaSquadra,3,FALSE()),-1)=IFERROR(VLOOKUP($H$64,areaCercaPuntiClassificaSquadra,3,FALSE()),-2)),SUMIFS('Calendario G'!$Q$8:$Q$110,'Calendario G'!$M$8:$M$110,$H66,'Calendario G'!$T$8:$T$110,$H$64)+SUMIFS('Calendario G'!$X$8:$X$110,'Calendario G'!$T$8:$T$110,$H66,'Calendario G'!$M$8:$M$110,$H$64),"-")</f>
        <v>-</v>
      </c>
      <c r="AV66" s="14" t="str">
        <f aca="false">IF(AND($H66&lt;&gt;"",$H$65&lt;&gt;"",$H66&lt;&gt;$H$65,IFERROR(VLOOKUP($H66,areaCercaPuntiClassificaSquadra,3,FALSE()),-1)=IFERROR(VLOOKUP($H$65,areaCercaPuntiClassificaSquadra,3,FALSE()),-2)),SUMIFS('Calendario G'!$Q$8:$Q$110,'Calendario G'!$M$8:$M$110,$H66,'Calendario G'!$T$8:$T$110,$H$65)+SUMIFS('Calendario G'!$X$8:$X$110,'Calendario G'!$T$8:$T$110,$H66,'Calendario G'!$M$8:$M$110,$H$65),"-")</f>
        <v>-</v>
      </c>
      <c r="AW66" s="14" t="str">
        <f aca="false">IF(AND($H66&lt;&gt;"",$H$66&lt;&gt;"",$H66&lt;&gt;$H$66,IFERROR(VLOOKUP($H66,areaCercaPuntiClassificaSquadra,3,FALSE()),-1)=IFERROR(VLOOKUP($H$66,areaCercaPuntiClassificaSquadra,3,FALSE()),-2)),SUMIFS('Calendario G'!$Q$8:$Q$110,'Calendario G'!$M$8:$M$110,$H66,'Calendario G'!$T$8:$T$110,$H$66)+SUMIFS('Calendario G'!$X$8:$X$110,'Calendario G'!$T$8:$T$110,$H66,'Calendario G'!$M$8:$M$110,$H$66),"-")</f>
        <v>-</v>
      </c>
      <c r="AX66" s="14" t="str">
        <f aca="false">IF(AND($H66&lt;&gt;"",$H$67&lt;&gt;"",$H66&lt;&gt;$H$67,IFERROR(VLOOKUP($H66,areaCercaPuntiClassificaSquadra,3,FALSE()),-1)=IFERROR(VLOOKUP($H$67,areaCercaPuntiClassificaSquadra,3,FALSE()),-2)),SUMIFS('Calendario G'!$Q$8:$Q$110,'Calendario G'!$M$8:$M$110,$H66,'Calendario G'!$T$8:$T$110,$H$67)+SUMIFS('Calendario G'!$X$8:$X$110,'Calendario G'!$T$8:$T$110,$H66,'Calendario G'!$M$8:$M$110,$H$67),"-")</f>
        <v>-</v>
      </c>
      <c r="AY66" s="13" t="str">
        <f aca="false">$C66</f>
        <v>Renne Rocambolesche-Renneopoli RE</v>
      </c>
      <c r="AZ66" s="14" t="str">
        <f aca="false">IF(AND($H66&lt;&gt;"",$H$60&lt;&gt;"",$H66&lt;&gt;$H$60,IFERROR(VLOOKUP($H66,areaCercaPuntiClassificaSquadra,3,FALSE()),-1)=IFERROR(VLOOKUP($H$60,areaCercaPuntiClassificaSquadra,3,FALSE()),-2)),SUMIFS('Calendario G'!$R$8:$R$110,'Calendario G'!$M$8:$M$110,$H66,'Calendario G'!$T$8:$T$110,$H$60)+SUMIFS('Calendario G'!$Y$8:$Y$110,'Calendario G'!$T$8:$T$110,$H66,'Calendario G'!$M$8:$M$110,$H$60),"-")</f>
        <v>-</v>
      </c>
      <c r="BA66" s="14" t="str">
        <f aca="false">IF(AND($H66&lt;&gt;"",$H$61&lt;&gt;"",$H66&lt;&gt;$H$61,IFERROR(VLOOKUP($H66,areaCercaPuntiClassificaSquadra,3,FALSE()),-1)=IFERROR(VLOOKUP($H$61,areaCercaPuntiClassificaSquadra,3,FALSE()),-2)),SUMIFS('Calendario G'!$R$8:$R$110,'Calendario G'!$M$8:$M$110,$H66,'Calendario G'!$T$8:$T$110,$H$61)+SUMIFS('Calendario G'!$Y$8:$Y$110,'Calendario G'!$T$8:$T$110,$H66,'Calendario G'!$M$8:$M$110,$H$61),"-")</f>
        <v>-</v>
      </c>
      <c r="BB66" s="14" t="str">
        <f aca="false">IF(AND($H66&lt;&gt;"",$H$62&lt;&gt;"",$H66&lt;&gt;$H$62,IFERROR(VLOOKUP($H66,areaCercaPuntiClassificaSquadra,3,FALSE()),-1)=IFERROR(VLOOKUP($H$62,areaCercaPuntiClassificaSquadra,3,FALSE()),-2)),SUMIFS('Calendario G'!$R$8:$R$110,'Calendario G'!$M$8:$M$110,$H66,'Calendario G'!$T$8:$T$110,$H$62)+SUMIFS('Calendario G'!$Y$8:$Y$110,'Calendario G'!$T$8:$T$110,$H66,'Calendario G'!$M$8:$M$110,$H$62),"-")</f>
        <v>-</v>
      </c>
      <c r="BC66" s="14" t="n">
        <f aca="false">IF(AND($H66&lt;&gt;"",$H$63&lt;&gt;"",$H66&lt;&gt;$H$63,IFERROR(VLOOKUP($H66,areaCercaPuntiClassificaSquadra,3,FALSE()),-1)=IFERROR(VLOOKUP($H$63,areaCercaPuntiClassificaSquadra,3,FALSE()),-2)),SUMIFS('Calendario G'!$R$8:$R$110,'Calendario G'!$M$8:$M$110,$H66,'Calendario G'!$T$8:$T$110,$H$63)+SUMIFS('Calendario G'!$Y$8:$Y$110,'Calendario G'!$T$8:$T$110,$H66,'Calendario G'!$M$8:$M$110,$H$63),"-")</f>
        <v>60</v>
      </c>
      <c r="BD66" s="14" t="str">
        <f aca="false">IF(AND($H66&lt;&gt;"",$H$64&lt;&gt;"",$H66&lt;&gt;$H$64,IFERROR(VLOOKUP($H66,areaCercaPuntiClassificaSquadra,3,FALSE()),-1)=IFERROR(VLOOKUP($H$64,areaCercaPuntiClassificaSquadra,3,FALSE()),-2)),SUMIFS('Calendario G'!$R$8:$R$110,'Calendario G'!$M$8:$M$110,$H66,'Calendario G'!$T$8:$T$110,$H$64)+SUMIFS('Calendario G'!$Y$8:$Y$110,'Calendario G'!$T$8:$T$110,$H66,'Calendario G'!$M$8:$M$110,$H$64),"-")</f>
        <v>-</v>
      </c>
      <c r="BE66" s="14" t="str">
        <f aca="false">IF(AND($H66&lt;&gt;"",$H$65&lt;&gt;"",$H66&lt;&gt;$H$65,IFERROR(VLOOKUP($H66,areaCercaPuntiClassificaSquadra,3,FALSE()),-1)=IFERROR(VLOOKUP($H$65,areaCercaPuntiClassificaSquadra,3,FALSE()),-2)),SUMIFS('Calendario G'!$R$8:$R$110,'Calendario G'!$M$8:$M$110,$H66,'Calendario G'!$T$8:$T$110,$H$65)+SUMIFS('Calendario G'!$Y$8:$Y$110,'Calendario G'!$T$8:$T$110,$H66,'Calendario G'!$M$8:$M$110,$H$65),"-")</f>
        <v>-</v>
      </c>
      <c r="BF66" s="14" t="str">
        <f aca="false">IF(AND($H66&lt;&gt;"",$H$66&lt;&gt;"",$H66&lt;&gt;$H$66,IFERROR(VLOOKUP($H66,areaCercaPuntiClassificaSquadra,3,FALSE()),-1)=IFERROR(VLOOKUP($H$66,areaCercaPuntiClassificaSquadra,3,FALSE()),-2)),SUMIFS('Calendario G'!$R$8:$R$110,'Calendario G'!$M$8:$M$110,$H66,'Calendario G'!$T$8:$T$110,$H$66)+SUMIFS('Calendario G'!$Y$8:$Y$110,'Calendario G'!$T$8:$T$110,$H66,'Calendario G'!$M$8:$M$110,$H$66),"-")</f>
        <v>-</v>
      </c>
      <c r="BG66" s="14" t="str">
        <f aca="false">IF(AND($H66&lt;&gt;"",$H$67&lt;&gt;"",$H66&lt;&gt;$H$67,IFERROR(VLOOKUP($H66,areaCercaPuntiClassificaSquadra,3,FALSE()),-1)=IFERROR(VLOOKUP($H$67,areaCercaPuntiClassificaSquadra,3,FALSE()),-2)),SUMIFS('Calendario G'!$R$8:$R$110,'Calendario G'!$M$8:$M$110,$H66,'Calendario G'!$T$8:$T$110,$H$67)+SUMIFS('Calendario G'!$Y$8:$Y$110,'Calendario G'!$T$8:$T$110,$H66,'Calendario G'!$M$8:$M$110,$H$67),"-")</f>
        <v>-</v>
      </c>
    </row>
    <row r="67" customFormat="false" ht="15" hidden="false" customHeight="false" outlineLevel="0" collapsed="false">
      <c r="B67" s="7" t="s">
        <v>164</v>
      </c>
      <c r="C67" s="8" t="s">
        <v>165</v>
      </c>
      <c r="D67" s="9"/>
      <c r="E67" s="25" t="s">
        <v>151</v>
      </c>
      <c r="G67" s="26" t="str">
        <f aca="false">IF($C67="","",$E67&amp;(COUNTIFS(I$12:I$75,"&gt;"&amp;I67,E$12:E$75,"="&amp;E67,C$12:C$75,"&lt;&gt;")+COUNTIFS(I$12:I$75,"="&amp;I67,H$12:H$75,"&lt;="&amp;H67,E$12:E$75,"="&amp;E67,C$12:C$75,"&lt;&gt;")))</f>
        <v>G2</v>
      </c>
      <c r="H67" s="12" t="str">
        <f aca="false">IF($C67="","",IFERROR(LEFT($C67,FIND("-",$C67)-1),$C67))</f>
        <v>Struzzi Strepitosi</v>
      </c>
      <c r="I67" s="7" t="str">
        <f aca="false">TEXT(1000000000+J67,"|0000000000|")&amp;TEXT(SUM(Y67:AF67),"0000000000|")&amp;IF(SUM(AZ67:BG67)=0,"0000000000|",TEXT(ROUND(SUM(AQ67:AX67)/SUM(AZ67:BG67),4)*100000,"0000000000|"))&amp;IF(P67=0,"0000000000|",TEXT(ROUND(O67/P67,4)*100000,"0000000000|"))</f>
        <v>|1000000019|0000000000|0000000000|0000123870|</v>
      </c>
      <c r="J67" s="26" t="n">
        <f aca="false">L67*constPuntiVittoria+M67*constPuntiSconfitta+N67*constPuntiForfait+IF(D67="",0,D67)</f>
        <v>19</v>
      </c>
      <c r="K67" s="7" t="n">
        <f aca="false">SUM(L67:N67)</f>
        <v>7</v>
      </c>
      <c r="L67" s="7" t="n">
        <f aca="false">IF($H67="",0,SUMIF('Calendario G'!$M$8:$M$110,$H67,'Calendario G'!$N$8:$N$110)+SUMIF('Calendario G'!$T$8:$T$110,$H67,'Calendario G'!$U$8:$U$110))</f>
        <v>6</v>
      </c>
      <c r="M67" s="7" t="n">
        <f aca="false">IF($H67="",0,SUMIF('Calendario G'!$M$8:$M$110,$H67,'Calendario G'!$P$8:$P$110)+SUMIF('Calendario G'!$T$8:$T$110,$H67,'Calendario G'!$W$8:$W$110))</f>
        <v>1</v>
      </c>
      <c r="N67" s="7" t="n">
        <f aca="false">IF($H67="",0,SUMIF('Calendario G'!$M$8:$M$110,$H67,'Calendario G'!$O$8:$O$110)+SUMIF('Calendario G'!$T$8:$T$110,$H67,'Calendario G'!$V$8:$V$110))</f>
        <v>0</v>
      </c>
      <c r="O67" s="7" t="n">
        <f aca="false">IF($H67="",0,SUMIF('Calendario G'!$M$8:$M$110,$H67,'Calendario G'!$Q$8:$Q$110)+SUMIF('Calendario G'!$T$8:$T$110,$H67,'Calendario G'!$X$8:$X$110))</f>
        <v>467</v>
      </c>
      <c r="P67" s="7" t="n">
        <f aca="false">IF($H67="",0,SUMIF('Calendario G'!$M$8:$M$110,$H67,'Calendario G'!$R$8:$R$110)+SUMIF('Calendario G'!$T$8:$T$110,$H67,'Calendario G'!$Y$8:$Y$110))</f>
        <v>377</v>
      </c>
      <c r="Q67" s="7" t="n">
        <f aca="false">IF($H67="",0,SUMIF('Calendario G'!$M$8:$M$110,$H67,'Calendario G'!$S$8:$S$110)+SUMIF('Calendario G'!$T$8:$T$110,$H67,'Calendario G'!$Z$8:$Z$110))</f>
        <v>90</v>
      </c>
      <c r="R67" s="7" t="n">
        <f aca="false">IF(K67=0,0,ROUND(O67/K67,2))</f>
        <v>66.71</v>
      </c>
      <c r="S67" s="7" t="n">
        <f aca="false">IF(K67=0,0,ROUND(P67/K67,2))</f>
        <v>53.86</v>
      </c>
      <c r="T67" s="7" t="n">
        <f aca="false">IF(K67=0,0,ROUND(Q67/K67,2))</f>
        <v>12.86</v>
      </c>
      <c r="U67" s="7" t="str">
        <f aca="false">IF(COUNT(Y67:AF67)=0,"-",SUM(Y67:AF67)&amp;"-"&amp;SUM(AH67:AO67))</f>
        <v>-</v>
      </c>
      <c r="V67" s="7" t="str">
        <f aca="false">IF(COUNT(Y67:AF67)=0,"-",IF(SUM(AZ67:BG67)=0,TEXT(0,"0.0000"),TEXT(ROUND(SUM(AQ67:AX67)/SUM(AZ67:BG67),4),"0.0000")))</f>
        <v>-</v>
      </c>
      <c r="W67" s="7" t="str">
        <f aca="false">IF(H67="","-",IF(P67=0,TEXT(0,"0.0000"),TEXT(ROUND(O67/P67,4),"0.0000")))</f>
        <v>1.2387</v>
      </c>
      <c r="X67" s="13" t="str">
        <f aca="false">$C67</f>
        <v>Struzzi Strepitosi-Struzziopoli SI</v>
      </c>
      <c r="Y67" s="14" t="str">
        <f aca="false">IF(AND($H67&lt;&gt;"",$H$60&lt;&gt;"",$H67&lt;&gt;$H$60,IFERROR(VLOOKUP($H67,areaCercaPuntiClassificaSquadra,3,FALSE()),-1)=IFERROR(VLOOKUP($H$60,areaCercaPuntiClassificaSquadra,3,FALSE()),-2)),SUMIFS('Calendario G'!$N$8:$N$110,'Calendario G'!$M$8:$M$110,$H67,'Calendario G'!$T$8:$T$110,$H$60)+SUMIFS('Calendario G'!$U$8:$U$110,'Calendario G'!$T$8:$T$110,$H67,'Calendario G'!$M$8:$M$110,$H$60),"-")</f>
        <v>-</v>
      </c>
      <c r="Z67" s="14" t="str">
        <f aca="false">IF(AND($H67&lt;&gt;"",$H$61&lt;&gt;"",$H67&lt;&gt;$H$61,IFERROR(VLOOKUP($H67,areaCercaPuntiClassificaSquadra,3,FALSE()),-1)=IFERROR(VLOOKUP($H$61,areaCercaPuntiClassificaSquadra,3,FALSE()),-2)),SUMIFS('Calendario G'!$N$8:$N$110,'Calendario G'!$M$8:$M$110,$H67,'Calendario G'!$T$8:$T$110,$H$61)+SUMIFS('Calendario G'!$U$8:$U$110,'Calendario G'!$T$8:$T$110,$H67,'Calendario G'!$M$8:$M$110,$H$61),"-")</f>
        <v>-</v>
      </c>
      <c r="AA67" s="14" t="str">
        <f aca="false">IF(AND($H67&lt;&gt;"",$H$62&lt;&gt;"",$H67&lt;&gt;$H$62,IFERROR(VLOOKUP($H67,areaCercaPuntiClassificaSquadra,3,FALSE()),-1)=IFERROR(VLOOKUP($H$62,areaCercaPuntiClassificaSquadra,3,FALSE()),-2)),SUMIFS('Calendario G'!$N$8:$N$110,'Calendario G'!$M$8:$M$110,$H67,'Calendario G'!$T$8:$T$110,$H$62)+SUMIFS('Calendario G'!$U$8:$U$110,'Calendario G'!$T$8:$T$110,$H67,'Calendario G'!$M$8:$M$110,$H$62),"-")</f>
        <v>-</v>
      </c>
      <c r="AB67" s="14" t="str">
        <f aca="false">IF(AND($H67&lt;&gt;"",$H$63&lt;&gt;"",$H67&lt;&gt;$H$63,IFERROR(VLOOKUP($H67,areaCercaPuntiClassificaSquadra,3,FALSE()),-1)=IFERROR(VLOOKUP($H$63,areaCercaPuntiClassificaSquadra,3,FALSE()),-2)),SUMIFS('Calendario G'!$N$8:$N$110,'Calendario G'!$M$8:$M$110,$H67,'Calendario G'!$T$8:$T$110,$H$63)+SUMIFS('Calendario G'!$U$8:$U$110,'Calendario G'!$T$8:$T$110,$H67,'Calendario G'!$M$8:$M$110,$H$63),"-")</f>
        <v>-</v>
      </c>
      <c r="AC67" s="14" t="str">
        <f aca="false">IF(AND($H67&lt;&gt;"",$H$64&lt;&gt;"",$H67&lt;&gt;$H$64,IFERROR(VLOOKUP($H67,areaCercaPuntiClassificaSquadra,3,FALSE()),-1)=IFERROR(VLOOKUP($H$64,areaCercaPuntiClassificaSquadra,3,FALSE()),-2)),SUMIFS('Calendario G'!$N$8:$N$110,'Calendario G'!$M$8:$M$110,$H67,'Calendario G'!$T$8:$T$110,$H$64)+SUMIFS('Calendario G'!$U$8:$U$110,'Calendario G'!$T$8:$T$110,$H67,'Calendario G'!$M$8:$M$110,$H$64),"-")</f>
        <v>-</v>
      </c>
      <c r="AD67" s="14" t="str">
        <f aca="false">IF(AND($H67&lt;&gt;"",$H$65&lt;&gt;"",$H67&lt;&gt;$H$65,IFERROR(VLOOKUP($H67,areaCercaPuntiClassificaSquadra,3,FALSE()),-1)=IFERROR(VLOOKUP($H$65,areaCercaPuntiClassificaSquadra,3,FALSE()),-2)),SUMIFS('Calendario G'!$N$8:$N$110,'Calendario G'!$M$8:$M$110,$H67,'Calendario G'!$T$8:$T$110,$H$65)+SUMIFS('Calendario G'!$U$8:$U$110,'Calendario G'!$T$8:$T$110,$H67,'Calendario G'!$M$8:$M$110,$H$65),"-")</f>
        <v>-</v>
      </c>
      <c r="AE67" s="14" t="str">
        <f aca="false">IF(AND($H67&lt;&gt;"",$H$66&lt;&gt;"",$H67&lt;&gt;$H$66,IFERROR(VLOOKUP($H67,areaCercaPuntiClassificaSquadra,3,FALSE()),-1)=IFERROR(VLOOKUP($H$66,areaCercaPuntiClassificaSquadra,3,FALSE()),-2)),SUMIFS('Calendario G'!$N$8:$N$110,'Calendario G'!$M$8:$M$110,$H67,'Calendario G'!$T$8:$T$110,$H$66)+SUMIFS('Calendario G'!$U$8:$U$110,'Calendario G'!$T$8:$T$110,$H67,'Calendario G'!$M$8:$M$110,$H$66),"-")</f>
        <v>-</v>
      </c>
      <c r="AF67" s="14" t="str">
        <f aca="false">IF(AND($H67&lt;&gt;"",$H$67&lt;&gt;"",$H67&lt;&gt;$H$67,IFERROR(VLOOKUP($H67,areaCercaPuntiClassificaSquadra,3,FALSE()),-1)=IFERROR(VLOOKUP($H$67,areaCercaPuntiClassificaSquadra,3,FALSE()),-2)),SUMIFS('Calendario G'!$N$8:$N$110,'Calendario G'!$M$8:$M$110,$H67,'Calendario G'!$T$8:$T$110,$H$67)+SUMIFS('Calendario G'!$U$8:$U$110,'Calendario G'!$T$8:$T$110,$H67,'Calendario G'!$M$8:$M$110,$H$67),"-")</f>
        <v>-</v>
      </c>
      <c r="AG67" s="13" t="str">
        <f aca="false">$C67</f>
        <v>Struzzi Strepitosi-Struzziopoli SI</v>
      </c>
      <c r="AH67" s="14" t="str">
        <f aca="false">IF(AND($H67&lt;&gt;"",$H$60&lt;&gt;"",$H67&lt;&gt;$H$60,IFERROR(VLOOKUP($H67,areaCercaPuntiClassificaSquadra,3,FALSE()),-1)=IFERROR(VLOOKUP($H$60,areaCercaPuntiClassificaSquadra,3,FALSE()),-2)),SUMIFS('Calendario G'!$P$8:$P$110,'Calendario G'!$M$8:$M$110,$H67,'Calendario G'!$T$8:$T$110,$H$60)+SUMIFS('Calendario G'!$W$8:$W$110,'Calendario G'!$T$8:$T$110,$H67,'Calendario G'!$M$8:$M$110,$H$60)+SUMIFS('Calendario G'!$O$8:$O$110,'Calendario G'!$M$8:$M$110,$H67,'Calendario G'!$T$8:$T$110,$H$60)+SUMIFS('Calendario G'!$V$8:$V$110,'Calendario G'!$T$8:$T$110,$H67,'Calendario G'!$M$8:$M$110,$H$60),"-")</f>
        <v>-</v>
      </c>
      <c r="AI67" s="14" t="str">
        <f aca="false">IF(AND($H67&lt;&gt;"",$H$61&lt;&gt;"",$H67&lt;&gt;$H$61,IFERROR(VLOOKUP($H67,areaCercaPuntiClassificaSquadra,3,FALSE()),-1)=IFERROR(VLOOKUP($H$61,areaCercaPuntiClassificaSquadra,3,FALSE()),-2)),SUMIFS('Calendario G'!$P$8:$P$110,'Calendario G'!$M$8:$M$110,$H67,'Calendario G'!$T$8:$T$110,$H$61)+SUMIFS('Calendario G'!$W$8:$W$110,'Calendario G'!$T$8:$T$110,$H67,'Calendario G'!$M$8:$M$110,$H$61)+SUMIFS('Calendario G'!$O$8:$O$110,'Calendario G'!$M$8:$M$110,$H67,'Calendario G'!$T$8:$T$110,$H$61)+SUMIFS('Calendario G'!$V$8:$V$110,'Calendario G'!$T$8:$T$110,$H67,'Calendario G'!$M$8:$M$110,$H$61),"-")</f>
        <v>-</v>
      </c>
      <c r="AJ67" s="14" t="str">
        <f aca="false">IF(AND($H67&lt;&gt;"",$H$62&lt;&gt;"",$H67&lt;&gt;$H$62,IFERROR(VLOOKUP($H67,areaCercaPuntiClassificaSquadra,3,FALSE()),-1)=IFERROR(VLOOKUP($H$62,areaCercaPuntiClassificaSquadra,3,FALSE()),-2)),SUMIFS('Calendario G'!$P$8:$P$110,'Calendario G'!$M$8:$M$110,$H67,'Calendario G'!$T$8:$T$110,$H$62)+SUMIFS('Calendario G'!$W$8:$W$110,'Calendario G'!$T$8:$T$110,$H67,'Calendario G'!$M$8:$M$110,$H$62)+SUMIFS('Calendario G'!$O$8:$O$110,'Calendario G'!$M$8:$M$110,$H67,'Calendario G'!$T$8:$T$110,$H$62)+SUMIFS('Calendario G'!$V$8:$V$110,'Calendario G'!$T$8:$T$110,$H67,'Calendario G'!$M$8:$M$110,$H$62),"-")</f>
        <v>-</v>
      </c>
      <c r="AK67" s="14" t="str">
        <f aca="false">IF(AND($H67&lt;&gt;"",$H$63&lt;&gt;"",$H67&lt;&gt;$H$63,IFERROR(VLOOKUP($H67,areaCercaPuntiClassificaSquadra,3,FALSE()),-1)=IFERROR(VLOOKUP($H$63,areaCercaPuntiClassificaSquadra,3,FALSE()),-2)),SUMIFS('Calendario G'!$P$8:$P$110,'Calendario G'!$M$8:$M$110,$H67,'Calendario G'!$T$8:$T$110,$H$63)+SUMIFS('Calendario G'!$W$8:$W$110,'Calendario G'!$T$8:$T$110,$H67,'Calendario G'!$M$8:$M$110,$H$63)+SUMIFS('Calendario G'!$O$8:$O$110,'Calendario G'!$M$8:$M$110,$H67,'Calendario G'!$T$8:$T$110,$H$63)+SUMIFS('Calendario G'!$V$8:$V$110,'Calendario G'!$T$8:$T$110,$H67,'Calendario G'!$M$8:$M$110,$H$63),"-")</f>
        <v>-</v>
      </c>
      <c r="AL67" s="14" t="str">
        <f aca="false">IF(AND($H67&lt;&gt;"",$H$64&lt;&gt;"",$H67&lt;&gt;$H$64,IFERROR(VLOOKUP($H67,areaCercaPuntiClassificaSquadra,3,FALSE()),-1)=IFERROR(VLOOKUP($H$64,areaCercaPuntiClassificaSquadra,3,FALSE()),-2)),SUMIFS('Calendario G'!$P$8:$P$110,'Calendario G'!$M$8:$M$110,$H67,'Calendario G'!$T$8:$T$110,$H$64)+SUMIFS('Calendario G'!$W$8:$W$110,'Calendario G'!$T$8:$T$110,$H67,'Calendario G'!$M$8:$M$110,$H$64)+SUMIFS('Calendario G'!$O$8:$O$110,'Calendario G'!$M$8:$M$110,$H67,'Calendario G'!$T$8:$T$110,$H$64)+SUMIFS('Calendario G'!$V$8:$V$110,'Calendario G'!$T$8:$T$110,$H67,'Calendario G'!$M$8:$M$110,$H$64),"-")</f>
        <v>-</v>
      </c>
      <c r="AM67" s="14" t="str">
        <f aca="false">IF(AND($H67&lt;&gt;"",$H$65&lt;&gt;"",$H67&lt;&gt;$H$65,IFERROR(VLOOKUP($H67,areaCercaPuntiClassificaSquadra,3,FALSE()),-1)=IFERROR(VLOOKUP($H$65,areaCercaPuntiClassificaSquadra,3,FALSE()),-2)),SUMIFS('Calendario G'!$P$8:$P$110,'Calendario G'!$M$8:$M$110,$H67,'Calendario G'!$T$8:$T$110,$H$65)+SUMIFS('Calendario G'!$W$8:$W$110,'Calendario G'!$T$8:$T$110,$H67,'Calendario G'!$M$8:$M$110,$H$65)+SUMIFS('Calendario G'!$O$8:$O$110,'Calendario G'!$M$8:$M$110,$H67,'Calendario G'!$T$8:$T$110,$H$65)+SUMIFS('Calendario G'!$V$8:$V$110,'Calendario G'!$T$8:$T$110,$H67,'Calendario G'!$M$8:$M$110,$H$65),"-")</f>
        <v>-</v>
      </c>
      <c r="AN67" s="14" t="str">
        <f aca="false">IF(AND($H67&lt;&gt;"",$H$66&lt;&gt;"",$H67&lt;&gt;$H$66,IFERROR(VLOOKUP($H67,areaCercaPuntiClassificaSquadra,3,FALSE()),-1)=IFERROR(VLOOKUP($H$66,areaCercaPuntiClassificaSquadra,3,FALSE()),-2)),SUMIFS('Calendario G'!$P$8:$P$110,'Calendario G'!$M$8:$M$110,$H67,'Calendario G'!$T$8:$T$110,$H$66)+SUMIFS('Calendario G'!$W$8:$W$110,'Calendario G'!$T$8:$T$110,$H67,'Calendario G'!$M$8:$M$110,$H$66)+SUMIFS('Calendario G'!$O$8:$O$110,'Calendario G'!$M$8:$M$110,$H67,'Calendario G'!$T$8:$T$110,$H$66)+SUMIFS('Calendario G'!$V$8:$V$110,'Calendario G'!$T$8:$T$110,$H67,'Calendario G'!$M$8:$M$110,$H$66),"-")</f>
        <v>-</v>
      </c>
      <c r="AO67" s="14" t="str">
        <f aca="false">IF(AND($H67&lt;&gt;"",$H$67&lt;&gt;"",$H67&lt;&gt;$H$67,IFERROR(VLOOKUP($H67,areaCercaPuntiClassificaSquadra,3,FALSE()),-1)=IFERROR(VLOOKUP($H$67,areaCercaPuntiClassificaSquadra,3,FALSE()),-2)),SUMIFS('Calendario G'!$P$8:$P$110,'Calendario G'!$M$8:$M$110,$H67,'Calendario G'!$T$8:$T$110,$H$67)+SUMIFS('Calendario G'!$W$8:$W$110,'Calendario G'!$T$8:$T$110,$H67,'Calendario G'!$M$8:$M$110,$H$67)+SUMIFS('Calendario G'!$O$8:$O$110,'Calendario G'!$M$8:$M$110,$H67,'Calendario G'!$T$8:$T$110,$H$67)+SUMIFS('Calendario G'!$V$8:$V$110,'Calendario G'!$T$8:$T$110,$H67,'Calendario G'!$M$8:$M$110,$H$67),"-")</f>
        <v>-</v>
      </c>
      <c r="AP67" s="13" t="str">
        <f aca="false">$C67</f>
        <v>Struzzi Strepitosi-Struzziopoli SI</v>
      </c>
      <c r="AQ67" s="14" t="str">
        <f aca="false">IF(AND($H67&lt;&gt;"",$H$60&lt;&gt;"",$H67&lt;&gt;$H$60,IFERROR(VLOOKUP($H67,areaCercaPuntiClassificaSquadra,3,FALSE()),-1)=IFERROR(VLOOKUP($H$60,areaCercaPuntiClassificaSquadra,3,FALSE()),-2)),SUMIFS('Calendario G'!$Q$8:$Q$110,'Calendario G'!$M$8:$M$110,$H67,'Calendario G'!$T$8:$T$110,$H$60)+SUMIFS('Calendario G'!$X$8:$X$110,'Calendario G'!$T$8:$T$110,$H67,'Calendario G'!$M$8:$M$110,$H$60),"-")</f>
        <v>-</v>
      </c>
      <c r="AR67" s="14" t="str">
        <f aca="false">IF(AND($H67&lt;&gt;"",$H$61&lt;&gt;"",$H67&lt;&gt;$H$61,IFERROR(VLOOKUP($H67,areaCercaPuntiClassificaSquadra,3,FALSE()),-1)=IFERROR(VLOOKUP($H$61,areaCercaPuntiClassificaSquadra,3,FALSE()),-2)),SUMIFS('Calendario G'!$Q$8:$Q$110,'Calendario G'!$M$8:$M$110,$H67,'Calendario G'!$T$8:$T$110,$H$61)+SUMIFS('Calendario G'!$X$8:$X$110,'Calendario G'!$T$8:$T$110,$H67,'Calendario G'!$M$8:$M$110,$H$61),"-")</f>
        <v>-</v>
      </c>
      <c r="AS67" s="14" t="str">
        <f aca="false">IF(AND($H67&lt;&gt;"",$H$62&lt;&gt;"",$H67&lt;&gt;$H$62,IFERROR(VLOOKUP($H67,areaCercaPuntiClassificaSquadra,3,FALSE()),-1)=IFERROR(VLOOKUP($H$62,areaCercaPuntiClassificaSquadra,3,FALSE()),-2)),SUMIFS('Calendario G'!$Q$8:$Q$110,'Calendario G'!$M$8:$M$110,$H67,'Calendario G'!$T$8:$T$110,$H$62)+SUMIFS('Calendario G'!$X$8:$X$110,'Calendario G'!$T$8:$T$110,$H67,'Calendario G'!$M$8:$M$110,$H$62),"-")</f>
        <v>-</v>
      </c>
      <c r="AT67" s="14" t="str">
        <f aca="false">IF(AND($H67&lt;&gt;"",$H$63&lt;&gt;"",$H67&lt;&gt;$H$63,IFERROR(VLOOKUP($H67,areaCercaPuntiClassificaSquadra,3,FALSE()),-1)=IFERROR(VLOOKUP($H$63,areaCercaPuntiClassificaSquadra,3,FALSE()),-2)),SUMIFS('Calendario G'!$Q$8:$Q$110,'Calendario G'!$M$8:$M$110,$H67,'Calendario G'!$T$8:$T$110,$H$63)+SUMIFS('Calendario G'!$X$8:$X$110,'Calendario G'!$T$8:$T$110,$H67,'Calendario G'!$M$8:$M$110,$H$63),"-")</f>
        <v>-</v>
      </c>
      <c r="AU67" s="14" t="str">
        <f aca="false">IF(AND($H67&lt;&gt;"",$H$64&lt;&gt;"",$H67&lt;&gt;$H$64,IFERROR(VLOOKUP($H67,areaCercaPuntiClassificaSquadra,3,FALSE()),-1)=IFERROR(VLOOKUP($H$64,areaCercaPuntiClassificaSquadra,3,FALSE()),-2)),SUMIFS('Calendario G'!$Q$8:$Q$110,'Calendario G'!$M$8:$M$110,$H67,'Calendario G'!$T$8:$T$110,$H$64)+SUMIFS('Calendario G'!$X$8:$X$110,'Calendario G'!$T$8:$T$110,$H67,'Calendario G'!$M$8:$M$110,$H$64),"-")</f>
        <v>-</v>
      </c>
      <c r="AV67" s="14" t="str">
        <f aca="false">IF(AND($H67&lt;&gt;"",$H$65&lt;&gt;"",$H67&lt;&gt;$H$65,IFERROR(VLOOKUP($H67,areaCercaPuntiClassificaSquadra,3,FALSE()),-1)=IFERROR(VLOOKUP($H$65,areaCercaPuntiClassificaSquadra,3,FALSE()),-2)),SUMIFS('Calendario G'!$Q$8:$Q$110,'Calendario G'!$M$8:$M$110,$H67,'Calendario G'!$T$8:$T$110,$H$65)+SUMIFS('Calendario G'!$X$8:$X$110,'Calendario G'!$T$8:$T$110,$H67,'Calendario G'!$M$8:$M$110,$H$65),"-")</f>
        <v>-</v>
      </c>
      <c r="AW67" s="14" t="str">
        <f aca="false">IF(AND($H67&lt;&gt;"",$H$66&lt;&gt;"",$H67&lt;&gt;$H$66,IFERROR(VLOOKUP($H67,areaCercaPuntiClassificaSquadra,3,FALSE()),-1)=IFERROR(VLOOKUP($H$66,areaCercaPuntiClassificaSquadra,3,FALSE()),-2)),SUMIFS('Calendario G'!$Q$8:$Q$110,'Calendario G'!$M$8:$M$110,$H67,'Calendario G'!$T$8:$T$110,$H$66)+SUMIFS('Calendario G'!$X$8:$X$110,'Calendario G'!$T$8:$T$110,$H67,'Calendario G'!$M$8:$M$110,$H$66),"-")</f>
        <v>-</v>
      </c>
      <c r="AX67" s="14" t="str">
        <f aca="false">IF(AND($H67&lt;&gt;"",$H$67&lt;&gt;"",$H67&lt;&gt;$H$67,IFERROR(VLOOKUP($H67,areaCercaPuntiClassificaSquadra,3,FALSE()),-1)=IFERROR(VLOOKUP($H$67,areaCercaPuntiClassificaSquadra,3,FALSE()),-2)),SUMIFS('Calendario G'!$Q$8:$Q$110,'Calendario G'!$M$8:$M$110,$H67,'Calendario G'!$T$8:$T$110,$H$67)+SUMIFS('Calendario G'!$X$8:$X$110,'Calendario G'!$T$8:$T$110,$H67,'Calendario G'!$M$8:$M$110,$H$67),"-")</f>
        <v>-</v>
      </c>
      <c r="AY67" s="13" t="str">
        <f aca="false">$C67</f>
        <v>Struzzi Strepitosi-Struzziopoli SI</v>
      </c>
      <c r="AZ67" s="14" t="str">
        <f aca="false">IF(AND($H67&lt;&gt;"",$H$60&lt;&gt;"",$H67&lt;&gt;$H$60,IFERROR(VLOOKUP($H67,areaCercaPuntiClassificaSquadra,3,FALSE()),-1)=IFERROR(VLOOKUP($H$60,areaCercaPuntiClassificaSquadra,3,FALSE()),-2)),SUMIFS('Calendario G'!$R$8:$R$110,'Calendario G'!$M$8:$M$110,$H67,'Calendario G'!$T$8:$T$110,$H$60)+SUMIFS('Calendario G'!$Y$8:$Y$110,'Calendario G'!$T$8:$T$110,$H67,'Calendario G'!$M$8:$M$110,$H$60),"-")</f>
        <v>-</v>
      </c>
      <c r="BA67" s="14" t="str">
        <f aca="false">IF(AND($H67&lt;&gt;"",$H$61&lt;&gt;"",$H67&lt;&gt;$H$61,IFERROR(VLOOKUP($H67,areaCercaPuntiClassificaSquadra,3,FALSE()),-1)=IFERROR(VLOOKUP($H$61,areaCercaPuntiClassificaSquadra,3,FALSE()),-2)),SUMIFS('Calendario G'!$R$8:$R$110,'Calendario G'!$M$8:$M$110,$H67,'Calendario G'!$T$8:$T$110,$H$61)+SUMIFS('Calendario G'!$Y$8:$Y$110,'Calendario G'!$T$8:$T$110,$H67,'Calendario G'!$M$8:$M$110,$H$61),"-")</f>
        <v>-</v>
      </c>
      <c r="BB67" s="14" t="str">
        <f aca="false">IF(AND($H67&lt;&gt;"",$H$62&lt;&gt;"",$H67&lt;&gt;$H$62,IFERROR(VLOOKUP($H67,areaCercaPuntiClassificaSquadra,3,FALSE()),-1)=IFERROR(VLOOKUP($H$62,areaCercaPuntiClassificaSquadra,3,FALSE()),-2)),SUMIFS('Calendario G'!$R$8:$R$110,'Calendario G'!$M$8:$M$110,$H67,'Calendario G'!$T$8:$T$110,$H$62)+SUMIFS('Calendario G'!$Y$8:$Y$110,'Calendario G'!$T$8:$T$110,$H67,'Calendario G'!$M$8:$M$110,$H$62),"-")</f>
        <v>-</v>
      </c>
      <c r="BC67" s="14" t="str">
        <f aca="false">IF(AND($H67&lt;&gt;"",$H$63&lt;&gt;"",$H67&lt;&gt;$H$63,IFERROR(VLOOKUP($H67,areaCercaPuntiClassificaSquadra,3,FALSE()),-1)=IFERROR(VLOOKUP($H$63,areaCercaPuntiClassificaSquadra,3,FALSE()),-2)),SUMIFS('Calendario G'!$R$8:$R$110,'Calendario G'!$M$8:$M$110,$H67,'Calendario G'!$T$8:$T$110,$H$63)+SUMIFS('Calendario G'!$Y$8:$Y$110,'Calendario G'!$T$8:$T$110,$H67,'Calendario G'!$M$8:$M$110,$H$63),"-")</f>
        <v>-</v>
      </c>
      <c r="BD67" s="14" t="str">
        <f aca="false">IF(AND($H67&lt;&gt;"",$H$64&lt;&gt;"",$H67&lt;&gt;$H$64,IFERROR(VLOOKUP($H67,areaCercaPuntiClassificaSquadra,3,FALSE()),-1)=IFERROR(VLOOKUP($H$64,areaCercaPuntiClassificaSquadra,3,FALSE()),-2)),SUMIFS('Calendario G'!$R$8:$R$110,'Calendario G'!$M$8:$M$110,$H67,'Calendario G'!$T$8:$T$110,$H$64)+SUMIFS('Calendario G'!$Y$8:$Y$110,'Calendario G'!$T$8:$T$110,$H67,'Calendario G'!$M$8:$M$110,$H$64),"-")</f>
        <v>-</v>
      </c>
      <c r="BE67" s="14" t="str">
        <f aca="false">IF(AND($H67&lt;&gt;"",$H$65&lt;&gt;"",$H67&lt;&gt;$H$65,IFERROR(VLOOKUP($H67,areaCercaPuntiClassificaSquadra,3,FALSE()),-1)=IFERROR(VLOOKUP($H$65,areaCercaPuntiClassificaSquadra,3,FALSE()),-2)),SUMIFS('Calendario G'!$R$8:$R$110,'Calendario G'!$M$8:$M$110,$H67,'Calendario G'!$T$8:$T$110,$H$65)+SUMIFS('Calendario G'!$Y$8:$Y$110,'Calendario G'!$T$8:$T$110,$H67,'Calendario G'!$M$8:$M$110,$H$65),"-")</f>
        <v>-</v>
      </c>
      <c r="BF67" s="14" t="str">
        <f aca="false">IF(AND($H67&lt;&gt;"",$H$66&lt;&gt;"",$H67&lt;&gt;$H$66,IFERROR(VLOOKUP($H67,areaCercaPuntiClassificaSquadra,3,FALSE()),-1)=IFERROR(VLOOKUP($H$66,areaCercaPuntiClassificaSquadra,3,FALSE()),-2)),SUMIFS('Calendario G'!$R$8:$R$110,'Calendario G'!$M$8:$M$110,$H67,'Calendario G'!$T$8:$T$110,$H$66)+SUMIFS('Calendario G'!$Y$8:$Y$110,'Calendario G'!$T$8:$T$110,$H67,'Calendario G'!$M$8:$M$110,$H$66),"-")</f>
        <v>-</v>
      </c>
      <c r="BG67" s="14" t="str">
        <f aca="false">IF(AND($H67&lt;&gt;"",$H$67&lt;&gt;"",$H67&lt;&gt;$H$67,IFERROR(VLOOKUP($H67,areaCercaPuntiClassificaSquadra,3,FALSE()),-1)=IFERROR(VLOOKUP($H$67,areaCercaPuntiClassificaSquadra,3,FALSE()),-2)),SUMIFS('Calendario G'!$R$8:$R$110,'Calendario G'!$M$8:$M$110,$H67,'Calendario G'!$T$8:$T$110,$H$67)+SUMIFS('Calendario G'!$Y$8:$Y$110,'Calendario G'!$T$8:$T$110,$H67,'Calendario G'!$M$8:$M$110,$H$67),"-")</f>
        <v>-</v>
      </c>
    </row>
    <row r="68" customFormat="false" ht="15" hidden="false" customHeight="false" outlineLevel="0" collapsed="false">
      <c r="B68" s="7" t="s">
        <v>166</v>
      </c>
      <c r="C68" s="8" t="s">
        <v>167</v>
      </c>
      <c r="D68" s="9"/>
      <c r="E68" s="27" t="s">
        <v>168</v>
      </c>
      <c r="G68" s="28" t="str">
        <f aca="false">IF($C68="","",$E68&amp;(COUNTIFS(I$12:I$75,"&gt;"&amp;I68,E$12:E$75,"="&amp;E68,C$12:C$75,"&lt;&gt;")+COUNTIFS(I$12:I$75,"="&amp;I68,H$12:H$75,"&lt;="&amp;H68,E$12:E$75,"="&amp;E68,C$12:C$75,"&lt;&gt;")))</f>
        <v>H3</v>
      </c>
      <c r="H68" s="12" t="str">
        <f aca="false">IF($C68="","",IFERROR(LEFT($C68,FIND("-",$C68)-1),$C68))</f>
        <v>Tartarughe Testarde</v>
      </c>
      <c r="I68" s="7" t="str">
        <f aca="false">TEXT(1000000000+J68,"|0000000000|")&amp;TEXT(SUM(Y68:AF68),"0000000000|")&amp;IF(SUM(AZ68:BG68)=0,"0000000000|",TEXT(ROUND(SUM(AQ68:AX68)/SUM(AZ68:BG68),4)*100000,"0000000000|"))&amp;IF(P68=0,"0000000000|",TEXT(ROUND(O68/P68,4)*100000,"0000000000|"))</f>
        <v>|1000000017|0000000000|0000000000|0000122890|</v>
      </c>
      <c r="J68" s="28" t="n">
        <f aca="false">L68*constPuntiVittoria+M68*constPuntiSconfitta+N68*constPuntiForfait+IF(D68="",0,D68)</f>
        <v>17</v>
      </c>
      <c r="K68" s="7" t="n">
        <f aca="false">SUM(L68:N68)</f>
        <v>7</v>
      </c>
      <c r="L68" s="7" t="n">
        <f aca="false">IF($H68="",0,SUMIF('Calendario H'!$M$8:$M$110,$H68,'Calendario H'!$N$8:$N$110)+SUMIF('Calendario H'!$T$8:$T$110,$H68,'Calendario H'!$U$8:$U$110))</f>
        <v>5</v>
      </c>
      <c r="M68" s="7" t="n">
        <f aca="false">IF($H68="",0,SUMIF('Calendario H'!$M$8:$M$110,$H68,'Calendario H'!$P$8:$P$110)+SUMIF('Calendario H'!$T$8:$T$110,$H68,'Calendario H'!$W$8:$W$110))</f>
        <v>2</v>
      </c>
      <c r="N68" s="7" t="n">
        <f aca="false">IF($H68="",0,SUMIF('Calendario H'!$M$8:$M$110,$H68,'Calendario H'!$O$8:$O$110)+SUMIF('Calendario H'!$T$8:$T$110,$H68,'Calendario H'!$V$8:$V$110))</f>
        <v>0</v>
      </c>
      <c r="O68" s="7" t="n">
        <f aca="false">IF($H68="",0,SUMIF('Calendario H'!$M$8:$M$110,$H68,'Calendario H'!$Q$8:$Q$110)+SUMIF('Calendario H'!$T$8:$T$110,$H68,'Calendario H'!$X$8:$X$110))</f>
        <v>467</v>
      </c>
      <c r="P68" s="7" t="n">
        <f aca="false">IF($H68="",0,SUMIF('Calendario H'!$M$8:$M$110,$H68,'Calendario H'!$R$8:$R$110)+SUMIF('Calendario H'!$T$8:$T$110,$H68,'Calendario H'!$Y$8:$Y$110))</f>
        <v>380</v>
      </c>
      <c r="Q68" s="7" t="n">
        <f aca="false">IF($H68="",0,SUMIF('Calendario H'!$M$8:$M$110,$H68,'Calendario H'!$S$8:$S$110)+SUMIF('Calendario H'!$T$8:$T$110,$H68,'Calendario H'!$Z$8:$Z$110))</f>
        <v>87</v>
      </c>
      <c r="R68" s="7" t="n">
        <f aca="false">IF(K68=0,0,ROUND(O68/K68,2))</f>
        <v>66.71</v>
      </c>
      <c r="S68" s="7" t="n">
        <f aca="false">IF(K68=0,0,ROUND(P68/K68,2))</f>
        <v>54.29</v>
      </c>
      <c r="T68" s="7" t="n">
        <f aca="false">IF(K68=0,0,ROUND(Q68/K68,2))</f>
        <v>12.43</v>
      </c>
      <c r="U68" s="7" t="str">
        <f aca="false">IF(COUNT(Y68:AF68)=0,"-",SUM(Y68:AF68)&amp;"-"&amp;SUM(AH68:AO68))</f>
        <v>-</v>
      </c>
      <c r="V68" s="7" t="str">
        <f aca="false">IF(COUNT(Y68:AF68)=0,"-",IF(SUM(AZ68:BG68)=0,TEXT(0,"0.0000"),TEXT(ROUND(SUM(AQ68:AX68)/SUM(AZ68:BG68),4),"0.0000")))</f>
        <v>-</v>
      </c>
      <c r="W68" s="7" t="str">
        <f aca="false">IF(H68="","-",IF(P68=0,TEXT(0,"0.0000"),TEXT(ROUND(O68/P68,4),"0.0000")))</f>
        <v>1.2289</v>
      </c>
      <c r="X68" s="13" t="str">
        <f aca="false">$C68</f>
        <v>Tartarughe Testarde-Tartarugheopoli TE</v>
      </c>
      <c r="Y68" s="14" t="str">
        <f aca="false">IF(AND($H68&lt;&gt;"",$H$68&lt;&gt;"",$H68&lt;&gt;$H$68,IFERROR(VLOOKUP($H68,areaCercaPuntiClassificaSquadra,3,FALSE()),-1)=IFERROR(VLOOKUP($H$68,areaCercaPuntiClassificaSquadra,3,FALSE()),-2)),SUMIFS('Calendario H'!$N$8:$N$110,'Calendario H'!$M$8:$M$110,$H68,'Calendario H'!$T$8:$T$110,$H$68)+SUMIFS('Calendario H'!$U$8:$U$110,'Calendario H'!$T$8:$T$110,$H68,'Calendario H'!$M$8:$M$110,$H$68),"-")</f>
        <v>-</v>
      </c>
      <c r="Z68" s="14" t="str">
        <f aca="false">IF(AND($H68&lt;&gt;"",$H$69&lt;&gt;"",$H68&lt;&gt;$H$69,IFERROR(VLOOKUP($H68,areaCercaPuntiClassificaSquadra,3,FALSE()),-1)=IFERROR(VLOOKUP($H$69,areaCercaPuntiClassificaSquadra,3,FALSE()),-2)),SUMIFS('Calendario H'!$N$8:$N$110,'Calendario H'!$M$8:$M$110,$H68,'Calendario H'!$T$8:$T$110,$H$69)+SUMIFS('Calendario H'!$U$8:$U$110,'Calendario H'!$T$8:$T$110,$H68,'Calendario H'!$M$8:$M$110,$H$69),"-")</f>
        <v>-</v>
      </c>
      <c r="AA68" s="14" t="str">
        <f aca="false">IF(AND($H68&lt;&gt;"",$H$70&lt;&gt;"",$H68&lt;&gt;$H$70,IFERROR(VLOOKUP($H68,areaCercaPuntiClassificaSquadra,3,FALSE()),-1)=IFERROR(VLOOKUP($H$70,areaCercaPuntiClassificaSquadra,3,FALSE()),-2)),SUMIFS('Calendario H'!$N$8:$N$110,'Calendario H'!$M$8:$M$110,$H68,'Calendario H'!$T$8:$T$110,$H$70)+SUMIFS('Calendario H'!$U$8:$U$110,'Calendario H'!$T$8:$T$110,$H68,'Calendario H'!$M$8:$M$110,$H$70),"-")</f>
        <v>-</v>
      </c>
      <c r="AB68" s="14" t="str">
        <f aca="false">IF(AND($H68&lt;&gt;"",$H$71&lt;&gt;"",$H68&lt;&gt;$H$71,IFERROR(VLOOKUP($H68,areaCercaPuntiClassificaSquadra,3,FALSE()),-1)=IFERROR(VLOOKUP($H$71,areaCercaPuntiClassificaSquadra,3,FALSE()),-2)),SUMIFS('Calendario H'!$N$8:$N$110,'Calendario H'!$M$8:$M$110,$H68,'Calendario H'!$T$8:$T$110,$H$71)+SUMIFS('Calendario H'!$U$8:$U$110,'Calendario H'!$T$8:$T$110,$H68,'Calendario H'!$M$8:$M$110,$H$71),"-")</f>
        <v>-</v>
      </c>
      <c r="AC68" s="14" t="str">
        <f aca="false">IF(AND($H68&lt;&gt;"",$H$72&lt;&gt;"",$H68&lt;&gt;$H$72,IFERROR(VLOOKUP($H68,areaCercaPuntiClassificaSquadra,3,FALSE()),-1)=IFERROR(VLOOKUP($H$72,areaCercaPuntiClassificaSquadra,3,FALSE()),-2)),SUMIFS('Calendario H'!$N$8:$N$110,'Calendario H'!$M$8:$M$110,$H68,'Calendario H'!$T$8:$T$110,$H$72)+SUMIFS('Calendario H'!$U$8:$U$110,'Calendario H'!$T$8:$T$110,$H68,'Calendario H'!$M$8:$M$110,$H$72),"-")</f>
        <v>-</v>
      </c>
      <c r="AD68" s="14" t="str">
        <f aca="false">IF(AND($H68&lt;&gt;"",$H$73&lt;&gt;"",$H68&lt;&gt;$H$73,IFERROR(VLOOKUP($H68,areaCercaPuntiClassificaSquadra,3,FALSE()),-1)=IFERROR(VLOOKUP($H$73,areaCercaPuntiClassificaSquadra,3,FALSE()),-2)),SUMIFS('Calendario H'!$N$8:$N$110,'Calendario H'!$M$8:$M$110,$H68,'Calendario H'!$T$8:$T$110,$H$73)+SUMIFS('Calendario H'!$U$8:$U$110,'Calendario H'!$T$8:$T$110,$H68,'Calendario H'!$M$8:$M$110,$H$73),"-")</f>
        <v>-</v>
      </c>
      <c r="AE68" s="14" t="str">
        <f aca="false">IF(AND($H68&lt;&gt;"",$H$74&lt;&gt;"",$H68&lt;&gt;$H$74,IFERROR(VLOOKUP($H68,areaCercaPuntiClassificaSquadra,3,FALSE()),-1)=IFERROR(VLOOKUP($H$74,areaCercaPuntiClassificaSquadra,3,FALSE()),-2)),SUMIFS('Calendario H'!$N$8:$N$110,'Calendario H'!$M$8:$M$110,$H68,'Calendario H'!$T$8:$T$110,$H$74)+SUMIFS('Calendario H'!$U$8:$U$110,'Calendario H'!$T$8:$T$110,$H68,'Calendario H'!$M$8:$M$110,$H$74),"-")</f>
        <v>-</v>
      </c>
      <c r="AF68" s="14" t="str">
        <f aca="false">IF(AND($H68&lt;&gt;"",$H$75&lt;&gt;"",$H68&lt;&gt;$H$75,IFERROR(VLOOKUP($H68,areaCercaPuntiClassificaSquadra,3,FALSE()),-1)=IFERROR(VLOOKUP($H$75,areaCercaPuntiClassificaSquadra,3,FALSE()),-2)),SUMIFS('Calendario H'!$N$8:$N$110,'Calendario H'!$M$8:$M$110,$H68,'Calendario H'!$T$8:$T$110,$H$75)+SUMIFS('Calendario H'!$U$8:$U$110,'Calendario H'!$T$8:$T$110,$H68,'Calendario H'!$M$8:$M$110,$H$75),"-")</f>
        <v>-</v>
      </c>
      <c r="AG68" s="13" t="str">
        <f aca="false">$C68</f>
        <v>Tartarughe Testarde-Tartarugheopoli TE</v>
      </c>
      <c r="AH68" s="14" t="str">
        <f aca="false">IF(AND($H68&lt;&gt;"",$H$68&lt;&gt;"",$H68&lt;&gt;$H$68,IFERROR(VLOOKUP($H68,areaCercaPuntiClassificaSquadra,3,FALSE()),-1)=IFERROR(VLOOKUP($H$68,areaCercaPuntiClassificaSquadra,3,FALSE()),-2)),SUMIFS('Calendario H'!$P$8:$P$110,'Calendario H'!$M$8:$M$110,$H68,'Calendario H'!$T$8:$T$110,$H$68)+SUMIFS('Calendario H'!$W$8:$W$110,'Calendario H'!$T$8:$T$110,$H68,'Calendario H'!$M$8:$M$110,$H$68)+SUMIFS('Calendario H'!$O$8:$O$110,'Calendario H'!$M$8:$M$110,$H68,'Calendario H'!$T$8:$T$110,$H$68)+SUMIFS('Calendario H'!$V$8:$V$110,'Calendario H'!$T$8:$T$110,$H68,'Calendario H'!$M$8:$M$110,$H$68),"-")</f>
        <v>-</v>
      </c>
      <c r="AI68" s="14" t="str">
        <f aca="false">IF(AND($H68&lt;&gt;"",$H$69&lt;&gt;"",$H68&lt;&gt;$H$69,IFERROR(VLOOKUP($H68,areaCercaPuntiClassificaSquadra,3,FALSE()),-1)=IFERROR(VLOOKUP($H$69,areaCercaPuntiClassificaSquadra,3,FALSE()),-2)),SUMIFS('Calendario H'!$P$8:$P$110,'Calendario H'!$M$8:$M$110,$H68,'Calendario H'!$T$8:$T$110,$H$69)+SUMIFS('Calendario H'!$W$8:$W$110,'Calendario H'!$T$8:$T$110,$H68,'Calendario H'!$M$8:$M$110,$H$69)+SUMIFS('Calendario H'!$O$8:$O$110,'Calendario H'!$M$8:$M$110,$H68,'Calendario H'!$T$8:$T$110,$H$69)+SUMIFS('Calendario H'!$V$8:$V$110,'Calendario H'!$T$8:$T$110,$H68,'Calendario H'!$M$8:$M$110,$H$69),"-")</f>
        <v>-</v>
      </c>
      <c r="AJ68" s="14" t="str">
        <f aca="false">IF(AND($H68&lt;&gt;"",$H$70&lt;&gt;"",$H68&lt;&gt;$H$70,IFERROR(VLOOKUP($H68,areaCercaPuntiClassificaSquadra,3,FALSE()),-1)=IFERROR(VLOOKUP($H$70,areaCercaPuntiClassificaSquadra,3,FALSE()),-2)),SUMIFS('Calendario H'!$P$8:$P$110,'Calendario H'!$M$8:$M$110,$H68,'Calendario H'!$T$8:$T$110,$H$70)+SUMIFS('Calendario H'!$W$8:$W$110,'Calendario H'!$T$8:$T$110,$H68,'Calendario H'!$M$8:$M$110,$H$70)+SUMIFS('Calendario H'!$O$8:$O$110,'Calendario H'!$M$8:$M$110,$H68,'Calendario H'!$T$8:$T$110,$H$70)+SUMIFS('Calendario H'!$V$8:$V$110,'Calendario H'!$T$8:$T$110,$H68,'Calendario H'!$M$8:$M$110,$H$70),"-")</f>
        <v>-</v>
      </c>
      <c r="AK68" s="14" t="str">
        <f aca="false">IF(AND($H68&lt;&gt;"",$H$71&lt;&gt;"",$H68&lt;&gt;$H$71,IFERROR(VLOOKUP($H68,areaCercaPuntiClassificaSquadra,3,FALSE()),-1)=IFERROR(VLOOKUP($H$71,areaCercaPuntiClassificaSquadra,3,FALSE()),-2)),SUMIFS('Calendario H'!$P$8:$P$110,'Calendario H'!$M$8:$M$110,$H68,'Calendario H'!$T$8:$T$110,$H$71)+SUMIFS('Calendario H'!$W$8:$W$110,'Calendario H'!$T$8:$T$110,$H68,'Calendario H'!$M$8:$M$110,$H$71)+SUMIFS('Calendario H'!$O$8:$O$110,'Calendario H'!$M$8:$M$110,$H68,'Calendario H'!$T$8:$T$110,$H$71)+SUMIFS('Calendario H'!$V$8:$V$110,'Calendario H'!$T$8:$T$110,$H68,'Calendario H'!$M$8:$M$110,$H$71),"-")</f>
        <v>-</v>
      </c>
      <c r="AL68" s="14" t="str">
        <f aca="false">IF(AND($H68&lt;&gt;"",$H$72&lt;&gt;"",$H68&lt;&gt;$H$72,IFERROR(VLOOKUP($H68,areaCercaPuntiClassificaSquadra,3,FALSE()),-1)=IFERROR(VLOOKUP($H$72,areaCercaPuntiClassificaSquadra,3,FALSE()),-2)),SUMIFS('Calendario H'!$P$8:$P$110,'Calendario H'!$M$8:$M$110,$H68,'Calendario H'!$T$8:$T$110,$H$72)+SUMIFS('Calendario H'!$W$8:$W$110,'Calendario H'!$T$8:$T$110,$H68,'Calendario H'!$M$8:$M$110,$H$72)+SUMIFS('Calendario H'!$O$8:$O$110,'Calendario H'!$M$8:$M$110,$H68,'Calendario H'!$T$8:$T$110,$H$72)+SUMIFS('Calendario H'!$V$8:$V$110,'Calendario H'!$T$8:$T$110,$H68,'Calendario H'!$M$8:$M$110,$H$72),"-")</f>
        <v>-</v>
      </c>
      <c r="AM68" s="14" t="str">
        <f aca="false">IF(AND($H68&lt;&gt;"",$H$73&lt;&gt;"",$H68&lt;&gt;$H$73,IFERROR(VLOOKUP($H68,areaCercaPuntiClassificaSquadra,3,FALSE()),-1)=IFERROR(VLOOKUP($H$73,areaCercaPuntiClassificaSquadra,3,FALSE()),-2)),SUMIFS('Calendario H'!$P$8:$P$110,'Calendario H'!$M$8:$M$110,$H68,'Calendario H'!$T$8:$T$110,$H$73)+SUMIFS('Calendario H'!$W$8:$W$110,'Calendario H'!$T$8:$T$110,$H68,'Calendario H'!$M$8:$M$110,$H$73)+SUMIFS('Calendario H'!$O$8:$O$110,'Calendario H'!$M$8:$M$110,$H68,'Calendario H'!$T$8:$T$110,$H$73)+SUMIFS('Calendario H'!$V$8:$V$110,'Calendario H'!$T$8:$T$110,$H68,'Calendario H'!$M$8:$M$110,$H$73),"-")</f>
        <v>-</v>
      </c>
      <c r="AN68" s="14" t="str">
        <f aca="false">IF(AND($H68&lt;&gt;"",$H$74&lt;&gt;"",$H68&lt;&gt;$H$74,IFERROR(VLOOKUP($H68,areaCercaPuntiClassificaSquadra,3,FALSE()),-1)=IFERROR(VLOOKUP($H$74,areaCercaPuntiClassificaSquadra,3,FALSE()),-2)),SUMIFS('Calendario H'!$P$8:$P$110,'Calendario H'!$M$8:$M$110,$H68,'Calendario H'!$T$8:$T$110,$H$74)+SUMIFS('Calendario H'!$W$8:$W$110,'Calendario H'!$T$8:$T$110,$H68,'Calendario H'!$M$8:$M$110,$H$74)+SUMIFS('Calendario H'!$O$8:$O$110,'Calendario H'!$M$8:$M$110,$H68,'Calendario H'!$T$8:$T$110,$H$74)+SUMIFS('Calendario H'!$V$8:$V$110,'Calendario H'!$T$8:$T$110,$H68,'Calendario H'!$M$8:$M$110,$H$74),"-")</f>
        <v>-</v>
      </c>
      <c r="AO68" s="14" t="str">
        <f aca="false">IF(AND($H68&lt;&gt;"",$H$75&lt;&gt;"",$H68&lt;&gt;$H$75,IFERROR(VLOOKUP($H68,areaCercaPuntiClassificaSquadra,3,FALSE()),-1)=IFERROR(VLOOKUP($H$75,areaCercaPuntiClassificaSquadra,3,FALSE()),-2)),SUMIFS('Calendario H'!$P$8:$P$110,'Calendario H'!$M$8:$M$110,$H68,'Calendario H'!$T$8:$T$110,$H$75)+SUMIFS('Calendario H'!$W$8:$W$110,'Calendario H'!$T$8:$T$110,$H68,'Calendario H'!$M$8:$M$110,$H$75)+SUMIFS('Calendario H'!$O$8:$O$110,'Calendario H'!$M$8:$M$110,$H68,'Calendario H'!$T$8:$T$110,$H$75)+SUMIFS('Calendario H'!$V$8:$V$110,'Calendario H'!$T$8:$T$110,$H68,'Calendario H'!$M$8:$M$110,$H$75),"-")</f>
        <v>-</v>
      </c>
      <c r="AP68" s="13" t="str">
        <f aca="false">$C68</f>
        <v>Tartarughe Testarde-Tartarugheopoli TE</v>
      </c>
      <c r="AQ68" s="14" t="str">
        <f aca="false">IF(AND($H68&lt;&gt;"",$H$68&lt;&gt;"",$H68&lt;&gt;$H$68,IFERROR(VLOOKUP($H68,areaCercaPuntiClassificaSquadra,3,FALSE()),-1)=IFERROR(VLOOKUP($H$68,areaCercaPuntiClassificaSquadra,3,FALSE()),-2)),SUMIFS('Calendario H'!$Q$8:$Q$110,'Calendario H'!$M$8:$M$110,$H68,'Calendario H'!$T$8:$T$110,$H$68)+SUMIFS('Calendario H'!$X$8:$X$110,'Calendario H'!$T$8:$T$110,$H68,'Calendario H'!$M$8:$M$110,$H$68),"-")</f>
        <v>-</v>
      </c>
      <c r="AR68" s="14" t="str">
        <f aca="false">IF(AND($H68&lt;&gt;"",$H$69&lt;&gt;"",$H68&lt;&gt;$H$69,IFERROR(VLOOKUP($H68,areaCercaPuntiClassificaSquadra,3,FALSE()),-1)=IFERROR(VLOOKUP($H$69,areaCercaPuntiClassificaSquadra,3,FALSE()),-2)),SUMIFS('Calendario H'!$Q$8:$Q$110,'Calendario H'!$M$8:$M$110,$H68,'Calendario H'!$T$8:$T$110,$H$69)+SUMIFS('Calendario H'!$X$8:$X$110,'Calendario H'!$T$8:$T$110,$H68,'Calendario H'!$M$8:$M$110,$H$69),"-")</f>
        <v>-</v>
      </c>
      <c r="AS68" s="14" t="str">
        <f aca="false">IF(AND($H68&lt;&gt;"",$H$70&lt;&gt;"",$H68&lt;&gt;$H$70,IFERROR(VLOOKUP($H68,areaCercaPuntiClassificaSquadra,3,FALSE()),-1)=IFERROR(VLOOKUP($H$70,areaCercaPuntiClassificaSquadra,3,FALSE()),-2)),SUMIFS('Calendario H'!$Q$8:$Q$110,'Calendario H'!$M$8:$M$110,$H68,'Calendario H'!$T$8:$T$110,$H$70)+SUMIFS('Calendario H'!$X$8:$X$110,'Calendario H'!$T$8:$T$110,$H68,'Calendario H'!$M$8:$M$110,$H$70),"-")</f>
        <v>-</v>
      </c>
      <c r="AT68" s="14" t="str">
        <f aca="false">IF(AND($H68&lt;&gt;"",$H$71&lt;&gt;"",$H68&lt;&gt;$H$71,IFERROR(VLOOKUP($H68,areaCercaPuntiClassificaSquadra,3,FALSE()),-1)=IFERROR(VLOOKUP($H$71,areaCercaPuntiClassificaSquadra,3,FALSE()),-2)),SUMIFS('Calendario H'!$Q$8:$Q$110,'Calendario H'!$M$8:$M$110,$H68,'Calendario H'!$T$8:$T$110,$H$71)+SUMIFS('Calendario H'!$X$8:$X$110,'Calendario H'!$T$8:$T$110,$H68,'Calendario H'!$M$8:$M$110,$H$71),"-")</f>
        <v>-</v>
      </c>
      <c r="AU68" s="14" t="str">
        <f aca="false">IF(AND($H68&lt;&gt;"",$H$72&lt;&gt;"",$H68&lt;&gt;$H$72,IFERROR(VLOOKUP($H68,areaCercaPuntiClassificaSquadra,3,FALSE()),-1)=IFERROR(VLOOKUP($H$72,areaCercaPuntiClassificaSquadra,3,FALSE()),-2)),SUMIFS('Calendario H'!$Q$8:$Q$110,'Calendario H'!$M$8:$M$110,$H68,'Calendario H'!$T$8:$T$110,$H$72)+SUMIFS('Calendario H'!$X$8:$X$110,'Calendario H'!$T$8:$T$110,$H68,'Calendario H'!$M$8:$M$110,$H$72),"-")</f>
        <v>-</v>
      </c>
      <c r="AV68" s="14" t="str">
        <f aca="false">IF(AND($H68&lt;&gt;"",$H$73&lt;&gt;"",$H68&lt;&gt;$H$73,IFERROR(VLOOKUP($H68,areaCercaPuntiClassificaSquadra,3,FALSE()),-1)=IFERROR(VLOOKUP($H$73,areaCercaPuntiClassificaSquadra,3,FALSE()),-2)),SUMIFS('Calendario H'!$Q$8:$Q$110,'Calendario H'!$M$8:$M$110,$H68,'Calendario H'!$T$8:$T$110,$H$73)+SUMIFS('Calendario H'!$X$8:$X$110,'Calendario H'!$T$8:$T$110,$H68,'Calendario H'!$M$8:$M$110,$H$73),"-")</f>
        <v>-</v>
      </c>
      <c r="AW68" s="14" t="str">
        <f aca="false">IF(AND($H68&lt;&gt;"",$H$74&lt;&gt;"",$H68&lt;&gt;$H$74,IFERROR(VLOOKUP($H68,areaCercaPuntiClassificaSquadra,3,FALSE()),-1)=IFERROR(VLOOKUP($H$74,areaCercaPuntiClassificaSquadra,3,FALSE()),-2)),SUMIFS('Calendario H'!$Q$8:$Q$110,'Calendario H'!$M$8:$M$110,$H68,'Calendario H'!$T$8:$T$110,$H$74)+SUMIFS('Calendario H'!$X$8:$X$110,'Calendario H'!$T$8:$T$110,$H68,'Calendario H'!$M$8:$M$110,$H$74),"-")</f>
        <v>-</v>
      </c>
      <c r="AX68" s="14" t="str">
        <f aca="false">IF(AND($H68&lt;&gt;"",$H$75&lt;&gt;"",$H68&lt;&gt;$H$75,IFERROR(VLOOKUP($H68,areaCercaPuntiClassificaSquadra,3,FALSE()),-1)=IFERROR(VLOOKUP($H$75,areaCercaPuntiClassificaSquadra,3,FALSE()),-2)),SUMIFS('Calendario H'!$Q$8:$Q$110,'Calendario H'!$M$8:$M$110,$H68,'Calendario H'!$T$8:$T$110,$H$75)+SUMIFS('Calendario H'!$X$8:$X$110,'Calendario H'!$T$8:$T$110,$H68,'Calendario H'!$M$8:$M$110,$H$75),"-")</f>
        <v>-</v>
      </c>
      <c r="AY68" s="13" t="str">
        <f aca="false">$C68</f>
        <v>Tartarughe Testarde-Tartarugheopoli TE</v>
      </c>
      <c r="AZ68" s="14" t="str">
        <f aca="false">IF(AND($H68&lt;&gt;"",$H$68&lt;&gt;"",$H68&lt;&gt;$H$68,IFERROR(VLOOKUP($H68,areaCercaPuntiClassificaSquadra,3,FALSE()),-1)=IFERROR(VLOOKUP($H$68,areaCercaPuntiClassificaSquadra,3,FALSE()),-2)),SUMIFS('Calendario H'!$R$8:$R$110,'Calendario H'!$M$8:$M$110,$H68,'Calendario H'!$T$8:$T$110,$H$68)+SUMIFS('Calendario H'!$Y$8:$Y$110,'Calendario H'!$T$8:$T$110,$H68,'Calendario H'!$M$8:$M$110,$H$68),"-")</f>
        <v>-</v>
      </c>
      <c r="BA68" s="14" t="str">
        <f aca="false">IF(AND($H68&lt;&gt;"",$H$69&lt;&gt;"",$H68&lt;&gt;$H$69,IFERROR(VLOOKUP($H68,areaCercaPuntiClassificaSquadra,3,FALSE()),-1)=IFERROR(VLOOKUP($H$69,areaCercaPuntiClassificaSquadra,3,FALSE()),-2)),SUMIFS('Calendario H'!$R$8:$R$110,'Calendario H'!$M$8:$M$110,$H68,'Calendario H'!$T$8:$T$110,$H$69)+SUMIFS('Calendario H'!$Y$8:$Y$110,'Calendario H'!$T$8:$T$110,$H68,'Calendario H'!$M$8:$M$110,$H$69),"-")</f>
        <v>-</v>
      </c>
      <c r="BB68" s="14" t="str">
        <f aca="false">IF(AND($H68&lt;&gt;"",$H$70&lt;&gt;"",$H68&lt;&gt;$H$70,IFERROR(VLOOKUP($H68,areaCercaPuntiClassificaSquadra,3,FALSE()),-1)=IFERROR(VLOOKUP($H$70,areaCercaPuntiClassificaSquadra,3,FALSE()),-2)),SUMIFS('Calendario H'!$R$8:$R$110,'Calendario H'!$M$8:$M$110,$H68,'Calendario H'!$T$8:$T$110,$H$70)+SUMIFS('Calendario H'!$Y$8:$Y$110,'Calendario H'!$T$8:$T$110,$H68,'Calendario H'!$M$8:$M$110,$H$70),"-")</f>
        <v>-</v>
      </c>
      <c r="BC68" s="14" t="str">
        <f aca="false">IF(AND($H68&lt;&gt;"",$H$71&lt;&gt;"",$H68&lt;&gt;$H$71,IFERROR(VLOOKUP($H68,areaCercaPuntiClassificaSquadra,3,FALSE()),-1)=IFERROR(VLOOKUP($H$71,areaCercaPuntiClassificaSquadra,3,FALSE()),-2)),SUMIFS('Calendario H'!$R$8:$R$110,'Calendario H'!$M$8:$M$110,$H68,'Calendario H'!$T$8:$T$110,$H$71)+SUMIFS('Calendario H'!$Y$8:$Y$110,'Calendario H'!$T$8:$T$110,$H68,'Calendario H'!$M$8:$M$110,$H$71),"-")</f>
        <v>-</v>
      </c>
      <c r="BD68" s="14" t="str">
        <f aca="false">IF(AND($H68&lt;&gt;"",$H$72&lt;&gt;"",$H68&lt;&gt;$H$72,IFERROR(VLOOKUP($H68,areaCercaPuntiClassificaSquadra,3,FALSE()),-1)=IFERROR(VLOOKUP($H$72,areaCercaPuntiClassificaSquadra,3,FALSE()),-2)),SUMIFS('Calendario H'!$R$8:$R$110,'Calendario H'!$M$8:$M$110,$H68,'Calendario H'!$T$8:$T$110,$H$72)+SUMIFS('Calendario H'!$Y$8:$Y$110,'Calendario H'!$T$8:$T$110,$H68,'Calendario H'!$M$8:$M$110,$H$72),"-")</f>
        <v>-</v>
      </c>
      <c r="BE68" s="14" t="str">
        <f aca="false">IF(AND($H68&lt;&gt;"",$H$73&lt;&gt;"",$H68&lt;&gt;$H$73,IFERROR(VLOOKUP($H68,areaCercaPuntiClassificaSquadra,3,FALSE()),-1)=IFERROR(VLOOKUP($H$73,areaCercaPuntiClassificaSquadra,3,FALSE()),-2)),SUMIFS('Calendario H'!$R$8:$R$110,'Calendario H'!$M$8:$M$110,$H68,'Calendario H'!$T$8:$T$110,$H$73)+SUMIFS('Calendario H'!$Y$8:$Y$110,'Calendario H'!$T$8:$T$110,$H68,'Calendario H'!$M$8:$M$110,$H$73),"-")</f>
        <v>-</v>
      </c>
      <c r="BF68" s="14" t="str">
        <f aca="false">IF(AND($H68&lt;&gt;"",$H$74&lt;&gt;"",$H68&lt;&gt;$H$74,IFERROR(VLOOKUP($H68,areaCercaPuntiClassificaSquadra,3,FALSE()),-1)=IFERROR(VLOOKUP($H$74,areaCercaPuntiClassificaSquadra,3,FALSE()),-2)),SUMIFS('Calendario H'!$R$8:$R$110,'Calendario H'!$M$8:$M$110,$H68,'Calendario H'!$T$8:$T$110,$H$74)+SUMIFS('Calendario H'!$Y$8:$Y$110,'Calendario H'!$T$8:$T$110,$H68,'Calendario H'!$M$8:$M$110,$H$74),"-")</f>
        <v>-</v>
      </c>
      <c r="BG68" s="14" t="str">
        <f aca="false">IF(AND($H68&lt;&gt;"",$H$75&lt;&gt;"",$H68&lt;&gt;$H$75,IFERROR(VLOOKUP($H68,areaCercaPuntiClassificaSquadra,3,FALSE()),-1)=IFERROR(VLOOKUP($H$75,areaCercaPuntiClassificaSquadra,3,FALSE()),-2)),SUMIFS('Calendario H'!$R$8:$R$110,'Calendario H'!$M$8:$M$110,$H68,'Calendario H'!$T$8:$T$110,$H$75)+SUMIFS('Calendario H'!$Y$8:$Y$110,'Calendario H'!$T$8:$T$110,$H68,'Calendario H'!$M$8:$M$110,$H$75),"-")</f>
        <v>-</v>
      </c>
    </row>
    <row r="69" customFormat="false" ht="15" hidden="false" customHeight="false" outlineLevel="0" collapsed="false">
      <c r="B69" s="7" t="s">
        <v>169</v>
      </c>
      <c r="C69" s="8" t="s">
        <v>170</v>
      </c>
      <c r="D69" s="9"/>
      <c r="E69" s="27" t="s">
        <v>168</v>
      </c>
      <c r="G69" s="28" t="str">
        <f aca="false">IF($C69="","",$E69&amp;(COUNTIFS(I$12:I$75,"&gt;"&amp;I69,E$12:E$75,"="&amp;E69,C$12:C$75,"&lt;&gt;")+COUNTIFS(I$12:I$75,"="&amp;I69,H$12:H$75,"&lt;="&amp;H69,E$12:E$75,"="&amp;E69,C$12:C$75,"&lt;&gt;")))</f>
        <v>H2</v>
      </c>
      <c r="H69" s="12" t="str">
        <f aca="false">IF($C69="","",IFERROR(LEFT($C69,FIND("-",$C69)-1),$C69))</f>
        <v>Urubu Urlanti</v>
      </c>
      <c r="I69" s="7" t="str">
        <f aca="false">TEXT(1000000000+J69,"|0000000000|")&amp;TEXT(SUM(Y69:AF69),"0000000000|")&amp;IF(SUM(AZ69:BG69)=0,"0000000000|",TEXT(ROUND(SUM(AQ69:AX69)/SUM(AZ69:BG69),4)*100000,"0000000000|"))&amp;IF(P69=0,"0000000000|",TEXT(ROUND(O69/P69,4)*100000,"0000000000|"))</f>
        <v>|1000000019|0000000000|0000000000|0000116280|</v>
      </c>
      <c r="J69" s="28" t="n">
        <f aca="false">L69*constPuntiVittoria+M69*constPuntiSconfitta+N69*constPuntiForfait+IF(D69="",0,D69)</f>
        <v>19</v>
      </c>
      <c r="K69" s="7" t="n">
        <f aca="false">SUM(L69:N69)</f>
        <v>7</v>
      </c>
      <c r="L69" s="7" t="n">
        <f aca="false">IF($H69="",0,SUMIF('Calendario H'!$M$8:$M$110,$H69,'Calendario H'!$N$8:$N$110)+SUMIF('Calendario H'!$T$8:$T$110,$H69,'Calendario H'!$U$8:$U$110))</f>
        <v>6</v>
      </c>
      <c r="M69" s="7" t="n">
        <f aca="false">IF($H69="",0,SUMIF('Calendario H'!$M$8:$M$110,$H69,'Calendario H'!$P$8:$P$110)+SUMIF('Calendario H'!$T$8:$T$110,$H69,'Calendario H'!$W$8:$W$110))</f>
        <v>1</v>
      </c>
      <c r="N69" s="7" t="n">
        <f aca="false">IF($H69="",0,SUMIF('Calendario H'!$M$8:$M$110,$H69,'Calendario H'!$O$8:$O$110)+SUMIF('Calendario H'!$T$8:$T$110,$H69,'Calendario H'!$V$8:$V$110))</f>
        <v>0</v>
      </c>
      <c r="O69" s="7" t="n">
        <f aca="false">IF($H69="",0,SUMIF('Calendario H'!$M$8:$M$110,$H69,'Calendario H'!$Q$8:$Q$110)+SUMIF('Calendario H'!$T$8:$T$110,$H69,'Calendario H'!$X$8:$X$110))</f>
        <v>457</v>
      </c>
      <c r="P69" s="7" t="n">
        <f aca="false">IF($H69="",0,SUMIF('Calendario H'!$M$8:$M$110,$H69,'Calendario H'!$R$8:$R$110)+SUMIF('Calendario H'!$T$8:$T$110,$H69,'Calendario H'!$Y$8:$Y$110))</f>
        <v>393</v>
      </c>
      <c r="Q69" s="7" t="n">
        <f aca="false">IF($H69="",0,SUMIF('Calendario H'!$M$8:$M$110,$H69,'Calendario H'!$S$8:$S$110)+SUMIF('Calendario H'!$T$8:$T$110,$H69,'Calendario H'!$Z$8:$Z$110))</f>
        <v>64</v>
      </c>
      <c r="R69" s="7" t="n">
        <f aca="false">IF(K69=0,0,ROUND(O69/K69,2))</f>
        <v>65.29</v>
      </c>
      <c r="S69" s="7" t="n">
        <f aca="false">IF(K69=0,0,ROUND(P69/K69,2))</f>
        <v>56.14</v>
      </c>
      <c r="T69" s="7" t="n">
        <f aca="false">IF(K69=0,0,ROUND(Q69/K69,2))</f>
        <v>9.14</v>
      </c>
      <c r="U69" s="7" t="str">
        <f aca="false">IF(COUNT(Y69:AF69)=0,"-",SUM(Y69:AF69)&amp;"-"&amp;SUM(AH69:AO69))</f>
        <v>-</v>
      </c>
      <c r="V69" s="7" t="str">
        <f aca="false">IF(COUNT(Y69:AF69)=0,"-",IF(SUM(AZ69:BG69)=0,TEXT(0,"0.0000"),TEXT(ROUND(SUM(AQ69:AX69)/SUM(AZ69:BG69),4),"0.0000")))</f>
        <v>-</v>
      </c>
      <c r="W69" s="7" t="str">
        <f aca="false">IF(H69="","-",IF(P69=0,TEXT(0,"0.0000"),TEXT(ROUND(O69/P69,4),"0.0000")))</f>
        <v>1.1628</v>
      </c>
      <c r="X69" s="13" t="str">
        <f aca="false">$C69</f>
        <v>Urubu Urlanti-Urubuopoli UU</v>
      </c>
      <c r="Y69" s="14" t="str">
        <f aca="false">IF(AND($H69&lt;&gt;"",$H$68&lt;&gt;"",$H69&lt;&gt;$H$68,IFERROR(VLOOKUP($H69,areaCercaPuntiClassificaSquadra,3,FALSE()),-1)=IFERROR(VLOOKUP($H$68,areaCercaPuntiClassificaSquadra,3,FALSE()),-2)),SUMIFS('Calendario H'!$N$8:$N$110,'Calendario H'!$M$8:$M$110,$H69,'Calendario H'!$T$8:$T$110,$H$68)+SUMIFS('Calendario H'!$U$8:$U$110,'Calendario H'!$T$8:$T$110,$H69,'Calendario H'!$M$8:$M$110,$H$68),"-")</f>
        <v>-</v>
      </c>
      <c r="Z69" s="14" t="str">
        <f aca="false">IF(AND($H69&lt;&gt;"",$H$69&lt;&gt;"",$H69&lt;&gt;$H$69,IFERROR(VLOOKUP($H69,areaCercaPuntiClassificaSquadra,3,FALSE()),-1)=IFERROR(VLOOKUP($H$69,areaCercaPuntiClassificaSquadra,3,FALSE()),-2)),SUMIFS('Calendario H'!$N$8:$N$110,'Calendario H'!$M$8:$M$110,$H69,'Calendario H'!$T$8:$T$110,$H$69)+SUMIFS('Calendario H'!$U$8:$U$110,'Calendario H'!$T$8:$T$110,$H69,'Calendario H'!$M$8:$M$110,$H$69),"-")</f>
        <v>-</v>
      </c>
      <c r="AA69" s="14" t="str">
        <f aca="false">IF(AND($H69&lt;&gt;"",$H$70&lt;&gt;"",$H69&lt;&gt;$H$70,IFERROR(VLOOKUP($H69,areaCercaPuntiClassificaSquadra,3,FALSE()),-1)=IFERROR(VLOOKUP($H$70,areaCercaPuntiClassificaSquadra,3,FALSE()),-2)),SUMIFS('Calendario H'!$N$8:$N$110,'Calendario H'!$M$8:$M$110,$H69,'Calendario H'!$T$8:$T$110,$H$70)+SUMIFS('Calendario H'!$U$8:$U$110,'Calendario H'!$T$8:$T$110,$H69,'Calendario H'!$M$8:$M$110,$H$70),"-")</f>
        <v>-</v>
      </c>
      <c r="AB69" s="14" t="str">
        <f aca="false">IF(AND($H69&lt;&gt;"",$H$71&lt;&gt;"",$H69&lt;&gt;$H$71,IFERROR(VLOOKUP($H69,areaCercaPuntiClassificaSquadra,3,FALSE()),-1)=IFERROR(VLOOKUP($H$71,areaCercaPuntiClassificaSquadra,3,FALSE()),-2)),SUMIFS('Calendario H'!$N$8:$N$110,'Calendario H'!$M$8:$M$110,$H69,'Calendario H'!$T$8:$T$110,$H$71)+SUMIFS('Calendario H'!$U$8:$U$110,'Calendario H'!$T$8:$T$110,$H69,'Calendario H'!$M$8:$M$110,$H$71),"-")</f>
        <v>-</v>
      </c>
      <c r="AC69" s="14" t="str">
        <f aca="false">IF(AND($H69&lt;&gt;"",$H$72&lt;&gt;"",$H69&lt;&gt;$H$72,IFERROR(VLOOKUP($H69,areaCercaPuntiClassificaSquadra,3,FALSE()),-1)=IFERROR(VLOOKUP($H$72,areaCercaPuntiClassificaSquadra,3,FALSE()),-2)),SUMIFS('Calendario H'!$N$8:$N$110,'Calendario H'!$M$8:$M$110,$H69,'Calendario H'!$T$8:$T$110,$H$72)+SUMIFS('Calendario H'!$U$8:$U$110,'Calendario H'!$T$8:$T$110,$H69,'Calendario H'!$M$8:$M$110,$H$72),"-")</f>
        <v>-</v>
      </c>
      <c r="AD69" s="14" t="str">
        <f aca="false">IF(AND($H69&lt;&gt;"",$H$73&lt;&gt;"",$H69&lt;&gt;$H$73,IFERROR(VLOOKUP($H69,areaCercaPuntiClassificaSquadra,3,FALSE()),-1)=IFERROR(VLOOKUP($H$73,areaCercaPuntiClassificaSquadra,3,FALSE()),-2)),SUMIFS('Calendario H'!$N$8:$N$110,'Calendario H'!$M$8:$M$110,$H69,'Calendario H'!$T$8:$T$110,$H$73)+SUMIFS('Calendario H'!$U$8:$U$110,'Calendario H'!$T$8:$T$110,$H69,'Calendario H'!$M$8:$M$110,$H$73),"-")</f>
        <v>-</v>
      </c>
      <c r="AE69" s="14" t="str">
        <f aca="false">IF(AND($H69&lt;&gt;"",$H$74&lt;&gt;"",$H69&lt;&gt;$H$74,IFERROR(VLOOKUP($H69,areaCercaPuntiClassificaSquadra,3,FALSE()),-1)=IFERROR(VLOOKUP($H$74,areaCercaPuntiClassificaSquadra,3,FALSE()),-2)),SUMIFS('Calendario H'!$N$8:$N$110,'Calendario H'!$M$8:$M$110,$H69,'Calendario H'!$T$8:$T$110,$H$74)+SUMIFS('Calendario H'!$U$8:$U$110,'Calendario H'!$T$8:$T$110,$H69,'Calendario H'!$M$8:$M$110,$H$74),"-")</f>
        <v>-</v>
      </c>
      <c r="AF69" s="14" t="str">
        <f aca="false">IF(AND($H69&lt;&gt;"",$H$75&lt;&gt;"",$H69&lt;&gt;$H$75,IFERROR(VLOOKUP($H69,areaCercaPuntiClassificaSquadra,3,FALSE()),-1)=IFERROR(VLOOKUP($H$75,areaCercaPuntiClassificaSquadra,3,FALSE()),-2)),SUMIFS('Calendario H'!$N$8:$N$110,'Calendario H'!$M$8:$M$110,$H69,'Calendario H'!$T$8:$T$110,$H$75)+SUMIFS('Calendario H'!$U$8:$U$110,'Calendario H'!$T$8:$T$110,$H69,'Calendario H'!$M$8:$M$110,$H$75),"-")</f>
        <v>-</v>
      </c>
      <c r="AG69" s="13" t="str">
        <f aca="false">$C69</f>
        <v>Urubu Urlanti-Urubuopoli UU</v>
      </c>
      <c r="AH69" s="14" t="str">
        <f aca="false">IF(AND($H69&lt;&gt;"",$H$68&lt;&gt;"",$H69&lt;&gt;$H$68,IFERROR(VLOOKUP($H69,areaCercaPuntiClassificaSquadra,3,FALSE()),-1)=IFERROR(VLOOKUP($H$68,areaCercaPuntiClassificaSquadra,3,FALSE()),-2)),SUMIFS('Calendario H'!$P$8:$P$110,'Calendario H'!$M$8:$M$110,$H69,'Calendario H'!$T$8:$T$110,$H$68)+SUMIFS('Calendario H'!$W$8:$W$110,'Calendario H'!$T$8:$T$110,$H69,'Calendario H'!$M$8:$M$110,$H$68)+SUMIFS('Calendario H'!$O$8:$O$110,'Calendario H'!$M$8:$M$110,$H69,'Calendario H'!$T$8:$T$110,$H$68)+SUMIFS('Calendario H'!$V$8:$V$110,'Calendario H'!$T$8:$T$110,$H69,'Calendario H'!$M$8:$M$110,$H$68),"-")</f>
        <v>-</v>
      </c>
      <c r="AI69" s="14" t="str">
        <f aca="false">IF(AND($H69&lt;&gt;"",$H$69&lt;&gt;"",$H69&lt;&gt;$H$69,IFERROR(VLOOKUP($H69,areaCercaPuntiClassificaSquadra,3,FALSE()),-1)=IFERROR(VLOOKUP($H$69,areaCercaPuntiClassificaSquadra,3,FALSE()),-2)),SUMIFS('Calendario H'!$P$8:$P$110,'Calendario H'!$M$8:$M$110,$H69,'Calendario H'!$T$8:$T$110,$H$69)+SUMIFS('Calendario H'!$W$8:$W$110,'Calendario H'!$T$8:$T$110,$H69,'Calendario H'!$M$8:$M$110,$H$69)+SUMIFS('Calendario H'!$O$8:$O$110,'Calendario H'!$M$8:$M$110,$H69,'Calendario H'!$T$8:$T$110,$H$69)+SUMIFS('Calendario H'!$V$8:$V$110,'Calendario H'!$T$8:$T$110,$H69,'Calendario H'!$M$8:$M$110,$H$69),"-")</f>
        <v>-</v>
      </c>
      <c r="AJ69" s="14" t="str">
        <f aca="false">IF(AND($H69&lt;&gt;"",$H$70&lt;&gt;"",$H69&lt;&gt;$H$70,IFERROR(VLOOKUP($H69,areaCercaPuntiClassificaSquadra,3,FALSE()),-1)=IFERROR(VLOOKUP($H$70,areaCercaPuntiClassificaSquadra,3,FALSE()),-2)),SUMIFS('Calendario H'!$P$8:$P$110,'Calendario H'!$M$8:$M$110,$H69,'Calendario H'!$T$8:$T$110,$H$70)+SUMIFS('Calendario H'!$W$8:$W$110,'Calendario H'!$T$8:$T$110,$H69,'Calendario H'!$M$8:$M$110,$H$70)+SUMIFS('Calendario H'!$O$8:$O$110,'Calendario H'!$M$8:$M$110,$H69,'Calendario H'!$T$8:$T$110,$H$70)+SUMIFS('Calendario H'!$V$8:$V$110,'Calendario H'!$T$8:$T$110,$H69,'Calendario H'!$M$8:$M$110,$H$70),"-")</f>
        <v>-</v>
      </c>
      <c r="AK69" s="14" t="str">
        <f aca="false">IF(AND($H69&lt;&gt;"",$H$71&lt;&gt;"",$H69&lt;&gt;$H$71,IFERROR(VLOOKUP($H69,areaCercaPuntiClassificaSquadra,3,FALSE()),-1)=IFERROR(VLOOKUP($H$71,areaCercaPuntiClassificaSquadra,3,FALSE()),-2)),SUMIFS('Calendario H'!$P$8:$P$110,'Calendario H'!$M$8:$M$110,$H69,'Calendario H'!$T$8:$T$110,$H$71)+SUMIFS('Calendario H'!$W$8:$W$110,'Calendario H'!$T$8:$T$110,$H69,'Calendario H'!$M$8:$M$110,$H$71)+SUMIFS('Calendario H'!$O$8:$O$110,'Calendario H'!$M$8:$M$110,$H69,'Calendario H'!$T$8:$T$110,$H$71)+SUMIFS('Calendario H'!$V$8:$V$110,'Calendario H'!$T$8:$T$110,$H69,'Calendario H'!$M$8:$M$110,$H$71),"-")</f>
        <v>-</v>
      </c>
      <c r="AL69" s="14" t="str">
        <f aca="false">IF(AND($H69&lt;&gt;"",$H$72&lt;&gt;"",$H69&lt;&gt;$H$72,IFERROR(VLOOKUP($H69,areaCercaPuntiClassificaSquadra,3,FALSE()),-1)=IFERROR(VLOOKUP($H$72,areaCercaPuntiClassificaSquadra,3,FALSE()),-2)),SUMIFS('Calendario H'!$P$8:$P$110,'Calendario H'!$M$8:$M$110,$H69,'Calendario H'!$T$8:$T$110,$H$72)+SUMIFS('Calendario H'!$W$8:$W$110,'Calendario H'!$T$8:$T$110,$H69,'Calendario H'!$M$8:$M$110,$H$72)+SUMIFS('Calendario H'!$O$8:$O$110,'Calendario H'!$M$8:$M$110,$H69,'Calendario H'!$T$8:$T$110,$H$72)+SUMIFS('Calendario H'!$V$8:$V$110,'Calendario H'!$T$8:$T$110,$H69,'Calendario H'!$M$8:$M$110,$H$72),"-")</f>
        <v>-</v>
      </c>
      <c r="AM69" s="14" t="str">
        <f aca="false">IF(AND($H69&lt;&gt;"",$H$73&lt;&gt;"",$H69&lt;&gt;$H$73,IFERROR(VLOOKUP($H69,areaCercaPuntiClassificaSquadra,3,FALSE()),-1)=IFERROR(VLOOKUP($H$73,areaCercaPuntiClassificaSquadra,3,FALSE()),-2)),SUMIFS('Calendario H'!$P$8:$P$110,'Calendario H'!$M$8:$M$110,$H69,'Calendario H'!$T$8:$T$110,$H$73)+SUMIFS('Calendario H'!$W$8:$W$110,'Calendario H'!$T$8:$T$110,$H69,'Calendario H'!$M$8:$M$110,$H$73)+SUMIFS('Calendario H'!$O$8:$O$110,'Calendario H'!$M$8:$M$110,$H69,'Calendario H'!$T$8:$T$110,$H$73)+SUMIFS('Calendario H'!$V$8:$V$110,'Calendario H'!$T$8:$T$110,$H69,'Calendario H'!$M$8:$M$110,$H$73),"-")</f>
        <v>-</v>
      </c>
      <c r="AN69" s="14" t="str">
        <f aca="false">IF(AND($H69&lt;&gt;"",$H$74&lt;&gt;"",$H69&lt;&gt;$H$74,IFERROR(VLOOKUP($H69,areaCercaPuntiClassificaSquadra,3,FALSE()),-1)=IFERROR(VLOOKUP($H$74,areaCercaPuntiClassificaSquadra,3,FALSE()),-2)),SUMIFS('Calendario H'!$P$8:$P$110,'Calendario H'!$M$8:$M$110,$H69,'Calendario H'!$T$8:$T$110,$H$74)+SUMIFS('Calendario H'!$W$8:$W$110,'Calendario H'!$T$8:$T$110,$H69,'Calendario H'!$M$8:$M$110,$H$74)+SUMIFS('Calendario H'!$O$8:$O$110,'Calendario H'!$M$8:$M$110,$H69,'Calendario H'!$T$8:$T$110,$H$74)+SUMIFS('Calendario H'!$V$8:$V$110,'Calendario H'!$T$8:$T$110,$H69,'Calendario H'!$M$8:$M$110,$H$74),"-")</f>
        <v>-</v>
      </c>
      <c r="AO69" s="14" t="str">
        <f aca="false">IF(AND($H69&lt;&gt;"",$H$75&lt;&gt;"",$H69&lt;&gt;$H$75,IFERROR(VLOOKUP($H69,areaCercaPuntiClassificaSquadra,3,FALSE()),-1)=IFERROR(VLOOKUP($H$75,areaCercaPuntiClassificaSquadra,3,FALSE()),-2)),SUMIFS('Calendario H'!$P$8:$P$110,'Calendario H'!$M$8:$M$110,$H69,'Calendario H'!$T$8:$T$110,$H$75)+SUMIFS('Calendario H'!$W$8:$W$110,'Calendario H'!$T$8:$T$110,$H69,'Calendario H'!$M$8:$M$110,$H$75)+SUMIFS('Calendario H'!$O$8:$O$110,'Calendario H'!$M$8:$M$110,$H69,'Calendario H'!$T$8:$T$110,$H$75)+SUMIFS('Calendario H'!$V$8:$V$110,'Calendario H'!$T$8:$T$110,$H69,'Calendario H'!$M$8:$M$110,$H$75),"-")</f>
        <v>-</v>
      </c>
      <c r="AP69" s="13" t="str">
        <f aca="false">$C69</f>
        <v>Urubu Urlanti-Urubuopoli UU</v>
      </c>
      <c r="AQ69" s="14" t="str">
        <f aca="false">IF(AND($H69&lt;&gt;"",$H$68&lt;&gt;"",$H69&lt;&gt;$H$68,IFERROR(VLOOKUP($H69,areaCercaPuntiClassificaSquadra,3,FALSE()),-1)=IFERROR(VLOOKUP($H$68,areaCercaPuntiClassificaSquadra,3,FALSE()),-2)),SUMIFS('Calendario H'!$Q$8:$Q$110,'Calendario H'!$M$8:$M$110,$H69,'Calendario H'!$T$8:$T$110,$H$68)+SUMIFS('Calendario H'!$X$8:$X$110,'Calendario H'!$T$8:$T$110,$H69,'Calendario H'!$M$8:$M$110,$H$68),"-")</f>
        <v>-</v>
      </c>
      <c r="AR69" s="14" t="str">
        <f aca="false">IF(AND($H69&lt;&gt;"",$H$69&lt;&gt;"",$H69&lt;&gt;$H$69,IFERROR(VLOOKUP($H69,areaCercaPuntiClassificaSquadra,3,FALSE()),-1)=IFERROR(VLOOKUP($H$69,areaCercaPuntiClassificaSquadra,3,FALSE()),-2)),SUMIFS('Calendario H'!$Q$8:$Q$110,'Calendario H'!$M$8:$M$110,$H69,'Calendario H'!$T$8:$T$110,$H$69)+SUMIFS('Calendario H'!$X$8:$X$110,'Calendario H'!$T$8:$T$110,$H69,'Calendario H'!$M$8:$M$110,$H$69),"-")</f>
        <v>-</v>
      </c>
      <c r="AS69" s="14" t="str">
        <f aca="false">IF(AND($H69&lt;&gt;"",$H$70&lt;&gt;"",$H69&lt;&gt;$H$70,IFERROR(VLOOKUP($H69,areaCercaPuntiClassificaSquadra,3,FALSE()),-1)=IFERROR(VLOOKUP($H$70,areaCercaPuntiClassificaSquadra,3,FALSE()),-2)),SUMIFS('Calendario H'!$Q$8:$Q$110,'Calendario H'!$M$8:$M$110,$H69,'Calendario H'!$T$8:$T$110,$H$70)+SUMIFS('Calendario H'!$X$8:$X$110,'Calendario H'!$T$8:$T$110,$H69,'Calendario H'!$M$8:$M$110,$H$70),"-")</f>
        <v>-</v>
      </c>
      <c r="AT69" s="14" t="str">
        <f aca="false">IF(AND($H69&lt;&gt;"",$H$71&lt;&gt;"",$H69&lt;&gt;$H$71,IFERROR(VLOOKUP($H69,areaCercaPuntiClassificaSquadra,3,FALSE()),-1)=IFERROR(VLOOKUP($H$71,areaCercaPuntiClassificaSquadra,3,FALSE()),-2)),SUMIFS('Calendario H'!$Q$8:$Q$110,'Calendario H'!$M$8:$M$110,$H69,'Calendario H'!$T$8:$T$110,$H$71)+SUMIFS('Calendario H'!$X$8:$X$110,'Calendario H'!$T$8:$T$110,$H69,'Calendario H'!$M$8:$M$110,$H$71),"-")</f>
        <v>-</v>
      </c>
      <c r="AU69" s="14" t="str">
        <f aca="false">IF(AND($H69&lt;&gt;"",$H$72&lt;&gt;"",$H69&lt;&gt;$H$72,IFERROR(VLOOKUP($H69,areaCercaPuntiClassificaSquadra,3,FALSE()),-1)=IFERROR(VLOOKUP($H$72,areaCercaPuntiClassificaSquadra,3,FALSE()),-2)),SUMIFS('Calendario H'!$Q$8:$Q$110,'Calendario H'!$M$8:$M$110,$H69,'Calendario H'!$T$8:$T$110,$H$72)+SUMIFS('Calendario H'!$X$8:$X$110,'Calendario H'!$T$8:$T$110,$H69,'Calendario H'!$M$8:$M$110,$H$72),"-")</f>
        <v>-</v>
      </c>
      <c r="AV69" s="14" t="str">
        <f aca="false">IF(AND($H69&lt;&gt;"",$H$73&lt;&gt;"",$H69&lt;&gt;$H$73,IFERROR(VLOOKUP($H69,areaCercaPuntiClassificaSquadra,3,FALSE()),-1)=IFERROR(VLOOKUP($H$73,areaCercaPuntiClassificaSquadra,3,FALSE()),-2)),SUMIFS('Calendario H'!$Q$8:$Q$110,'Calendario H'!$M$8:$M$110,$H69,'Calendario H'!$T$8:$T$110,$H$73)+SUMIFS('Calendario H'!$X$8:$X$110,'Calendario H'!$T$8:$T$110,$H69,'Calendario H'!$M$8:$M$110,$H$73),"-")</f>
        <v>-</v>
      </c>
      <c r="AW69" s="14" t="str">
        <f aca="false">IF(AND($H69&lt;&gt;"",$H$74&lt;&gt;"",$H69&lt;&gt;$H$74,IFERROR(VLOOKUP($H69,areaCercaPuntiClassificaSquadra,3,FALSE()),-1)=IFERROR(VLOOKUP($H$74,areaCercaPuntiClassificaSquadra,3,FALSE()),-2)),SUMIFS('Calendario H'!$Q$8:$Q$110,'Calendario H'!$M$8:$M$110,$H69,'Calendario H'!$T$8:$T$110,$H$74)+SUMIFS('Calendario H'!$X$8:$X$110,'Calendario H'!$T$8:$T$110,$H69,'Calendario H'!$M$8:$M$110,$H$74),"-")</f>
        <v>-</v>
      </c>
      <c r="AX69" s="14" t="str">
        <f aca="false">IF(AND($H69&lt;&gt;"",$H$75&lt;&gt;"",$H69&lt;&gt;$H$75,IFERROR(VLOOKUP($H69,areaCercaPuntiClassificaSquadra,3,FALSE()),-1)=IFERROR(VLOOKUP($H$75,areaCercaPuntiClassificaSquadra,3,FALSE()),-2)),SUMIFS('Calendario H'!$Q$8:$Q$110,'Calendario H'!$M$8:$M$110,$H69,'Calendario H'!$T$8:$T$110,$H$75)+SUMIFS('Calendario H'!$X$8:$X$110,'Calendario H'!$T$8:$T$110,$H69,'Calendario H'!$M$8:$M$110,$H$75),"-")</f>
        <v>-</v>
      </c>
      <c r="AY69" s="13" t="str">
        <f aca="false">$C69</f>
        <v>Urubu Urlanti-Urubuopoli UU</v>
      </c>
      <c r="AZ69" s="14" t="str">
        <f aca="false">IF(AND($H69&lt;&gt;"",$H$68&lt;&gt;"",$H69&lt;&gt;$H$68,IFERROR(VLOOKUP($H69,areaCercaPuntiClassificaSquadra,3,FALSE()),-1)=IFERROR(VLOOKUP($H$68,areaCercaPuntiClassificaSquadra,3,FALSE()),-2)),SUMIFS('Calendario H'!$R$8:$R$110,'Calendario H'!$M$8:$M$110,$H69,'Calendario H'!$T$8:$T$110,$H$68)+SUMIFS('Calendario H'!$Y$8:$Y$110,'Calendario H'!$T$8:$T$110,$H69,'Calendario H'!$M$8:$M$110,$H$68),"-")</f>
        <v>-</v>
      </c>
      <c r="BA69" s="14" t="str">
        <f aca="false">IF(AND($H69&lt;&gt;"",$H$69&lt;&gt;"",$H69&lt;&gt;$H$69,IFERROR(VLOOKUP($H69,areaCercaPuntiClassificaSquadra,3,FALSE()),-1)=IFERROR(VLOOKUP($H$69,areaCercaPuntiClassificaSquadra,3,FALSE()),-2)),SUMIFS('Calendario H'!$R$8:$R$110,'Calendario H'!$M$8:$M$110,$H69,'Calendario H'!$T$8:$T$110,$H$69)+SUMIFS('Calendario H'!$Y$8:$Y$110,'Calendario H'!$T$8:$T$110,$H69,'Calendario H'!$M$8:$M$110,$H$69),"-")</f>
        <v>-</v>
      </c>
      <c r="BB69" s="14" t="str">
        <f aca="false">IF(AND($H69&lt;&gt;"",$H$70&lt;&gt;"",$H69&lt;&gt;$H$70,IFERROR(VLOOKUP($H69,areaCercaPuntiClassificaSquadra,3,FALSE()),-1)=IFERROR(VLOOKUP($H$70,areaCercaPuntiClassificaSquadra,3,FALSE()),-2)),SUMIFS('Calendario H'!$R$8:$R$110,'Calendario H'!$M$8:$M$110,$H69,'Calendario H'!$T$8:$T$110,$H$70)+SUMIFS('Calendario H'!$Y$8:$Y$110,'Calendario H'!$T$8:$T$110,$H69,'Calendario H'!$M$8:$M$110,$H$70),"-")</f>
        <v>-</v>
      </c>
      <c r="BC69" s="14" t="str">
        <f aca="false">IF(AND($H69&lt;&gt;"",$H$71&lt;&gt;"",$H69&lt;&gt;$H$71,IFERROR(VLOOKUP($H69,areaCercaPuntiClassificaSquadra,3,FALSE()),-1)=IFERROR(VLOOKUP($H$71,areaCercaPuntiClassificaSquadra,3,FALSE()),-2)),SUMIFS('Calendario H'!$R$8:$R$110,'Calendario H'!$M$8:$M$110,$H69,'Calendario H'!$T$8:$T$110,$H$71)+SUMIFS('Calendario H'!$Y$8:$Y$110,'Calendario H'!$T$8:$T$110,$H69,'Calendario H'!$M$8:$M$110,$H$71),"-")</f>
        <v>-</v>
      </c>
      <c r="BD69" s="14" t="str">
        <f aca="false">IF(AND($H69&lt;&gt;"",$H$72&lt;&gt;"",$H69&lt;&gt;$H$72,IFERROR(VLOOKUP($H69,areaCercaPuntiClassificaSquadra,3,FALSE()),-1)=IFERROR(VLOOKUP($H$72,areaCercaPuntiClassificaSquadra,3,FALSE()),-2)),SUMIFS('Calendario H'!$R$8:$R$110,'Calendario H'!$M$8:$M$110,$H69,'Calendario H'!$T$8:$T$110,$H$72)+SUMIFS('Calendario H'!$Y$8:$Y$110,'Calendario H'!$T$8:$T$110,$H69,'Calendario H'!$M$8:$M$110,$H$72),"-")</f>
        <v>-</v>
      </c>
      <c r="BE69" s="14" t="str">
        <f aca="false">IF(AND($H69&lt;&gt;"",$H$73&lt;&gt;"",$H69&lt;&gt;$H$73,IFERROR(VLOOKUP($H69,areaCercaPuntiClassificaSquadra,3,FALSE()),-1)=IFERROR(VLOOKUP($H$73,areaCercaPuntiClassificaSquadra,3,FALSE()),-2)),SUMIFS('Calendario H'!$R$8:$R$110,'Calendario H'!$M$8:$M$110,$H69,'Calendario H'!$T$8:$T$110,$H$73)+SUMIFS('Calendario H'!$Y$8:$Y$110,'Calendario H'!$T$8:$T$110,$H69,'Calendario H'!$M$8:$M$110,$H$73),"-")</f>
        <v>-</v>
      </c>
      <c r="BF69" s="14" t="str">
        <f aca="false">IF(AND($H69&lt;&gt;"",$H$74&lt;&gt;"",$H69&lt;&gt;$H$74,IFERROR(VLOOKUP($H69,areaCercaPuntiClassificaSquadra,3,FALSE()),-1)=IFERROR(VLOOKUP($H$74,areaCercaPuntiClassificaSquadra,3,FALSE()),-2)),SUMIFS('Calendario H'!$R$8:$R$110,'Calendario H'!$M$8:$M$110,$H69,'Calendario H'!$T$8:$T$110,$H$74)+SUMIFS('Calendario H'!$Y$8:$Y$110,'Calendario H'!$T$8:$T$110,$H69,'Calendario H'!$M$8:$M$110,$H$74),"-")</f>
        <v>-</v>
      </c>
      <c r="BG69" s="14" t="str">
        <f aca="false">IF(AND($H69&lt;&gt;"",$H$75&lt;&gt;"",$H69&lt;&gt;$H$75,IFERROR(VLOOKUP($H69,areaCercaPuntiClassificaSquadra,3,FALSE()),-1)=IFERROR(VLOOKUP($H$75,areaCercaPuntiClassificaSquadra,3,FALSE()),-2)),SUMIFS('Calendario H'!$R$8:$R$110,'Calendario H'!$M$8:$M$110,$H69,'Calendario H'!$T$8:$T$110,$H$75)+SUMIFS('Calendario H'!$Y$8:$Y$110,'Calendario H'!$T$8:$T$110,$H69,'Calendario H'!$M$8:$M$110,$H$75),"-")</f>
        <v>-</v>
      </c>
    </row>
    <row r="70" customFormat="false" ht="15" hidden="false" customHeight="false" outlineLevel="0" collapsed="false">
      <c r="B70" s="7" t="s">
        <v>171</v>
      </c>
      <c r="C70" s="8" t="s">
        <v>172</v>
      </c>
      <c r="D70" s="9"/>
      <c r="E70" s="27" t="s">
        <v>168</v>
      </c>
      <c r="G70" s="28" t="str">
        <f aca="false">IF($C70="","",$E70&amp;(COUNTIFS(I$12:I$75,"&gt;"&amp;I70,E$12:E$75,"="&amp;E70,C$12:C$75,"&lt;&gt;")+COUNTIFS(I$12:I$75,"="&amp;I70,H$12:H$75,"&lt;="&amp;H70,E$12:E$75,"="&amp;E70,C$12:C$75,"&lt;&gt;")))</f>
        <v>H5</v>
      </c>
      <c r="H70" s="12" t="str">
        <f aca="false">IF($C70="","",IFERROR(LEFT($C70,FIND("-",$C70)-1),$C70))</f>
        <v>Visoni Vigorosi</v>
      </c>
      <c r="I70" s="7" t="str">
        <f aca="false">TEXT(1000000000+J70,"|0000000000|")&amp;TEXT(SUM(Y70:AF70),"0000000000|")&amp;IF(SUM(AZ70:BG70)=0,"0000000000|",TEXT(ROUND(SUM(AQ70:AX70)/SUM(AZ70:BG70),4)*100000,"0000000000|"))&amp;IF(P70=0,"0000000000|",TEXT(ROUND(O70/P70,4)*100000,"0000000000|"))</f>
        <v>|1000000013|0000000000|0000092110|0000091060|</v>
      </c>
      <c r="J70" s="28" t="n">
        <f aca="false">L70*constPuntiVittoria+M70*constPuntiSconfitta+N70*constPuntiForfait+IF(D70="",0,D70)</f>
        <v>13</v>
      </c>
      <c r="K70" s="7" t="n">
        <f aca="false">SUM(L70:N70)</f>
        <v>7</v>
      </c>
      <c r="L70" s="7" t="n">
        <f aca="false">IF($H70="",0,SUMIF('Calendario H'!$M$8:$M$110,$H70,'Calendario H'!$N$8:$N$110)+SUMIF('Calendario H'!$T$8:$T$110,$H70,'Calendario H'!$U$8:$U$110))</f>
        <v>3</v>
      </c>
      <c r="M70" s="7" t="n">
        <f aca="false">IF($H70="",0,SUMIF('Calendario H'!$M$8:$M$110,$H70,'Calendario H'!$P$8:$P$110)+SUMIF('Calendario H'!$T$8:$T$110,$H70,'Calendario H'!$W$8:$W$110))</f>
        <v>4</v>
      </c>
      <c r="N70" s="7" t="n">
        <f aca="false">IF($H70="",0,SUMIF('Calendario H'!$M$8:$M$110,$H70,'Calendario H'!$O$8:$O$110)+SUMIF('Calendario H'!$T$8:$T$110,$H70,'Calendario H'!$V$8:$V$110))</f>
        <v>0</v>
      </c>
      <c r="O70" s="7" t="n">
        <f aca="false">IF($H70="",0,SUMIF('Calendario H'!$M$8:$M$110,$H70,'Calendario H'!$Q$8:$Q$110)+SUMIF('Calendario H'!$T$8:$T$110,$H70,'Calendario H'!$X$8:$X$110))</f>
        <v>438</v>
      </c>
      <c r="P70" s="7" t="n">
        <f aca="false">IF($H70="",0,SUMIF('Calendario H'!$M$8:$M$110,$H70,'Calendario H'!$R$8:$R$110)+SUMIF('Calendario H'!$T$8:$T$110,$H70,'Calendario H'!$Y$8:$Y$110))</f>
        <v>481</v>
      </c>
      <c r="Q70" s="7" t="n">
        <f aca="false">IF($H70="",0,SUMIF('Calendario H'!$M$8:$M$110,$H70,'Calendario H'!$S$8:$S$110)+SUMIF('Calendario H'!$T$8:$T$110,$H70,'Calendario H'!$Z$8:$Z$110))</f>
        <v>-43</v>
      </c>
      <c r="R70" s="7" t="n">
        <f aca="false">IF(K70=0,0,ROUND(O70/K70,2))</f>
        <v>62.57</v>
      </c>
      <c r="S70" s="7" t="n">
        <f aca="false">IF(K70=0,0,ROUND(P70/K70,2))</f>
        <v>68.71</v>
      </c>
      <c r="T70" s="7" t="n">
        <f aca="false">IF(K70=0,0,ROUND(Q70/K70,2))</f>
        <v>-6.14</v>
      </c>
      <c r="U70" s="7" t="str">
        <f aca="false">IF(COUNT(Y70:AF70)=0,"-",SUM(Y70:AF70)&amp;"-"&amp;SUM(AH70:AO70))</f>
        <v>0-1</v>
      </c>
      <c r="V70" s="7" t="str">
        <f aca="false">IF(COUNT(Y70:AF70)=0,"-",IF(SUM(AZ70:BG70)=0,TEXT(0,"0.0000"),TEXT(ROUND(SUM(AQ70:AX70)/SUM(AZ70:BG70),4),"0.0000")))</f>
        <v>0.9211</v>
      </c>
      <c r="W70" s="7" t="str">
        <f aca="false">IF(H70="","-",IF(P70=0,TEXT(0,"0.0000"),TEXT(ROUND(O70/P70,4),"0.0000")))</f>
        <v>0.9106</v>
      </c>
      <c r="X70" s="13" t="str">
        <f aca="false">$C70</f>
        <v>Visoni Vigorosi-Visoniopoli VI</v>
      </c>
      <c r="Y70" s="14" t="str">
        <f aca="false">IF(AND($H70&lt;&gt;"",$H$68&lt;&gt;"",$H70&lt;&gt;$H$68,IFERROR(VLOOKUP($H70,areaCercaPuntiClassificaSquadra,3,FALSE()),-1)=IFERROR(VLOOKUP($H$68,areaCercaPuntiClassificaSquadra,3,FALSE()),-2)),SUMIFS('Calendario H'!$N$8:$N$110,'Calendario H'!$M$8:$M$110,$H70,'Calendario H'!$T$8:$T$110,$H$68)+SUMIFS('Calendario H'!$U$8:$U$110,'Calendario H'!$T$8:$T$110,$H70,'Calendario H'!$M$8:$M$110,$H$68),"-")</f>
        <v>-</v>
      </c>
      <c r="Z70" s="14" t="str">
        <f aca="false">IF(AND($H70&lt;&gt;"",$H$69&lt;&gt;"",$H70&lt;&gt;$H$69,IFERROR(VLOOKUP($H70,areaCercaPuntiClassificaSquadra,3,FALSE()),-1)=IFERROR(VLOOKUP($H$69,areaCercaPuntiClassificaSquadra,3,FALSE()),-2)),SUMIFS('Calendario H'!$N$8:$N$110,'Calendario H'!$M$8:$M$110,$H70,'Calendario H'!$T$8:$T$110,$H$69)+SUMIFS('Calendario H'!$U$8:$U$110,'Calendario H'!$T$8:$T$110,$H70,'Calendario H'!$M$8:$M$110,$H$69),"-")</f>
        <v>-</v>
      </c>
      <c r="AA70" s="14" t="str">
        <f aca="false">IF(AND($H70&lt;&gt;"",$H$70&lt;&gt;"",$H70&lt;&gt;$H$70,IFERROR(VLOOKUP($H70,areaCercaPuntiClassificaSquadra,3,FALSE()),-1)=IFERROR(VLOOKUP($H$70,areaCercaPuntiClassificaSquadra,3,FALSE()),-2)),SUMIFS('Calendario H'!$N$8:$N$110,'Calendario H'!$M$8:$M$110,$H70,'Calendario H'!$T$8:$T$110,$H$70)+SUMIFS('Calendario H'!$U$8:$U$110,'Calendario H'!$T$8:$T$110,$H70,'Calendario H'!$M$8:$M$110,$H$70),"-")</f>
        <v>-</v>
      </c>
      <c r="AB70" s="14" t="str">
        <f aca="false">IF(AND($H70&lt;&gt;"",$H$71&lt;&gt;"",$H70&lt;&gt;$H$71,IFERROR(VLOOKUP($H70,areaCercaPuntiClassificaSquadra,3,FALSE()),-1)=IFERROR(VLOOKUP($H$71,areaCercaPuntiClassificaSquadra,3,FALSE()),-2)),SUMIFS('Calendario H'!$N$8:$N$110,'Calendario H'!$M$8:$M$110,$H70,'Calendario H'!$T$8:$T$110,$H$71)+SUMIFS('Calendario H'!$U$8:$U$110,'Calendario H'!$T$8:$T$110,$H70,'Calendario H'!$M$8:$M$110,$H$71),"-")</f>
        <v>-</v>
      </c>
      <c r="AC70" s="14" t="str">
        <f aca="false">IF(AND($H70&lt;&gt;"",$H$72&lt;&gt;"",$H70&lt;&gt;$H$72,IFERROR(VLOOKUP($H70,areaCercaPuntiClassificaSquadra,3,FALSE()),-1)=IFERROR(VLOOKUP($H$72,areaCercaPuntiClassificaSquadra,3,FALSE()),-2)),SUMIFS('Calendario H'!$N$8:$N$110,'Calendario H'!$M$8:$M$110,$H70,'Calendario H'!$T$8:$T$110,$H$72)+SUMIFS('Calendario H'!$U$8:$U$110,'Calendario H'!$T$8:$T$110,$H70,'Calendario H'!$M$8:$M$110,$H$72),"-")</f>
        <v>-</v>
      </c>
      <c r="AD70" s="14" t="str">
        <f aca="false">IF(AND($H70&lt;&gt;"",$H$73&lt;&gt;"",$H70&lt;&gt;$H$73,IFERROR(VLOOKUP($H70,areaCercaPuntiClassificaSquadra,3,FALSE()),-1)=IFERROR(VLOOKUP($H$73,areaCercaPuntiClassificaSquadra,3,FALSE()),-2)),SUMIFS('Calendario H'!$N$8:$N$110,'Calendario H'!$M$8:$M$110,$H70,'Calendario H'!$T$8:$T$110,$H$73)+SUMIFS('Calendario H'!$U$8:$U$110,'Calendario H'!$T$8:$T$110,$H70,'Calendario H'!$M$8:$M$110,$H$73),"-")</f>
        <v>-</v>
      </c>
      <c r="AE70" s="14" t="str">
        <f aca="false">IF(AND($H70&lt;&gt;"",$H$74&lt;&gt;"",$H70&lt;&gt;$H$74,IFERROR(VLOOKUP($H70,areaCercaPuntiClassificaSquadra,3,FALSE()),-1)=IFERROR(VLOOKUP($H$74,areaCercaPuntiClassificaSquadra,3,FALSE()),-2)),SUMIFS('Calendario H'!$N$8:$N$110,'Calendario H'!$M$8:$M$110,$H70,'Calendario H'!$T$8:$T$110,$H$74)+SUMIFS('Calendario H'!$U$8:$U$110,'Calendario H'!$T$8:$T$110,$H70,'Calendario H'!$M$8:$M$110,$H$74),"-")</f>
        <v>-</v>
      </c>
      <c r="AF70" s="14" t="n">
        <f aca="false">IF(AND($H70&lt;&gt;"",$H$75&lt;&gt;"",$H70&lt;&gt;$H$75,IFERROR(VLOOKUP($H70,areaCercaPuntiClassificaSquadra,3,FALSE()),-1)=IFERROR(VLOOKUP($H$75,areaCercaPuntiClassificaSquadra,3,FALSE()),-2)),SUMIFS('Calendario H'!$N$8:$N$110,'Calendario H'!$M$8:$M$110,$H70,'Calendario H'!$T$8:$T$110,$H$75)+SUMIFS('Calendario H'!$U$8:$U$110,'Calendario H'!$T$8:$T$110,$H70,'Calendario H'!$M$8:$M$110,$H$75),"-")</f>
        <v>0</v>
      </c>
      <c r="AG70" s="13" t="str">
        <f aca="false">$C70</f>
        <v>Visoni Vigorosi-Visoniopoli VI</v>
      </c>
      <c r="AH70" s="14" t="str">
        <f aca="false">IF(AND($H70&lt;&gt;"",$H$68&lt;&gt;"",$H70&lt;&gt;$H$68,IFERROR(VLOOKUP($H70,areaCercaPuntiClassificaSquadra,3,FALSE()),-1)=IFERROR(VLOOKUP($H$68,areaCercaPuntiClassificaSquadra,3,FALSE()),-2)),SUMIFS('Calendario H'!$P$8:$P$110,'Calendario H'!$M$8:$M$110,$H70,'Calendario H'!$T$8:$T$110,$H$68)+SUMIFS('Calendario H'!$W$8:$W$110,'Calendario H'!$T$8:$T$110,$H70,'Calendario H'!$M$8:$M$110,$H$68)+SUMIFS('Calendario H'!$O$8:$O$110,'Calendario H'!$M$8:$M$110,$H70,'Calendario H'!$T$8:$T$110,$H$68)+SUMIFS('Calendario H'!$V$8:$V$110,'Calendario H'!$T$8:$T$110,$H70,'Calendario H'!$M$8:$M$110,$H$68),"-")</f>
        <v>-</v>
      </c>
      <c r="AI70" s="14" t="str">
        <f aca="false">IF(AND($H70&lt;&gt;"",$H$69&lt;&gt;"",$H70&lt;&gt;$H$69,IFERROR(VLOOKUP($H70,areaCercaPuntiClassificaSquadra,3,FALSE()),-1)=IFERROR(VLOOKUP($H$69,areaCercaPuntiClassificaSquadra,3,FALSE()),-2)),SUMIFS('Calendario H'!$P$8:$P$110,'Calendario H'!$M$8:$M$110,$H70,'Calendario H'!$T$8:$T$110,$H$69)+SUMIFS('Calendario H'!$W$8:$W$110,'Calendario H'!$T$8:$T$110,$H70,'Calendario H'!$M$8:$M$110,$H$69)+SUMIFS('Calendario H'!$O$8:$O$110,'Calendario H'!$M$8:$M$110,$H70,'Calendario H'!$T$8:$T$110,$H$69)+SUMIFS('Calendario H'!$V$8:$V$110,'Calendario H'!$T$8:$T$110,$H70,'Calendario H'!$M$8:$M$110,$H$69),"-")</f>
        <v>-</v>
      </c>
      <c r="AJ70" s="14" t="str">
        <f aca="false">IF(AND($H70&lt;&gt;"",$H$70&lt;&gt;"",$H70&lt;&gt;$H$70,IFERROR(VLOOKUP($H70,areaCercaPuntiClassificaSquadra,3,FALSE()),-1)=IFERROR(VLOOKUP($H$70,areaCercaPuntiClassificaSquadra,3,FALSE()),-2)),SUMIFS('Calendario H'!$P$8:$P$110,'Calendario H'!$M$8:$M$110,$H70,'Calendario H'!$T$8:$T$110,$H$70)+SUMIFS('Calendario H'!$W$8:$W$110,'Calendario H'!$T$8:$T$110,$H70,'Calendario H'!$M$8:$M$110,$H$70)+SUMIFS('Calendario H'!$O$8:$O$110,'Calendario H'!$M$8:$M$110,$H70,'Calendario H'!$T$8:$T$110,$H$70)+SUMIFS('Calendario H'!$V$8:$V$110,'Calendario H'!$T$8:$T$110,$H70,'Calendario H'!$M$8:$M$110,$H$70),"-")</f>
        <v>-</v>
      </c>
      <c r="AK70" s="14" t="str">
        <f aca="false">IF(AND($H70&lt;&gt;"",$H$71&lt;&gt;"",$H70&lt;&gt;$H$71,IFERROR(VLOOKUP($H70,areaCercaPuntiClassificaSquadra,3,FALSE()),-1)=IFERROR(VLOOKUP($H$71,areaCercaPuntiClassificaSquadra,3,FALSE()),-2)),SUMIFS('Calendario H'!$P$8:$P$110,'Calendario H'!$M$8:$M$110,$H70,'Calendario H'!$T$8:$T$110,$H$71)+SUMIFS('Calendario H'!$W$8:$W$110,'Calendario H'!$T$8:$T$110,$H70,'Calendario H'!$M$8:$M$110,$H$71)+SUMIFS('Calendario H'!$O$8:$O$110,'Calendario H'!$M$8:$M$110,$H70,'Calendario H'!$T$8:$T$110,$H$71)+SUMIFS('Calendario H'!$V$8:$V$110,'Calendario H'!$T$8:$T$110,$H70,'Calendario H'!$M$8:$M$110,$H$71),"-")</f>
        <v>-</v>
      </c>
      <c r="AL70" s="14" t="str">
        <f aca="false">IF(AND($H70&lt;&gt;"",$H$72&lt;&gt;"",$H70&lt;&gt;$H$72,IFERROR(VLOOKUP($H70,areaCercaPuntiClassificaSquadra,3,FALSE()),-1)=IFERROR(VLOOKUP($H$72,areaCercaPuntiClassificaSquadra,3,FALSE()),-2)),SUMIFS('Calendario H'!$P$8:$P$110,'Calendario H'!$M$8:$M$110,$H70,'Calendario H'!$T$8:$T$110,$H$72)+SUMIFS('Calendario H'!$W$8:$W$110,'Calendario H'!$T$8:$T$110,$H70,'Calendario H'!$M$8:$M$110,$H$72)+SUMIFS('Calendario H'!$O$8:$O$110,'Calendario H'!$M$8:$M$110,$H70,'Calendario H'!$T$8:$T$110,$H$72)+SUMIFS('Calendario H'!$V$8:$V$110,'Calendario H'!$T$8:$T$110,$H70,'Calendario H'!$M$8:$M$110,$H$72),"-")</f>
        <v>-</v>
      </c>
      <c r="AM70" s="14" t="str">
        <f aca="false">IF(AND($H70&lt;&gt;"",$H$73&lt;&gt;"",$H70&lt;&gt;$H$73,IFERROR(VLOOKUP($H70,areaCercaPuntiClassificaSquadra,3,FALSE()),-1)=IFERROR(VLOOKUP($H$73,areaCercaPuntiClassificaSquadra,3,FALSE()),-2)),SUMIFS('Calendario H'!$P$8:$P$110,'Calendario H'!$M$8:$M$110,$H70,'Calendario H'!$T$8:$T$110,$H$73)+SUMIFS('Calendario H'!$W$8:$W$110,'Calendario H'!$T$8:$T$110,$H70,'Calendario H'!$M$8:$M$110,$H$73)+SUMIFS('Calendario H'!$O$8:$O$110,'Calendario H'!$M$8:$M$110,$H70,'Calendario H'!$T$8:$T$110,$H$73)+SUMIFS('Calendario H'!$V$8:$V$110,'Calendario H'!$T$8:$T$110,$H70,'Calendario H'!$M$8:$M$110,$H$73),"-")</f>
        <v>-</v>
      </c>
      <c r="AN70" s="14" t="str">
        <f aca="false">IF(AND($H70&lt;&gt;"",$H$74&lt;&gt;"",$H70&lt;&gt;$H$74,IFERROR(VLOOKUP($H70,areaCercaPuntiClassificaSquadra,3,FALSE()),-1)=IFERROR(VLOOKUP($H$74,areaCercaPuntiClassificaSquadra,3,FALSE()),-2)),SUMIFS('Calendario H'!$P$8:$P$110,'Calendario H'!$M$8:$M$110,$H70,'Calendario H'!$T$8:$T$110,$H$74)+SUMIFS('Calendario H'!$W$8:$W$110,'Calendario H'!$T$8:$T$110,$H70,'Calendario H'!$M$8:$M$110,$H$74)+SUMIFS('Calendario H'!$O$8:$O$110,'Calendario H'!$M$8:$M$110,$H70,'Calendario H'!$T$8:$T$110,$H$74)+SUMIFS('Calendario H'!$V$8:$V$110,'Calendario H'!$T$8:$T$110,$H70,'Calendario H'!$M$8:$M$110,$H$74),"-")</f>
        <v>-</v>
      </c>
      <c r="AO70" s="14" t="n">
        <f aca="false">IF(AND($H70&lt;&gt;"",$H$75&lt;&gt;"",$H70&lt;&gt;$H$75,IFERROR(VLOOKUP($H70,areaCercaPuntiClassificaSquadra,3,FALSE()),-1)=IFERROR(VLOOKUP($H$75,areaCercaPuntiClassificaSquadra,3,FALSE()),-2)),SUMIFS('Calendario H'!$P$8:$P$110,'Calendario H'!$M$8:$M$110,$H70,'Calendario H'!$T$8:$T$110,$H$75)+SUMIFS('Calendario H'!$W$8:$W$110,'Calendario H'!$T$8:$T$110,$H70,'Calendario H'!$M$8:$M$110,$H$75)+SUMIFS('Calendario H'!$O$8:$O$110,'Calendario H'!$M$8:$M$110,$H70,'Calendario H'!$T$8:$T$110,$H$75)+SUMIFS('Calendario H'!$V$8:$V$110,'Calendario H'!$T$8:$T$110,$H70,'Calendario H'!$M$8:$M$110,$H$75),"-")</f>
        <v>1</v>
      </c>
      <c r="AP70" s="13" t="str">
        <f aca="false">$C70</f>
        <v>Visoni Vigorosi-Visoniopoli VI</v>
      </c>
      <c r="AQ70" s="14" t="str">
        <f aca="false">IF(AND($H70&lt;&gt;"",$H$68&lt;&gt;"",$H70&lt;&gt;$H$68,IFERROR(VLOOKUP($H70,areaCercaPuntiClassificaSquadra,3,FALSE()),-1)=IFERROR(VLOOKUP($H$68,areaCercaPuntiClassificaSquadra,3,FALSE()),-2)),SUMIFS('Calendario H'!$Q$8:$Q$110,'Calendario H'!$M$8:$M$110,$H70,'Calendario H'!$T$8:$T$110,$H$68)+SUMIFS('Calendario H'!$X$8:$X$110,'Calendario H'!$T$8:$T$110,$H70,'Calendario H'!$M$8:$M$110,$H$68),"-")</f>
        <v>-</v>
      </c>
      <c r="AR70" s="14" t="str">
        <f aca="false">IF(AND($H70&lt;&gt;"",$H$69&lt;&gt;"",$H70&lt;&gt;$H$69,IFERROR(VLOOKUP($H70,areaCercaPuntiClassificaSquadra,3,FALSE()),-1)=IFERROR(VLOOKUP($H$69,areaCercaPuntiClassificaSquadra,3,FALSE()),-2)),SUMIFS('Calendario H'!$Q$8:$Q$110,'Calendario H'!$M$8:$M$110,$H70,'Calendario H'!$T$8:$T$110,$H$69)+SUMIFS('Calendario H'!$X$8:$X$110,'Calendario H'!$T$8:$T$110,$H70,'Calendario H'!$M$8:$M$110,$H$69),"-")</f>
        <v>-</v>
      </c>
      <c r="AS70" s="14" t="str">
        <f aca="false">IF(AND($H70&lt;&gt;"",$H$70&lt;&gt;"",$H70&lt;&gt;$H$70,IFERROR(VLOOKUP($H70,areaCercaPuntiClassificaSquadra,3,FALSE()),-1)=IFERROR(VLOOKUP($H$70,areaCercaPuntiClassificaSquadra,3,FALSE()),-2)),SUMIFS('Calendario H'!$Q$8:$Q$110,'Calendario H'!$M$8:$M$110,$H70,'Calendario H'!$T$8:$T$110,$H$70)+SUMIFS('Calendario H'!$X$8:$X$110,'Calendario H'!$T$8:$T$110,$H70,'Calendario H'!$M$8:$M$110,$H$70),"-")</f>
        <v>-</v>
      </c>
      <c r="AT70" s="14" t="str">
        <f aca="false">IF(AND($H70&lt;&gt;"",$H$71&lt;&gt;"",$H70&lt;&gt;$H$71,IFERROR(VLOOKUP($H70,areaCercaPuntiClassificaSquadra,3,FALSE()),-1)=IFERROR(VLOOKUP($H$71,areaCercaPuntiClassificaSquadra,3,FALSE()),-2)),SUMIFS('Calendario H'!$Q$8:$Q$110,'Calendario H'!$M$8:$M$110,$H70,'Calendario H'!$T$8:$T$110,$H$71)+SUMIFS('Calendario H'!$X$8:$X$110,'Calendario H'!$T$8:$T$110,$H70,'Calendario H'!$M$8:$M$110,$H$71),"-")</f>
        <v>-</v>
      </c>
      <c r="AU70" s="14" t="str">
        <f aca="false">IF(AND($H70&lt;&gt;"",$H$72&lt;&gt;"",$H70&lt;&gt;$H$72,IFERROR(VLOOKUP($H70,areaCercaPuntiClassificaSquadra,3,FALSE()),-1)=IFERROR(VLOOKUP($H$72,areaCercaPuntiClassificaSquadra,3,FALSE()),-2)),SUMIFS('Calendario H'!$Q$8:$Q$110,'Calendario H'!$M$8:$M$110,$H70,'Calendario H'!$T$8:$T$110,$H$72)+SUMIFS('Calendario H'!$X$8:$X$110,'Calendario H'!$T$8:$T$110,$H70,'Calendario H'!$M$8:$M$110,$H$72),"-")</f>
        <v>-</v>
      </c>
      <c r="AV70" s="14" t="str">
        <f aca="false">IF(AND($H70&lt;&gt;"",$H$73&lt;&gt;"",$H70&lt;&gt;$H$73,IFERROR(VLOOKUP($H70,areaCercaPuntiClassificaSquadra,3,FALSE()),-1)=IFERROR(VLOOKUP($H$73,areaCercaPuntiClassificaSquadra,3,FALSE()),-2)),SUMIFS('Calendario H'!$Q$8:$Q$110,'Calendario H'!$M$8:$M$110,$H70,'Calendario H'!$T$8:$T$110,$H$73)+SUMIFS('Calendario H'!$X$8:$X$110,'Calendario H'!$T$8:$T$110,$H70,'Calendario H'!$M$8:$M$110,$H$73),"-")</f>
        <v>-</v>
      </c>
      <c r="AW70" s="14" t="str">
        <f aca="false">IF(AND($H70&lt;&gt;"",$H$74&lt;&gt;"",$H70&lt;&gt;$H$74,IFERROR(VLOOKUP($H70,areaCercaPuntiClassificaSquadra,3,FALSE()),-1)=IFERROR(VLOOKUP($H$74,areaCercaPuntiClassificaSquadra,3,FALSE()),-2)),SUMIFS('Calendario H'!$Q$8:$Q$110,'Calendario H'!$M$8:$M$110,$H70,'Calendario H'!$T$8:$T$110,$H$74)+SUMIFS('Calendario H'!$X$8:$X$110,'Calendario H'!$T$8:$T$110,$H70,'Calendario H'!$M$8:$M$110,$H$74),"-")</f>
        <v>-</v>
      </c>
      <c r="AX70" s="14" t="n">
        <f aca="false">IF(AND($H70&lt;&gt;"",$H$75&lt;&gt;"",$H70&lt;&gt;$H$75,IFERROR(VLOOKUP($H70,areaCercaPuntiClassificaSquadra,3,FALSE()),-1)=IFERROR(VLOOKUP($H$75,areaCercaPuntiClassificaSquadra,3,FALSE()),-2)),SUMIFS('Calendario H'!$Q$8:$Q$110,'Calendario H'!$M$8:$M$110,$H70,'Calendario H'!$T$8:$T$110,$H$75)+SUMIFS('Calendario H'!$X$8:$X$110,'Calendario H'!$T$8:$T$110,$H70,'Calendario H'!$M$8:$M$110,$H$75),"-")</f>
        <v>70</v>
      </c>
      <c r="AY70" s="13" t="str">
        <f aca="false">$C70</f>
        <v>Visoni Vigorosi-Visoniopoli VI</v>
      </c>
      <c r="AZ70" s="14" t="str">
        <f aca="false">IF(AND($H70&lt;&gt;"",$H$68&lt;&gt;"",$H70&lt;&gt;$H$68,IFERROR(VLOOKUP($H70,areaCercaPuntiClassificaSquadra,3,FALSE()),-1)=IFERROR(VLOOKUP($H$68,areaCercaPuntiClassificaSquadra,3,FALSE()),-2)),SUMIFS('Calendario H'!$R$8:$R$110,'Calendario H'!$M$8:$M$110,$H70,'Calendario H'!$T$8:$T$110,$H$68)+SUMIFS('Calendario H'!$Y$8:$Y$110,'Calendario H'!$T$8:$T$110,$H70,'Calendario H'!$M$8:$M$110,$H$68),"-")</f>
        <v>-</v>
      </c>
      <c r="BA70" s="14" t="str">
        <f aca="false">IF(AND($H70&lt;&gt;"",$H$69&lt;&gt;"",$H70&lt;&gt;$H$69,IFERROR(VLOOKUP($H70,areaCercaPuntiClassificaSquadra,3,FALSE()),-1)=IFERROR(VLOOKUP($H$69,areaCercaPuntiClassificaSquadra,3,FALSE()),-2)),SUMIFS('Calendario H'!$R$8:$R$110,'Calendario H'!$M$8:$M$110,$H70,'Calendario H'!$T$8:$T$110,$H$69)+SUMIFS('Calendario H'!$Y$8:$Y$110,'Calendario H'!$T$8:$T$110,$H70,'Calendario H'!$M$8:$M$110,$H$69),"-")</f>
        <v>-</v>
      </c>
      <c r="BB70" s="14" t="str">
        <f aca="false">IF(AND($H70&lt;&gt;"",$H$70&lt;&gt;"",$H70&lt;&gt;$H$70,IFERROR(VLOOKUP($H70,areaCercaPuntiClassificaSquadra,3,FALSE()),-1)=IFERROR(VLOOKUP($H$70,areaCercaPuntiClassificaSquadra,3,FALSE()),-2)),SUMIFS('Calendario H'!$R$8:$R$110,'Calendario H'!$M$8:$M$110,$H70,'Calendario H'!$T$8:$T$110,$H$70)+SUMIFS('Calendario H'!$Y$8:$Y$110,'Calendario H'!$T$8:$T$110,$H70,'Calendario H'!$M$8:$M$110,$H$70),"-")</f>
        <v>-</v>
      </c>
      <c r="BC70" s="14" t="str">
        <f aca="false">IF(AND($H70&lt;&gt;"",$H$71&lt;&gt;"",$H70&lt;&gt;$H$71,IFERROR(VLOOKUP($H70,areaCercaPuntiClassificaSquadra,3,FALSE()),-1)=IFERROR(VLOOKUP($H$71,areaCercaPuntiClassificaSquadra,3,FALSE()),-2)),SUMIFS('Calendario H'!$R$8:$R$110,'Calendario H'!$M$8:$M$110,$H70,'Calendario H'!$T$8:$T$110,$H$71)+SUMIFS('Calendario H'!$Y$8:$Y$110,'Calendario H'!$T$8:$T$110,$H70,'Calendario H'!$M$8:$M$110,$H$71),"-")</f>
        <v>-</v>
      </c>
      <c r="BD70" s="14" t="str">
        <f aca="false">IF(AND($H70&lt;&gt;"",$H$72&lt;&gt;"",$H70&lt;&gt;$H$72,IFERROR(VLOOKUP($H70,areaCercaPuntiClassificaSquadra,3,FALSE()),-1)=IFERROR(VLOOKUP($H$72,areaCercaPuntiClassificaSquadra,3,FALSE()),-2)),SUMIFS('Calendario H'!$R$8:$R$110,'Calendario H'!$M$8:$M$110,$H70,'Calendario H'!$T$8:$T$110,$H$72)+SUMIFS('Calendario H'!$Y$8:$Y$110,'Calendario H'!$T$8:$T$110,$H70,'Calendario H'!$M$8:$M$110,$H$72),"-")</f>
        <v>-</v>
      </c>
      <c r="BE70" s="14" t="str">
        <f aca="false">IF(AND($H70&lt;&gt;"",$H$73&lt;&gt;"",$H70&lt;&gt;$H$73,IFERROR(VLOOKUP($H70,areaCercaPuntiClassificaSquadra,3,FALSE()),-1)=IFERROR(VLOOKUP($H$73,areaCercaPuntiClassificaSquadra,3,FALSE()),-2)),SUMIFS('Calendario H'!$R$8:$R$110,'Calendario H'!$M$8:$M$110,$H70,'Calendario H'!$T$8:$T$110,$H$73)+SUMIFS('Calendario H'!$Y$8:$Y$110,'Calendario H'!$T$8:$T$110,$H70,'Calendario H'!$M$8:$M$110,$H$73),"-")</f>
        <v>-</v>
      </c>
      <c r="BF70" s="14" t="str">
        <f aca="false">IF(AND($H70&lt;&gt;"",$H$74&lt;&gt;"",$H70&lt;&gt;$H$74,IFERROR(VLOOKUP($H70,areaCercaPuntiClassificaSquadra,3,FALSE()),-1)=IFERROR(VLOOKUP($H$74,areaCercaPuntiClassificaSquadra,3,FALSE()),-2)),SUMIFS('Calendario H'!$R$8:$R$110,'Calendario H'!$M$8:$M$110,$H70,'Calendario H'!$T$8:$T$110,$H$74)+SUMIFS('Calendario H'!$Y$8:$Y$110,'Calendario H'!$T$8:$T$110,$H70,'Calendario H'!$M$8:$M$110,$H$74),"-")</f>
        <v>-</v>
      </c>
      <c r="BG70" s="14" t="n">
        <f aca="false">IF(AND($H70&lt;&gt;"",$H$75&lt;&gt;"",$H70&lt;&gt;$H$75,IFERROR(VLOOKUP($H70,areaCercaPuntiClassificaSquadra,3,FALSE()),-1)=IFERROR(VLOOKUP($H$75,areaCercaPuntiClassificaSquadra,3,FALSE()),-2)),SUMIFS('Calendario H'!$R$8:$R$110,'Calendario H'!$M$8:$M$110,$H70,'Calendario H'!$T$8:$T$110,$H$75)+SUMIFS('Calendario H'!$Y$8:$Y$110,'Calendario H'!$T$8:$T$110,$H70,'Calendario H'!$M$8:$M$110,$H$75),"-")</f>
        <v>76</v>
      </c>
    </row>
    <row r="71" customFormat="false" ht="15" hidden="false" customHeight="false" outlineLevel="0" collapsed="false">
      <c r="B71" s="7" t="s">
        <v>173</v>
      </c>
      <c r="C71" s="8" t="s">
        <v>174</v>
      </c>
      <c r="D71" s="9"/>
      <c r="E71" s="27" t="s">
        <v>168</v>
      </c>
      <c r="G71" s="28" t="str">
        <f aca="false">IF($C71="","",$E71&amp;(COUNTIFS(I$12:I$75,"&gt;"&amp;I71,E$12:E$75,"="&amp;E71,C$12:C$75,"&lt;&gt;")+COUNTIFS(I$12:I$75,"="&amp;I71,H$12:H$75,"&lt;="&amp;H71,E$12:E$75,"="&amp;E71,C$12:C$75,"&lt;&gt;")))</f>
        <v>H1</v>
      </c>
      <c r="H71" s="12" t="str">
        <f aca="false">IF($C71="","",IFERROR(LEFT($C71,FIND("-",$C71)-1),$C71))</f>
        <v>Zanzare Zampettanti</v>
      </c>
      <c r="I71" s="7" t="str">
        <f aca="false">TEXT(1000000000+J71,"|0000000000|")&amp;TEXT(SUM(Y71:AF71),"0000000000|")&amp;IF(SUM(AZ71:BG71)=0,"0000000000|",TEXT(ROUND(SUM(AQ71:AX71)/SUM(AZ71:BG71),4)*100000,"0000000000|"))&amp;IF(P71=0,"0000000000|",TEXT(ROUND(O71/P71,4)*100000,"0000000000|"))</f>
        <v>|1000000021|0000000000|0000000000|0000135460|</v>
      </c>
      <c r="J71" s="28" t="n">
        <f aca="false">L71*constPuntiVittoria+M71*constPuntiSconfitta+N71*constPuntiForfait+IF(D71="",0,D71)</f>
        <v>21</v>
      </c>
      <c r="K71" s="7" t="n">
        <f aca="false">SUM(L71:N71)</f>
        <v>7</v>
      </c>
      <c r="L71" s="7" t="n">
        <f aca="false">IF($H71="",0,SUMIF('Calendario H'!$M$8:$M$110,$H71,'Calendario H'!$N$8:$N$110)+SUMIF('Calendario H'!$T$8:$T$110,$H71,'Calendario H'!$U$8:$U$110))</f>
        <v>7</v>
      </c>
      <c r="M71" s="7" t="n">
        <f aca="false">IF($H71="",0,SUMIF('Calendario H'!$M$8:$M$110,$H71,'Calendario H'!$P$8:$P$110)+SUMIF('Calendario H'!$T$8:$T$110,$H71,'Calendario H'!$W$8:$W$110))</f>
        <v>0</v>
      </c>
      <c r="N71" s="7" t="n">
        <f aca="false">IF($H71="",0,SUMIF('Calendario H'!$M$8:$M$110,$H71,'Calendario H'!$O$8:$O$110)+SUMIF('Calendario H'!$T$8:$T$110,$H71,'Calendario H'!$V$8:$V$110))</f>
        <v>0</v>
      </c>
      <c r="O71" s="7" t="n">
        <f aca="false">IF($H71="",0,SUMIF('Calendario H'!$M$8:$M$110,$H71,'Calendario H'!$Q$8:$Q$110)+SUMIF('Calendario H'!$T$8:$T$110,$H71,'Calendario H'!$X$8:$X$110))</f>
        <v>489</v>
      </c>
      <c r="P71" s="7" t="n">
        <f aca="false">IF($H71="",0,SUMIF('Calendario H'!$M$8:$M$110,$H71,'Calendario H'!$R$8:$R$110)+SUMIF('Calendario H'!$T$8:$T$110,$H71,'Calendario H'!$Y$8:$Y$110))</f>
        <v>361</v>
      </c>
      <c r="Q71" s="7" t="n">
        <f aca="false">IF($H71="",0,SUMIF('Calendario H'!$M$8:$M$110,$H71,'Calendario H'!$S$8:$S$110)+SUMIF('Calendario H'!$T$8:$T$110,$H71,'Calendario H'!$Z$8:$Z$110))</f>
        <v>128</v>
      </c>
      <c r="R71" s="7" t="n">
        <f aca="false">IF(K71=0,0,ROUND(O71/K71,2))</f>
        <v>69.86</v>
      </c>
      <c r="S71" s="7" t="n">
        <f aca="false">IF(K71=0,0,ROUND(P71/K71,2))</f>
        <v>51.57</v>
      </c>
      <c r="T71" s="7" t="n">
        <f aca="false">IF(K71=0,0,ROUND(Q71/K71,2))</f>
        <v>18.29</v>
      </c>
      <c r="U71" s="7" t="str">
        <f aca="false">IF(COUNT(Y71:AF71)=0,"-",SUM(Y71:AF71)&amp;"-"&amp;SUM(AH71:AO71))</f>
        <v>-</v>
      </c>
      <c r="V71" s="7" t="str">
        <f aca="false">IF(COUNT(Y71:AF71)=0,"-",IF(SUM(AZ71:BG71)=0,TEXT(0,"0.0000"),TEXT(ROUND(SUM(AQ71:AX71)/SUM(AZ71:BG71),4),"0.0000")))</f>
        <v>-</v>
      </c>
      <c r="W71" s="7" t="str">
        <f aca="false">IF(H71="","-",IF(P71=0,TEXT(0,"0.0000"),TEXT(ROUND(O71/P71,4),"0.0000")))</f>
        <v>1.3546</v>
      </c>
      <c r="X71" s="13" t="str">
        <f aca="false">$C71</f>
        <v>Zanzare Zampettanti-Zanzareopoli ZE</v>
      </c>
      <c r="Y71" s="14" t="str">
        <f aca="false">IF(AND($H71&lt;&gt;"",$H$68&lt;&gt;"",$H71&lt;&gt;$H$68,IFERROR(VLOOKUP($H71,areaCercaPuntiClassificaSquadra,3,FALSE()),-1)=IFERROR(VLOOKUP($H$68,areaCercaPuntiClassificaSquadra,3,FALSE()),-2)),SUMIFS('Calendario H'!$N$8:$N$110,'Calendario H'!$M$8:$M$110,$H71,'Calendario H'!$T$8:$T$110,$H$68)+SUMIFS('Calendario H'!$U$8:$U$110,'Calendario H'!$T$8:$T$110,$H71,'Calendario H'!$M$8:$M$110,$H$68),"-")</f>
        <v>-</v>
      </c>
      <c r="Z71" s="14" t="str">
        <f aca="false">IF(AND($H71&lt;&gt;"",$H$69&lt;&gt;"",$H71&lt;&gt;$H$69,IFERROR(VLOOKUP($H71,areaCercaPuntiClassificaSquadra,3,FALSE()),-1)=IFERROR(VLOOKUP($H$69,areaCercaPuntiClassificaSquadra,3,FALSE()),-2)),SUMIFS('Calendario H'!$N$8:$N$110,'Calendario H'!$M$8:$M$110,$H71,'Calendario H'!$T$8:$T$110,$H$69)+SUMIFS('Calendario H'!$U$8:$U$110,'Calendario H'!$T$8:$T$110,$H71,'Calendario H'!$M$8:$M$110,$H$69),"-")</f>
        <v>-</v>
      </c>
      <c r="AA71" s="14" t="str">
        <f aca="false">IF(AND($H71&lt;&gt;"",$H$70&lt;&gt;"",$H71&lt;&gt;$H$70,IFERROR(VLOOKUP($H71,areaCercaPuntiClassificaSquadra,3,FALSE()),-1)=IFERROR(VLOOKUP($H$70,areaCercaPuntiClassificaSquadra,3,FALSE()),-2)),SUMIFS('Calendario H'!$N$8:$N$110,'Calendario H'!$M$8:$M$110,$H71,'Calendario H'!$T$8:$T$110,$H$70)+SUMIFS('Calendario H'!$U$8:$U$110,'Calendario H'!$T$8:$T$110,$H71,'Calendario H'!$M$8:$M$110,$H$70),"-")</f>
        <v>-</v>
      </c>
      <c r="AB71" s="14" t="str">
        <f aca="false">IF(AND($H71&lt;&gt;"",$H$71&lt;&gt;"",$H71&lt;&gt;$H$71,IFERROR(VLOOKUP($H71,areaCercaPuntiClassificaSquadra,3,FALSE()),-1)=IFERROR(VLOOKUP($H$71,areaCercaPuntiClassificaSquadra,3,FALSE()),-2)),SUMIFS('Calendario H'!$N$8:$N$110,'Calendario H'!$M$8:$M$110,$H71,'Calendario H'!$T$8:$T$110,$H$71)+SUMIFS('Calendario H'!$U$8:$U$110,'Calendario H'!$T$8:$T$110,$H71,'Calendario H'!$M$8:$M$110,$H$71),"-")</f>
        <v>-</v>
      </c>
      <c r="AC71" s="14" t="str">
        <f aca="false">IF(AND($H71&lt;&gt;"",$H$72&lt;&gt;"",$H71&lt;&gt;$H$72,IFERROR(VLOOKUP($H71,areaCercaPuntiClassificaSquadra,3,FALSE()),-1)=IFERROR(VLOOKUP($H$72,areaCercaPuntiClassificaSquadra,3,FALSE()),-2)),SUMIFS('Calendario H'!$N$8:$N$110,'Calendario H'!$M$8:$M$110,$H71,'Calendario H'!$T$8:$T$110,$H$72)+SUMIFS('Calendario H'!$U$8:$U$110,'Calendario H'!$T$8:$T$110,$H71,'Calendario H'!$M$8:$M$110,$H$72),"-")</f>
        <v>-</v>
      </c>
      <c r="AD71" s="14" t="str">
        <f aca="false">IF(AND($H71&lt;&gt;"",$H$73&lt;&gt;"",$H71&lt;&gt;$H$73,IFERROR(VLOOKUP($H71,areaCercaPuntiClassificaSquadra,3,FALSE()),-1)=IFERROR(VLOOKUP($H$73,areaCercaPuntiClassificaSquadra,3,FALSE()),-2)),SUMIFS('Calendario H'!$N$8:$N$110,'Calendario H'!$M$8:$M$110,$H71,'Calendario H'!$T$8:$T$110,$H$73)+SUMIFS('Calendario H'!$U$8:$U$110,'Calendario H'!$T$8:$T$110,$H71,'Calendario H'!$M$8:$M$110,$H$73),"-")</f>
        <v>-</v>
      </c>
      <c r="AE71" s="14" t="str">
        <f aca="false">IF(AND($H71&lt;&gt;"",$H$74&lt;&gt;"",$H71&lt;&gt;$H$74,IFERROR(VLOOKUP($H71,areaCercaPuntiClassificaSquadra,3,FALSE()),-1)=IFERROR(VLOOKUP($H$74,areaCercaPuntiClassificaSquadra,3,FALSE()),-2)),SUMIFS('Calendario H'!$N$8:$N$110,'Calendario H'!$M$8:$M$110,$H71,'Calendario H'!$T$8:$T$110,$H$74)+SUMIFS('Calendario H'!$U$8:$U$110,'Calendario H'!$T$8:$T$110,$H71,'Calendario H'!$M$8:$M$110,$H$74),"-")</f>
        <v>-</v>
      </c>
      <c r="AF71" s="14" t="str">
        <f aca="false">IF(AND($H71&lt;&gt;"",$H$75&lt;&gt;"",$H71&lt;&gt;$H$75,IFERROR(VLOOKUP($H71,areaCercaPuntiClassificaSquadra,3,FALSE()),-1)=IFERROR(VLOOKUP($H$75,areaCercaPuntiClassificaSquadra,3,FALSE()),-2)),SUMIFS('Calendario H'!$N$8:$N$110,'Calendario H'!$M$8:$M$110,$H71,'Calendario H'!$T$8:$T$110,$H$75)+SUMIFS('Calendario H'!$U$8:$U$110,'Calendario H'!$T$8:$T$110,$H71,'Calendario H'!$M$8:$M$110,$H$75),"-")</f>
        <v>-</v>
      </c>
      <c r="AG71" s="13" t="str">
        <f aca="false">$C71</f>
        <v>Zanzare Zampettanti-Zanzareopoli ZE</v>
      </c>
      <c r="AH71" s="14" t="str">
        <f aca="false">IF(AND($H71&lt;&gt;"",$H$68&lt;&gt;"",$H71&lt;&gt;$H$68,IFERROR(VLOOKUP($H71,areaCercaPuntiClassificaSquadra,3,FALSE()),-1)=IFERROR(VLOOKUP($H$68,areaCercaPuntiClassificaSquadra,3,FALSE()),-2)),SUMIFS('Calendario H'!$P$8:$P$110,'Calendario H'!$M$8:$M$110,$H71,'Calendario H'!$T$8:$T$110,$H$68)+SUMIFS('Calendario H'!$W$8:$W$110,'Calendario H'!$T$8:$T$110,$H71,'Calendario H'!$M$8:$M$110,$H$68)+SUMIFS('Calendario H'!$O$8:$O$110,'Calendario H'!$M$8:$M$110,$H71,'Calendario H'!$T$8:$T$110,$H$68)+SUMIFS('Calendario H'!$V$8:$V$110,'Calendario H'!$T$8:$T$110,$H71,'Calendario H'!$M$8:$M$110,$H$68),"-")</f>
        <v>-</v>
      </c>
      <c r="AI71" s="14" t="str">
        <f aca="false">IF(AND($H71&lt;&gt;"",$H$69&lt;&gt;"",$H71&lt;&gt;$H$69,IFERROR(VLOOKUP($H71,areaCercaPuntiClassificaSquadra,3,FALSE()),-1)=IFERROR(VLOOKUP($H$69,areaCercaPuntiClassificaSquadra,3,FALSE()),-2)),SUMIFS('Calendario H'!$P$8:$P$110,'Calendario H'!$M$8:$M$110,$H71,'Calendario H'!$T$8:$T$110,$H$69)+SUMIFS('Calendario H'!$W$8:$W$110,'Calendario H'!$T$8:$T$110,$H71,'Calendario H'!$M$8:$M$110,$H$69)+SUMIFS('Calendario H'!$O$8:$O$110,'Calendario H'!$M$8:$M$110,$H71,'Calendario H'!$T$8:$T$110,$H$69)+SUMIFS('Calendario H'!$V$8:$V$110,'Calendario H'!$T$8:$T$110,$H71,'Calendario H'!$M$8:$M$110,$H$69),"-")</f>
        <v>-</v>
      </c>
      <c r="AJ71" s="14" t="str">
        <f aca="false">IF(AND($H71&lt;&gt;"",$H$70&lt;&gt;"",$H71&lt;&gt;$H$70,IFERROR(VLOOKUP($H71,areaCercaPuntiClassificaSquadra,3,FALSE()),-1)=IFERROR(VLOOKUP($H$70,areaCercaPuntiClassificaSquadra,3,FALSE()),-2)),SUMIFS('Calendario H'!$P$8:$P$110,'Calendario H'!$M$8:$M$110,$H71,'Calendario H'!$T$8:$T$110,$H$70)+SUMIFS('Calendario H'!$W$8:$W$110,'Calendario H'!$T$8:$T$110,$H71,'Calendario H'!$M$8:$M$110,$H$70)+SUMIFS('Calendario H'!$O$8:$O$110,'Calendario H'!$M$8:$M$110,$H71,'Calendario H'!$T$8:$T$110,$H$70)+SUMIFS('Calendario H'!$V$8:$V$110,'Calendario H'!$T$8:$T$110,$H71,'Calendario H'!$M$8:$M$110,$H$70),"-")</f>
        <v>-</v>
      </c>
      <c r="AK71" s="14" t="str">
        <f aca="false">IF(AND($H71&lt;&gt;"",$H$71&lt;&gt;"",$H71&lt;&gt;$H$71,IFERROR(VLOOKUP($H71,areaCercaPuntiClassificaSquadra,3,FALSE()),-1)=IFERROR(VLOOKUP($H$71,areaCercaPuntiClassificaSquadra,3,FALSE()),-2)),SUMIFS('Calendario H'!$P$8:$P$110,'Calendario H'!$M$8:$M$110,$H71,'Calendario H'!$T$8:$T$110,$H$71)+SUMIFS('Calendario H'!$W$8:$W$110,'Calendario H'!$T$8:$T$110,$H71,'Calendario H'!$M$8:$M$110,$H$71)+SUMIFS('Calendario H'!$O$8:$O$110,'Calendario H'!$M$8:$M$110,$H71,'Calendario H'!$T$8:$T$110,$H$71)+SUMIFS('Calendario H'!$V$8:$V$110,'Calendario H'!$T$8:$T$110,$H71,'Calendario H'!$M$8:$M$110,$H$71),"-")</f>
        <v>-</v>
      </c>
      <c r="AL71" s="14" t="str">
        <f aca="false">IF(AND($H71&lt;&gt;"",$H$72&lt;&gt;"",$H71&lt;&gt;$H$72,IFERROR(VLOOKUP($H71,areaCercaPuntiClassificaSquadra,3,FALSE()),-1)=IFERROR(VLOOKUP($H$72,areaCercaPuntiClassificaSquadra,3,FALSE()),-2)),SUMIFS('Calendario H'!$P$8:$P$110,'Calendario H'!$M$8:$M$110,$H71,'Calendario H'!$T$8:$T$110,$H$72)+SUMIFS('Calendario H'!$W$8:$W$110,'Calendario H'!$T$8:$T$110,$H71,'Calendario H'!$M$8:$M$110,$H$72)+SUMIFS('Calendario H'!$O$8:$O$110,'Calendario H'!$M$8:$M$110,$H71,'Calendario H'!$T$8:$T$110,$H$72)+SUMIFS('Calendario H'!$V$8:$V$110,'Calendario H'!$T$8:$T$110,$H71,'Calendario H'!$M$8:$M$110,$H$72),"-")</f>
        <v>-</v>
      </c>
      <c r="AM71" s="14" t="str">
        <f aca="false">IF(AND($H71&lt;&gt;"",$H$73&lt;&gt;"",$H71&lt;&gt;$H$73,IFERROR(VLOOKUP($H71,areaCercaPuntiClassificaSquadra,3,FALSE()),-1)=IFERROR(VLOOKUP($H$73,areaCercaPuntiClassificaSquadra,3,FALSE()),-2)),SUMIFS('Calendario H'!$P$8:$P$110,'Calendario H'!$M$8:$M$110,$H71,'Calendario H'!$T$8:$T$110,$H$73)+SUMIFS('Calendario H'!$W$8:$W$110,'Calendario H'!$T$8:$T$110,$H71,'Calendario H'!$M$8:$M$110,$H$73)+SUMIFS('Calendario H'!$O$8:$O$110,'Calendario H'!$M$8:$M$110,$H71,'Calendario H'!$T$8:$T$110,$H$73)+SUMIFS('Calendario H'!$V$8:$V$110,'Calendario H'!$T$8:$T$110,$H71,'Calendario H'!$M$8:$M$110,$H$73),"-")</f>
        <v>-</v>
      </c>
      <c r="AN71" s="14" t="str">
        <f aca="false">IF(AND($H71&lt;&gt;"",$H$74&lt;&gt;"",$H71&lt;&gt;$H$74,IFERROR(VLOOKUP($H71,areaCercaPuntiClassificaSquadra,3,FALSE()),-1)=IFERROR(VLOOKUP($H$74,areaCercaPuntiClassificaSquadra,3,FALSE()),-2)),SUMIFS('Calendario H'!$P$8:$P$110,'Calendario H'!$M$8:$M$110,$H71,'Calendario H'!$T$8:$T$110,$H$74)+SUMIFS('Calendario H'!$W$8:$W$110,'Calendario H'!$T$8:$T$110,$H71,'Calendario H'!$M$8:$M$110,$H$74)+SUMIFS('Calendario H'!$O$8:$O$110,'Calendario H'!$M$8:$M$110,$H71,'Calendario H'!$T$8:$T$110,$H$74)+SUMIFS('Calendario H'!$V$8:$V$110,'Calendario H'!$T$8:$T$110,$H71,'Calendario H'!$M$8:$M$110,$H$74),"-")</f>
        <v>-</v>
      </c>
      <c r="AO71" s="14" t="str">
        <f aca="false">IF(AND($H71&lt;&gt;"",$H$75&lt;&gt;"",$H71&lt;&gt;$H$75,IFERROR(VLOOKUP($H71,areaCercaPuntiClassificaSquadra,3,FALSE()),-1)=IFERROR(VLOOKUP($H$75,areaCercaPuntiClassificaSquadra,3,FALSE()),-2)),SUMIFS('Calendario H'!$P$8:$P$110,'Calendario H'!$M$8:$M$110,$H71,'Calendario H'!$T$8:$T$110,$H$75)+SUMIFS('Calendario H'!$W$8:$W$110,'Calendario H'!$T$8:$T$110,$H71,'Calendario H'!$M$8:$M$110,$H$75)+SUMIFS('Calendario H'!$O$8:$O$110,'Calendario H'!$M$8:$M$110,$H71,'Calendario H'!$T$8:$T$110,$H$75)+SUMIFS('Calendario H'!$V$8:$V$110,'Calendario H'!$T$8:$T$110,$H71,'Calendario H'!$M$8:$M$110,$H$75),"-")</f>
        <v>-</v>
      </c>
      <c r="AP71" s="13" t="str">
        <f aca="false">$C71</f>
        <v>Zanzare Zampettanti-Zanzareopoli ZE</v>
      </c>
      <c r="AQ71" s="14" t="str">
        <f aca="false">IF(AND($H71&lt;&gt;"",$H$68&lt;&gt;"",$H71&lt;&gt;$H$68,IFERROR(VLOOKUP($H71,areaCercaPuntiClassificaSquadra,3,FALSE()),-1)=IFERROR(VLOOKUP($H$68,areaCercaPuntiClassificaSquadra,3,FALSE()),-2)),SUMIFS('Calendario H'!$Q$8:$Q$110,'Calendario H'!$M$8:$M$110,$H71,'Calendario H'!$T$8:$T$110,$H$68)+SUMIFS('Calendario H'!$X$8:$X$110,'Calendario H'!$T$8:$T$110,$H71,'Calendario H'!$M$8:$M$110,$H$68),"-")</f>
        <v>-</v>
      </c>
      <c r="AR71" s="14" t="str">
        <f aca="false">IF(AND($H71&lt;&gt;"",$H$69&lt;&gt;"",$H71&lt;&gt;$H$69,IFERROR(VLOOKUP($H71,areaCercaPuntiClassificaSquadra,3,FALSE()),-1)=IFERROR(VLOOKUP($H$69,areaCercaPuntiClassificaSquadra,3,FALSE()),-2)),SUMIFS('Calendario H'!$Q$8:$Q$110,'Calendario H'!$M$8:$M$110,$H71,'Calendario H'!$T$8:$T$110,$H$69)+SUMIFS('Calendario H'!$X$8:$X$110,'Calendario H'!$T$8:$T$110,$H71,'Calendario H'!$M$8:$M$110,$H$69),"-")</f>
        <v>-</v>
      </c>
      <c r="AS71" s="14" t="str">
        <f aca="false">IF(AND($H71&lt;&gt;"",$H$70&lt;&gt;"",$H71&lt;&gt;$H$70,IFERROR(VLOOKUP($H71,areaCercaPuntiClassificaSquadra,3,FALSE()),-1)=IFERROR(VLOOKUP($H$70,areaCercaPuntiClassificaSquadra,3,FALSE()),-2)),SUMIFS('Calendario H'!$Q$8:$Q$110,'Calendario H'!$M$8:$M$110,$H71,'Calendario H'!$T$8:$T$110,$H$70)+SUMIFS('Calendario H'!$X$8:$X$110,'Calendario H'!$T$8:$T$110,$H71,'Calendario H'!$M$8:$M$110,$H$70),"-")</f>
        <v>-</v>
      </c>
      <c r="AT71" s="14" t="str">
        <f aca="false">IF(AND($H71&lt;&gt;"",$H$71&lt;&gt;"",$H71&lt;&gt;$H$71,IFERROR(VLOOKUP($H71,areaCercaPuntiClassificaSquadra,3,FALSE()),-1)=IFERROR(VLOOKUP($H$71,areaCercaPuntiClassificaSquadra,3,FALSE()),-2)),SUMIFS('Calendario H'!$Q$8:$Q$110,'Calendario H'!$M$8:$M$110,$H71,'Calendario H'!$T$8:$T$110,$H$71)+SUMIFS('Calendario H'!$X$8:$X$110,'Calendario H'!$T$8:$T$110,$H71,'Calendario H'!$M$8:$M$110,$H$71),"-")</f>
        <v>-</v>
      </c>
      <c r="AU71" s="14" t="str">
        <f aca="false">IF(AND($H71&lt;&gt;"",$H$72&lt;&gt;"",$H71&lt;&gt;$H$72,IFERROR(VLOOKUP($H71,areaCercaPuntiClassificaSquadra,3,FALSE()),-1)=IFERROR(VLOOKUP($H$72,areaCercaPuntiClassificaSquadra,3,FALSE()),-2)),SUMIFS('Calendario H'!$Q$8:$Q$110,'Calendario H'!$M$8:$M$110,$H71,'Calendario H'!$T$8:$T$110,$H$72)+SUMIFS('Calendario H'!$X$8:$X$110,'Calendario H'!$T$8:$T$110,$H71,'Calendario H'!$M$8:$M$110,$H$72),"-")</f>
        <v>-</v>
      </c>
      <c r="AV71" s="14" t="str">
        <f aca="false">IF(AND($H71&lt;&gt;"",$H$73&lt;&gt;"",$H71&lt;&gt;$H$73,IFERROR(VLOOKUP($H71,areaCercaPuntiClassificaSquadra,3,FALSE()),-1)=IFERROR(VLOOKUP($H$73,areaCercaPuntiClassificaSquadra,3,FALSE()),-2)),SUMIFS('Calendario H'!$Q$8:$Q$110,'Calendario H'!$M$8:$M$110,$H71,'Calendario H'!$T$8:$T$110,$H$73)+SUMIFS('Calendario H'!$X$8:$X$110,'Calendario H'!$T$8:$T$110,$H71,'Calendario H'!$M$8:$M$110,$H$73),"-")</f>
        <v>-</v>
      </c>
      <c r="AW71" s="14" t="str">
        <f aca="false">IF(AND($H71&lt;&gt;"",$H$74&lt;&gt;"",$H71&lt;&gt;$H$74,IFERROR(VLOOKUP($H71,areaCercaPuntiClassificaSquadra,3,FALSE()),-1)=IFERROR(VLOOKUP($H$74,areaCercaPuntiClassificaSquadra,3,FALSE()),-2)),SUMIFS('Calendario H'!$Q$8:$Q$110,'Calendario H'!$M$8:$M$110,$H71,'Calendario H'!$T$8:$T$110,$H$74)+SUMIFS('Calendario H'!$X$8:$X$110,'Calendario H'!$T$8:$T$110,$H71,'Calendario H'!$M$8:$M$110,$H$74),"-")</f>
        <v>-</v>
      </c>
      <c r="AX71" s="14" t="str">
        <f aca="false">IF(AND($H71&lt;&gt;"",$H$75&lt;&gt;"",$H71&lt;&gt;$H$75,IFERROR(VLOOKUP($H71,areaCercaPuntiClassificaSquadra,3,FALSE()),-1)=IFERROR(VLOOKUP($H$75,areaCercaPuntiClassificaSquadra,3,FALSE()),-2)),SUMIFS('Calendario H'!$Q$8:$Q$110,'Calendario H'!$M$8:$M$110,$H71,'Calendario H'!$T$8:$T$110,$H$75)+SUMIFS('Calendario H'!$X$8:$X$110,'Calendario H'!$T$8:$T$110,$H71,'Calendario H'!$M$8:$M$110,$H$75),"-")</f>
        <v>-</v>
      </c>
      <c r="AY71" s="13" t="str">
        <f aca="false">$C71</f>
        <v>Zanzare Zampettanti-Zanzareopoli ZE</v>
      </c>
      <c r="AZ71" s="14" t="str">
        <f aca="false">IF(AND($H71&lt;&gt;"",$H$68&lt;&gt;"",$H71&lt;&gt;$H$68,IFERROR(VLOOKUP($H71,areaCercaPuntiClassificaSquadra,3,FALSE()),-1)=IFERROR(VLOOKUP($H$68,areaCercaPuntiClassificaSquadra,3,FALSE()),-2)),SUMIFS('Calendario H'!$R$8:$R$110,'Calendario H'!$M$8:$M$110,$H71,'Calendario H'!$T$8:$T$110,$H$68)+SUMIFS('Calendario H'!$Y$8:$Y$110,'Calendario H'!$T$8:$T$110,$H71,'Calendario H'!$M$8:$M$110,$H$68),"-")</f>
        <v>-</v>
      </c>
      <c r="BA71" s="14" t="str">
        <f aca="false">IF(AND($H71&lt;&gt;"",$H$69&lt;&gt;"",$H71&lt;&gt;$H$69,IFERROR(VLOOKUP($H71,areaCercaPuntiClassificaSquadra,3,FALSE()),-1)=IFERROR(VLOOKUP($H$69,areaCercaPuntiClassificaSquadra,3,FALSE()),-2)),SUMIFS('Calendario H'!$R$8:$R$110,'Calendario H'!$M$8:$M$110,$H71,'Calendario H'!$T$8:$T$110,$H$69)+SUMIFS('Calendario H'!$Y$8:$Y$110,'Calendario H'!$T$8:$T$110,$H71,'Calendario H'!$M$8:$M$110,$H$69),"-")</f>
        <v>-</v>
      </c>
      <c r="BB71" s="14" t="str">
        <f aca="false">IF(AND($H71&lt;&gt;"",$H$70&lt;&gt;"",$H71&lt;&gt;$H$70,IFERROR(VLOOKUP($H71,areaCercaPuntiClassificaSquadra,3,FALSE()),-1)=IFERROR(VLOOKUP($H$70,areaCercaPuntiClassificaSquadra,3,FALSE()),-2)),SUMIFS('Calendario H'!$R$8:$R$110,'Calendario H'!$M$8:$M$110,$H71,'Calendario H'!$T$8:$T$110,$H$70)+SUMIFS('Calendario H'!$Y$8:$Y$110,'Calendario H'!$T$8:$T$110,$H71,'Calendario H'!$M$8:$M$110,$H$70),"-")</f>
        <v>-</v>
      </c>
      <c r="BC71" s="14" t="str">
        <f aca="false">IF(AND($H71&lt;&gt;"",$H$71&lt;&gt;"",$H71&lt;&gt;$H$71,IFERROR(VLOOKUP($H71,areaCercaPuntiClassificaSquadra,3,FALSE()),-1)=IFERROR(VLOOKUP($H$71,areaCercaPuntiClassificaSquadra,3,FALSE()),-2)),SUMIFS('Calendario H'!$R$8:$R$110,'Calendario H'!$M$8:$M$110,$H71,'Calendario H'!$T$8:$T$110,$H$71)+SUMIFS('Calendario H'!$Y$8:$Y$110,'Calendario H'!$T$8:$T$110,$H71,'Calendario H'!$M$8:$M$110,$H$71),"-")</f>
        <v>-</v>
      </c>
      <c r="BD71" s="14" t="str">
        <f aca="false">IF(AND($H71&lt;&gt;"",$H$72&lt;&gt;"",$H71&lt;&gt;$H$72,IFERROR(VLOOKUP($H71,areaCercaPuntiClassificaSquadra,3,FALSE()),-1)=IFERROR(VLOOKUP($H$72,areaCercaPuntiClassificaSquadra,3,FALSE()),-2)),SUMIFS('Calendario H'!$R$8:$R$110,'Calendario H'!$M$8:$M$110,$H71,'Calendario H'!$T$8:$T$110,$H$72)+SUMIFS('Calendario H'!$Y$8:$Y$110,'Calendario H'!$T$8:$T$110,$H71,'Calendario H'!$M$8:$M$110,$H$72),"-")</f>
        <v>-</v>
      </c>
      <c r="BE71" s="14" t="str">
        <f aca="false">IF(AND($H71&lt;&gt;"",$H$73&lt;&gt;"",$H71&lt;&gt;$H$73,IFERROR(VLOOKUP($H71,areaCercaPuntiClassificaSquadra,3,FALSE()),-1)=IFERROR(VLOOKUP($H$73,areaCercaPuntiClassificaSquadra,3,FALSE()),-2)),SUMIFS('Calendario H'!$R$8:$R$110,'Calendario H'!$M$8:$M$110,$H71,'Calendario H'!$T$8:$T$110,$H$73)+SUMIFS('Calendario H'!$Y$8:$Y$110,'Calendario H'!$T$8:$T$110,$H71,'Calendario H'!$M$8:$M$110,$H$73),"-")</f>
        <v>-</v>
      </c>
      <c r="BF71" s="14" t="str">
        <f aca="false">IF(AND($H71&lt;&gt;"",$H$74&lt;&gt;"",$H71&lt;&gt;$H$74,IFERROR(VLOOKUP($H71,areaCercaPuntiClassificaSquadra,3,FALSE()),-1)=IFERROR(VLOOKUP($H$74,areaCercaPuntiClassificaSquadra,3,FALSE()),-2)),SUMIFS('Calendario H'!$R$8:$R$110,'Calendario H'!$M$8:$M$110,$H71,'Calendario H'!$T$8:$T$110,$H$74)+SUMIFS('Calendario H'!$Y$8:$Y$110,'Calendario H'!$T$8:$T$110,$H71,'Calendario H'!$M$8:$M$110,$H$74),"-")</f>
        <v>-</v>
      </c>
      <c r="BG71" s="14" t="str">
        <f aca="false">IF(AND($H71&lt;&gt;"",$H$75&lt;&gt;"",$H71&lt;&gt;$H$75,IFERROR(VLOOKUP($H71,areaCercaPuntiClassificaSquadra,3,FALSE()),-1)=IFERROR(VLOOKUP($H$75,areaCercaPuntiClassificaSquadra,3,FALSE()),-2)),SUMIFS('Calendario H'!$R$8:$R$110,'Calendario H'!$M$8:$M$110,$H71,'Calendario H'!$T$8:$T$110,$H$75)+SUMIFS('Calendario H'!$Y$8:$Y$110,'Calendario H'!$T$8:$T$110,$H71,'Calendario H'!$M$8:$M$110,$H$75),"-")</f>
        <v>-</v>
      </c>
    </row>
    <row r="72" customFormat="false" ht="15" hidden="false" customHeight="false" outlineLevel="0" collapsed="false">
      <c r="B72" s="7" t="s">
        <v>175</v>
      </c>
      <c r="C72" s="8" t="s">
        <v>176</v>
      </c>
      <c r="D72" s="9"/>
      <c r="E72" s="27" t="s">
        <v>168</v>
      </c>
      <c r="G72" s="28" t="str">
        <f aca="false">IF($C72="","",$E72&amp;(COUNTIFS(I$12:I$75,"&gt;"&amp;I72,E$12:E$75,"="&amp;E72,C$12:C$75,"&lt;&gt;")+COUNTIFS(I$12:I$75,"="&amp;I72,H$12:H$75,"&lt;="&amp;H72,E$12:E$75,"="&amp;E72,C$12:C$75,"&lt;&gt;")))</f>
        <v>H6</v>
      </c>
      <c r="H72" s="12" t="str">
        <f aca="false">IF($C72="","",IFERROR(LEFT($C72,FIND("-",$C72)-1),$C72))</f>
        <v>Aquile Audaci</v>
      </c>
      <c r="I72" s="7" t="str">
        <f aca="false">TEXT(1000000000+J72,"|0000000000|")&amp;TEXT(SUM(Y72:AF72),"0000000000|")&amp;IF(SUM(AZ72:BG72)=0,"0000000000|",TEXT(ROUND(SUM(AQ72:AX72)/SUM(AZ72:BG72),4)*100000,"0000000000|"))&amp;IF(P72=0,"0000000000|",TEXT(ROUND(O72/P72,4)*100000,"0000000000|"))</f>
        <v>|1000000011|0000000000|0000000000|0000104110|</v>
      </c>
      <c r="J72" s="28" t="n">
        <f aca="false">L72*constPuntiVittoria+M72*constPuntiSconfitta+N72*constPuntiForfait+IF(D72="",0,D72)</f>
        <v>11</v>
      </c>
      <c r="K72" s="7" t="n">
        <f aca="false">SUM(L72:N72)</f>
        <v>7</v>
      </c>
      <c r="L72" s="7" t="n">
        <f aca="false">IF($H72="",0,SUMIF('Calendario H'!$M$8:$M$110,$H72,'Calendario H'!$N$8:$N$110)+SUMIF('Calendario H'!$T$8:$T$110,$H72,'Calendario H'!$U$8:$U$110))</f>
        <v>2</v>
      </c>
      <c r="M72" s="7" t="n">
        <f aca="false">IF($H72="",0,SUMIF('Calendario H'!$M$8:$M$110,$H72,'Calendario H'!$P$8:$P$110)+SUMIF('Calendario H'!$T$8:$T$110,$H72,'Calendario H'!$W$8:$W$110))</f>
        <v>5</v>
      </c>
      <c r="N72" s="7" t="n">
        <f aca="false">IF($H72="",0,SUMIF('Calendario H'!$M$8:$M$110,$H72,'Calendario H'!$O$8:$O$110)+SUMIF('Calendario H'!$T$8:$T$110,$H72,'Calendario H'!$V$8:$V$110))</f>
        <v>0</v>
      </c>
      <c r="O72" s="7" t="n">
        <f aca="false">IF($H72="",0,SUMIF('Calendario H'!$M$8:$M$110,$H72,'Calendario H'!$Q$8:$Q$110)+SUMIF('Calendario H'!$T$8:$T$110,$H72,'Calendario H'!$X$8:$X$110))</f>
        <v>431</v>
      </c>
      <c r="P72" s="7" t="n">
        <f aca="false">IF($H72="",0,SUMIF('Calendario H'!$M$8:$M$110,$H72,'Calendario H'!$R$8:$R$110)+SUMIF('Calendario H'!$T$8:$T$110,$H72,'Calendario H'!$Y$8:$Y$110))</f>
        <v>414</v>
      </c>
      <c r="Q72" s="7" t="n">
        <f aca="false">IF($H72="",0,SUMIF('Calendario H'!$M$8:$M$110,$H72,'Calendario H'!$S$8:$S$110)+SUMIF('Calendario H'!$T$8:$T$110,$H72,'Calendario H'!$Z$8:$Z$110))</f>
        <v>17</v>
      </c>
      <c r="R72" s="7" t="n">
        <f aca="false">IF(K72=0,0,ROUND(O72/K72,2))</f>
        <v>61.57</v>
      </c>
      <c r="S72" s="7" t="n">
        <f aca="false">IF(K72=0,0,ROUND(P72/K72,2))</f>
        <v>59.14</v>
      </c>
      <c r="T72" s="7" t="n">
        <f aca="false">IF(K72=0,0,ROUND(Q72/K72,2))</f>
        <v>2.43</v>
      </c>
      <c r="U72" s="7" t="str">
        <f aca="false">IF(COUNT(Y72:AF72)=0,"-",SUM(Y72:AF72)&amp;"-"&amp;SUM(AH72:AO72))</f>
        <v>-</v>
      </c>
      <c r="V72" s="7" t="str">
        <f aca="false">IF(COUNT(Y72:AF72)=0,"-",IF(SUM(AZ72:BG72)=0,TEXT(0,"0.0000"),TEXT(ROUND(SUM(AQ72:AX72)/SUM(AZ72:BG72),4),"0.0000")))</f>
        <v>-</v>
      </c>
      <c r="W72" s="7" t="str">
        <f aca="false">IF(H72="","-",IF(P72=0,TEXT(0,"0.0000"),TEXT(ROUND(O72/P72,4),"0.0000")))</f>
        <v>1.0411</v>
      </c>
      <c r="X72" s="13" t="str">
        <f aca="false">$C72</f>
        <v>Aquile Audaci-Aquileopoli AE</v>
      </c>
      <c r="Y72" s="14" t="str">
        <f aca="false">IF(AND($H72&lt;&gt;"",$H$68&lt;&gt;"",$H72&lt;&gt;$H$68,IFERROR(VLOOKUP($H72,areaCercaPuntiClassificaSquadra,3,FALSE()),-1)=IFERROR(VLOOKUP($H$68,areaCercaPuntiClassificaSquadra,3,FALSE()),-2)),SUMIFS('Calendario H'!$N$8:$N$110,'Calendario H'!$M$8:$M$110,$H72,'Calendario H'!$T$8:$T$110,$H$68)+SUMIFS('Calendario H'!$U$8:$U$110,'Calendario H'!$T$8:$T$110,$H72,'Calendario H'!$M$8:$M$110,$H$68),"-")</f>
        <v>-</v>
      </c>
      <c r="Z72" s="14" t="str">
        <f aca="false">IF(AND($H72&lt;&gt;"",$H$69&lt;&gt;"",$H72&lt;&gt;$H$69,IFERROR(VLOOKUP($H72,areaCercaPuntiClassificaSquadra,3,FALSE()),-1)=IFERROR(VLOOKUP($H$69,areaCercaPuntiClassificaSquadra,3,FALSE()),-2)),SUMIFS('Calendario H'!$N$8:$N$110,'Calendario H'!$M$8:$M$110,$H72,'Calendario H'!$T$8:$T$110,$H$69)+SUMIFS('Calendario H'!$U$8:$U$110,'Calendario H'!$T$8:$T$110,$H72,'Calendario H'!$M$8:$M$110,$H$69),"-")</f>
        <v>-</v>
      </c>
      <c r="AA72" s="14" t="str">
        <f aca="false">IF(AND($H72&lt;&gt;"",$H$70&lt;&gt;"",$H72&lt;&gt;$H$70,IFERROR(VLOOKUP($H72,areaCercaPuntiClassificaSquadra,3,FALSE()),-1)=IFERROR(VLOOKUP($H$70,areaCercaPuntiClassificaSquadra,3,FALSE()),-2)),SUMIFS('Calendario H'!$N$8:$N$110,'Calendario H'!$M$8:$M$110,$H72,'Calendario H'!$T$8:$T$110,$H$70)+SUMIFS('Calendario H'!$U$8:$U$110,'Calendario H'!$T$8:$T$110,$H72,'Calendario H'!$M$8:$M$110,$H$70),"-")</f>
        <v>-</v>
      </c>
      <c r="AB72" s="14" t="str">
        <f aca="false">IF(AND($H72&lt;&gt;"",$H$71&lt;&gt;"",$H72&lt;&gt;$H$71,IFERROR(VLOOKUP($H72,areaCercaPuntiClassificaSquadra,3,FALSE()),-1)=IFERROR(VLOOKUP($H$71,areaCercaPuntiClassificaSquadra,3,FALSE()),-2)),SUMIFS('Calendario H'!$N$8:$N$110,'Calendario H'!$M$8:$M$110,$H72,'Calendario H'!$T$8:$T$110,$H$71)+SUMIFS('Calendario H'!$U$8:$U$110,'Calendario H'!$T$8:$T$110,$H72,'Calendario H'!$M$8:$M$110,$H$71),"-")</f>
        <v>-</v>
      </c>
      <c r="AC72" s="14" t="str">
        <f aca="false">IF(AND($H72&lt;&gt;"",$H$72&lt;&gt;"",$H72&lt;&gt;$H$72,IFERROR(VLOOKUP($H72,areaCercaPuntiClassificaSquadra,3,FALSE()),-1)=IFERROR(VLOOKUP($H$72,areaCercaPuntiClassificaSquadra,3,FALSE()),-2)),SUMIFS('Calendario H'!$N$8:$N$110,'Calendario H'!$M$8:$M$110,$H72,'Calendario H'!$T$8:$T$110,$H$72)+SUMIFS('Calendario H'!$U$8:$U$110,'Calendario H'!$T$8:$T$110,$H72,'Calendario H'!$M$8:$M$110,$H$72),"-")</f>
        <v>-</v>
      </c>
      <c r="AD72" s="14" t="str">
        <f aca="false">IF(AND($H72&lt;&gt;"",$H$73&lt;&gt;"",$H72&lt;&gt;$H$73,IFERROR(VLOOKUP($H72,areaCercaPuntiClassificaSquadra,3,FALSE()),-1)=IFERROR(VLOOKUP($H$73,areaCercaPuntiClassificaSquadra,3,FALSE()),-2)),SUMIFS('Calendario H'!$N$8:$N$110,'Calendario H'!$M$8:$M$110,$H72,'Calendario H'!$T$8:$T$110,$H$73)+SUMIFS('Calendario H'!$U$8:$U$110,'Calendario H'!$T$8:$T$110,$H72,'Calendario H'!$M$8:$M$110,$H$73),"-")</f>
        <v>-</v>
      </c>
      <c r="AE72" s="14" t="str">
        <f aca="false">IF(AND($H72&lt;&gt;"",$H$74&lt;&gt;"",$H72&lt;&gt;$H$74,IFERROR(VLOOKUP($H72,areaCercaPuntiClassificaSquadra,3,FALSE()),-1)=IFERROR(VLOOKUP($H$74,areaCercaPuntiClassificaSquadra,3,FALSE()),-2)),SUMIFS('Calendario H'!$N$8:$N$110,'Calendario H'!$M$8:$M$110,$H72,'Calendario H'!$T$8:$T$110,$H$74)+SUMIFS('Calendario H'!$U$8:$U$110,'Calendario H'!$T$8:$T$110,$H72,'Calendario H'!$M$8:$M$110,$H$74),"-")</f>
        <v>-</v>
      </c>
      <c r="AF72" s="14" t="str">
        <f aca="false">IF(AND($H72&lt;&gt;"",$H$75&lt;&gt;"",$H72&lt;&gt;$H$75,IFERROR(VLOOKUP($H72,areaCercaPuntiClassificaSquadra,3,FALSE()),-1)=IFERROR(VLOOKUP($H$75,areaCercaPuntiClassificaSquadra,3,FALSE()),-2)),SUMIFS('Calendario H'!$N$8:$N$110,'Calendario H'!$M$8:$M$110,$H72,'Calendario H'!$T$8:$T$110,$H$75)+SUMIFS('Calendario H'!$U$8:$U$110,'Calendario H'!$T$8:$T$110,$H72,'Calendario H'!$M$8:$M$110,$H$75),"-")</f>
        <v>-</v>
      </c>
      <c r="AG72" s="13" t="str">
        <f aca="false">$C72</f>
        <v>Aquile Audaci-Aquileopoli AE</v>
      </c>
      <c r="AH72" s="14" t="str">
        <f aca="false">IF(AND($H72&lt;&gt;"",$H$68&lt;&gt;"",$H72&lt;&gt;$H$68,IFERROR(VLOOKUP($H72,areaCercaPuntiClassificaSquadra,3,FALSE()),-1)=IFERROR(VLOOKUP($H$68,areaCercaPuntiClassificaSquadra,3,FALSE()),-2)),SUMIFS('Calendario H'!$P$8:$P$110,'Calendario H'!$M$8:$M$110,$H72,'Calendario H'!$T$8:$T$110,$H$68)+SUMIFS('Calendario H'!$W$8:$W$110,'Calendario H'!$T$8:$T$110,$H72,'Calendario H'!$M$8:$M$110,$H$68)+SUMIFS('Calendario H'!$O$8:$O$110,'Calendario H'!$M$8:$M$110,$H72,'Calendario H'!$T$8:$T$110,$H$68)+SUMIFS('Calendario H'!$V$8:$V$110,'Calendario H'!$T$8:$T$110,$H72,'Calendario H'!$M$8:$M$110,$H$68),"-")</f>
        <v>-</v>
      </c>
      <c r="AI72" s="14" t="str">
        <f aca="false">IF(AND($H72&lt;&gt;"",$H$69&lt;&gt;"",$H72&lt;&gt;$H$69,IFERROR(VLOOKUP($H72,areaCercaPuntiClassificaSquadra,3,FALSE()),-1)=IFERROR(VLOOKUP($H$69,areaCercaPuntiClassificaSquadra,3,FALSE()),-2)),SUMIFS('Calendario H'!$P$8:$P$110,'Calendario H'!$M$8:$M$110,$H72,'Calendario H'!$T$8:$T$110,$H$69)+SUMIFS('Calendario H'!$W$8:$W$110,'Calendario H'!$T$8:$T$110,$H72,'Calendario H'!$M$8:$M$110,$H$69)+SUMIFS('Calendario H'!$O$8:$O$110,'Calendario H'!$M$8:$M$110,$H72,'Calendario H'!$T$8:$T$110,$H$69)+SUMIFS('Calendario H'!$V$8:$V$110,'Calendario H'!$T$8:$T$110,$H72,'Calendario H'!$M$8:$M$110,$H$69),"-")</f>
        <v>-</v>
      </c>
      <c r="AJ72" s="14" t="str">
        <f aca="false">IF(AND($H72&lt;&gt;"",$H$70&lt;&gt;"",$H72&lt;&gt;$H$70,IFERROR(VLOOKUP($H72,areaCercaPuntiClassificaSquadra,3,FALSE()),-1)=IFERROR(VLOOKUP($H$70,areaCercaPuntiClassificaSquadra,3,FALSE()),-2)),SUMIFS('Calendario H'!$P$8:$P$110,'Calendario H'!$M$8:$M$110,$H72,'Calendario H'!$T$8:$T$110,$H$70)+SUMIFS('Calendario H'!$W$8:$W$110,'Calendario H'!$T$8:$T$110,$H72,'Calendario H'!$M$8:$M$110,$H$70)+SUMIFS('Calendario H'!$O$8:$O$110,'Calendario H'!$M$8:$M$110,$H72,'Calendario H'!$T$8:$T$110,$H$70)+SUMIFS('Calendario H'!$V$8:$V$110,'Calendario H'!$T$8:$T$110,$H72,'Calendario H'!$M$8:$M$110,$H$70),"-")</f>
        <v>-</v>
      </c>
      <c r="AK72" s="14" t="str">
        <f aca="false">IF(AND($H72&lt;&gt;"",$H$71&lt;&gt;"",$H72&lt;&gt;$H$71,IFERROR(VLOOKUP($H72,areaCercaPuntiClassificaSquadra,3,FALSE()),-1)=IFERROR(VLOOKUP($H$71,areaCercaPuntiClassificaSquadra,3,FALSE()),-2)),SUMIFS('Calendario H'!$P$8:$P$110,'Calendario H'!$M$8:$M$110,$H72,'Calendario H'!$T$8:$T$110,$H$71)+SUMIFS('Calendario H'!$W$8:$W$110,'Calendario H'!$T$8:$T$110,$H72,'Calendario H'!$M$8:$M$110,$H$71)+SUMIFS('Calendario H'!$O$8:$O$110,'Calendario H'!$M$8:$M$110,$H72,'Calendario H'!$T$8:$T$110,$H$71)+SUMIFS('Calendario H'!$V$8:$V$110,'Calendario H'!$T$8:$T$110,$H72,'Calendario H'!$M$8:$M$110,$H$71),"-")</f>
        <v>-</v>
      </c>
      <c r="AL72" s="14" t="str">
        <f aca="false">IF(AND($H72&lt;&gt;"",$H$72&lt;&gt;"",$H72&lt;&gt;$H$72,IFERROR(VLOOKUP($H72,areaCercaPuntiClassificaSquadra,3,FALSE()),-1)=IFERROR(VLOOKUP($H$72,areaCercaPuntiClassificaSquadra,3,FALSE()),-2)),SUMIFS('Calendario H'!$P$8:$P$110,'Calendario H'!$M$8:$M$110,$H72,'Calendario H'!$T$8:$T$110,$H$72)+SUMIFS('Calendario H'!$W$8:$W$110,'Calendario H'!$T$8:$T$110,$H72,'Calendario H'!$M$8:$M$110,$H$72)+SUMIFS('Calendario H'!$O$8:$O$110,'Calendario H'!$M$8:$M$110,$H72,'Calendario H'!$T$8:$T$110,$H$72)+SUMIFS('Calendario H'!$V$8:$V$110,'Calendario H'!$T$8:$T$110,$H72,'Calendario H'!$M$8:$M$110,$H$72),"-")</f>
        <v>-</v>
      </c>
      <c r="AM72" s="14" t="str">
        <f aca="false">IF(AND($H72&lt;&gt;"",$H$73&lt;&gt;"",$H72&lt;&gt;$H$73,IFERROR(VLOOKUP($H72,areaCercaPuntiClassificaSquadra,3,FALSE()),-1)=IFERROR(VLOOKUP($H$73,areaCercaPuntiClassificaSquadra,3,FALSE()),-2)),SUMIFS('Calendario H'!$P$8:$P$110,'Calendario H'!$M$8:$M$110,$H72,'Calendario H'!$T$8:$T$110,$H$73)+SUMIFS('Calendario H'!$W$8:$W$110,'Calendario H'!$T$8:$T$110,$H72,'Calendario H'!$M$8:$M$110,$H$73)+SUMIFS('Calendario H'!$O$8:$O$110,'Calendario H'!$M$8:$M$110,$H72,'Calendario H'!$T$8:$T$110,$H$73)+SUMIFS('Calendario H'!$V$8:$V$110,'Calendario H'!$T$8:$T$110,$H72,'Calendario H'!$M$8:$M$110,$H$73),"-")</f>
        <v>-</v>
      </c>
      <c r="AN72" s="14" t="str">
        <f aca="false">IF(AND($H72&lt;&gt;"",$H$74&lt;&gt;"",$H72&lt;&gt;$H$74,IFERROR(VLOOKUP($H72,areaCercaPuntiClassificaSquadra,3,FALSE()),-1)=IFERROR(VLOOKUP($H$74,areaCercaPuntiClassificaSquadra,3,FALSE()),-2)),SUMIFS('Calendario H'!$P$8:$P$110,'Calendario H'!$M$8:$M$110,$H72,'Calendario H'!$T$8:$T$110,$H$74)+SUMIFS('Calendario H'!$W$8:$W$110,'Calendario H'!$T$8:$T$110,$H72,'Calendario H'!$M$8:$M$110,$H$74)+SUMIFS('Calendario H'!$O$8:$O$110,'Calendario H'!$M$8:$M$110,$H72,'Calendario H'!$T$8:$T$110,$H$74)+SUMIFS('Calendario H'!$V$8:$V$110,'Calendario H'!$T$8:$T$110,$H72,'Calendario H'!$M$8:$M$110,$H$74),"-")</f>
        <v>-</v>
      </c>
      <c r="AO72" s="14" t="str">
        <f aca="false">IF(AND($H72&lt;&gt;"",$H$75&lt;&gt;"",$H72&lt;&gt;$H$75,IFERROR(VLOOKUP($H72,areaCercaPuntiClassificaSquadra,3,FALSE()),-1)=IFERROR(VLOOKUP($H$75,areaCercaPuntiClassificaSquadra,3,FALSE()),-2)),SUMIFS('Calendario H'!$P$8:$P$110,'Calendario H'!$M$8:$M$110,$H72,'Calendario H'!$T$8:$T$110,$H$75)+SUMIFS('Calendario H'!$W$8:$W$110,'Calendario H'!$T$8:$T$110,$H72,'Calendario H'!$M$8:$M$110,$H$75)+SUMIFS('Calendario H'!$O$8:$O$110,'Calendario H'!$M$8:$M$110,$H72,'Calendario H'!$T$8:$T$110,$H$75)+SUMIFS('Calendario H'!$V$8:$V$110,'Calendario H'!$T$8:$T$110,$H72,'Calendario H'!$M$8:$M$110,$H$75),"-")</f>
        <v>-</v>
      </c>
      <c r="AP72" s="13" t="str">
        <f aca="false">$C72</f>
        <v>Aquile Audaci-Aquileopoli AE</v>
      </c>
      <c r="AQ72" s="14" t="str">
        <f aca="false">IF(AND($H72&lt;&gt;"",$H$68&lt;&gt;"",$H72&lt;&gt;$H$68,IFERROR(VLOOKUP($H72,areaCercaPuntiClassificaSquadra,3,FALSE()),-1)=IFERROR(VLOOKUP($H$68,areaCercaPuntiClassificaSquadra,3,FALSE()),-2)),SUMIFS('Calendario H'!$Q$8:$Q$110,'Calendario H'!$M$8:$M$110,$H72,'Calendario H'!$T$8:$T$110,$H$68)+SUMIFS('Calendario H'!$X$8:$X$110,'Calendario H'!$T$8:$T$110,$H72,'Calendario H'!$M$8:$M$110,$H$68),"-")</f>
        <v>-</v>
      </c>
      <c r="AR72" s="14" t="str">
        <f aca="false">IF(AND($H72&lt;&gt;"",$H$69&lt;&gt;"",$H72&lt;&gt;$H$69,IFERROR(VLOOKUP($H72,areaCercaPuntiClassificaSquadra,3,FALSE()),-1)=IFERROR(VLOOKUP($H$69,areaCercaPuntiClassificaSquadra,3,FALSE()),-2)),SUMIFS('Calendario H'!$Q$8:$Q$110,'Calendario H'!$M$8:$M$110,$H72,'Calendario H'!$T$8:$T$110,$H$69)+SUMIFS('Calendario H'!$X$8:$X$110,'Calendario H'!$T$8:$T$110,$H72,'Calendario H'!$M$8:$M$110,$H$69),"-")</f>
        <v>-</v>
      </c>
      <c r="AS72" s="14" t="str">
        <f aca="false">IF(AND($H72&lt;&gt;"",$H$70&lt;&gt;"",$H72&lt;&gt;$H$70,IFERROR(VLOOKUP($H72,areaCercaPuntiClassificaSquadra,3,FALSE()),-1)=IFERROR(VLOOKUP($H$70,areaCercaPuntiClassificaSquadra,3,FALSE()),-2)),SUMIFS('Calendario H'!$Q$8:$Q$110,'Calendario H'!$M$8:$M$110,$H72,'Calendario H'!$T$8:$T$110,$H$70)+SUMIFS('Calendario H'!$X$8:$X$110,'Calendario H'!$T$8:$T$110,$H72,'Calendario H'!$M$8:$M$110,$H$70),"-")</f>
        <v>-</v>
      </c>
      <c r="AT72" s="14" t="str">
        <f aca="false">IF(AND($H72&lt;&gt;"",$H$71&lt;&gt;"",$H72&lt;&gt;$H$71,IFERROR(VLOOKUP($H72,areaCercaPuntiClassificaSquadra,3,FALSE()),-1)=IFERROR(VLOOKUP($H$71,areaCercaPuntiClassificaSquadra,3,FALSE()),-2)),SUMIFS('Calendario H'!$Q$8:$Q$110,'Calendario H'!$M$8:$M$110,$H72,'Calendario H'!$T$8:$T$110,$H$71)+SUMIFS('Calendario H'!$X$8:$X$110,'Calendario H'!$T$8:$T$110,$H72,'Calendario H'!$M$8:$M$110,$H$71),"-")</f>
        <v>-</v>
      </c>
      <c r="AU72" s="14" t="str">
        <f aca="false">IF(AND($H72&lt;&gt;"",$H$72&lt;&gt;"",$H72&lt;&gt;$H$72,IFERROR(VLOOKUP($H72,areaCercaPuntiClassificaSquadra,3,FALSE()),-1)=IFERROR(VLOOKUP($H$72,areaCercaPuntiClassificaSquadra,3,FALSE()),-2)),SUMIFS('Calendario H'!$Q$8:$Q$110,'Calendario H'!$M$8:$M$110,$H72,'Calendario H'!$T$8:$T$110,$H$72)+SUMIFS('Calendario H'!$X$8:$X$110,'Calendario H'!$T$8:$T$110,$H72,'Calendario H'!$M$8:$M$110,$H$72),"-")</f>
        <v>-</v>
      </c>
      <c r="AV72" s="14" t="str">
        <f aca="false">IF(AND($H72&lt;&gt;"",$H$73&lt;&gt;"",$H72&lt;&gt;$H$73,IFERROR(VLOOKUP($H72,areaCercaPuntiClassificaSquadra,3,FALSE()),-1)=IFERROR(VLOOKUP($H$73,areaCercaPuntiClassificaSquadra,3,FALSE()),-2)),SUMIFS('Calendario H'!$Q$8:$Q$110,'Calendario H'!$M$8:$M$110,$H72,'Calendario H'!$T$8:$T$110,$H$73)+SUMIFS('Calendario H'!$X$8:$X$110,'Calendario H'!$T$8:$T$110,$H72,'Calendario H'!$M$8:$M$110,$H$73),"-")</f>
        <v>-</v>
      </c>
      <c r="AW72" s="14" t="str">
        <f aca="false">IF(AND($H72&lt;&gt;"",$H$74&lt;&gt;"",$H72&lt;&gt;$H$74,IFERROR(VLOOKUP($H72,areaCercaPuntiClassificaSquadra,3,FALSE()),-1)=IFERROR(VLOOKUP($H$74,areaCercaPuntiClassificaSquadra,3,FALSE()),-2)),SUMIFS('Calendario H'!$Q$8:$Q$110,'Calendario H'!$M$8:$M$110,$H72,'Calendario H'!$T$8:$T$110,$H$74)+SUMIFS('Calendario H'!$X$8:$X$110,'Calendario H'!$T$8:$T$110,$H72,'Calendario H'!$M$8:$M$110,$H$74),"-")</f>
        <v>-</v>
      </c>
      <c r="AX72" s="14" t="str">
        <f aca="false">IF(AND($H72&lt;&gt;"",$H$75&lt;&gt;"",$H72&lt;&gt;$H$75,IFERROR(VLOOKUP($H72,areaCercaPuntiClassificaSquadra,3,FALSE()),-1)=IFERROR(VLOOKUP($H$75,areaCercaPuntiClassificaSquadra,3,FALSE()),-2)),SUMIFS('Calendario H'!$Q$8:$Q$110,'Calendario H'!$M$8:$M$110,$H72,'Calendario H'!$T$8:$T$110,$H$75)+SUMIFS('Calendario H'!$X$8:$X$110,'Calendario H'!$T$8:$T$110,$H72,'Calendario H'!$M$8:$M$110,$H$75),"-")</f>
        <v>-</v>
      </c>
      <c r="AY72" s="13" t="str">
        <f aca="false">$C72</f>
        <v>Aquile Audaci-Aquileopoli AE</v>
      </c>
      <c r="AZ72" s="14" t="str">
        <f aca="false">IF(AND($H72&lt;&gt;"",$H$68&lt;&gt;"",$H72&lt;&gt;$H$68,IFERROR(VLOOKUP($H72,areaCercaPuntiClassificaSquadra,3,FALSE()),-1)=IFERROR(VLOOKUP($H$68,areaCercaPuntiClassificaSquadra,3,FALSE()),-2)),SUMIFS('Calendario H'!$R$8:$R$110,'Calendario H'!$M$8:$M$110,$H72,'Calendario H'!$T$8:$T$110,$H$68)+SUMIFS('Calendario H'!$Y$8:$Y$110,'Calendario H'!$T$8:$T$110,$H72,'Calendario H'!$M$8:$M$110,$H$68),"-")</f>
        <v>-</v>
      </c>
      <c r="BA72" s="14" t="str">
        <f aca="false">IF(AND($H72&lt;&gt;"",$H$69&lt;&gt;"",$H72&lt;&gt;$H$69,IFERROR(VLOOKUP($H72,areaCercaPuntiClassificaSquadra,3,FALSE()),-1)=IFERROR(VLOOKUP($H$69,areaCercaPuntiClassificaSquadra,3,FALSE()),-2)),SUMIFS('Calendario H'!$R$8:$R$110,'Calendario H'!$M$8:$M$110,$H72,'Calendario H'!$T$8:$T$110,$H$69)+SUMIFS('Calendario H'!$Y$8:$Y$110,'Calendario H'!$T$8:$T$110,$H72,'Calendario H'!$M$8:$M$110,$H$69),"-")</f>
        <v>-</v>
      </c>
      <c r="BB72" s="14" t="str">
        <f aca="false">IF(AND($H72&lt;&gt;"",$H$70&lt;&gt;"",$H72&lt;&gt;$H$70,IFERROR(VLOOKUP($H72,areaCercaPuntiClassificaSquadra,3,FALSE()),-1)=IFERROR(VLOOKUP($H$70,areaCercaPuntiClassificaSquadra,3,FALSE()),-2)),SUMIFS('Calendario H'!$R$8:$R$110,'Calendario H'!$M$8:$M$110,$H72,'Calendario H'!$T$8:$T$110,$H$70)+SUMIFS('Calendario H'!$Y$8:$Y$110,'Calendario H'!$T$8:$T$110,$H72,'Calendario H'!$M$8:$M$110,$H$70),"-")</f>
        <v>-</v>
      </c>
      <c r="BC72" s="14" t="str">
        <f aca="false">IF(AND($H72&lt;&gt;"",$H$71&lt;&gt;"",$H72&lt;&gt;$H$71,IFERROR(VLOOKUP($H72,areaCercaPuntiClassificaSquadra,3,FALSE()),-1)=IFERROR(VLOOKUP($H$71,areaCercaPuntiClassificaSquadra,3,FALSE()),-2)),SUMIFS('Calendario H'!$R$8:$R$110,'Calendario H'!$M$8:$M$110,$H72,'Calendario H'!$T$8:$T$110,$H$71)+SUMIFS('Calendario H'!$Y$8:$Y$110,'Calendario H'!$T$8:$T$110,$H72,'Calendario H'!$M$8:$M$110,$H$71),"-")</f>
        <v>-</v>
      </c>
      <c r="BD72" s="14" t="str">
        <f aca="false">IF(AND($H72&lt;&gt;"",$H$72&lt;&gt;"",$H72&lt;&gt;$H$72,IFERROR(VLOOKUP($H72,areaCercaPuntiClassificaSquadra,3,FALSE()),-1)=IFERROR(VLOOKUP($H$72,areaCercaPuntiClassificaSquadra,3,FALSE()),-2)),SUMIFS('Calendario H'!$R$8:$R$110,'Calendario H'!$M$8:$M$110,$H72,'Calendario H'!$T$8:$T$110,$H$72)+SUMIFS('Calendario H'!$Y$8:$Y$110,'Calendario H'!$T$8:$T$110,$H72,'Calendario H'!$M$8:$M$110,$H$72),"-")</f>
        <v>-</v>
      </c>
      <c r="BE72" s="14" t="str">
        <f aca="false">IF(AND($H72&lt;&gt;"",$H$73&lt;&gt;"",$H72&lt;&gt;$H$73,IFERROR(VLOOKUP($H72,areaCercaPuntiClassificaSquadra,3,FALSE()),-1)=IFERROR(VLOOKUP($H$73,areaCercaPuntiClassificaSquadra,3,FALSE()),-2)),SUMIFS('Calendario H'!$R$8:$R$110,'Calendario H'!$M$8:$M$110,$H72,'Calendario H'!$T$8:$T$110,$H$73)+SUMIFS('Calendario H'!$Y$8:$Y$110,'Calendario H'!$T$8:$T$110,$H72,'Calendario H'!$M$8:$M$110,$H$73),"-")</f>
        <v>-</v>
      </c>
      <c r="BF72" s="14" t="str">
        <f aca="false">IF(AND($H72&lt;&gt;"",$H$74&lt;&gt;"",$H72&lt;&gt;$H$74,IFERROR(VLOOKUP($H72,areaCercaPuntiClassificaSquadra,3,FALSE()),-1)=IFERROR(VLOOKUP($H$74,areaCercaPuntiClassificaSquadra,3,FALSE()),-2)),SUMIFS('Calendario H'!$R$8:$R$110,'Calendario H'!$M$8:$M$110,$H72,'Calendario H'!$T$8:$T$110,$H$74)+SUMIFS('Calendario H'!$Y$8:$Y$110,'Calendario H'!$T$8:$T$110,$H72,'Calendario H'!$M$8:$M$110,$H$74),"-")</f>
        <v>-</v>
      </c>
      <c r="BG72" s="14" t="str">
        <f aca="false">IF(AND($H72&lt;&gt;"",$H$75&lt;&gt;"",$H72&lt;&gt;$H$75,IFERROR(VLOOKUP($H72,areaCercaPuntiClassificaSquadra,3,FALSE()),-1)=IFERROR(VLOOKUP($H$75,areaCercaPuntiClassificaSquadra,3,FALSE()),-2)),SUMIFS('Calendario H'!$R$8:$R$110,'Calendario H'!$M$8:$M$110,$H72,'Calendario H'!$T$8:$T$110,$H$75)+SUMIFS('Calendario H'!$Y$8:$Y$110,'Calendario H'!$T$8:$T$110,$H72,'Calendario H'!$M$8:$M$110,$H$75),"-")</f>
        <v>-</v>
      </c>
    </row>
    <row r="73" customFormat="false" ht="15" hidden="false" customHeight="false" outlineLevel="0" collapsed="false">
      <c r="B73" s="7" t="s">
        <v>177</v>
      </c>
      <c r="C73" s="8" t="s">
        <v>178</v>
      </c>
      <c r="D73" s="9"/>
      <c r="E73" s="27" t="s">
        <v>168</v>
      </c>
      <c r="G73" s="28" t="str">
        <f aca="false">IF($C73="","",$E73&amp;(COUNTIFS(I$12:I$75,"&gt;"&amp;I73,E$12:E$75,"="&amp;E73,C$12:C$75,"&lt;&gt;")+COUNTIFS(I$12:I$75,"="&amp;I73,H$12:H$75,"&lt;="&amp;H73,E$12:E$75,"="&amp;E73,C$12:C$75,"&lt;&gt;")))</f>
        <v>H8</v>
      </c>
      <c r="H73" s="12" t="str">
        <f aca="false">IF($C73="","",IFERROR(LEFT($C73,FIND("-",$C73)-1),$C73))</f>
        <v>Bradipi Brillanti</v>
      </c>
      <c r="I73" s="7" t="str">
        <f aca="false">TEXT(1000000000+J73,"|0000000000|")&amp;TEXT(SUM(Y73:AF73),"0000000000|")&amp;IF(SUM(AZ73:BG73)=0,"0000000000|",TEXT(ROUND(SUM(AQ73:AX73)/SUM(AZ73:BG73),4)*100000,"0000000000|"))&amp;IF(P73=0,"0000000000|",TEXT(ROUND(O73/P73,4)*100000,"0000000000|"))</f>
        <v>|1000000009|0000000000|0000077420|0000078540|</v>
      </c>
      <c r="J73" s="28" t="n">
        <f aca="false">L73*constPuntiVittoria+M73*constPuntiSconfitta+N73*constPuntiForfait+IF(D73="",0,D73)</f>
        <v>9</v>
      </c>
      <c r="K73" s="7" t="n">
        <f aca="false">SUM(L73:N73)</f>
        <v>7</v>
      </c>
      <c r="L73" s="7" t="n">
        <f aca="false">IF($H73="",0,SUMIF('Calendario H'!$M$8:$M$110,$H73,'Calendario H'!$N$8:$N$110)+SUMIF('Calendario H'!$T$8:$T$110,$H73,'Calendario H'!$U$8:$U$110))</f>
        <v>1</v>
      </c>
      <c r="M73" s="7" t="n">
        <f aca="false">IF($H73="",0,SUMIF('Calendario H'!$M$8:$M$110,$H73,'Calendario H'!$P$8:$P$110)+SUMIF('Calendario H'!$T$8:$T$110,$H73,'Calendario H'!$W$8:$W$110))</f>
        <v>6</v>
      </c>
      <c r="N73" s="7" t="n">
        <f aca="false">IF($H73="",0,SUMIF('Calendario H'!$M$8:$M$110,$H73,'Calendario H'!$O$8:$O$110)+SUMIF('Calendario H'!$T$8:$T$110,$H73,'Calendario H'!$V$8:$V$110))</f>
        <v>0</v>
      </c>
      <c r="O73" s="7" t="n">
        <f aca="false">IF($H73="",0,SUMIF('Calendario H'!$M$8:$M$110,$H73,'Calendario H'!$Q$8:$Q$110)+SUMIF('Calendario H'!$T$8:$T$110,$H73,'Calendario H'!$X$8:$X$110))</f>
        <v>399</v>
      </c>
      <c r="P73" s="7" t="n">
        <f aca="false">IF($H73="",0,SUMIF('Calendario H'!$M$8:$M$110,$H73,'Calendario H'!$R$8:$R$110)+SUMIF('Calendario H'!$T$8:$T$110,$H73,'Calendario H'!$Y$8:$Y$110))</f>
        <v>508</v>
      </c>
      <c r="Q73" s="7" t="n">
        <f aca="false">IF($H73="",0,SUMIF('Calendario H'!$M$8:$M$110,$H73,'Calendario H'!$S$8:$S$110)+SUMIF('Calendario H'!$T$8:$T$110,$H73,'Calendario H'!$Z$8:$Z$110))</f>
        <v>-109</v>
      </c>
      <c r="R73" s="7" t="n">
        <f aca="false">IF(K73=0,0,ROUND(O73/K73,2))</f>
        <v>57</v>
      </c>
      <c r="S73" s="7" t="n">
        <f aca="false">IF(K73=0,0,ROUND(P73/K73,2))</f>
        <v>72.57</v>
      </c>
      <c r="T73" s="7" t="n">
        <f aca="false">IF(K73=0,0,ROUND(Q73/K73,2))</f>
        <v>-15.57</v>
      </c>
      <c r="U73" s="7" t="str">
        <f aca="false">IF(COUNT(Y73:AF73)=0,"-",SUM(Y73:AF73)&amp;"-"&amp;SUM(AH73:AO73))</f>
        <v>0-1</v>
      </c>
      <c r="V73" s="7" t="str">
        <f aca="false">IF(COUNT(Y73:AF73)=0,"-",IF(SUM(AZ73:BG73)=0,TEXT(0,"0.0000"),TEXT(ROUND(SUM(AQ73:AX73)/SUM(AZ73:BG73),4),"0.0000")))</f>
        <v>0.7742</v>
      </c>
      <c r="W73" s="7" t="str">
        <f aca="false">IF(H73="","-",IF(P73=0,TEXT(0,"0.0000"),TEXT(ROUND(O73/P73,4),"0.0000")))</f>
        <v>0.7854</v>
      </c>
      <c r="X73" s="13" t="str">
        <f aca="false">$C73</f>
        <v>Bradipi Brillanti-Bradipiopoli BI</v>
      </c>
      <c r="Y73" s="14" t="str">
        <f aca="false">IF(AND($H73&lt;&gt;"",$H$68&lt;&gt;"",$H73&lt;&gt;$H$68,IFERROR(VLOOKUP($H73,areaCercaPuntiClassificaSquadra,3,FALSE()),-1)=IFERROR(VLOOKUP($H$68,areaCercaPuntiClassificaSquadra,3,FALSE()),-2)),SUMIFS('Calendario H'!$N$8:$N$110,'Calendario H'!$M$8:$M$110,$H73,'Calendario H'!$T$8:$T$110,$H$68)+SUMIFS('Calendario H'!$U$8:$U$110,'Calendario H'!$T$8:$T$110,$H73,'Calendario H'!$M$8:$M$110,$H$68),"-")</f>
        <v>-</v>
      </c>
      <c r="Z73" s="14" t="str">
        <f aca="false">IF(AND($H73&lt;&gt;"",$H$69&lt;&gt;"",$H73&lt;&gt;$H$69,IFERROR(VLOOKUP($H73,areaCercaPuntiClassificaSquadra,3,FALSE()),-1)=IFERROR(VLOOKUP($H$69,areaCercaPuntiClassificaSquadra,3,FALSE()),-2)),SUMIFS('Calendario H'!$N$8:$N$110,'Calendario H'!$M$8:$M$110,$H73,'Calendario H'!$T$8:$T$110,$H$69)+SUMIFS('Calendario H'!$U$8:$U$110,'Calendario H'!$T$8:$T$110,$H73,'Calendario H'!$M$8:$M$110,$H$69),"-")</f>
        <v>-</v>
      </c>
      <c r="AA73" s="14" t="str">
        <f aca="false">IF(AND($H73&lt;&gt;"",$H$70&lt;&gt;"",$H73&lt;&gt;$H$70,IFERROR(VLOOKUP($H73,areaCercaPuntiClassificaSquadra,3,FALSE()),-1)=IFERROR(VLOOKUP($H$70,areaCercaPuntiClassificaSquadra,3,FALSE()),-2)),SUMIFS('Calendario H'!$N$8:$N$110,'Calendario H'!$M$8:$M$110,$H73,'Calendario H'!$T$8:$T$110,$H$70)+SUMIFS('Calendario H'!$U$8:$U$110,'Calendario H'!$T$8:$T$110,$H73,'Calendario H'!$M$8:$M$110,$H$70),"-")</f>
        <v>-</v>
      </c>
      <c r="AB73" s="14" t="str">
        <f aca="false">IF(AND($H73&lt;&gt;"",$H$71&lt;&gt;"",$H73&lt;&gt;$H$71,IFERROR(VLOOKUP($H73,areaCercaPuntiClassificaSquadra,3,FALSE()),-1)=IFERROR(VLOOKUP($H$71,areaCercaPuntiClassificaSquadra,3,FALSE()),-2)),SUMIFS('Calendario H'!$N$8:$N$110,'Calendario H'!$M$8:$M$110,$H73,'Calendario H'!$T$8:$T$110,$H$71)+SUMIFS('Calendario H'!$U$8:$U$110,'Calendario H'!$T$8:$T$110,$H73,'Calendario H'!$M$8:$M$110,$H$71),"-")</f>
        <v>-</v>
      </c>
      <c r="AC73" s="14" t="str">
        <f aca="false">IF(AND($H73&lt;&gt;"",$H$72&lt;&gt;"",$H73&lt;&gt;$H$72,IFERROR(VLOOKUP($H73,areaCercaPuntiClassificaSquadra,3,FALSE()),-1)=IFERROR(VLOOKUP($H$72,areaCercaPuntiClassificaSquadra,3,FALSE()),-2)),SUMIFS('Calendario H'!$N$8:$N$110,'Calendario H'!$M$8:$M$110,$H73,'Calendario H'!$T$8:$T$110,$H$72)+SUMIFS('Calendario H'!$U$8:$U$110,'Calendario H'!$T$8:$T$110,$H73,'Calendario H'!$M$8:$M$110,$H$72),"-")</f>
        <v>-</v>
      </c>
      <c r="AD73" s="14" t="str">
        <f aca="false">IF(AND($H73&lt;&gt;"",$H$73&lt;&gt;"",$H73&lt;&gt;$H$73,IFERROR(VLOOKUP($H73,areaCercaPuntiClassificaSquadra,3,FALSE()),-1)=IFERROR(VLOOKUP($H$73,areaCercaPuntiClassificaSquadra,3,FALSE()),-2)),SUMIFS('Calendario H'!$N$8:$N$110,'Calendario H'!$M$8:$M$110,$H73,'Calendario H'!$T$8:$T$110,$H$73)+SUMIFS('Calendario H'!$U$8:$U$110,'Calendario H'!$T$8:$T$110,$H73,'Calendario H'!$M$8:$M$110,$H$73),"-")</f>
        <v>-</v>
      </c>
      <c r="AE73" s="14" t="n">
        <f aca="false">IF(AND($H73&lt;&gt;"",$H$74&lt;&gt;"",$H73&lt;&gt;$H$74,IFERROR(VLOOKUP($H73,areaCercaPuntiClassificaSquadra,3,FALSE()),-1)=IFERROR(VLOOKUP($H$74,areaCercaPuntiClassificaSquadra,3,FALSE()),-2)),SUMIFS('Calendario H'!$N$8:$N$110,'Calendario H'!$M$8:$M$110,$H73,'Calendario H'!$T$8:$T$110,$H$74)+SUMIFS('Calendario H'!$U$8:$U$110,'Calendario H'!$T$8:$T$110,$H73,'Calendario H'!$M$8:$M$110,$H$74),"-")</f>
        <v>0</v>
      </c>
      <c r="AF73" s="14" t="str">
        <f aca="false">IF(AND($H73&lt;&gt;"",$H$75&lt;&gt;"",$H73&lt;&gt;$H$75,IFERROR(VLOOKUP($H73,areaCercaPuntiClassificaSquadra,3,FALSE()),-1)=IFERROR(VLOOKUP($H$75,areaCercaPuntiClassificaSquadra,3,FALSE()),-2)),SUMIFS('Calendario H'!$N$8:$N$110,'Calendario H'!$M$8:$M$110,$H73,'Calendario H'!$T$8:$T$110,$H$75)+SUMIFS('Calendario H'!$U$8:$U$110,'Calendario H'!$T$8:$T$110,$H73,'Calendario H'!$M$8:$M$110,$H$75),"-")</f>
        <v>-</v>
      </c>
      <c r="AG73" s="13" t="str">
        <f aca="false">$C73</f>
        <v>Bradipi Brillanti-Bradipiopoli BI</v>
      </c>
      <c r="AH73" s="14" t="str">
        <f aca="false">IF(AND($H73&lt;&gt;"",$H$68&lt;&gt;"",$H73&lt;&gt;$H$68,IFERROR(VLOOKUP($H73,areaCercaPuntiClassificaSquadra,3,FALSE()),-1)=IFERROR(VLOOKUP($H$68,areaCercaPuntiClassificaSquadra,3,FALSE()),-2)),SUMIFS('Calendario H'!$P$8:$P$110,'Calendario H'!$M$8:$M$110,$H73,'Calendario H'!$T$8:$T$110,$H$68)+SUMIFS('Calendario H'!$W$8:$W$110,'Calendario H'!$T$8:$T$110,$H73,'Calendario H'!$M$8:$M$110,$H$68)+SUMIFS('Calendario H'!$O$8:$O$110,'Calendario H'!$M$8:$M$110,$H73,'Calendario H'!$T$8:$T$110,$H$68)+SUMIFS('Calendario H'!$V$8:$V$110,'Calendario H'!$T$8:$T$110,$H73,'Calendario H'!$M$8:$M$110,$H$68),"-")</f>
        <v>-</v>
      </c>
      <c r="AI73" s="14" t="str">
        <f aca="false">IF(AND($H73&lt;&gt;"",$H$69&lt;&gt;"",$H73&lt;&gt;$H$69,IFERROR(VLOOKUP($H73,areaCercaPuntiClassificaSquadra,3,FALSE()),-1)=IFERROR(VLOOKUP($H$69,areaCercaPuntiClassificaSquadra,3,FALSE()),-2)),SUMIFS('Calendario H'!$P$8:$P$110,'Calendario H'!$M$8:$M$110,$H73,'Calendario H'!$T$8:$T$110,$H$69)+SUMIFS('Calendario H'!$W$8:$W$110,'Calendario H'!$T$8:$T$110,$H73,'Calendario H'!$M$8:$M$110,$H$69)+SUMIFS('Calendario H'!$O$8:$O$110,'Calendario H'!$M$8:$M$110,$H73,'Calendario H'!$T$8:$T$110,$H$69)+SUMIFS('Calendario H'!$V$8:$V$110,'Calendario H'!$T$8:$T$110,$H73,'Calendario H'!$M$8:$M$110,$H$69),"-")</f>
        <v>-</v>
      </c>
      <c r="AJ73" s="14" t="str">
        <f aca="false">IF(AND($H73&lt;&gt;"",$H$70&lt;&gt;"",$H73&lt;&gt;$H$70,IFERROR(VLOOKUP($H73,areaCercaPuntiClassificaSquadra,3,FALSE()),-1)=IFERROR(VLOOKUP($H$70,areaCercaPuntiClassificaSquadra,3,FALSE()),-2)),SUMIFS('Calendario H'!$P$8:$P$110,'Calendario H'!$M$8:$M$110,$H73,'Calendario H'!$T$8:$T$110,$H$70)+SUMIFS('Calendario H'!$W$8:$W$110,'Calendario H'!$T$8:$T$110,$H73,'Calendario H'!$M$8:$M$110,$H$70)+SUMIFS('Calendario H'!$O$8:$O$110,'Calendario H'!$M$8:$M$110,$H73,'Calendario H'!$T$8:$T$110,$H$70)+SUMIFS('Calendario H'!$V$8:$V$110,'Calendario H'!$T$8:$T$110,$H73,'Calendario H'!$M$8:$M$110,$H$70),"-")</f>
        <v>-</v>
      </c>
      <c r="AK73" s="14" t="str">
        <f aca="false">IF(AND($H73&lt;&gt;"",$H$71&lt;&gt;"",$H73&lt;&gt;$H$71,IFERROR(VLOOKUP($H73,areaCercaPuntiClassificaSquadra,3,FALSE()),-1)=IFERROR(VLOOKUP($H$71,areaCercaPuntiClassificaSquadra,3,FALSE()),-2)),SUMIFS('Calendario H'!$P$8:$P$110,'Calendario H'!$M$8:$M$110,$H73,'Calendario H'!$T$8:$T$110,$H$71)+SUMIFS('Calendario H'!$W$8:$W$110,'Calendario H'!$T$8:$T$110,$H73,'Calendario H'!$M$8:$M$110,$H$71)+SUMIFS('Calendario H'!$O$8:$O$110,'Calendario H'!$M$8:$M$110,$H73,'Calendario H'!$T$8:$T$110,$H$71)+SUMIFS('Calendario H'!$V$8:$V$110,'Calendario H'!$T$8:$T$110,$H73,'Calendario H'!$M$8:$M$110,$H$71),"-")</f>
        <v>-</v>
      </c>
      <c r="AL73" s="14" t="str">
        <f aca="false">IF(AND($H73&lt;&gt;"",$H$72&lt;&gt;"",$H73&lt;&gt;$H$72,IFERROR(VLOOKUP($H73,areaCercaPuntiClassificaSquadra,3,FALSE()),-1)=IFERROR(VLOOKUP($H$72,areaCercaPuntiClassificaSquadra,3,FALSE()),-2)),SUMIFS('Calendario H'!$P$8:$P$110,'Calendario H'!$M$8:$M$110,$H73,'Calendario H'!$T$8:$T$110,$H$72)+SUMIFS('Calendario H'!$W$8:$W$110,'Calendario H'!$T$8:$T$110,$H73,'Calendario H'!$M$8:$M$110,$H$72)+SUMIFS('Calendario H'!$O$8:$O$110,'Calendario H'!$M$8:$M$110,$H73,'Calendario H'!$T$8:$T$110,$H$72)+SUMIFS('Calendario H'!$V$8:$V$110,'Calendario H'!$T$8:$T$110,$H73,'Calendario H'!$M$8:$M$110,$H$72),"-")</f>
        <v>-</v>
      </c>
      <c r="AM73" s="14" t="str">
        <f aca="false">IF(AND($H73&lt;&gt;"",$H$73&lt;&gt;"",$H73&lt;&gt;$H$73,IFERROR(VLOOKUP($H73,areaCercaPuntiClassificaSquadra,3,FALSE()),-1)=IFERROR(VLOOKUP($H$73,areaCercaPuntiClassificaSquadra,3,FALSE()),-2)),SUMIFS('Calendario H'!$P$8:$P$110,'Calendario H'!$M$8:$M$110,$H73,'Calendario H'!$T$8:$T$110,$H$73)+SUMIFS('Calendario H'!$W$8:$W$110,'Calendario H'!$T$8:$T$110,$H73,'Calendario H'!$M$8:$M$110,$H$73)+SUMIFS('Calendario H'!$O$8:$O$110,'Calendario H'!$M$8:$M$110,$H73,'Calendario H'!$T$8:$T$110,$H$73)+SUMIFS('Calendario H'!$V$8:$V$110,'Calendario H'!$T$8:$T$110,$H73,'Calendario H'!$M$8:$M$110,$H$73),"-")</f>
        <v>-</v>
      </c>
      <c r="AN73" s="14" t="n">
        <f aca="false">IF(AND($H73&lt;&gt;"",$H$74&lt;&gt;"",$H73&lt;&gt;$H$74,IFERROR(VLOOKUP($H73,areaCercaPuntiClassificaSquadra,3,FALSE()),-1)=IFERROR(VLOOKUP($H$74,areaCercaPuntiClassificaSquadra,3,FALSE()),-2)),SUMIFS('Calendario H'!$P$8:$P$110,'Calendario H'!$M$8:$M$110,$H73,'Calendario H'!$T$8:$T$110,$H$74)+SUMIFS('Calendario H'!$W$8:$W$110,'Calendario H'!$T$8:$T$110,$H73,'Calendario H'!$M$8:$M$110,$H$74)+SUMIFS('Calendario H'!$O$8:$O$110,'Calendario H'!$M$8:$M$110,$H73,'Calendario H'!$T$8:$T$110,$H$74)+SUMIFS('Calendario H'!$V$8:$V$110,'Calendario H'!$T$8:$T$110,$H73,'Calendario H'!$M$8:$M$110,$H$74),"-")</f>
        <v>1</v>
      </c>
      <c r="AO73" s="14" t="str">
        <f aca="false">IF(AND($H73&lt;&gt;"",$H$75&lt;&gt;"",$H73&lt;&gt;$H$75,IFERROR(VLOOKUP($H73,areaCercaPuntiClassificaSquadra,3,FALSE()),-1)=IFERROR(VLOOKUP($H$75,areaCercaPuntiClassificaSquadra,3,FALSE()),-2)),SUMIFS('Calendario H'!$P$8:$P$110,'Calendario H'!$M$8:$M$110,$H73,'Calendario H'!$T$8:$T$110,$H$75)+SUMIFS('Calendario H'!$W$8:$W$110,'Calendario H'!$T$8:$T$110,$H73,'Calendario H'!$M$8:$M$110,$H$75)+SUMIFS('Calendario H'!$O$8:$O$110,'Calendario H'!$M$8:$M$110,$H73,'Calendario H'!$T$8:$T$110,$H$75)+SUMIFS('Calendario H'!$V$8:$V$110,'Calendario H'!$T$8:$T$110,$H73,'Calendario H'!$M$8:$M$110,$H$75),"-")</f>
        <v>-</v>
      </c>
      <c r="AP73" s="13" t="str">
        <f aca="false">$C73</f>
        <v>Bradipi Brillanti-Bradipiopoli BI</v>
      </c>
      <c r="AQ73" s="14" t="str">
        <f aca="false">IF(AND($H73&lt;&gt;"",$H$68&lt;&gt;"",$H73&lt;&gt;$H$68,IFERROR(VLOOKUP($H73,areaCercaPuntiClassificaSquadra,3,FALSE()),-1)=IFERROR(VLOOKUP($H$68,areaCercaPuntiClassificaSquadra,3,FALSE()),-2)),SUMIFS('Calendario H'!$Q$8:$Q$110,'Calendario H'!$M$8:$M$110,$H73,'Calendario H'!$T$8:$T$110,$H$68)+SUMIFS('Calendario H'!$X$8:$X$110,'Calendario H'!$T$8:$T$110,$H73,'Calendario H'!$M$8:$M$110,$H$68),"-")</f>
        <v>-</v>
      </c>
      <c r="AR73" s="14" t="str">
        <f aca="false">IF(AND($H73&lt;&gt;"",$H$69&lt;&gt;"",$H73&lt;&gt;$H$69,IFERROR(VLOOKUP($H73,areaCercaPuntiClassificaSquadra,3,FALSE()),-1)=IFERROR(VLOOKUP($H$69,areaCercaPuntiClassificaSquadra,3,FALSE()),-2)),SUMIFS('Calendario H'!$Q$8:$Q$110,'Calendario H'!$M$8:$M$110,$H73,'Calendario H'!$T$8:$T$110,$H$69)+SUMIFS('Calendario H'!$X$8:$X$110,'Calendario H'!$T$8:$T$110,$H73,'Calendario H'!$M$8:$M$110,$H$69),"-")</f>
        <v>-</v>
      </c>
      <c r="AS73" s="14" t="str">
        <f aca="false">IF(AND($H73&lt;&gt;"",$H$70&lt;&gt;"",$H73&lt;&gt;$H$70,IFERROR(VLOOKUP($H73,areaCercaPuntiClassificaSquadra,3,FALSE()),-1)=IFERROR(VLOOKUP($H$70,areaCercaPuntiClassificaSquadra,3,FALSE()),-2)),SUMIFS('Calendario H'!$Q$8:$Q$110,'Calendario H'!$M$8:$M$110,$H73,'Calendario H'!$T$8:$T$110,$H$70)+SUMIFS('Calendario H'!$X$8:$X$110,'Calendario H'!$T$8:$T$110,$H73,'Calendario H'!$M$8:$M$110,$H$70),"-")</f>
        <v>-</v>
      </c>
      <c r="AT73" s="14" t="str">
        <f aca="false">IF(AND($H73&lt;&gt;"",$H$71&lt;&gt;"",$H73&lt;&gt;$H$71,IFERROR(VLOOKUP($H73,areaCercaPuntiClassificaSquadra,3,FALSE()),-1)=IFERROR(VLOOKUP($H$71,areaCercaPuntiClassificaSquadra,3,FALSE()),-2)),SUMIFS('Calendario H'!$Q$8:$Q$110,'Calendario H'!$M$8:$M$110,$H73,'Calendario H'!$T$8:$T$110,$H$71)+SUMIFS('Calendario H'!$X$8:$X$110,'Calendario H'!$T$8:$T$110,$H73,'Calendario H'!$M$8:$M$110,$H$71),"-")</f>
        <v>-</v>
      </c>
      <c r="AU73" s="14" t="str">
        <f aca="false">IF(AND($H73&lt;&gt;"",$H$72&lt;&gt;"",$H73&lt;&gt;$H$72,IFERROR(VLOOKUP($H73,areaCercaPuntiClassificaSquadra,3,FALSE()),-1)=IFERROR(VLOOKUP($H$72,areaCercaPuntiClassificaSquadra,3,FALSE()),-2)),SUMIFS('Calendario H'!$Q$8:$Q$110,'Calendario H'!$M$8:$M$110,$H73,'Calendario H'!$T$8:$T$110,$H$72)+SUMIFS('Calendario H'!$X$8:$X$110,'Calendario H'!$T$8:$T$110,$H73,'Calendario H'!$M$8:$M$110,$H$72),"-")</f>
        <v>-</v>
      </c>
      <c r="AV73" s="14" t="str">
        <f aca="false">IF(AND($H73&lt;&gt;"",$H$73&lt;&gt;"",$H73&lt;&gt;$H$73,IFERROR(VLOOKUP($H73,areaCercaPuntiClassificaSquadra,3,FALSE()),-1)=IFERROR(VLOOKUP($H$73,areaCercaPuntiClassificaSquadra,3,FALSE()),-2)),SUMIFS('Calendario H'!$Q$8:$Q$110,'Calendario H'!$M$8:$M$110,$H73,'Calendario H'!$T$8:$T$110,$H$73)+SUMIFS('Calendario H'!$X$8:$X$110,'Calendario H'!$T$8:$T$110,$H73,'Calendario H'!$M$8:$M$110,$H$73),"-")</f>
        <v>-</v>
      </c>
      <c r="AW73" s="14" t="n">
        <f aca="false">IF(AND($H73&lt;&gt;"",$H$74&lt;&gt;"",$H73&lt;&gt;$H$74,IFERROR(VLOOKUP($H73,areaCercaPuntiClassificaSquadra,3,FALSE()),-1)=IFERROR(VLOOKUP($H$74,areaCercaPuntiClassificaSquadra,3,FALSE()),-2)),SUMIFS('Calendario H'!$Q$8:$Q$110,'Calendario H'!$M$8:$M$110,$H73,'Calendario H'!$T$8:$T$110,$H$74)+SUMIFS('Calendario H'!$X$8:$X$110,'Calendario H'!$T$8:$T$110,$H73,'Calendario H'!$M$8:$M$110,$H$74),"-")</f>
        <v>48</v>
      </c>
      <c r="AX73" s="14" t="str">
        <f aca="false">IF(AND($H73&lt;&gt;"",$H$75&lt;&gt;"",$H73&lt;&gt;$H$75,IFERROR(VLOOKUP($H73,areaCercaPuntiClassificaSquadra,3,FALSE()),-1)=IFERROR(VLOOKUP($H$75,areaCercaPuntiClassificaSquadra,3,FALSE()),-2)),SUMIFS('Calendario H'!$Q$8:$Q$110,'Calendario H'!$M$8:$M$110,$H73,'Calendario H'!$T$8:$T$110,$H$75)+SUMIFS('Calendario H'!$X$8:$X$110,'Calendario H'!$T$8:$T$110,$H73,'Calendario H'!$M$8:$M$110,$H$75),"-")</f>
        <v>-</v>
      </c>
      <c r="AY73" s="13" t="str">
        <f aca="false">$C73</f>
        <v>Bradipi Brillanti-Bradipiopoli BI</v>
      </c>
      <c r="AZ73" s="14" t="str">
        <f aca="false">IF(AND($H73&lt;&gt;"",$H$68&lt;&gt;"",$H73&lt;&gt;$H$68,IFERROR(VLOOKUP($H73,areaCercaPuntiClassificaSquadra,3,FALSE()),-1)=IFERROR(VLOOKUP($H$68,areaCercaPuntiClassificaSquadra,3,FALSE()),-2)),SUMIFS('Calendario H'!$R$8:$R$110,'Calendario H'!$M$8:$M$110,$H73,'Calendario H'!$T$8:$T$110,$H$68)+SUMIFS('Calendario H'!$Y$8:$Y$110,'Calendario H'!$T$8:$T$110,$H73,'Calendario H'!$M$8:$M$110,$H$68),"-")</f>
        <v>-</v>
      </c>
      <c r="BA73" s="14" t="str">
        <f aca="false">IF(AND($H73&lt;&gt;"",$H$69&lt;&gt;"",$H73&lt;&gt;$H$69,IFERROR(VLOOKUP($H73,areaCercaPuntiClassificaSquadra,3,FALSE()),-1)=IFERROR(VLOOKUP($H$69,areaCercaPuntiClassificaSquadra,3,FALSE()),-2)),SUMIFS('Calendario H'!$R$8:$R$110,'Calendario H'!$M$8:$M$110,$H73,'Calendario H'!$T$8:$T$110,$H$69)+SUMIFS('Calendario H'!$Y$8:$Y$110,'Calendario H'!$T$8:$T$110,$H73,'Calendario H'!$M$8:$M$110,$H$69),"-")</f>
        <v>-</v>
      </c>
      <c r="BB73" s="14" t="str">
        <f aca="false">IF(AND($H73&lt;&gt;"",$H$70&lt;&gt;"",$H73&lt;&gt;$H$70,IFERROR(VLOOKUP($H73,areaCercaPuntiClassificaSquadra,3,FALSE()),-1)=IFERROR(VLOOKUP($H$70,areaCercaPuntiClassificaSquadra,3,FALSE()),-2)),SUMIFS('Calendario H'!$R$8:$R$110,'Calendario H'!$M$8:$M$110,$H73,'Calendario H'!$T$8:$T$110,$H$70)+SUMIFS('Calendario H'!$Y$8:$Y$110,'Calendario H'!$T$8:$T$110,$H73,'Calendario H'!$M$8:$M$110,$H$70),"-")</f>
        <v>-</v>
      </c>
      <c r="BC73" s="14" t="str">
        <f aca="false">IF(AND($H73&lt;&gt;"",$H$71&lt;&gt;"",$H73&lt;&gt;$H$71,IFERROR(VLOOKUP($H73,areaCercaPuntiClassificaSquadra,3,FALSE()),-1)=IFERROR(VLOOKUP($H$71,areaCercaPuntiClassificaSquadra,3,FALSE()),-2)),SUMIFS('Calendario H'!$R$8:$R$110,'Calendario H'!$M$8:$M$110,$H73,'Calendario H'!$T$8:$T$110,$H$71)+SUMIFS('Calendario H'!$Y$8:$Y$110,'Calendario H'!$T$8:$T$110,$H73,'Calendario H'!$M$8:$M$110,$H$71),"-")</f>
        <v>-</v>
      </c>
      <c r="BD73" s="14" t="str">
        <f aca="false">IF(AND($H73&lt;&gt;"",$H$72&lt;&gt;"",$H73&lt;&gt;$H$72,IFERROR(VLOOKUP($H73,areaCercaPuntiClassificaSquadra,3,FALSE()),-1)=IFERROR(VLOOKUP($H$72,areaCercaPuntiClassificaSquadra,3,FALSE()),-2)),SUMIFS('Calendario H'!$R$8:$R$110,'Calendario H'!$M$8:$M$110,$H73,'Calendario H'!$T$8:$T$110,$H$72)+SUMIFS('Calendario H'!$Y$8:$Y$110,'Calendario H'!$T$8:$T$110,$H73,'Calendario H'!$M$8:$M$110,$H$72),"-")</f>
        <v>-</v>
      </c>
      <c r="BE73" s="14" t="str">
        <f aca="false">IF(AND($H73&lt;&gt;"",$H$73&lt;&gt;"",$H73&lt;&gt;$H$73,IFERROR(VLOOKUP($H73,areaCercaPuntiClassificaSquadra,3,FALSE()),-1)=IFERROR(VLOOKUP($H$73,areaCercaPuntiClassificaSquadra,3,FALSE()),-2)),SUMIFS('Calendario H'!$R$8:$R$110,'Calendario H'!$M$8:$M$110,$H73,'Calendario H'!$T$8:$T$110,$H$73)+SUMIFS('Calendario H'!$Y$8:$Y$110,'Calendario H'!$T$8:$T$110,$H73,'Calendario H'!$M$8:$M$110,$H$73),"-")</f>
        <v>-</v>
      </c>
      <c r="BF73" s="14" t="n">
        <f aca="false">IF(AND($H73&lt;&gt;"",$H$74&lt;&gt;"",$H73&lt;&gt;$H$74,IFERROR(VLOOKUP($H73,areaCercaPuntiClassificaSquadra,3,FALSE()),-1)=IFERROR(VLOOKUP($H$74,areaCercaPuntiClassificaSquadra,3,FALSE()),-2)),SUMIFS('Calendario H'!$R$8:$R$110,'Calendario H'!$M$8:$M$110,$H73,'Calendario H'!$T$8:$T$110,$H$74)+SUMIFS('Calendario H'!$Y$8:$Y$110,'Calendario H'!$T$8:$T$110,$H73,'Calendario H'!$M$8:$M$110,$H$74),"-")</f>
        <v>62</v>
      </c>
      <c r="BG73" s="14" t="str">
        <f aca="false">IF(AND($H73&lt;&gt;"",$H$75&lt;&gt;"",$H73&lt;&gt;$H$75,IFERROR(VLOOKUP($H73,areaCercaPuntiClassificaSquadra,3,FALSE()),-1)=IFERROR(VLOOKUP($H$75,areaCercaPuntiClassificaSquadra,3,FALSE()),-2)),SUMIFS('Calendario H'!$R$8:$R$110,'Calendario H'!$M$8:$M$110,$H73,'Calendario H'!$T$8:$T$110,$H$75)+SUMIFS('Calendario H'!$Y$8:$Y$110,'Calendario H'!$T$8:$T$110,$H73,'Calendario H'!$M$8:$M$110,$H$75),"-")</f>
        <v>-</v>
      </c>
    </row>
    <row r="74" customFormat="false" ht="15" hidden="false" customHeight="false" outlineLevel="0" collapsed="false">
      <c r="B74" s="7" t="s">
        <v>179</v>
      </c>
      <c r="C74" s="8" t="s">
        <v>180</v>
      </c>
      <c r="D74" s="9"/>
      <c r="E74" s="27" t="s">
        <v>168</v>
      </c>
      <c r="G74" s="28" t="str">
        <f aca="false">IF($C74="","",$E74&amp;(COUNTIFS(I$12:I$75,"&gt;"&amp;I74,E$12:E$75,"="&amp;E74,C$12:C$75,"&lt;&gt;")+COUNTIFS(I$12:I$75,"="&amp;I74,H$12:H$75,"&lt;="&amp;H74,E$12:E$75,"="&amp;E74,C$12:C$75,"&lt;&gt;")))</f>
        <v>H7</v>
      </c>
      <c r="H74" s="12" t="str">
        <f aca="false">IF($C74="","",IFERROR(LEFT($C74,FIND("-",$C74)-1),$C74))</f>
        <v>Castori Cocciuti</v>
      </c>
      <c r="I74" s="7" t="str">
        <f aca="false">TEXT(1000000000+J74,"|0000000000|")&amp;TEXT(SUM(Y74:AF74),"0000000000|")&amp;IF(SUM(AZ74:BG74)=0,"0000000000|",TEXT(ROUND(SUM(AQ74:AX74)/SUM(AZ74:BG74),4)*100000,"0000000000|"))&amp;IF(P74=0,"0000000000|",TEXT(ROUND(O74/P74,4)*100000,"0000000000|"))</f>
        <v>|1000000009|0000000001|0000129170|0000077080|</v>
      </c>
      <c r="J74" s="28" t="n">
        <f aca="false">L74*constPuntiVittoria+M74*constPuntiSconfitta+N74*constPuntiForfait+IF(D74="",0,D74)</f>
        <v>9</v>
      </c>
      <c r="K74" s="7" t="n">
        <f aca="false">SUM(L74:N74)</f>
        <v>7</v>
      </c>
      <c r="L74" s="7" t="n">
        <f aca="false">IF($H74="",0,SUMIF('Calendario H'!$M$8:$M$110,$H74,'Calendario H'!$N$8:$N$110)+SUMIF('Calendario H'!$T$8:$T$110,$H74,'Calendario H'!$U$8:$U$110))</f>
        <v>1</v>
      </c>
      <c r="M74" s="7" t="n">
        <f aca="false">IF($H74="",0,SUMIF('Calendario H'!$M$8:$M$110,$H74,'Calendario H'!$P$8:$P$110)+SUMIF('Calendario H'!$T$8:$T$110,$H74,'Calendario H'!$W$8:$W$110))</f>
        <v>6</v>
      </c>
      <c r="N74" s="7" t="n">
        <f aca="false">IF($H74="",0,SUMIF('Calendario H'!$M$8:$M$110,$H74,'Calendario H'!$O$8:$O$110)+SUMIF('Calendario H'!$T$8:$T$110,$H74,'Calendario H'!$V$8:$V$110))</f>
        <v>0</v>
      </c>
      <c r="O74" s="7" t="n">
        <f aca="false">IF($H74="",0,SUMIF('Calendario H'!$M$8:$M$110,$H74,'Calendario H'!$Q$8:$Q$110)+SUMIF('Calendario H'!$T$8:$T$110,$H74,'Calendario H'!$X$8:$X$110))</f>
        <v>370</v>
      </c>
      <c r="P74" s="7" t="n">
        <f aca="false">IF($H74="",0,SUMIF('Calendario H'!$M$8:$M$110,$H74,'Calendario H'!$R$8:$R$110)+SUMIF('Calendario H'!$T$8:$T$110,$H74,'Calendario H'!$Y$8:$Y$110))</f>
        <v>480</v>
      </c>
      <c r="Q74" s="7" t="n">
        <f aca="false">IF($H74="",0,SUMIF('Calendario H'!$M$8:$M$110,$H74,'Calendario H'!$S$8:$S$110)+SUMIF('Calendario H'!$T$8:$T$110,$H74,'Calendario H'!$Z$8:$Z$110))</f>
        <v>-110</v>
      </c>
      <c r="R74" s="7" t="n">
        <f aca="false">IF(K74=0,0,ROUND(O74/K74,2))</f>
        <v>52.86</v>
      </c>
      <c r="S74" s="7" t="n">
        <f aca="false">IF(K74=0,0,ROUND(P74/K74,2))</f>
        <v>68.57</v>
      </c>
      <c r="T74" s="7" t="n">
        <f aca="false">IF(K74=0,0,ROUND(Q74/K74,2))</f>
        <v>-15.71</v>
      </c>
      <c r="U74" s="7" t="str">
        <f aca="false">IF(COUNT(Y74:AF74)=0,"-",SUM(Y74:AF74)&amp;"-"&amp;SUM(AH74:AO74))</f>
        <v>1-0</v>
      </c>
      <c r="V74" s="7" t="str">
        <f aca="false">IF(COUNT(Y74:AF74)=0,"-",IF(SUM(AZ74:BG74)=0,TEXT(0,"0.0000"),TEXT(ROUND(SUM(AQ74:AX74)/SUM(AZ74:BG74),4),"0.0000")))</f>
        <v>1.2917</v>
      </c>
      <c r="W74" s="7" t="str">
        <f aca="false">IF(H74="","-",IF(P74=0,TEXT(0,"0.0000"),TEXT(ROUND(O74/P74,4),"0.0000")))</f>
        <v>0.7708</v>
      </c>
      <c r="X74" s="13" t="str">
        <f aca="false">$C74</f>
        <v>Castori Cocciuti-Castoriopoli CI</v>
      </c>
      <c r="Y74" s="14" t="str">
        <f aca="false">IF(AND($H74&lt;&gt;"",$H$68&lt;&gt;"",$H74&lt;&gt;$H$68,IFERROR(VLOOKUP($H74,areaCercaPuntiClassificaSquadra,3,FALSE()),-1)=IFERROR(VLOOKUP($H$68,areaCercaPuntiClassificaSquadra,3,FALSE()),-2)),SUMIFS('Calendario H'!$N$8:$N$110,'Calendario H'!$M$8:$M$110,$H74,'Calendario H'!$T$8:$T$110,$H$68)+SUMIFS('Calendario H'!$U$8:$U$110,'Calendario H'!$T$8:$T$110,$H74,'Calendario H'!$M$8:$M$110,$H$68),"-")</f>
        <v>-</v>
      </c>
      <c r="Z74" s="14" t="str">
        <f aca="false">IF(AND($H74&lt;&gt;"",$H$69&lt;&gt;"",$H74&lt;&gt;$H$69,IFERROR(VLOOKUP($H74,areaCercaPuntiClassificaSquadra,3,FALSE()),-1)=IFERROR(VLOOKUP($H$69,areaCercaPuntiClassificaSquadra,3,FALSE()),-2)),SUMIFS('Calendario H'!$N$8:$N$110,'Calendario H'!$M$8:$M$110,$H74,'Calendario H'!$T$8:$T$110,$H$69)+SUMIFS('Calendario H'!$U$8:$U$110,'Calendario H'!$T$8:$T$110,$H74,'Calendario H'!$M$8:$M$110,$H$69),"-")</f>
        <v>-</v>
      </c>
      <c r="AA74" s="14" t="str">
        <f aca="false">IF(AND($H74&lt;&gt;"",$H$70&lt;&gt;"",$H74&lt;&gt;$H$70,IFERROR(VLOOKUP($H74,areaCercaPuntiClassificaSquadra,3,FALSE()),-1)=IFERROR(VLOOKUP($H$70,areaCercaPuntiClassificaSquadra,3,FALSE()),-2)),SUMIFS('Calendario H'!$N$8:$N$110,'Calendario H'!$M$8:$M$110,$H74,'Calendario H'!$T$8:$T$110,$H$70)+SUMIFS('Calendario H'!$U$8:$U$110,'Calendario H'!$T$8:$T$110,$H74,'Calendario H'!$M$8:$M$110,$H$70),"-")</f>
        <v>-</v>
      </c>
      <c r="AB74" s="14" t="str">
        <f aca="false">IF(AND($H74&lt;&gt;"",$H$71&lt;&gt;"",$H74&lt;&gt;$H$71,IFERROR(VLOOKUP($H74,areaCercaPuntiClassificaSquadra,3,FALSE()),-1)=IFERROR(VLOOKUP($H$71,areaCercaPuntiClassificaSquadra,3,FALSE()),-2)),SUMIFS('Calendario H'!$N$8:$N$110,'Calendario H'!$M$8:$M$110,$H74,'Calendario H'!$T$8:$T$110,$H$71)+SUMIFS('Calendario H'!$U$8:$U$110,'Calendario H'!$T$8:$T$110,$H74,'Calendario H'!$M$8:$M$110,$H$71),"-")</f>
        <v>-</v>
      </c>
      <c r="AC74" s="14" t="str">
        <f aca="false">IF(AND($H74&lt;&gt;"",$H$72&lt;&gt;"",$H74&lt;&gt;$H$72,IFERROR(VLOOKUP($H74,areaCercaPuntiClassificaSquadra,3,FALSE()),-1)=IFERROR(VLOOKUP($H$72,areaCercaPuntiClassificaSquadra,3,FALSE()),-2)),SUMIFS('Calendario H'!$N$8:$N$110,'Calendario H'!$M$8:$M$110,$H74,'Calendario H'!$T$8:$T$110,$H$72)+SUMIFS('Calendario H'!$U$8:$U$110,'Calendario H'!$T$8:$T$110,$H74,'Calendario H'!$M$8:$M$110,$H$72),"-")</f>
        <v>-</v>
      </c>
      <c r="AD74" s="14" t="n">
        <f aca="false">IF(AND($H74&lt;&gt;"",$H$73&lt;&gt;"",$H74&lt;&gt;$H$73,IFERROR(VLOOKUP($H74,areaCercaPuntiClassificaSquadra,3,FALSE()),-1)=IFERROR(VLOOKUP($H$73,areaCercaPuntiClassificaSquadra,3,FALSE()),-2)),SUMIFS('Calendario H'!$N$8:$N$110,'Calendario H'!$M$8:$M$110,$H74,'Calendario H'!$T$8:$T$110,$H$73)+SUMIFS('Calendario H'!$U$8:$U$110,'Calendario H'!$T$8:$T$110,$H74,'Calendario H'!$M$8:$M$110,$H$73),"-")</f>
        <v>1</v>
      </c>
      <c r="AE74" s="14" t="str">
        <f aca="false">IF(AND($H74&lt;&gt;"",$H$74&lt;&gt;"",$H74&lt;&gt;$H$74,IFERROR(VLOOKUP($H74,areaCercaPuntiClassificaSquadra,3,FALSE()),-1)=IFERROR(VLOOKUP($H$74,areaCercaPuntiClassificaSquadra,3,FALSE()),-2)),SUMIFS('Calendario H'!$N$8:$N$110,'Calendario H'!$M$8:$M$110,$H74,'Calendario H'!$T$8:$T$110,$H$74)+SUMIFS('Calendario H'!$U$8:$U$110,'Calendario H'!$T$8:$T$110,$H74,'Calendario H'!$M$8:$M$110,$H$74),"-")</f>
        <v>-</v>
      </c>
      <c r="AF74" s="14" t="str">
        <f aca="false">IF(AND($H74&lt;&gt;"",$H$75&lt;&gt;"",$H74&lt;&gt;$H$75,IFERROR(VLOOKUP($H74,areaCercaPuntiClassificaSquadra,3,FALSE()),-1)=IFERROR(VLOOKUP($H$75,areaCercaPuntiClassificaSquadra,3,FALSE()),-2)),SUMIFS('Calendario H'!$N$8:$N$110,'Calendario H'!$M$8:$M$110,$H74,'Calendario H'!$T$8:$T$110,$H$75)+SUMIFS('Calendario H'!$U$8:$U$110,'Calendario H'!$T$8:$T$110,$H74,'Calendario H'!$M$8:$M$110,$H$75),"-")</f>
        <v>-</v>
      </c>
      <c r="AG74" s="13" t="str">
        <f aca="false">$C74</f>
        <v>Castori Cocciuti-Castoriopoli CI</v>
      </c>
      <c r="AH74" s="14" t="str">
        <f aca="false">IF(AND($H74&lt;&gt;"",$H$68&lt;&gt;"",$H74&lt;&gt;$H$68,IFERROR(VLOOKUP($H74,areaCercaPuntiClassificaSquadra,3,FALSE()),-1)=IFERROR(VLOOKUP($H$68,areaCercaPuntiClassificaSquadra,3,FALSE()),-2)),SUMIFS('Calendario H'!$P$8:$P$110,'Calendario H'!$M$8:$M$110,$H74,'Calendario H'!$T$8:$T$110,$H$68)+SUMIFS('Calendario H'!$W$8:$W$110,'Calendario H'!$T$8:$T$110,$H74,'Calendario H'!$M$8:$M$110,$H$68)+SUMIFS('Calendario H'!$O$8:$O$110,'Calendario H'!$M$8:$M$110,$H74,'Calendario H'!$T$8:$T$110,$H$68)+SUMIFS('Calendario H'!$V$8:$V$110,'Calendario H'!$T$8:$T$110,$H74,'Calendario H'!$M$8:$M$110,$H$68),"-")</f>
        <v>-</v>
      </c>
      <c r="AI74" s="14" t="str">
        <f aca="false">IF(AND($H74&lt;&gt;"",$H$69&lt;&gt;"",$H74&lt;&gt;$H$69,IFERROR(VLOOKUP($H74,areaCercaPuntiClassificaSquadra,3,FALSE()),-1)=IFERROR(VLOOKUP($H$69,areaCercaPuntiClassificaSquadra,3,FALSE()),-2)),SUMIFS('Calendario H'!$P$8:$P$110,'Calendario H'!$M$8:$M$110,$H74,'Calendario H'!$T$8:$T$110,$H$69)+SUMIFS('Calendario H'!$W$8:$W$110,'Calendario H'!$T$8:$T$110,$H74,'Calendario H'!$M$8:$M$110,$H$69)+SUMIFS('Calendario H'!$O$8:$O$110,'Calendario H'!$M$8:$M$110,$H74,'Calendario H'!$T$8:$T$110,$H$69)+SUMIFS('Calendario H'!$V$8:$V$110,'Calendario H'!$T$8:$T$110,$H74,'Calendario H'!$M$8:$M$110,$H$69),"-")</f>
        <v>-</v>
      </c>
      <c r="AJ74" s="14" t="str">
        <f aca="false">IF(AND($H74&lt;&gt;"",$H$70&lt;&gt;"",$H74&lt;&gt;$H$70,IFERROR(VLOOKUP($H74,areaCercaPuntiClassificaSquadra,3,FALSE()),-1)=IFERROR(VLOOKUP($H$70,areaCercaPuntiClassificaSquadra,3,FALSE()),-2)),SUMIFS('Calendario H'!$P$8:$P$110,'Calendario H'!$M$8:$M$110,$H74,'Calendario H'!$T$8:$T$110,$H$70)+SUMIFS('Calendario H'!$W$8:$W$110,'Calendario H'!$T$8:$T$110,$H74,'Calendario H'!$M$8:$M$110,$H$70)+SUMIFS('Calendario H'!$O$8:$O$110,'Calendario H'!$M$8:$M$110,$H74,'Calendario H'!$T$8:$T$110,$H$70)+SUMIFS('Calendario H'!$V$8:$V$110,'Calendario H'!$T$8:$T$110,$H74,'Calendario H'!$M$8:$M$110,$H$70),"-")</f>
        <v>-</v>
      </c>
      <c r="AK74" s="14" t="str">
        <f aca="false">IF(AND($H74&lt;&gt;"",$H$71&lt;&gt;"",$H74&lt;&gt;$H$71,IFERROR(VLOOKUP($H74,areaCercaPuntiClassificaSquadra,3,FALSE()),-1)=IFERROR(VLOOKUP($H$71,areaCercaPuntiClassificaSquadra,3,FALSE()),-2)),SUMIFS('Calendario H'!$P$8:$P$110,'Calendario H'!$M$8:$M$110,$H74,'Calendario H'!$T$8:$T$110,$H$71)+SUMIFS('Calendario H'!$W$8:$W$110,'Calendario H'!$T$8:$T$110,$H74,'Calendario H'!$M$8:$M$110,$H$71)+SUMIFS('Calendario H'!$O$8:$O$110,'Calendario H'!$M$8:$M$110,$H74,'Calendario H'!$T$8:$T$110,$H$71)+SUMIFS('Calendario H'!$V$8:$V$110,'Calendario H'!$T$8:$T$110,$H74,'Calendario H'!$M$8:$M$110,$H$71),"-")</f>
        <v>-</v>
      </c>
      <c r="AL74" s="14" t="str">
        <f aca="false">IF(AND($H74&lt;&gt;"",$H$72&lt;&gt;"",$H74&lt;&gt;$H$72,IFERROR(VLOOKUP($H74,areaCercaPuntiClassificaSquadra,3,FALSE()),-1)=IFERROR(VLOOKUP($H$72,areaCercaPuntiClassificaSquadra,3,FALSE()),-2)),SUMIFS('Calendario H'!$P$8:$P$110,'Calendario H'!$M$8:$M$110,$H74,'Calendario H'!$T$8:$T$110,$H$72)+SUMIFS('Calendario H'!$W$8:$W$110,'Calendario H'!$T$8:$T$110,$H74,'Calendario H'!$M$8:$M$110,$H$72)+SUMIFS('Calendario H'!$O$8:$O$110,'Calendario H'!$M$8:$M$110,$H74,'Calendario H'!$T$8:$T$110,$H$72)+SUMIFS('Calendario H'!$V$8:$V$110,'Calendario H'!$T$8:$T$110,$H74,'Calendario H'!$M$8:$M$110,$H$72),"-")</f>
        <v>-</v>
      </c>
      <c r="AM74" s="14" t="n">
        <f aca="false">IF(AND($H74&lt;&gt;"",$H$73&lt;&gt;"",$H74&lt;&gt;$H$73,IFERROR(VLOOKUP($H74,areaCercaPuntiClassificaSquadra,3,FALSE()),-1)=IFERROR(VLOOKUP($H$73,areaCercaPuntiClassificaSquadra,3,FALSE()),-2)),SUMIFS('Calendario H'!$P$8:$P$110,'Calendario H'!$M$8:$M$110,$H74,'Calendario H'!$T$8:$T$110,$H$73)+SUMIFS('Calendario H'!$W$8:$W$110,'Calendario H'!$T$8:$T$110,$H74,'Calendario H'!$M$8:$M$110,$H$73)+SUMIFS('Calendario H'!$O$8:$O$110,'Calendario H'!$M$8:$M$110,$H74,'Calendario H'!$T$8:$T$110,$H$73)+SUMIFS('Calendario H'!$V$8:$V$110,'Calendario H'!$T$8:$T$110,$H74,'Calendario H'!$M$8:$M$110,$H$73),"-")</f>
        <v>0</v>
      </c>
      <c r="AN74" s="14" t="str">
        <f aca="false">IF(AND($H74&lt;&gt;"",$H$74&lt;&gt;"",$H74&lt;&gt;$H$74,IFERROR(VLOOKUP($H74,areaCercaPuntiClassificaSquadra,3,FALSE()),-1)=IFERROR(VLOOKUP($H$74,areaCercaPuntiClassificaSquadra,3,FALSE()),-2)),SUMIFS('Calendario H'!$P$8:$P$110,'Calendario H'!$M$8:$M$110,$H74,'Calendario H'!$T$8:$T$110,$H$74)+SUMIFS('Calendario H'!$W$8:$W$110,'Calendario H'!$T$8:$T$110,$H74,'Calendario H'!$M$8:$M$110,$H$74)+SUMIFS('Calendario H'!$O$8:$O$110,'Calendario H'!$M$8:$M$110,$H74,'Calendario H'!$T$8:$T$110,$H$74)+SUMIFS('Calendario H'!$V$8:$V$110,'Calendario H'!$T$8:$T$110,$H74,'Calendario H'!$M$8:$M$110,$H$74),"-")</f>
        <v>-</v>
      </c>
      <c r="AO74" s="14" t="str">
        <f aca="false">IF(AND($H74&lt;&gt;"",$H$75&lt;&gt;"",$H74&lt;&gt;$H$75,IFERROR(VLOOKUP($H74,areaCercaPuntiClassificaSquadra,3,FALSE()),-1)=IFERROR(VLOOKUP($H$75,areaCercaPuntiClassificaSquadra,3,FALSE()),-2)),SUMIFS('Calendario H'!$P$8:$P$110,'Calendario H'!$M$8:$M$110,$H74,'Calendario H'!$T$8:$T$110,$H$75)+SUMIFS('Calendario H'!$W$8:$W$110,'Calendario H'!$T$8:$T$110,$H74,'Calendario H'!$M$8:$M$110,$H$75)+SUMIFS('Calendario H'!$O$8:$O$110,'Calendario H'!$M$8:$M$110,$H74,'Calendario H'!$T$8:$T$110,$H$75)+SUMIFS('Calendario H'!$V$8:$V$110,'Calendario H'!$T$8:$T$110,$H74,'Calendario H'!$M$8:$M$110,$H$75),"-")</f>
        <v>-</v>
      </c>
      <c r="AP74" s="13" t="str">
        <f aca="false">$C74</f>
        <v>Castori Cocciuti-Castoriopoli CI</v>
      </c>
      <c r="AQ74" s="14" t="str">
        <f aca="false">IF(AND($H74&lt;&gt;"",$H$68&lt;&gt;"",$H74&lt;&gt;$H$68,IFERROR(VLOOKUP($H74,areaCercaPuntiClassificaSquadra,3,FALSE()),-1)=IFERROR(VLOOKUP($H$68,areaCercaPuntiClassificaSquadra,3,FALSE()),-2)),SUMIFS('Calendario H'!$Q$8:$Q$110,'Calendario H'!$M$8:$M$110,$H74,'Calendario H'!$T$8:$T$110,$H$68)+SUMIFS('Calendario H'!$X$8:$X$110,'Calendario H'!$T$8:$T$110,$H74,'Calendario H'!$M$8:$M$110,$H$68),"-")</f>
        <v>-</v>
      </c>
      <c r="AR74" s="14" t="str">
        <f aca="false">IF(AND($H74&lt;&gt;"",$H$69&lt;&gt;"",$H74&lt;&gt;$H$69,IFERROR(VLOOKUP($H74,areaCercaPuntiClassificaSquadra,3,FALSE()),-1)=IFERROR(VLOOKUP($H$69,areaCercaPuntiClassificaSquadra,3,FALSE()),-2)),SUMIFS('Calendario H'!$Q$8:$Q$110,'Calendario H'!$M$8:$M$110,$H74,'Calendario H'!$T$8:$T$110,$H$69)+SUMIFS('Calendario H'!$X$8:$X$110,'Calendario H'!$T$8:$T$110,$H74,'Calendario H'!$M$8:$M$110,$H$69),"-")</f>
        <v>-</v>
      </c>
      <c r="AS74" s="14" t="str">
        <f aca="false">IF(AND($H74&lt;&gt;"",$H$70&lt;&gt;"",$H74&lt;&gt;$H$70,IFERROR(VLOOKUP($H74,areaCercaPuntiClassificaSquadra,3,FALSE()),-1)=IFERROR(VLOOKUP($H$70,areaCercaPuntiClassificaSquadra,3,FALSE()),-2)),SUMIFS('Calendario H'!$Q$8:$Q$110,'Calendario H'!$M$8:$M$110,$H74,'Calendario H'!$T$8:$T$110,$H$70)+SUMIFS('Calendario H'!$X$8:$X$110,'Calendario H'!$T$8:$T$110,$H74,'Calendario H'!$M$8:$M$110,$H$70),"-")</f>
        <v>-</v>
      </c>
      <c r="AT74" s="14" t="str">
        <f aca="false">IF(AND($H74&lt;&gt;"",$H$71&lt;&gt;"",$H74&lt;&gt;$H$71,IFERROR(VLOOKUP($H74,areaCercaPuntiClassificaSquadra,3,FALSE()),-1)=IFERROR(VLOOKUP($H$71,areaCercaPuntiClassificaSquadra,3,FALSE()),-2)),SUMIFS('Calendario H'!$Q$8:$Q$110,'Calendario H'!$M$8:$M$110,$H74,'Calendario H'!$T$8:$T$110,$H$71)+SUMIFS('Calendario H'!$X$8:$X$110,'Calendario H'!$T$8:$T$110,$H74,'Calendario H'!$M$8:$M$110,$H$71),"-")</f>
        <v>-</v>
      </c>
      <c r="AU74" s="14" t="str">
        <f aca="false">IF(AND($H74&lt;&gt;"",$H$72&lt;&gt;"",$H74&lt;&gt;$H$72,IFERROR(VLOOKUP($H74,areaCercaPuntiClassificaSquadra,3,FALSE()),-1)=IFERROR(VLOOKUP($H$72,areaCercaPuntiClassificaSquadra,3,FALSE()),-2)),SUMIFS('Calendario H'!$Q$8:$Q$110,'Calendario H'!$M$8:$M$110,$H74,'Calendario H'!$T$8:$T$110,$H$72)+SUMIFS('Calendario H'!$X$8:$X$110,'Calendario H'!$T$8:$T$110,$H74,'Calendario H'!$M$8:$M$110,$H$72),"-")</f>
        <v>-</v>
      </c>
      <c r="AV74" s="14" t="n">
        <f aca="false">IF(AND($H74&lt;&gt;"",$H$73&lt;&gt;"",$H74&lt;&gt;$H$73,IFERROR(VLOOKUP($H74,areaCercaPuntiClassificaSquadra,3,FALSE()),-1)=IFERROR(VLOOKUP($H$73,areaCercaPuntiClassificaSquadra,3,FALSE()),-2)),SUMIFS('Calendario H'!$Q$8:$Q$110,'Calendario H'!$M$8:$M$110,$H74,'Calendario H'!$T$8:$T$110,$H$73)+SUMIFS('Calendario H'!$X$8:$X$110,'Calendario H'!$T$8:$T$110,$H74,'Calendario H'!$M$8:$M$110,$H$73),"-")</f>
        <v>62</v>
      </c>
      <c r="AW74" s="14" t="str">
        <f aca="false">IF(AND($H74&lt;&gt;"",$H$74&lt;&gt;"",$H74&lt;&gt;$H$74,IFERROR(VLOOKUP($H74,areaCercaPuntiClassificaSquadra,3,FALSE()),-1)=IFERROR(VLOOKUP($H$74,areaCercaPuntiClassificaSquadra,3,FALSE()),-2)),SUMIFS('Calendario H'!$Q$8:$Q$110,'Calendario H'!$M$8:$M$110,$H74,'Calendario H'!$T$8:$T$110,$H$74)+SUMIFS('Calendario H'!$X$8:$X$110,'Calendario H'!$T$8:$T$110,$H74,'Calendario H'!$M$8:$M$110,$H$74),"-")</f>
        <v>-</v>
      </c>
      <c r="AX74" s="14" t="str">
        <f aca="false">IF(AND($H74&lt;&gt;"",$H$75&lt;&gt;"",$H74&lt;&gt;$H$75,IFERROR(VLOOKUP($H74,areaCercaPuntiClassificaSquadra,3,FALSE()),-1)=IFERROR(VLOOKUP($H$75,areaCercaPuntiClassificaSquadra,3,FALSE()),-2)),SUMIFS('Calendario H'!$Q$8:$Q$110,'Calendario H'!$M$8:$M$110,$H74,'Calendario H'!$T$8:$T$110,$H$75)+SUMIFS('Calendario H'!$X$8:$X$110,'Calendario H'!$T$8:$T$110,$H74,'Calendario H'!$M$8:$M$110,$H$75),"-")</f>
        <v>-</v>
      </c>
      <c r="AY74" s="13" t="str">
        <f aca="false">$C74</f>
        <v>Castori Cocciuti-Castoriopoli CI</v>
      </c>
      <c r="AZ74" s="14" t="str">
        <f aca="false">IF(AND($H74&lt;&gt;"",$H$68&lt;&gt;"",$H74&lt;&gt;$H$68,IFERROR(VLOOKUP($H74,areaCercaPuntiClassificaSquadra,3,FALSE()),-1)=IFERROR(VLOOKUP($H$68,areaCercaPuntiClassificaSquadra,3,FALSE()),-2)),SUMIFS('Calendario H'!$R$8:$R$110,'Calendario H'!$M$8:$M$110,$H74,'Calendario H'!$T$8:$T$110,$H$68)+SUMIFS('Calendario H'!$Y$8:$Y$110,'Calendario H'!$T$8:$T$110,$H74,'Calendario H'!$M$8:$M$110,$H$68),"-")</f>
        <v>-</v>
      </c>
      <c r="BA74" s="14" t="str">
        <f aca="false">IF(AND($H74&lt;&gt;"",$H$69&lt;&gt;"",$H74&lt;&gt;$H$69,IFERROR(VLOOKUP($H74,areaCercaPuntiClassificaSquadra,3,FALSE()),-1)=IFERROR(VLOOKUP($H$69,areaCercaPuntiClassificaSquadra,3,FALSE()),-2)),SUMIFS('Calendario H'!$R$8:$R$110,'Calendario H'!$M$8:$M$110,$H74,'Calendario H'!$T$8:$T$110,$H$69)+SUMIFS('Calendario H'!$Y$8:$Y$110,'Calendario H'!$T$8:$T$110,$H74,'Calendario H'!$M$8:$M$110,$H$69),"-")</f>
        <v>-</v>
      </c>
      <c r="BB74" s="14" t="str">
        <f aca="false">IF(AND($H74&lt;&gt;"",$H$70&lt;&gt;"",$H74&lt;&gt;$H$70,IFERROR(VLOOKUP($H74,areaCercaPuntiClassificaSquadra,3,FALSE()),-1)=IFERROR(VLOOKUP($H$70,areaCercaPuntiClassificaSquadra,3,FALSE()),-2)),SUMIFS('Calendario H'!$R$8:$R$110,'Calendario H'!$M$8:$M$110,$H74,'Calendario H'!$T$8:$T$110,$H$70)+SUMIFS('Calendario H'!$Y$8:$Y$110,'Calendario H'!$T$8:$T$110,$H74,'Calendario H'!$M$8:$M$110,$H$70),"-")</f>
        <v>-</v>
      </c>
      <c r="BC74" s="14" t="str">
        <f aca="false">IF(AND($H74&lt;&gt;"",$H$71&lt;&gt;"",$H74&lt;&gt;$H$71,IFERROR(VLOOKUP($H74,areaCercaPuntiClassificaSquadra,3,FALSE()),-1)=IFERROR(VLOOKUP($H$71,areaCercaPuntiClassificaSquadra,3,FALSE()),-2)),SUMIFS('Calendario H'!$R$8:$R$110,'Calendario H'!$M$8:$M$110,$H74,'Calendario H'!$T$8:$T$110,$H$71)+SUMIFS('Calendario H'!$Y$8:$Y$110,'Calendario H'!$T$8:$T$110,$H74,'Calendario H'!$M$8:$M$110,$H$71),"-")</f>
        <v>-</v>
      </c>
      <c r="BD74" s="14" t="str">
        <f aca="false">IF(AND($H74&lt;&gt;"",$H$72&lt;&gt;"",$H74&lt;&gt;$H$72,IFERROR(VLOOKUP($H74,areaCercaPuntiClassificaSquadra,3,FALSE()),-1)=IFERROR(VLOOKUP($H$72,areaCercaPuntiClassificaSquadra,3,FALSE()),-2)),SUMIFS('Calendario H'!$R$8:$R$110,'Calendario H'!$M$8:$M$110,$H74,'Calendario H'!$T$8:$T$110,$H$72)+SUMIFS('Calendario H'!$Y$8:$Y$110,'Calendario H'!$T$8:$T$110,$H74,'Calendario H'!$M$8:$M$110,$H$72),"-")</f>
        <v>-</v>
      </c>
      <c r="BE74" s="14" t="n">
        <f aca="false">IF(AND($H74&lt;&gt;"",$H$73&lt;&gt;"",$H74&lt;&gt;$H$73,IFERROR(VLOOKUP($H74,areaCercaPuntiClassificaSquadra,3,FALSE()),-1)=IFERROR(VLOOKUP($H$73,areaCercaPuntiClassificaSquadra,3,FALSE()),-2)),SUMIFS('Calendario H'!$R$8:$R$110,'Calendario H'!$M$8:$M$110,$H74,'Calendario H'!$T$8:$T$110,$H$73)+SUMIFS('Calendario H'!$Y$8:$Y$110,'Calendario H'!$T$8:$T$110,$H74,'Calendario H'!$M$8:$M$110,$H$73),"-")</f>
        <v>48</v>
      </c>
      <c r="BF74" s="14" t="str">
        <f aca="false">IF(AND($H74&lt;&gt;"",$H$74&lt;&gt;"",$H74&lt;&gt;$H$74,IFERROR(VLOOKUP($H74,areaCercaPuntiClassificaSquadra,3,FALSE()),-1)=IFERROR(VLOOKUP($H$74,areaCercaPuntiClassificaSquadra,3,FALSE()),-2)),SUMIFS('Calendario H'!$R$8:$R$110,'Calendario H'!$M$8:$M$110,$H74,'Calendario H'!$T$8:$T$110,$H$74)+SUMIFS('Calendario H'!$Y$8:$Y$110,'Calendario H'!$T$8:$T$110,$H74,'Calendario H'!$M$8:$M$110,$H$74),"-")</f>
        <v>-</v>
      </c>
      <c r="BG74" s="14" t="str">
        <f aca="false">IF(AND($H74&lt;&gt;"",$H$75&lt;&gt;"",$H74&lt;&gt;$H$75,IFERROR(VLOOKUP($H74,areaCercaPuntiClassificaSquadra,3,FALSE()),-1)=IFERROR(VLOOKUP($H$75,areaCercaPuntiClassificaSquadra,3,FALSE()),-2)),SUMIFS('Calendario H'!$R$8:$R$110,'Calendario H'!$M$8:$M$110,$H74,'Calendario H'!$T$8:$T$110,$H$75)+SUMIFS('Calendario H'!$Y$8:$Y$110,'Calendario H'!$T$8:$T$110,$H74,'Calendario H'!$M$8:$M$110,$H$75),"-")</f>
        <v>-</v>
      </c>
    </row>
    <row r="75" customFormat="false" ht="15" hidden="false" customHeight="false" outlineLevel="0" collapsed="false">
      <c r="B75" s="7" t="s">
        <v>181</v>
      </c>
      <c r="C75" s="8" t="s">
        <v>182</v>
      </c>
      <c r="D75" s="9"/>
      <c r="E75" s="27" t="s">
        <v>168</v>
      </c>
      <c r="G75" s="28" t="str">
        <f aca="false">IF($C75="","",$E75&amp;(COUNTIFS(I$12:I$75,"&gt;"&amp;I75,E$12:E$75,"="&amp;E75,C$12:C$75,"&lt;&gt;")+COUNTIFS(I$12:I$75,"="&amp;I75,H$12:H$75,"&lt;="&amp;H75,E$12:E$75,"="&amp;E75,C$12:C$75,"&lt;&gt;")))</f>
        <v>H4</v>
      </c>
      <c r="H75" s="12" t="str">
        <f aca="false">IF($C75="","",IFERROR(LEFT($C75,FIND("-",$C75)-1),$C75))</f>
        <v>Draghi Dinamici</v>
      </c>
      <c r="I75" s="7" t="str">
        <f aca="false">TEXT(1000000000+J75,"|0000000000|")&amp;TEXT(SUM(Y75:AF75),"0000000000|")&amp;IF(SUM(AZ75:BG75)=0,"0000000000|",TEXT(ROUND(SUM(AQ75:AX75)/SUM(AZ75:BG75),4)*100000,"0000000000|"))&amp;IF(P75=0,"0000000000|",TEXT(ROUND(O75/P75,4)*100000,"0000000000|"))</f>
        <v>|1000000013|0000000001|0000108570|0000092840|</v>
      </c>
      <c r="J75" s="28" t="n">
        <f aca="false">L75*constPuntiVittoria+M75*constPuntiSconfitta+N75*constPuntiForfait+IF(D75="",0,D75)</f>
        <v>13</v>
      </c>
      <c r="K75" s="7" t="n">
        <f aca="false">SUM(L75:N75)</f>
        <v>7</v>
      </c>
      <c r="L75" s="7" t="n">
        <f aca="false">IF($H75="",0,SUMIF('Calendario H'!$M$8:$M$110,$H75,'Calendario H'!$N$8:$N$110)+SUMIF('Calendario H'!$T$8:$T$110,$H75,'Calendario H'!$U$8:$U$110))</f>
        <v>3</v>
      </c>
      <c r="M75" s="7" t="n">
        <f aca="false">IF($H75="",0,SUMIF('Calendario H'!$M$8:$M$110,$H75,'Calendario H'!$P$8:$P$110)+SUMIF('Calendario H'!$T$8:$T$110,$H75,'Calendario H'!$W$8:$W$110))</f>
        <v>4</v>
      </c>
      <c r="N75" s="7" t="n">
        <f aca="false">IF($H75="",0,SUMIF('Calendario H'!$M$8:$M$110,$H75,'Calendario H'!$O$8:$O$110)+SUMIF('Calendario H'!$T$8:$T$110,$H75,'Calendario H'!$V$8:$V$110))</f>
        <v>0</v>
      </c>
      <c r="O75" s="7" t="n">
        <f aca="false">IF($H75="",0,SUMIF('Calendario H'!$M$8:$M$110,$H75,'Calendario H'!$Q$8:$Q$110)+SUMIF('Calendario H'!$T$8:$T$110,$H75,'Calendario H'!$X$8:$X$110))</f>
        <v>441</v>
      </c>
      <c r="P75" s="7" t="n">
        <f aca="false">IF($H75="",0,SUMIF('Calendario H'!$M$8:$M$110,$H75,'Calendario H'!$R$8:$R$110)+SUMIF('Calendario H'!$T$8:$T$110,$H75,'Calendario H'!$Y$8:$Y$110))</f>
        <v>475</v>
      </c>
      <c r="Q75" s="7" t="n">
        <f aca="false">IF($H75="",0,SUMIF('Calendario H'!$M$8:$M$110,$H75,'Calendario H'!$S$8:$S$110)+SUMIF('Calendario H'!$T$8:$T$110,$H75,'Calendario H'!$Z$8:$Z$110))</f>
        <v>-34</v>
      </c>
      <c r="R75" s="7" t="n">
        <f aca="false">IF(K75=0,0,ROUND(O75/K75,2))</f>
        <v>63</v>
      </c>
      <c r="S75" s="7" t="n">
        <f aca="false">IF(K75=0,0,ROUND(P75/K75,2))</f>
        <v>67.86</v>
      </c>
      <c r="T75" s="7" t="n">
        <f aca="false">IF(K75=0,0,ROUND(Q75/K75,2))</f>
        <v>-4.86</v>
      </c>
      <c r="U75" s="7" t="str">
        <f aca="false">IF(COUNT(Y75:AF75)=0,"-",SUM(Y75:AF75)&amp;"-"&amp;SUM(AH75:AO75))</f>
        <v>1-0</v>
      </c>
      <c r="V75" s="7" t="str">
        <f aca="false">IF(COUNT(Y75:AF75)=0,"-",IF(SUM(AZ75:BG75)=0,TEXT(0,"0.0000"),TEXT(ROUND(SUM(AQ75:AX75)/SUM(AZ75:BG75),4),"0.0000")))</f>
        <v>1.0857</v>
      </c>
      <c r="W75" s="7" t="str">
        <f aca="false">IF(H75="","-",IF(P75=0,TEXT(0,"0.0000"),TEXT(ROUND(O75/P75,4),"0.0000")))</f>
        <v>0.9284</v>
      </c>
      <c r="X75" s="13" t="str">
        <f aca="false">$C75</f>
        <v>Draghi Dinamici-Draghiopoli DI</v>
      </c>
      <c r="Y75" s="14" t="str">
        <f aca="false">IF(AND($H75&lt;&gt;"",$H$68&lt;&gt;"",$H75&lt;&gt;$H$68,IFERROR(VLOOKUP($H75,areaCercaPuntiClassificaSquadra,3,FALSE()),-1)=IFERROR(VLOOKUP($H$68,areaCercaPuntiClassificaSquadra,3,FALSE()),-2)),SUMIFS('Calendario H'!$N$8:$N$110,'Calendario H'!$M$8:$M$110,$H75,'Calendario H'!$T$8:$T$110,$H$68)+SUMIFS('Calendario H'!$U$8:$U$110,'Calendario H'!$T$8:$T$110,$H75,'Calendario H'!$M$8:$M$110,$H$68),"-")</f>
        <v>-</v>
      </c>
      <c r="Z75" s="14" t="str">
        <f aca="false">IF(AND($H75&lt;&gt;"",$H$69&lt;&gt;"",$H75&lt;&gt;$H$69,IFERROR(VLOOKUP($H75,areaCercaPuntiClassificaSquadra,3,FALSE()),-1)=IFERROR(VLOOKUP($H$69,areaCercaPuntiClassificaSquadra,3,FALSE()),-2)),SUMIFS('Calendario H'!$N$8:$N$110,'Calendario H'!$M$8:$M$110,$H75,'Calendario H'!$T$8:$T$110,$H$69)+SUMIFS('Calendario H'!$U$8:$U$110,'Calendario H'!$T$8:$T$110,$H75,'Calendario H'!$M$8:$M$110,$H$69),"-")</f>
        <v>-</v>
      </c>
      <c r="AA75" s="14" t="n">
        <f aca="false">IF(AND($H75&lt;&gt;"",$H$70&lt;&gt;"",$H75&lt;&gt;$H$70,IFERROR(VLOOKUP($H75,areaCercaPuntiClassificaSquadra,3,FALSE()),-1)=IFERROR(VLOOKUP($H$70,areaCercaPuntiClassificaSquadra,3,FALSE()),-2)),SUMIFS('Calendario H'!$N$8:$N$110,'Calendario H'!$M$8:$M$110,$H75,'Calendario H'!$T$8:$T$110,$H$70)+SUMIFS('Calendario H'!$U$8:$U$110,'Calendario H'!$T$8:$T$110,$H75,'Calendario H'!$M$8:$M$110,$H$70),"-")</f>
        <v>1</v>
      </c>
      <c r="AB75" s="14" t="str">
        <f aca="false">IF(AND($H75&lt;&gt;"",$H$71&lt;&gt;"",$H75&lt;&gt;$H$71,IFERROR(VLOOKUP($H75,areaCercaPuntiClassificaSquadra,3,FALSE()),-1)=IFERROR(VLOOKUP($H$71,areaCercaPuntiClassificaSquadra,3,FALSE()),-2)),SUMIFS('Calendario H'!$N$8:$N$110,'Calendario H'!$M$8:$M$110,$H75,'Calendario H'!$T$8:$T$110,$H$71)+SUMIFS('Calendario H'!$U$8:$U$110,'Calendario H'!$T$8:$T$110,$H75,'Calendario H'!$M$8:$M$110,$H$71),"-")</f>
        <v>-</v>
      </c>
      <c r="AC75" s="14" t="str">
        <f aca="false">IF(AND($H75&lt;&gt;"",$H$72&lt;&gt;"",$H75&lt;&gt;$H$72,IFERROR(VLOOKUP($H75,areaCercaPuntiClassificaSquadra,3,FALSE()),-1)=IFERROR(VLOOKUP($H$72,areaCercaPuntiClassificaSquadra,3,FALSE()),-2)),SUMIFS('Calendario H'!$N$8:$N$110,'Calendario H'!$M$8:$M$110,$H75,'Calendario H'!$T$8:$T$110,$H$72)+SUMIFS('Calendario H'!$U$8:$U$110,'Calendario H'!$T$8:$T$110,$H75,'Calendario H'!$M$8:$M$110,$H$72),"-")</f>
        <v>-</v>
      </c>
      <c r="AD75" s="14" t="str">
        <f aca="false">IF(AND($H75&lt;&gt;"",$H$73&lt;&gt;"",$H75&lt;&gt;$H$73,IFERROR(VLOOKUP($H75,areaCercaPuntiClassificaSquadra,3,FALSE()),-1)=IFERROR(VLOOKUP($H$73,areaCercaPuntiClassificaSquadra,3,FALSE()),-2)),SUMIFS('Calendario H'!$N$8:$N$110,'Calendario H'!$M$8:$M$110,$H75,'Calendario H'!$T$8:$T$110,$H$73)+SUMIFS('Calendario H'!$U$8:$U$110,'Calendario H'!$T$8:$T$110,$H75,'Calendario H'!$M$8:$M$110,$H$73),"-")</f>
        <v>-</v>
      </c>
      <c r="AE75" s="14" t="str">
        <f aca="false">IF(AND($H75&lt;&gt;"",$H$74&lt;&gt;"",$H75&lt;&gt;$H$74,IFERROR(VLOOKUP($H75,areaCercaPuntiClassificaSquadra,3,FALSE()),-1)=IFERROR(VLOOKUP($H$74,areaCercaPuntiClassificaSquadra,3,FALSE()),-2)),SUMIFS('Calendario H'!$N$8:$N$110,'Calendario H'!$M$8:$M$110,$H75,'Calendario H'!$T$8:$T$110,$H$74)+SUMIFS('Calendario H'!$U$8:$U$110,'Calendario H'!$T$8:$T$110,$H75,'Calendario H'!$M$8:$M$110,$H$74),"-")</f>
        <v>-</v>
      </c>
      <c r="AF75" s="14" t="str">
        <f aca="false">IF(AND($H75&lt;&gt;"",$H$75&lt;&gt;"",$H75&lt;&gt;$H$75,IFERROR(VLOOKUP($H75,areaCercaPuntiClassificaSquadra,3,FALSE()),-1)=IFERROR(VLOOKUP($H$75,areaCercaPuntiClassificaSquadra,3,FALSE()),-2)),SUMIFS('Calendario H'!$N$8:$N$110,'Calendario H'!$M$8:$M$110,$H75,'Calendario H'!$T$8:$T$110,$H$75)+SUMIFS('Calendario H'!$U$8:$U$110,'Calendario H'!$T$8:$T$110,$H75,'Calendario H'!$M$8:$M$110,$H$75),"-")</f>
        <v>-</v>
      </c>
      <c r="AG75" s="13" t="str">
        <f aca="false">$C75</f>
        <v>Draghi Dinamici-Draghiopoli DI</v>
      </c>
      <c r="AH75" s="14" t="str">
        <f aca="false">IF(AND($H75&lt;&gt;"",$H$68&lt;&gt;"",$H75&lt;&gt;$H$68,IFERROR(VLOOKUP($H75,areaCercaPuntiClassificaSquadra,3,FALSE()),-1)=IFERROR(VLOOKUP($H$68,areaCercaPuntiClassificaSquadra,3,FALSE()),-2)),SUMIFS('Calendario H'!$P$8:$P$110,'Calendario H'!$M$8:$M$110,$H75,'Calendario H'!$T$8:$T$110,$H$68)+SUMIFS('Calendario H'!$W$8:$W$110,'Calendario H'!$T$8:$T$110,$H75,'Calendario H'!$M$8:$M$110,$H$68)+SUMIFS('Calendario H'!$O$8:$O$110,'Calendario H'!$M$8:$M$110,$H75,'Calendario H'!$T$8:$T$110,$H$68)+SUMIFS('Calendario H'!$V$8:$V$110,'Calendario H'!$T$8:$T$110,$H75,'Calendario H'!$M$8:$M$110,$H$68),"-")</f>
        <v>-</v>
      </c>
      <c r="AI75" s="14" t="str">
        <f aca="false">IF(AND($H75&lt;&gt;"",$H$69&lt;&gt;"",$H75&lt;&gt;$H$69,IFERROR(VLOOKUP($H75,areaCercaPuntiClassificaSquadra,3,FALSE()),-1)=IFERROR(VLOOKUP($H$69,areaCercaPuntiClassificaSquadra,3,FALSE()),-2)),SUMIFS('Calendario H'!$P$8:$P$110,'Calendario H'!$M$8:$M$110,$H75,'Calendario H'!$T$8:$T$110,$H$69)+SUMIFS('Calendario H'!$W$8:$W$110,'Calendario H'!$T$8:$T$110,$H75,'Calendario H'!$M$8:$M$110,$H$69)+SUMIFS('Calendario H'!$O$8:$O$110,'Calendario H'!$M$8:$M$110,$H75,'Calendario H'!$T$8:$T$110,$H$69)+SUMIFS('Calendario H'!$V$8:$V$110,'Calendario H'!$T$8:$T$110,$H75,'Calendario H'!$M$8:$M$110,$H$69),"-")</f>
        <v>-</v>
      </c>
      <c r="AJ75" s="14" t="n">
        <f aca="false">IF(AND($H75&lt;&gt;"",$H$70&lt;&gt;"",$H75&lt;&gt;$H$70,IFERROR(VLOOKUP($H75,areaCercaPuntiClassificaSquadra,3,FALSE()),-1)=IFERROR(VLOOKUP($H$70,areaCercaPuntiClassificaSquadra,3,FALSE()),-2)),SUMIFS('Calendario H'!$P$8:$P$110,'Calendario H'!$M$8:$M$110,$H75,'Calendario H'!$T$8:$T$110,$H$70)+SUMIFS('Calendario H'!$W$8:$W$110,'Calendario H'!$T$8:$T$110,$H75,'Calendario H'!$M$8:$M$110,$H$70)+SUMIFS('Calendario H'!$O$8:$O$110,'Calendario H'!$M$8:$M$110,$H75,'Calendario H'!$T$8:$T$110,$H$70)+SUMIFS('Calendario H'!$V$8:$V$110,'Calendario H'!$T$8:$T$110,$H75,'Calendario H'!$M$8:$M$110,$H$70),"-")</f>
        <v>0</v>
      </c>
      <c r="AK75" s="14" t="str">
        <f aca="false">IF(AND($H75&lt;&gt;"",$H$71&lt;&gt;"",$H75&lt;&gt;$H$71,IFERROR(VLOOKUP($H75,areaCercaPuntiClassificaSquadra,3,FALSE()),-1)=IFERROR(VLOOKUP($H$71,areaCercaPuntiClassificaSquadra,3,FALSE()),-2)),SUMIFS('Calendario H'!$P$8:$P$110,'Calendario H'!$M$8:$M$110,$H75,'Calendario H'!$T$8:$T$110,$H$71)+SUMIFS('Calendario H'!$W$8:$W$110,'Calendario H'!$T$8:$T$110,$H75,'Calendario H'!$M$8:$M$110,$H$71)+SUMIFS('Calendario H'!$O$8:$O$110,'Calendario H'!$M$8:$M$110,$H75,'Calendario H'!$T$8:$T$110,$H$71)+SUMIFS('Calendario H'!$V$8:$V$110,'Calendario H'!$T$8:$T$110,$H75,'Calendario H'!$M$8:$M$110,$H$71),"-")</f>
        <v>-</v>
      </c>
      <c r="AL75" s="14" t="str">
        <f aca="false">IF(AND($H75&lt;&gt;"",$H$72&lt;&gt;"",$H75&lt;&gt;$H$72,IFERROR(VLOOKUP($H75,areaCercaPuntiClassificaSquadra,3,FALSE()),-1)=IFERROR(VLOOKUP($H$72,areaCercaPuntiClassificaSquadra,3,FALSE()),-2)),SUMIFS('Calendario H'!$P$8:$P$110,'Calendario H'!$M$8:$M$110,$H75,'Calendario H'!$T$8:$T$110,$H$72)+SUMIFS('Calendario H'!$W$8:$W$110,'Calendario H'!$T$8:$T$110,$H75,'Calendario H'!$M$8:$M$110,$H$72)+SUMIFS('Calendario H'!$O$8:$O$110,'Calendario H'!$M$8:$M$110,$H75,'Calendario H'!$T$8:$T$110,$H$72)+SUMIFS('Calendario H'!$V$8:$V$110,'Calendario H'!$T$8:$T$110,$H75,'Calendario H'!$M$8:$M$110,$H$72),"-")</f>
        <v>-</v>
      </c>
      <c r="AM75" s="14" t="str">
        <f aca="false">IF(AND($H75&lt;&gt;"",$H$73&lt;&gt;"",$H75&lt;&gt;$H$73,IFERROR(VLOOKUP($H75,areaCercaPuntiClassificaSquadra,3,FALSE()),-1)=IFERROR(VLOOKUP($H$73,areaCercaPuntiClassificaSquadra,3,FALSE()),-2)),SUMIFS('Calendario H'!$P$8:$P$110,'Calendario H'!$M$8:$M$110,$H75,'Calendario H'!$T$8:$T$110,$H$73)+SUMIFS('Calendario H'!$W$8:$W$110,'Calendario H'!$T$8:$T$110,$H75,'Calendario H'!$M$8:$M$110,$H$73)+SUMIFS('Calendario H'!$O$8:$O$110,'Calendario H'!$M$8:$M$110,$H75,'Calendario H'!$T$8:$T$110,$H$73)+SUMIFS('Calendario H'!$V$8:$V$110,'Calendario H'!$T$8:$T$110,$H75,'Calendario H'!$M$8:$M$110,$H$73),"-")</f>
        <v>-</v>
      </c>
      <c r="AN75" s="14" t="str">
        <f aca="false">IF(AND($H75&lt;&gt;"",$H$74&lt;&gt;"",$H75&lt;&gt;$H$74,IFERROR(VLOOKUP($H75,areaCercaPuntiClassificaSquadra,3,FALSE()),-1)=IFERROR(VLOOKUP($H$74,areaCercaPuntiClassificaSquadra,3,FALSE()),-2)),SUMIFS('Calendario H'!$P$8:$P$110,'Calendario H'!$M$8:$M$110,$H75,'Calendario H'!$T$8:$T$110,$H$74)+SUMIFS('Calendario H'!$W$8:$W$110,'Calendario H'!$T$8:$T$110,$H75,'Calendario H'!$M$8:$M$110,$H$74)+SUMIFS('Calendario H'!$O$8:$O$110,'Calendario H'!$M$8:$M$110,$H75,'Calendario H'!$T$8:$T$110,$H$74)+SUMIFS('Calendario H'!$V$8:$V$110,'Calendario H'!$T$8:$T$110,$H75,'Calendario H'!$M$8:$M$110,$H$74),"-")</f>
        <v>-</v>
      </c>
      <c r="AO75" s="14" t="str">
        <f aca="false">IF(AND($H75&lt;&gt;"",$H$75&lt;&gt;"",$H75&lt;&gt;$H$75,IFERROR(VLOOKUP($H75,areaCercaPuntiClassificaSquadra,3,FALSE()),-1)=IFERROR(VLOOKUP($H$75,areaCercaPuntiClassificaSquadra,3,FALSE()),-2)),SUMIFS('Calendario H'!$P$8:$P$110,'Calendario H'!$M$8:$M$110,$H75,'Calendario H'!$T$8:$T$110,$H$75)+SUMIFS('Calendario H'!$W$8:$W$110,'Calendario H'!$T$8:$T$110,$H75,'Calendario H'!$M$8:$M$110,$H$75)+SUMIFS('Calendario H'!$O$8:$O$110,'Calendario H'!$M$8:$M$110,$H75,'Calendario H'!$T$8:$T$110,$H$75)+SUMIFS('Calendario H'!$V$8:$V$110,'Calendario H'!$T$8:$T$110,$H75,'Calendario H'!$M$8:$M$110,$H$75),"-")</f>
        <v>-</v>
      </c>
      <c r="AP75" s="13" t="str">
        <f aca="false">$C75</f>
        <v>Draghi Dinamici-Draghiopoli DI</v>
      </c>
      <c r="AQ75" s="14" t="str">
        <f aca="false">IF(AND($H75&lt;&gt;"",$H$68&lt;&gt;"",$H75&lt;&gt;$H$68,IFERROR(VLOOKUP($H75,areaCercaPuntiClassificaSquadra,3,FALSE()),-1)=IFERROR(VLOOKUP($H$68,areaCercaPuntiClassificaSquadra,3,FALSE()),-2)),SUMIFS('Calendario H'!$Q$8:$Q$110,'Calendario H'!$M$8:$M$110,$H75,'Calendario H'!$T$8:$T$110,$H$68)+SUMIFS('Calendario H'!$X$8:$X$110,'Calendario H'!$T$8:$T$110,$H75,'Calendario H'!$M$8:$M$110,$H$68),"-")</f>
        <v>-</v>
      </c>
      <c r="AR75" s="14" t="str">
        <f aca="false">IF(AND($H75&lt;&gt;"",$H$69&lt;&gt;"",$H75&lt;&gt;$H$69,IFERROR(VLOOKUP($H75,areaCercaPuntiClassificaSquadra,3,FALSE()),-1)=IFERROR(VLOOKUP($H$69,areaCercaPuntiClassificaSquadra,3,FALSE()),-2)),SUMIFS('Calendario H'!$Q$8:$Q$110,'Calendario H'!$M$8:$M$110,$H75,'Calendario H'!$T$8:$T$110,$H$69)+SUMIFS('Calendario H'!$X$8:$X$110,'Calendario H'!$T$8:$T$110,$H75,'Calendario H'!$M$8:$M$110,$H$69),"-")</f>
        <v>-</v>
      </c>
      <c r="AS75" s="14" t="n">
        <f aca="false">IF(AND($H75&lt;&gt;"",$H$70&lt;&gt;"",$H75&lt;&gt;$H$70,IFERROR(VLOOKUP($H75,areaCercaPuntiClassificaSquadra,3,FALSE()),-1)=IFERROR(VLOOKUP($H$70,areaCercaPuntiClassificaSquadra,3,FALSE()),-2)),SUMIFS('Calendario H'!$Q$8:$Q$110,'Calendario H'!$M$8:$M$110,$H75,'Calendario H'!$T$8:$T$110,$H$70)+SUMIFS('Calendario H'!$X$8:$X$110,'Calendario H'!$T$8:$T$110,$H75,'Calendario H'!$M$8:$M$110,$H$70),"-")</f>
        <v>76</v>
      </c>
      <c r="AT75" s="14" t="str">
        <f aca="false">IF(AND($H75&lt;&gt;"",$H$71&lt;&gt;"",$H75&lt;&gt;$H$71,IFERROR(VLOOKUP($H75,areaCercaPuntiClassificaSquadra,3,FALSE()),-1)=IFERROR(VLOOKUP($H$71,areaCercaPuntiClassificaSquadra,3,FALSE()),-2)),SUMIFS('Calendario H'!$Q$8:$Q$110,'Calendario H'!$M$8:$M$110,$H75,'Calendario H'!$T$8:$T$110,$H$71)+SUMIFS('Calendario H'!$X$8:$X$110,'Calendario H'!$T$8:$T$110,$H75,'Calendario H'!$M$8:$M$110,$H$71),"-")</f>
        <v>-</v>
      </c>
      <c r="AU75" s="14" t="str">
        <f aca="false">IF(AND($H75&lt;&gt;"",$H$72&lt;&gt;"",$H75&lt;&gt;$H$72,IFERROR(VLOOKUP($H75,areaCercaPuntiClassificaSquadra,3,FALSE()),-1)=IFERROR(VLOOKUP($H$72,areaCercaPuntiClassificaSquadra,3,FALSE()),-2)),SUMIFS('Calendario H'!$Q$8:$Q$110,'Calendario H'!$M$8:$M$110,$H75,'Calendario H'!$T$8:$T$110,$H$72)+SUMIFS('Calendario H'!$X$8:$X$110,'Calendario H'!$T$8:$T$110,$H75,'Calendario H'!$M$8:$M$110,$H$72),"-")</f>
        <v>-</v>
      </c>
      <c r="AV75" s="14" t="str">
        <f aca="false">IF(AND($H75&lt;&gt;"",$H$73&lt;&gt;"",$H75&lt;&gt;$H$73,IFERROR(VLOOKUP($H75,areaCercaPuntiClassificaSquadra,3,FALSE()),-1)=IFERROR(VLOOKUP($H$73,areaCercaPuntiClassificaSquadra,3,FALSE()),-2)),SUMIFS('Calendario H'!$Q$8:$Q$110,'Calendario H'!$M$8:$M$110,$H75,'Calendario H'!$T$8:$T$110,$H$73)+SUMIFS('Calendario H'!$X$8:$X$110,'Calendario H'!$T$8:$T$110,$H75,'Calendario H'!$M$8:$M$110,$H$73),"-")</f>
        <v>-</v>
      </c>
      <c r="AW75" s="14" t="str">
        <f aca="false">IF(AND($H75&lt;&gt;"",$H$74&lt;&gt;"",$H75&lt;&gt;$H$74,IFERROR(VLOOKUP($H75,areaCercaPuntiClassificaSquadra,3,FALSE()),-1)=IFERROR(VLOOKUP($H$74,areaCercaPuntiClassificaSquadra,3,FALSE()),-2)),SUMIFS('Calendario H'!$Q$8:$Q$110,'Calendario H'!$M$8:$M$110,$H75,'Calendario H'!$T$8:$T$110,$H$74)+SUMIFS('Calendario H'!$X$8:$X$110,'Calendario H'!$T$8:$T$110,$H75,'Calendario H'!$M$8:$M$110,$H$74),"-")</f>
        <v>-</v>
      </c>
      <c r="AX75" s="14" t="str">
        <f aca="false">IF(AND($H75&lt;&gt;"",$H$75&lt;&gt;"",$H75&lt;&gt;$H$75,IFERROR(VLOOKUP($H75,areaCercaPuntiClassificaSquadra,3,FALSE()),-1)=IFERROR(VLOOKUP($H$75,areaCercaPuntiClassificaSquadra,3,FALSE()),-2)),SUMIFS('Calendario H'!$Q$8:$Q$110,'Calendario H'!$M$8:$M$110,$H75,'Calendario H'!$T$8:$T$110,$H$75)+SUMIFS('Calendario H'!$X$8:$X$110,'Calendario H'!$T$8:$T$110,$H75,'Calendario H'!$M$8:$M$110,$H$75),"-")</f>
        <v>-</v>
      </c>
      <c r="AY75" s="13" t="str">
        <f aca="false">$C75</f>
        <v>Draghi Dinamici-Draghiopoli DI</v>
      </c>
      <c r="AZ75" s="14" t="str">
        <f aca="false">IF(AND($H75&lt;&gt;"",$H$68&lt;&gt;"",$H75&lt;&gt;$H$68,IFERROR(VLOOKUP($H75,areaCercaPuntiClassificaSquadra,3,FALSE()),-1)=IFERROR(VLOOKUP($H$68,areaCercaPuntiClassificaSquadra,3,FALSE()),-2)),SUMIFS('Calendario H'!$R$8:$R$110,'Calendario H'!$M$8:$M$110,$H75,'Calendario H'!$T$8:$T$110,$H$68)+SUMIFS('Calendario H'!$Y$8:$Y$110,'Calendario H'!$T$8:$T$110,$H75,'Calendario H'!$M$8:$M$110,$H$68),"-")</f>
        <v>-</v>
      </c>
      <c r="BA75" s="14" t="str">
        <f aca="false">IF(AND($H75&lt;&gt;"",$H$69&lt;&gt;"",$H75&lt;&gt;$H$69,IFERROR(VLOOKUP($H75,areaCercaPuntiClassificaSquadra,3,FALSE()),-1)=IFERROR(VLOOKUP($H$69,areaCercaPuntiClassificaSquadra,3,FALSE()),-2)),SUMIFS('Calendario H'!$R$8:$R$110,'Calendario H'!$M$8:$M$110,$H75,'Calendario H'!$T$8:$T$110,$H$69)+SUMIFS('Calendario H'!$Y$8:$Y$110,'Calendario H'!$T$8:$T$110,$H75,'Calendario H'!$M$8:$M$110,$H$69),"-")</f>
        <v>-</v>
      </c>
      <c r="BB75" s="14" t="n">
        <f aca="false">IF(AND($H75&lt;&gt;"",$H$70&lt;&gt;"",$H75&lt;&gt;$H$70,IFERROR(VLOOKUP($H75,areaCercaPuntiClassificaSquadra,3,FALSE()),-1)=IFERROR(VLOOKUP($H$70,areaCercaPuntiClassificaSquadra,3,FALSE()),-2)),SUMIFS('Calendario H'!$R$8:$R$110,'Calendario H'!$M$8:$M$110,$H75,'Calendario H'!$T$8:$T$110,$H$70)+SUMIFS('Calendario H'!$Y$8:$Y$110,'Calendario H'!$T$8:$T$110,$H75,'Calendario H'!$M$8:$M$110,$H$70),"-")</f>
        <v>70</v>
      </c>
      <c r="BC75" s="14" t="str">
        <f aca="false">IF(AND($H75&lt;&gt;"",$H$71&lt;&gt;"",$H75&lt;&gt;$H$71,IFERROR(VLOOKUP($H75,areaCercaPuntiClassificaSquadra,3,FALSE()),-1)=IFERROR(VLOOKUP($H$71,areaCercaPuntiClassificaSquadra,3,FALSE()),-2)),SUMIFS('Calendario H'!$R$8:$R$110,'Calendario H'!$M$8:$M$110,$H75,'Calendario H'!$T$8:$T$110,$H$71)+SUMIFS('Calendario H'!$Y$8:$Y$110,'Calendario H'!$T$8:$T$110,$H75,'Calendario H'!$M$8:$M$110,$H$71),"-")</f>
        <v>-</v>
      </c>
      <c r="BD75" s="14" t="str">
        <f aca="false">IF(AND($H75&lt;&gt;"",$H$72&lt;&gt;"",$H75&lt;&gt;$H$72,IFERROR(VLOOKUP($H75,areaCercaPuntiClassificaSquadra,3,FALSE()),-1)=IFERROR(VLOOKUP($H$72,areaCercaPuntiClassificaSquadra,3,FALSE()),-2)),SUMIFS('Calendario H'!$R$8:$R$110,'Calendario H'!$M$8:$M$110,$H75,'Calendario H'!$T$8:$T$110,$H$72)+SUMIFS('Calendario H'!$Y$8:$Y$110,'Calendario H'!$T$8:$T$110,$H75,'Calendario H'!$M$8:$M$110,$H$72),"-")</f>
        <v>-</v>
      </c>
      <c r="BE75" s="14" t="str">
        <f aca="false">IF(AND($H75&lt;&gt;"",$H$73&lt;&gt;"",$H75&lt;&gt;$H$73,IFERROR(VLOOKUP($H75,areaCercaPuntiClassificaSquadra,3,FALSE()),-1)=IFERROR(VLOOKUP($H$73,areaCercaPuntiClassificaSquadra,3,FALSE()),-2)),SUMIFS('Calendario H'!$R$8:$R$110,'Calendario H'!$M$8:$M$110,$H75,'Calendario H'!$T$8:$T$110,$H$73)+SUMIFS('Calendario H'!$Y$8:$Y$110,'Calendario H'!$T$8:$T$110,$H75,'Calendario H'!$M$8:$M$110,$H$73),"-")</f>
        <v>-</v>
      </c>
      <c r="BF75" s="14" t="str">
        <f aca="false">IF(AND($H75&lt;&gt;"",$H$74&lt;&gt;"",$H75&lt;&gt;$H$74,IFERROR(VLOOKUP($H75,areaCercaPuntiClassificaSquadra,3,FALSE()),-1)=IFERROR(VLOOKUP($H$74,areaCercaPuntiClassificaSquadra,3,FALSE()),-2)),SUMIFS('Calendario H'!$R$8:$R$110,'Calendario H'!$M$8:$M$110,$H75,'Calendario H'!$T$8:$T$110,$H$74)+SUMIFS('Calendario H'!$Y$8:$Y$110,'Calendario H'!$T$8:$T$110,$H75,'Calendario H'!$M$8:$M$110,$H$74),"-")</f>
        <v>-</v>
      </c>
      <c r="BG75" s="14" t="str">
        <f aca="false">IF(AND($H75&lt;&gt;"",$H$75&lt;&gt;"",$H75&lt;&gt;$H$75,IFERROR(VLOOKUP($H75,areaCercaPuntiClassificaSquadra,3,FALSE()),-1)=IFERROR(VLOOKUP($H$75,areaCercaPuntiClassificaSquadra,3,FALSE()),-2)),SUMIFS('Calendario H'!$R$8:$R$110,'Calendario H'!$M$8:$M$110,$H75,'Calendario H'!$T$8:$T$110,$H$75)+SUMIFS('Calendario H'!$Y$8:$Y$110,'Calendario H'!$T$8:$T$110,$H75,'Calendario H'!$M$8:$M$110,$H$75),"-")</f>
        <v>-</v>
      </c>
    </row>
    <row r="77" customFormat="false" ht="15" hidden="false" customHeight="false" outlineLevel="0" collapsed="false">
      <c r="A77" s="1" t="s">
        <v>183</v>
      </c>
      <c r="B77" s="29" t="s">
        <v>36</v>
      </c>
      <c r="C77" s="29" t="s">
        <v>184</v>
      </c>
      <c r="D77" s="29" t="s">
        <v>185</v>
      </c>
    </row>
    <row r="78" customFormat="false" ht="15" hidden="false" customHeight="false" outlineLevel="0" collapsed="false">
      <c r="B78" s="7" t="s">
        <v>47</v>
      </c>
      <c r="C78" s="8" t="s">
        <v>186</v>
      </c>
      <c r="D78" s="30" t="s">
        <v>187</v>
      </c>
    </row>
    <row r="79" customFormat="false" ht="15" hidden="false" customHeight="false" outlineLevel="0" collapsed="false">
      <c r="B79" s="7" t="s">
        <v>50</v>
      </c>
      <c r="C79" s="8" t="s">
        <v>188</v>
      </c>
      <c r="D79" s="30" t="s">
        <v>189</v>
      </c>
    </row>
    <row r="80" customFormat="false" ht="15" hidden="false" customHeight="false" outlineLevel="0" collapsed="false">
      <c r="B80" s="7" t="s">
        <v>52</v>
      </c>
      <c r="C80" s="8" t="s">
        <v>190</v>
      </c>
      <c r="D80" s="30" t="s">
        <v>191</v>
      </c>
    </row>
    <row r="81" customFormat="false" ht="15" hidden="false" customHeight="false" outlineLevel="0" collapsed="false">
      <c r="B81" s="7" t="s">
        <v>54</v>
      </c>
      <c r="C81" s="8" t="s">
        <v>192</v>
      </c>
      <c r="D81" s="30" t="s">
        <v>193</v>
      </c>
    </row>
    <row r="82" customFormat="false" ht="15" hidden="false" customHeight="false" outlineLevel="0" collapsed="false">
      <c r="B82" s="7" t="s">
        <v>56</v>
      </c>
      <c r="C82" s="8" t="s">
        <v>194</v>
      </c>
      <c r="D82" s="30" t="s">
        <v>195</v>
      </c>
    </row>
    <row r="83" customFormat="false" ht="15" hidden="false" customHeight="false" outlineLevel="0" collapsed="false">
      <c r="B83" s="7" t="s">
        <v>58</v>
      </c>
      <c r="C83" s="8" t="s">
        <v>196</v>
      </c>
      <c r="D83" s="30" t="s">
        <v>197</v>
      </c>
    </row>
    <row r="84" customFormat="false" ht="15" hidden="false" customHeight="false" outlineLevel="0" collapsed="false">
      <c r="B84" s="7" t="s">
        <v>60</v>
      </c>
      <c r="C84" s="8" t="s">
        <v>198</v>
      </c>
      <c r="D84" s="30" t="s">
        <v>199</v>
      </c>
    </row>
    <row r="85" customFormat="false" ht="15" hidden="false" customHeight="false" outlineLevel="0" collapsed="false">
      <c r="B85" s="7" t="s">
        <v>62</v>
      </c>
      <c r="C85" s="8" t="s">
        <v>200</v>
      </c>
      <c r="D85" s="30" t="s">
        <v>201</v>
      </c>
    </row>
    <row r="86" customFormat="false" ht="15" hidden="false" customHeight="false" outlineLevel="0" collapsed="false">
      <c r="B86" s="7" t="s">
        <v>64</v>
      </c>
      <c r="C86" s="8" t="s">
        <v>202</v>
      </c>
      <c r="D86" s="30" t="s">
        <v>203</v>
      </c>
    </row>
    <row r="87" customFormat="false" ht="15" hidden="false" customHeight="false" outlineLevel="0" collapsed="false">
      <c r="B87" s="7" t="s">
        <v>67</v>
      </c>
      <c r="C87" s="8" t="s">
        <v>204</v>
      </c>
      <c r="D87" s="30" t="s">
        <v>205</v>
      </c>
    </row>
    <row r="88" customFormat="false" ht="15" hidden="false" customHeight="false" outlineLevel="0" collapsed="false">
      <c r="B88" s="7" t="s">
        <v>69</v>
      </c>
      <c r="C88" s="8" t="s">
        <v>206</v>
      </c>
      <c r="D88" s="30" t="s">
        <v>207</v>
      </c>
    </row>
    <row r="89" customFormat="false" ht="15" hidden="false" customHeight="false" outlineLevel="0" collapsed="false">
      <c r="B89" s="7" t="s">
        <v>71</v>
      </c>
      <c r="C89" s="8" t="s">
        <v>208</v>
      </c>
      <c r="D89" s="30" t="s">
        <v>209</v>
      </c>
    </row>
    <row r="90" customFormat="false" ht="15" hidden="false" customHeight="false" outlineLevel="0" collapsed="false">
      <c r="B90" s="7" t="s">
        <v>73</v>
      </c>
      <c r="C90" s="8" t="s">
        <v>210</v>
      </c>
      <c r="D90" s="30" t="s">
        <v>211</v>
      </c>
    </row>
    <row r="91" customFormat="false" ht="15" hidden="false" customHeight="false" outlineLevel="0" collapsed="false">
      <c r="B91" s="7" t="s">
        <v>75</v>
      </c>
      <c r="C91" s="8" t="s">
        <v>212</v>
      </c>
      <c r="D91" s="30" t="s">
        <v>213</v>
      </c>
    </row>
    <row r="92" customFormat="false" ht="15" hidden="false" customHeight="false" outlineLevel="0" collapsed="false">
      <c r="B92" s="7" t="s">
        <v>77</v>
      </c>
      <c r="C92" s="8" t="s">
        <v>214</v>
      </c>
      <c r="D92" s="30" t="s">
        <v>215</v>
      </c>
    </row>
    <row r="93" customFormat="false" ht="15" hidden="false" customHeight="false" outlineLevel="0" collapsed="false">
      <c r="B93" s="7" t="s">
        <v>79</v>
      </c>
      <c r="C93" s="8" t="s">
        <v>216</v>
      </c>
      <c r="D93" s="30" t="s">
        <v>217</v>
      </c>
    </row>
    <row r="94" customFormat="false" ht="15" hidden="false" customHeight="false" outlineLevel="0" collapsed="false">
      <c r="B94" s="7" t="s">
        <v>81</v>
      </c>
      <c r="C94" s="8" t="s">
        <v>218</v>
      </c>
      <c r="D94" s="30" t="s">
        <v>219</v>
      </c>
    </row>
    <row r="95" customFormat="false" ht="15" hidden="false" customHeight="false" outlineLevel="0" collapsed="false">
      <c r="B95" s="7" t="s">
        <v>84</v>
      </c>
      <c r="C95" s="8" t="s">
        <v>220</v>
      </c>
      <c r="D95" s="30" t="s">
        <v>221</v>
      </c>
    </row>
    <row r="96" customFormat="false" ht="15" hidden="false" customHeight="false" outlineLevel="0" collapsed="false">
      <c r="B96" s="7" t="s">
        <v>86</v>
      </c>
      <c r="C96" s="8" t="s">
        <v>222</v>
      </c>
      <c r="D96" s="30" t="s">
        <v>223</v>
      </c>
    </row>
    <row r="97" customFormat="false" ht="15" hidden="false" customHeight="false" outlineLevel="0" collapsed="false">
      <c r="B97" s="7" t="s">
        <v>88</v>
      </c>
      <c r="C97" s="8" t="s">
        <v>224</v>
      </c>
      <c r="D97" s="30" t="s">
        <v>225</v>
      </c>
    </row>
    <row r="98" customFormat="false" ht="15" hidden="false" customHeight="false" outlineLevel="0" collapsed="false">
      <c r="B98" s="7" t="s">
        <v>90</v>
      </c>
      <c r="C98" s="8" t="s">
        <v>226</v>
      </c>
      <c r="D98" s="30" t="s">
        <v>227</v>
      </c>
    </row>
    <row r="99" customFormat="false" ht="15" hidden="false" customHeight="false" outlineLevel="0" collapsed="false">
      <c r="B99" s="7" t="s">
        <v>92</v>
      </c>
      <c r="C99" s="8" t="s">
        <v>228</v>
      </c>
      <c r="D99" s="30" t="s">
        <v>229</v>
      </c>
    </row>
    <row r="100" customFormat="false" ht="15" hidden="false" customHeight="false" outlineLevel="0" collapsed="false">
      <c r="B100" s="7" t="s">
        <v>94</v>
      </c>
      <c r="C100" s="8" t="s">
        <v>230</v>
      </c>
      <c r="D100" s="30" t="s">
        <v>231</v>
      </c>
    </row>
    <row r="101" customFormat="false" ht="15" hidden="false" customHeight="false" outlineLevel="0" collapsed="false">
      <c r="B101" s="7" t="s">
        <v>96</v>
      </c>
      <c r="C101" s="8" t="s">
        <v>232</v>
      </c>
      <c r="D101" s="30" t="s">
        <v>233</v>
      </c>
    </row>
    <row r="102" customFormat="false" ht="15" hidden="false" customHeight="false" outlineLevel="0" collapsed="false">
      <c r="B102" s="7" t="s">
        <v>98</v>
      </c>
      <c r="C102" s="8" t="s">
        <v>234</v>
      </c>
      <c r="D102" s="30" t="s">
        <v>235</v>
      </c>
    </row>
    <row r="103" customFormat="false" ht="15" hidden="false" customHeight="false" outlineLevel="0" collapsed="false">
      <c r="B103" s="7" t="s">
        <v>101</v>
      </c>
      <c r="C103" s="8" t="s">
        <v>236</v>
      </c>
      <c r="D103" s="30" t="s">
        <v>237</v>
      </c>
    </row>
    <row r="104" customFormat="false" ht="15" hidden="false" customHeight="false" outlineLevel="0" collapsed="false">
      <c r="B104" s="7" t="s">
        <v>103</v>
      </c>
      <c r="C104" s="8" t="s">
        <v>238</v>
      </c>
      <c r="D104" s="30" t="s">
        <v>239</v>
      </c>
    </row>
    <row r="105" customFormat="false" ht="15" hidden="false" customHeight="false" outlineLevel="0" collapsed="false">
      <c r="B105" s="7" t="s">
        <v>105</v>
      </c>
      <c r="C105" s="8" t="s">
        <v>240</v>
      </c>
      <c r="D105" s="30" t="s">
        <v>241</v>
      </c>
    </row>
    <row r="106" customFormat="false" ht="15" hidden="false" customHeight="false" outlineLevel="0" collapsed="false">
      <c r="B106" s="7" t="s">
        <v>107</v>
      </c>
      <c r="C106" s="8" t="s">
        <v>242</v>
      </c>
      <c r="D106" s="30" t="s">
        <v>243</v>
      </c>
    </row>
    <row r="107" customFormat="false" ht="15" hidden="false" customHeight="false" outlineLevel="0" collapsed="false">
      <c r="B107" s="7" t="s">
        <v>109</v>
      </c>
      <c r="C107" s="8" t="s">
        <v>244</v>
      </c>
      <c r="D107" s="30" t="s">
        <v>245</v>
      </c>
    </row>
    <row r="108" customFormat="false" ht="15" hidden="false" customHeight="false" outlineLevel="0" collapsed="false">
      <c r="B108" s="7" t="s">
        <v>111</v>
      </c>
      <c r="C108" s="8" t="s">
        <v>246</v>
      </c>
      <c r="D108" s="30" t="s">
        <v>247</v>
      </c>
    </row>
    <row r="109" customFormat="false" ht="15" hidden="false" customHeight="false" outlineLevel="0" collapsed="false">
      <c r="B109" s="7" t="s">
        <v>113</v>
      </c>
      <c r="C109" s="8" t="s">
        <v>248</v>
      </c>
      <c r="D109" s="30" t="s">
        <v>249</v>
      </c>
    </row>
    <row r="110" customFormat="false" ht="15" hidden="false" customHeight="false" outlineLevel="0" collapsed="false">
      <c r="B110" s="7" t="s">
        <v>115</v>
      </c>
      <c r="C110" s="8" t="s">
        <v>250</v>
      </c>
      <c r="D110" s="30" t="s">
        <v>251</v>
      </c>
    </row>
    <row r="111" customFormat="false" ht="15" hidden="false" customHeight="false" outlineLevel="0" collapsed="false">
      <c r="B111" s="7" t="s">
        <v>118</v>
      </c>
      <c r="C111" s="8" t="s">
        <v>252</v>
      </c>
      <c r="D111" s="30" t="s">
        <v>253</v>
      </c>
    </row>
    <row r="112" customFormat="false" ht="15" hidden="false" customHeight="false" outlineLevel="0" collapsed="false">
      <c r="B112" s="7" t="s">
        <v>120</v>
      </c>
      <c r="C112" s="8" t="s">
        <v>254</v>
      </c>
      <c r="D112" s="30" t="s">
        <v>255</v>
      </c>
    </row>
    <row r="113" customFormat="false" ht="15" hidden="false" customHeight="false" outlineLevel="0" collapsed="false">
      <c r="B113" s="7" t="s">
        <v>122</v>
      </c>
      <c r="C113" s="8" t="s">
        <v>256</v>
      </c>
      <c r="D113" s="30" t="s">
        <v>257</v>
      </c>
    </row>
    <row r="114" customFormat="false" ht="15" hidden="false" customHeight="false" outlineLevel="0" collapsed="false">
      <c r="B114" s="7" t="s">
        <v>124</v>
      </c>
      <c r="C114" s="8" t="s">
        <v>258</v>
      </c>
      <c r="D114" s="30" t="s">
        <v>259</v>
      </c>
    </row>
    <row r="115" customFormat="false" ht="15" hidden="false" customHeight="false" outlineLevel="0" collapsed="false">
      <c r="B115" s="7" t="s">
        <v>126</v>
      </c>
      <c r="C115" s="8" t="s">
        <v>260</v>
      </c>
      <c r="D115" s="30" t="s">
        <v>261</v>
      </c>
    </row>
    <row r="116" customFormat="false" ht="15" hidden="false" customHeight="false" outlineLevel="0" collapsed="false">
      <c r="B116" s="7" t="s">
        <v>128</v>
      </c>
      <c r="C116" s="8" t="s">
        <v>262</v>
      </c>
      <c r="D116" s="30" t="s">
        <v>263</v>
      </c>
    </row>
    <row r="117" customFormat="false" ht="15" hidden="false" customHeight="false" outlineLevel="0" collapsed="false">
      <c r="B117" s="7" t="s">
        <v>130</v>
      </c>
      <c r="C117" s="8" t="s">
        <v>264</v>
      </c>
      <c r="D117" s="30" t="s">
        <v>265</v>
      </c>
    </row>
    <row r="118" customFormat="false" ht="15" hidden="false" customHeight="false" outlineLevel="0" collapsed="false">
      <c r="B118" s="7" t="s">
        <v>132</v>
      </c>
      <c r="C118" s="8" t="s">
        <v>266</v>
      </c>
      <c r="D118" s="30" t="s">
        <v>267</v>
      </c>
    </row>
    <row r="119" customFormat="false" ht="15" hidden="false" customHeight="false" outlineLevel="0" collapsed="false">
      <c r="B119" s="7" t="s">
        <v>135</v>
      </c>
      <c r="C119" s="8" t="s">
        <v>268</v>
      </c>
      <c r="D119" s="30" t="s">
        <v>269</v>
      </c>
    </row>
    <row r="120" customFormat="false" ht="15" hidden="false" customHeight="false" outlineLevel="0" collapsed="false">
      <c r="B120" s="7" t="s">
        <v>137</v>
      </c>
      <c r="C120" s="8" t="s">
        <v>270</v>
      </c>
      <c r="D120" s="30" t="s">
        <v>271</v>
      </c>
    </row>
    <row r="121" customFormat="false" ht="15" hidden="false" customHeight="false" outlineLevel="0" collapsed="false">
      <c r="B121" s="7" t="s">
        <v>139</v>
      </c>
      <c r="C121" s="8" t="s">
        <v>272</v>
      </c>
      <c r="D121" s="30" t="s">
        <v>273</v>
      </c>
    </row>
    <row r="122" customFormat="false" ht="15" hidden="false" customHeight="false" outlineLevel="0" collapsed="false">
      <c r="B122" s="7" t="s">
        <v>141</v>
      </c>
      <c r="C122" s="8" t="s">
        <v>274</v>
      </c>
      <c r="D122" s="30" t="s">
        <v>275</v>
      </c>
    </row>
    <row r="123" customFormat="false" ht="15" hidden="false" customHeight="false" outlineLevel="0" collapsed="false">
      <c r="B123" s="7" t="s">
        <v>143</v>
      </c>
      <c r="C123" s="8" t="s">
        <v>276</v>
      </c>
      <c r="D123" s="30" t="s">
        <v>277</v>
      </c>
    </row>
    <row r="124" customFormat="false" ht="15" hidden="false" customHeight="false" outlineLevel="0" collapsed="false">
      <c r="B124" s="7" t="s">
        <v>145</v>
      </c>
      <c r="C124" s="8" t="s">
        <v>278</v>
      </c>
      <c r="D124" s="30" t="s">
        <v>279</v>
      </c>
    </row>
    <row r="125" customFormat="false" ht="15" hidden="false" customHeight="false" outlineLevel="0" collapsed="false">
      <c r="B125" s="7" t="s">
        <v>147</v>
      </c>
      <c r="C125" s="8" t="s">
        <v>280</v>
      </c>
      <c r="D125" s="30" t="s">
        <v>281</v>
      </c>
    </row>
    <row r="126" customFormat="false" ht="15" hidden="false" customHeight="false" outlineLevel="0" collapsed="false">
      <c r="B126" s="7" t="s">
        <v>149</v>
      </c>
      <c r="C126" s="8" t="s">
        <v>282</v>
      </c>
      <c r="D126" s="30" t="s">
        <v>283</v>
      </c>
    </row>
    <row r="127" customFormat="false" ht="15" hidden="false" customHeight="false" outlineLevel="0" collapsed="false">
      <c r="B127" s="7" t="s">
        <v>152</v>
      </c>
      <c r="C127" s="8" t="s">
        <v>284</v>
      </c>
      <c r="D127" s="30" t="s">
        <v>285</v>
      </c>
    </row>
    <row r="128" customFormat="false" ht="15" hidden="false" customHeight="false" outlineLevel="0" collapsed="false">
      <c r="B128" s="7" t="s">
        <v>154</v>
      </c>
      <c r="C128" s="8" t="s">
        <v>286</v>
      </c>
      <c r="D128" s="30" t="s">
        <v>287</v>
      </c>
    </row>
    <row r="129" customFormat="false" ht="15" hidden="false" customHeight="false" outlineLevel="0" collapsed="false">
      <c r="B129" s="7" t="s">
        <v>156</v>
      </c>
      <c r="C129" s="8" t="s">
        <v>288</v>
      </c>
      <c r="D129" s="30" t="s">
        <v>289</v>
      </c>
    </row>
    <row r="130" customFormat="false" ht="15" hidden="false" customHeight="false" outlineLevel="0" collapsed="false">
      <c r="B130" s="7" t="s">
        <v>158</v>
      </c>
      <c r="C130" s="8" t="s">
        <v>290</v>
      </c>
      <c r="D130" s="30" t="s">
        <v>291</v>
      </c>
    </row>
    <row r="131" customFormat="false" ht="15" hidden="false" customHeight="false" outlineLevel="0" collapsed="false">
      <c r="B131" s="7" t="s">
        <v>160</v>
      </c>
      <c r="C131" s="8" t="s">
        <v>292</v>
      </c>
      <c r="D131" s="30" t="s">
        <v>293</v>
      </c>
    </row>
    <row r="132" customFormat="false" ht="15" hidden="false" customHeight="false" outlineLevel="0" collapsed="false">
      <c r="B132" s="7" t="s">
        <v>162</v>
      </c>
      <c r="C132" s="8" t="s">
        <v>294</v>
      </c>
      <c r="D132" s="30" t="s">
        <v>295</v>
      </c>
    </row>
    <row r="133" customFormat="false" ht="15" hidden="false" customHeight="false" outlineLevel="0" collapsed="false">
      <c r="B133" s="7" t="s">
        <v>164</v>
      </c>
      <c r="C133" s="8" t="s">
        <v>296</v>
      </c>
      <c r="D133" s="30" t="s">
        <v>297</v>
      </c>
    </row>
    <row r="134" customFormat="false" ht="15" hidden="false" customHeight="false" outlineLevel="0" collapsed="false">
      <c r="B134" s="7" t="s">
        <v>166</v>
      </c>
      <c r="C134" s="8" t="s">
        <v>298</v>
      </c>
      <c r="D134" s="30" t="s">
        <v>299</v>
      </c>
    </row>
    <row r="135" customFormat="false" ht="15" hidden="false" customHeight="false" outlineLevel="0" collapsed="false">
      <c r="B135" s="7" t="s">
        <v>169</v>
      </c>
      <c r="C135" s="8" t="s">
        <v>300</v>
      </c>
      <c r="D135" s="30" t="s">
        <v>301</v>
      </c>
    </row>
    <row r="136" customFormat="false" ht="15" hidden="false" customHeight="false" outlineLevel="0" collapsed="false">
      <c r="B136" s="7" t="s">
        <v>171</v>
      </c>
      <c r="C136" s="8" t="s">
        <v>302</v>
      </c>
      <c r="D136" s="30" t="s">
        <v>303</v>
      </c>
    </row>
    <row r="137" customFormat="false" ht="15" hidden="false" customHeight="false" outlineLevel="0" collapsed="false">
      <c r="B137" s="7" t="s">
        <v>173</v>
      </c>
      <c r="C137" s="8" t="s">
        <v>304</v>
      </c>
      <c r="D137" s="30" t="s">
        <v>305</v>
      </c>
    </row>
    <row r="138" customFormat="false" ht="15" hidden="false" customHeight="false" outlineLevel="0" collapsed="false">
      <c r="B138" s="7" t="s">
        <v>175</v>
      </c>
      <c r="C138" s="8" t="s">
        <v>306</v>
      </c>
      <c r="D138" s="30" t="s">
        <v>307</v>
      </c>
    </row>
    <row r="139" customFormat="false" ht="15" hidden="false" customHeight="false" outlineLevel="0" collapsed="false">
      <c r="B139" s="7" t="s">
        <v>177</v>
      </c>
      <c r="C139" s="8" t="s">
        <v>308</v>
      </c>
      <c r="D139" s="30" t="s">
        <v>309</v>
      </c>
    </row>
    <row r="140" customFormat="false" ht="15" hidden="false" customHeight="false" outlineLevel="0" collapsed="false">
      <c r="B140" s="7" t="s">
        <v>179</v>
      </c>
      <c r="C140" s="8" t="s">
        <v>310</v>
      </c>
      <c r="D140" s="30" t="s">
        <v>311</v>
      </c>
    </row>
    <row r="141" customFormat="false" ht="15" hidden="false" customHeight="false" outlineLevel="0" collapsed="false">
      <c r="B141" s="7" t="s">
        <v>181</v>
      </c>
      <c r="C141" s="8" t="s">
        <v>312</v>
      </c>
      <c r="D141" s="30" t="s">
        <v>313</v>
      </c>
    </row>
    <row r="142" customFormat="false" ht="15" hidden="false" customHeight="false" outlineLevel="0" collapsed="false">
      <c r="B142" s="31" t="s">
        <v>314</v>
      </c>
      <c r="C142" s="32" t="s">
        <v>315</v>
      </c>
      <c r="D142" s="33"/>
    </row>
    <row r="144" customFormat="false" ht="15" hidden="false" customHeight="false" outlineLevel="0" collapsed="false">
      <c r="C144" s="34" t="s">
        <v>316</v>
      </c>
    </row>
  </sheetData>
  <mergeCells count="13">
    <mergeCell ref="B1:C1"/>
    <mergeCell ref="Y1:AF1"/>
    <mergeCell ref="AH1:AO1"/>
    <mergeCell ref="AQ1:AX1"/>
    <mergeCell ref="AZ1:BG1"/>
    <mergeCell ref="B2:C2"/>
    <mergeCell ref="B3:C3"/>
    <mergeCell ref="B4:C4"/>
    <mergeCell ref="B5:C5"/>
    <mergeCell ref="B6:C6"/>
    <mergeCell ref="B7:C7"/>
    <mergeCell ref="B8:C8"/>
    <mergeCell ref="B9:C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FBF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>Campionato Baskin Demo - ESEMPIO COMPILATO 64 Squadre</v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36" t="str">
        <f aca="false">"GIRONE A - Stagione "&amp;constStagionaCampionato</f>
        <v>GIRONE A - Stagione 2026/2027</v>
      </c>
      <c r="B3" s="36"/>
      <c r="C3" s="36"/>
      <c r="D3" s="36"/>
    </row>
    <row r="6" customFormat="false" ht="15" hidden="false" customHeight="false" outlineLevel="0" collapsed="false">
      <c r="M6" s="37" t="s">
        <v>317</v>
      </c>
      <c r="N6" s="37" t="s">
        <v>318</v>
      </c>
      <c r="O6" s="37" t="s">
        <v>319</v>
      </c>
      <c r="P6" s="37" t="s">
        <v>320</v>
      </c>
      <c r="Q6" s="37" t="s">
        <v>321</v>
      </c>
      <c r="R6" s="37" t="s">
        <v>322</v>
      </c>
      <c r="S6" s="37" t="s">
        <v>323</v>
      </c>
      <c r="T6" s="37" t="s">
        <v>324</v>
      </c>
      <c r="U6" s="37" t="s">
        <v>325</v>
      </c>
      <c r="V6" s="37" t="s">
        <v>326</v>
      </c>
      <c r="W6" s="37" t="s">
        <v>327</v>
      </c>
      <c r="X6" s="37" t="s">
        <v>328</v>
      </c>
      <c r="Y6" s="37" t="s">
        <v>329</v>
      </c>
      <c r="Z6" s="37" t="s">
        <v>330</v>
      </c>
      <c r="AA6" s="37" t="s">
        <v>331</v>
      </c>
      <c r="AB6" s="37" t="s">
        <v>332</v>
      </c>
    </row>
    <row r="8" customFormat="false" ht="19.5" hidden="false" customHeight="true" outlineLevel="0" collapsed="false">
      <c r="A8" s="38" t="s">
        <v>333</v>
      </c>
      <c r="B8" s="39" t="str">
        <f aca="false">"GIORNATA "&amp;ROMAN(VALUE(LEFT(A8,LEN(A8)-1)))&amp;" - GIRONE "&amp;RIGHT(A8,1)</f>
        <v>GIORNATA I - GIRONE A</v>
      </c>
      <c r="C8" s="39"/>
      <c r="D8" s="39"/>
      <c r="E8" s="39"/>
      <c r="F8" s="39"/>
      <c r="G8" s="39"/>
      <c r="H8" s="39"/>
      <c r="I8" s="39"/>
      <c r="J8" s="39"/>
      <c r="K8" s="39"/>
      <c r="L8" s="39"/>
    </row>
    <row r="9" customFormat="false" ht="12.75" hidden="false" customHeight="true" outlineLevel="0" collapsed="false">
      <c r="A9" s="40" t="s">
        <v>334</v>
      </c>
      <c r="B9" s="40" t="s">
        <v>317</v>
      </c>
      <c r="C9" s="40"/>
      <c r="D9" s="40" t="s">
        <v>324</v>
      </c>
      <c r="E9" s="40"/>
      <c r="F9" s="40" t="s">
        <v>335</v>
      </c>
      <c r="G9" s="40" t="s">
        <v>336</v>
      </c>
      <c r="H9" s="40" t="s">
        <v>337</v>
      </c>
      <c r="I9" s="40"/>
      <c r="J9" s="40" t="s">
        <v>338</v>
      </c>
      <c r="K9" s="40"/>
      <c r="L9" s="40"/>
    </row>
    <row r="10" customFormat="false" ht="24" hidden="false" customHeight="true" outlineLevel="0" collapsed="false">
      <c r="A10" s="41" t="n">
        <v>1</v>
      </c>
      <c r="B10" s="42" t="str">
        <f aca="false">IF(C10="","",IFERROR(LEFT(VLOOKUP(C10,areaNomiSquadre,2,FALSE()),FIND("-",VLOOKUP(C10,areaNomiSquadre,2,FALSE()))-1),""))</f>
        <v>Anaconde Arrabbiate</v>
      </c>
      <c r="C10" s="43" t="s">
        <v>47</v>
      </c>
      <c r="D10" s="42" t="str">
        <f aca="false">IF(E10="","",IFERROR(LEFT(VLOOKUP(E10,areaNomiSquadre,2,FALSE()),FIND("-",VLOOKUP(E10,areaNomiSquadre,2,FALSE()))-1),""))</f>
        <v>Ippopotami Iracondi</v>
      </c>
      <c r="E10" s="43" t="s">
        <v>62</v>
      </c>
      <c r="F10" s="44" t="n">
        <v>46313.3958333333</v>
      </c>
      <c r="G10" s="44"/>
      <c r="H10" s="44"/>
      <c r="I10" s="44"/>
      <c r="J10" s="45" t="n">
        <v>73</v>
      </c>
      <c r="K10" s="46" t="s">
        <v>339</v>
      </c>
      <c r="L10" s="45" t="n">
        <v>50</v>
      </c>
      <c r="M10" s="47" t="str">
        <f aca="false">IF($B10="","(Squadra A)",$B10)</f>
        <v>Anaconde Arrabbiate</v>
      </c>
      <c r="N10" s="47" t="n">
        <f aca="false">IF($J10+$L10=0,,IF($J10&gt;$L10,1,0))</f>
        <v>1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73</v>
      </c>
      <c r="R10" s="47" t="n">
        <f aca="false">IF($J10+$L10=0,,$L10)</f>
        <v>50</v>
      </c>
      <c r="S10" s="47" t="n">
        <f aca="false">IF($J10+$L10=0,,$J10-$L10)</f>
        <v>23</v>
      </c>
      <c r="T10" s="47" t="str">
        <f aca="false">IF($D10="","(Squadra B)",$D10)</f>
        <v>Ippopotami Iracondi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1</v>
      </c>
      <c r="X10" s="47" t="n">
        <f aca="false">IF($J10+$L10=0,,$L10)</f>
        <v>50</v>
      </c>
      <c r="Y10" s="47" t="n">
        <f aca="false">IF($J10+$L10=0,,$J10)</f>
        <v>73</v>
      </c>
      <c r="Z10" s="47" t="n">
        <f aca="false">IF($J10+$L10=0,,$L10-$J10)</f>
        <v>-23</v>
      </c>
      <c r="AA10" s="47" t="str">
        <f aca="false">IF($J10+$L10=0,"(Vincente)",IF($J10&gt;$L10,$B10,$D10))</f>
        <v>Anaconde Arrabbiate</v>
      </c>
      <c r="AB10" s="47" t="str">
        <f aca="false">IF($J10+$L10=0,"(Perdente)",IF($J10&lt;$L10,$B10,$D10))</f>
        <v>Ippopotami Iracondi</v>
      </c>
    </row>
    <row r="11" customFormat="false" ht="15.75" hidden="false" customHeight="true" outlineLevel="0" collapsed="false">
      <c r="A11" s="41"/>
      <c r="B11" s="48" t="str">
        <f aca="false">IF(I11="","",HYPERLINK(VLOOKUP(I11,areaCampiSquadre,3,FALSE()),VLOOKUP(I11,areaCampiSquadre,2,FALSE())))</f>
        <v>PalaAnaconde, Via dello Sport 1, Anacondeopoli AE</v>
      </c>
      <c r="C11" s="48"/>
      <c r="D11" s="48"/>
      <c r="E11" s="48"/>
      <c r="F11" s="48"/>
      <c r="G11" s="48"/>
      <c r="H11" s="48"/>
      <c r="I11" s="43" t="s">
        <v>47</v>
      </c>
      <c r="J11" s="45"/>
      <c r="K11" s="45"/>
      <c r="L11" s="45"/>
    </row>
    <row r="12" customFormat="false" ht="12.75" hidden="false" customHeight="true" outlineLevel="0" collapsed="false">
      <c r="A12" s="40" t="s">
        <v>334</v>
      </c>
      <c r="B12" s="40" t="s">
        <v>317</v>
      </c>
      <c r="C12" s="40"/>
      <c r="D12" s="40" t="s">
        <v>324</v>
      </c>
      <c r="E12" s="40"/>
      <c r="F12" s="40" t="s">
        <v>335</v>
      </c>
      <c r="G12" s="40" t="s">
        <v>336</v>
      </c>
      <c r="H12" s="40" t="s">
        <v>337</v>
      </c>
      <c r="I12" s="40"/>
      <c r="J12" s="40" t="s">
        <v>338</v>
      </c>
      <c r="K12" s="40"/>
      <c r="L12" s="40"/>
    </row>
    <row r="13" customFormat="false" ht="24" hidden="false" customHeight="true" outlineLevel="0" collapsed="false">
      <c r="A13" s="41" t="n">
        <f aca="false">MAX(A$10:A12)+1</f>
        <v>2</v>
      </c>
      <c r="B13" s="42" t="str">
        <f aca="false">IF(C13="","",IFERROR(LEFT(VLOOKUP(C13,areaNomiSquadre,2,FALSE()),FIND("-",VLOOKUP(C13,areaNomiSquadre,2,FALSE()))-1),""))</f>
        <v>Gazzelle Gagliarde</v>
      </c>
      <c r="C13" s="43" t="s">
        <v>60</v>
      </c>
      <c r="D13" s="42" t="str">
        <f aca="false">IF(E13="","",IFERROR(LEFT(VLOOKUP(E13,areaNomiSquadre,2,FALSE()),FIND("-",VLOOKUP(E13,areaNomiSquadre,2,FALSE()))-1),""))</f>
        <v>Bufali Belligeranti</v>
      </c>
      <c r="E13" s="43" t="s">
        <v>50</v>
      </c>
      <c r="F13" s="44" t="n">
        <v>46313.4791666667</v>
      </c>
      <c r="G13" s="44"/>
      <c r="H13" s="44"/>
      <c r="I13" s="44"/>
      <c r="J13" s="45" t="n">
        <v>74</v>
      </c>
      <c r="K13" s="46" t="s">
        <v>339</v>
      </c>
      <c r="L13" s="45" t="n">
        <v>68</v>
      </c>
      <c r="M13" s="47" t="str">
        <f aca="false">IF($B13="","(Squadra A)",$B13)</f>
        <v>Gazzelle Gagliarde</v>
      </c>
      <c r="N13" s="47" t="n">
        <f aca="false">IF($J13+$L13=0,,IF($J13&gt;$L13,1,0))</f>
        <v>1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47" t="n">
        <f aca="false">IF($J13+$L13=0,,$J13)</f>
        <v>74</v>
      </c>
      <c r="R13" s="47" t="n">
        <f aca="false">IF($J13+$L13=0,,$L13)</f>
        <v>68</v>
      </c>
      <c r="S13" s="47" t="n">
        <f aca="false">IF($J13+$L13=0,,$J13-$L13)</f>
        <v>6</v>
      </c>
      <c r="T13" s="47" t="str">
        <f aca="false">IF($D13="","(Squadra B)",$D13)</f>
        <v>Bufali Belligeranti</v>
      </c>
      <c r="U13" s="47" t="n">
        <f aca="false">IF($J13+$L13=0,,IF($L13&gt;$J13,1,0))</f>
        <v>0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1</v>
      </c>
      <c r="X13" s="47" t="n">
        <f aca="false">IF($J13+$L13=0,,$L13)</f>
        <v>68</v>
      </c>
      <c r="Y13" s="47" t="n">
        <f aca="false">IF($J13+$L13=0,,$J13)</f>
        <v>74</v>
      </c>
      <c r="Z13" s="47" t="n">
        <f aca="false">IF($J13+$L13=0,,$L13-$J13)</f>
        <v>-6</v>
      </c>
      <c r="AA13" s="47" t="str">
        <f aca="false">IF($J13+$L13=0,"(Vincente)",IF($J13&gt;$L13,$B13,$D13))</f>
        <v>Gazzelle Gagliarde</v>
      </c>
      <c r="AB13" s="47" t="str">
        <f aca="false">IF($J13+$L13=0,"(Perdente)",IF($J13&lt;$L13,$B13,$D13))</f>
        <v>Bufali Belligeranti</v>
      </c>
    </row>
    <row r="14" customFormat="false" ht="15.75" hidden="false" customHeight="true" outlineLevel="0" collapsed="false">
      <c r="A14" s="41"/>
      <c r="B14" s="48" t="str">
        <f aca="false">IF(I14="","",HYPERLINK(VLOOKUP(I14,areaCampiSquadre,3,FALSE()),VLOOKUP(I14,areaCampiSquadre,2,FALSE())))</f>
        <v>PalaAnaconde, Via dello Sport 1, Anacondeopoli AE</v>
      </c>
      <c r="C14" s="48"/>
      <c r="D14" s="48"/>
      <c r="E14" s="48"/>
      <c r="F14" s="48"/>
      <c r="G14" s="48"/>
      <c r="H14" s="48"/>
      <c r="I14" s="43" t="s">
        <v>47</v>
      </c>
      <c r="J14" s="45"/>
      <c r="K14" s="45"/>
      <c r="L14" s="45"/>
    </row>
    <row r="15" customFormat="false" ht="12.75" hidden="false" customHeight="true" outlineLevel="0" collapsed="false">
      <c r="A15" s="40" t="s">
        <v>334</v>
      </c>
      <c r="B15" s="40" t="s">
        <v>317</v>
      </c>
      <c r="C15" s="40"/>
      <c r="D15" s="40" t="s">
        <v>324</v>
      </c>
      <c r="E15" s="40"/>
      <c r="F15" s="40" t="s">
        <v>335</v>
      </c>
      <c r="G15" s="40" t="s">
        <v>336</v>
      </c>
      <c r="H15" s="40" t="s">
        <v>337</v>
      </c>
      <c r="I15" s="40"/>
      <c r="J15" s="40" t="s">
        <v>338</v>
      </c>
      <c r="K15" s="40"/>
      <c r="L15" s="40"/>
    </row>
    <row r="16" customFormat="false" ht="24" hidden="false" customHeight="true" outlineLevel="0" collapsed="false">
      <c r="A16" s="41" t="n">
        <f aca="false">MAX(A$10:A15)+1</f>
        <v>3</v>
      </c>
      <c r="B16" s="42" t="str">
        <f aca="false">IF(C16="","",IFERROR(LEFT(VLOOKUP(C16,areaNomiSquadre,2,FALSE()),FIND("-",VLOOKUP(C16,areaNomiSquadre,2,FALSE()))-1),""))</f>
        <v>Cobra Coraggiosi</v>
      </c>
      <c r="C16" s="43" t="s">
        <v>52</v>
      </c>
      <c r="D16" s="42" t="str">
        <f aca="false">IF(E16="","",IFERROR(LEFT(VLOOKUP(E16,areaNomiSquadre,2,FALSE()),FIND("-",VLOOKUP(E16,areaNomiSquadre,2,FALSE()))-1),""))</f>
        <v>Falchi Furiosi</v>
      </c>
      <c r="E16" s="43" t="s">
        <v>58</v>
      </c>
      <c r="F16" s="44" t="n">
        <v>46313.625</v>
      </c>
      <c r="G16" s="44"/>
      <c r="H16" s="44"/>
      <c r="I16" s="44"/>
      <c r="J16" s="45" t="n">
        <v>50</v>
      </c>
      <c r="K16" s="46" t="s">
        <v>339</v>
      </c>
      <c r="L16" s="45" t="n">
        <v>67</v>
      </c>
      <c r="M16" s="47" t="str">
        <f aca="false">IF($B16="","(Squadra A)",$B16)</f>
        <v>Cobra Coraggiosi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1</v>
      </c>
      <c r="Q16" s="47" t="n">
        <f aca="false">IF($J16+$L16=0,,$J16)</f>
        <v>50</v>
      </c>
      <c r="R16" s="47" t="n">
        <f aca="false">IF($J16+$L16=0,,$L16)</f>
        <v>67</v>
      </c>
      <c r="S16" s="47" t="n">
        <f aca="false">IF($J16+$L16=0,,$J16-$L16)</f>
        <v>-17</v>
      </c>
      <c r="T16" s="47" t="str">
        <f aca="false">IF($D16="","(Squadra B)",$D16)</f>
        <v>Falchi Furiosi</v>
      </c>
      <c r="U16" s="47" t="n">
        <f aca="false">IF($J16+$L16=0,,IF($L16&gt;$J16,1,0))</f>
        <v>1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67</v>
      </c>
      <c r="Y16" s="47" t="n">
        <f aca="false">IF($J16+$L16=0,,$J16)</f>
        <v>50</v>
      </c>
      <c r="Z16" s="47" t="n">
        <f aca="false">IF($J16+$L16=0,,$L16-$J16)</f>
        <v>17</v>
      </c>
      <c r="AA16" s="47" t="str">
        <f aca="false">IF($J16+$L16=0,"(Vincente)",IF($J16&gt;$L16,$B16,$D16))</f>
        <v>Falchi Furiosi</v>
      </c>
      <c r="AB16" s="47" t="str">
        <f aca="false">IF($J16+$L16=0,"(Perdente)",IF($J16&lt;$L16,$B16,$D16))</f>
        <v>Cobra Coraggiosi</v>
      </c>
    </row>
    <row r="17" customFormat="false" ht="15.75" hidden="false" customHeight="true" outlineLevel="0" collapsed="false">
      <c r="A17" s="41"/>
      <c r="B17" s="48" t="str">
        <f aca="false">IF(I17="","",HYPERLINK(VLOOKUP(I17,areaCampiSquadre,3,FALSE()),VLOOKUP(I17,areaCampiSquadre,2,FALSE())))</f>
        <v>PalaAnaconde, Via dello Sport 1, Anacondeopoli AE</v>
      </c>
      <c r="C17" s="48"/>
      <c r="D17" s="48"/>
      <c r="E17" s="48"/>
      <c r="F17" s="48"/>
      <c r="G17" s="48"/>
      <c r="H17" s="48"/>
      <c r="I17" s="43" t="s">
        <v>47</v>
      </c>
      <c r="J17" s="45"/>
      <c r="K17" s="45"/>
      <c r="L17" s="45"/>
    </row>
    <row r="18" customFormat="false" ht="12.75" hidden="false" customHeight="true" outlineLevel="0" collapsed="false">
      <c r="A18" s="40" t="s">
        <v>334</v>
      </c>
      <c r="B18" s="40" t="s">
        <v>317</v>
      </c>
      <c r="C18" s="40"/>
      <c r="D18" s="40" t="s">
        <v>324</v>
      </c>
      <c r="E18" s="40"/>
      <c r="F18" s="40" t="s">
        <v>335</v>
      </c>
      <c r="G18" s="40" t="s">
        <v>336</v>
      </c>
      <c r="H18" s="40" t="s">
        <v>337</v>
      </c>
      <c r="I18" s="40"/>
      <c r="J18" s="40" t="s">
        <v>338</v>
      </c>
      <c r="K18" s="40"/>
      <c r="L18" s="40"/>
    </row>
    <row r="19" customFormat="false" ht="24" hidden="false" customHeight="true" outlineLevel="0" collapsed="false">
      <c r="A19" s="41" t="n">
        <f aca="false">MAX(A$10:A18)+1</f>
        <v>4</v>
      </c>
      <c r="B19" s="42" t="str">
        <f aca="false">IF(C19="","",IFERROR(LEFT(VLOOKUP(C19,areaNomiSquadre,2,FALSE()),FIND("-",VLOOKUP(C19,areaNomiSquadre,2,FALSE()))-1),""))</f>
        <v>Ermellini Eleganti</v>
      </c>
      <c r="C19" s="43" t="s">
        <v>56</v>
      </c>
      <c r="D19" s="42" t="str">
        <f aca="false">IF(E19="","",IFERROR(LEFT(VLOOKUP(E19,areaNomiSquadre,2,FALSE()),FIND("-",VLOOKUP(E19,areaNomiSquadre,2,FALSE()))-1),""))</f>
        <v>Delfini Dispettosi</v>
      </c>
      <c r="E19" s="43" t="s">
        <v>54</v>
      </c>
      <c r="F19" s="44" t="n">
        <v>46313.7083333333</v>
      </c>
      <c r="G19" s="44"/>
      <c r="H19" s="44"/>
      <c r="I19" s="44"/>
      <c r="J19" s="45" t="n">
        <v>71</v>
      </c>
      <c r="K19" s="46" t="s">
        <v>339</v>
      </c>
      <c r="L19" s="45" t="n">
        <v>50</v>
      </c>
      <c r="M19" s="47" t="str">
        <f aca="false">IF($B19="","(Squadra A)",$B19)</f>
        <v>Ermellini Eleganti</v>
      </c>
      <c r="N19" s="47" t="n">
        <f aca="false">IF($J19+$L19=0,,IF($J19&gt;$L19,1,0))</f>
        <v>1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71</v>
      </c>
      <c r="R19" s="47" t="n">
        <f aca="false">IF($J19+$L19=0,,$L19)</f>
        <v>50</v>
      </c>
      <c r="S19" s="47" t="n">
        <f aca="false">IF($J19+$L19=0,,$J19-$L19)</f>
        <v>21</v>
      </c>
      <c r="T19" s="47" t="str">
        <f aca="false">IF($D19="","(Squadra B)",$D19)</f>
        <v>Delfini Dispettosi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1</v>
      </c>
      <c r="X19" s="47" t="n">
        <f aca="false">IF($J19+$L19=0,,$L19)</f>
        <v>50</v>
      </c>
      <c r="Y19" s="47" t="n">
        <f aca="false">IF($J19+$L19=0,,$J19)</f>
        <v>71</v>
      </c>
      <c r="Z19" s="47" t="n">
        <f aca="false">IF($J19+$L19=0,,$L19-$J19)</f>
        <v>-21</v>
      </c>
      <c r="AA19" s="47" t="str">
        <f aca="false">IF($J19+$L19=0,"(Vincente)",IF($J19&gt;$L19,$B19,$D19))</f>
        <v>Ermellini Eleganti</v>
      </c>
      <c r="AB19" s="47" t="str">
        <f aca="false">IF($J19+$L19=0,"(Perdente)",IF($J19&lt;$L19,$B19,$D19))</f>
        <v>Delfini Dispettosi</v>
      </c>
    </row>
    <row r="20" customFormat="false" ht="15.75" hidden="false" customHeight="true" outlineLevel="0" collapsed="false">
      <c r="A20" s="41"/>
      <c r="B20" s="48" t="str">
        <f aca="false">IF(I20="","",HYPERLINK(VLOOKUP(I20,areaCampiSquadre,3,FALSE()),VLOOKUP(I20,areaCampiSquadre,2,FALSE())))</f>
        <v>PalaAnaconde, Via dello Sport 1, Anacondeopoli AE</v>
      </c>
      <c r="C20" s="48"/>
      <c r="D20" s="48"/>
      <c r="E20" s="48"/>
      <c r="F20" s="48"/>
      <c r="G20" s="48"/>
      <c r="H20" s="48"/>
      <c r="I20" s="43" t="s">
        <v>47</v>
      </c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38" t="s">
        <v>340</v>
      </c>
      <c r="B22" s="39" t="str">
        <f aca="false">"GIORNATA "&amp;ROMAN(VALUE(LEFT(A22,LEN(A22)-1)))&amp;" - GIRONE "&amp;RIGHT(A22,1)</f>
        <v>GIORNATA II - GIRONE A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customFormat="false" ht="12.75" hidden="false" customHeight="true" outlineLevel="0" collapsed="false">
      <c r="A23" s="40" t="s">
        <v>334</v>
      </c>
      <c r="B23" s="40" t="s">
        <v>317</v>
      </c>
      <c r="C23" s="40"/>
      <c r="D23" s="40" t="s">
        <v>324</v>
      </c>
      <c r="E23" s="40"/>
      <c r="F23" s="40" t="s">
        <v>335</v>
      </c>
      <c r="G23" s="40" t="s">
        <v>336</v>
      </c>
      <c r="H23" s="40" t="s">
        <v>337</v>
      </c>
      <c r="I23" s="40"/>
      <c r="J23" s="40" t="s">
        <v>338</v>
      </c>
      <c r="K23" s="40"/>
      <c r="L23" s="40"/>
    </row>
    <row r="24" customFormat="false" ht="24" hidden="false" customHeight="true" outlineLevel="0" collapsed="false">
      <c r="A24" s="41" t="n">
        <f aca="false">MAX(A$10:A23)+1</f>
        <v>5</v>
      </c>
      <c r="B24" s="42" t="str">
        <f aca="false">IF(C24="","",IFERROR(LEFT(VLOOKUP(C24,areaNomiSquadre,2,FALSE()),FIND("-",VLOOKUP(C24,areaNomiSquadre,2,FALSE()))-1),""))</f>
        <v>Gazzelle Gagliarde</v>
      </c>
      <c r="C24" s="43" t="s">
        <v>60</v>
      </c>
      <c r="D24" s="42" t="str">
        <f aca="false">IF(E24="","",IFERROR(LEFT(VLOOKUP(E24,areaNomiSquadre,2,FALSE()),FIND("-",VLOOKUP(E24,areaNomiSquadre,2,FALSE()))-1),""))</f>
        <v>Anaconde Arrabbiate</v>
      </c>
      <c r="E24" s="43" t="s">
        <v>47</v>
      </c>
      <c r="F24" s="44" t="n">
        <v>46334.3958333333</v>
      </c>
      <c r="G24" s="44"/>
      <c r="H24" s="44"/>
      <c r="I24" s="44"/>
      <c r="J24" s="45" t="n">
        <v>60</v>
      </c>
      <c r="K24" s="46" t="s">
        <v>339</v>
      </c>
      <c r="L24" s="45" t="n">
        <v>69</v>
      </c>
      <c r="M24" s="47" t="str">
        <f aca="false">IF($B24="","(Squadra A)",$B24)</f>
        <v>Gazzelle Gagliarde</v>
      </c>
      <c r="N24" s="47" t="n">
        <f aca="false">IF($J24+$L24=0,,IF($J24&gt;$L24,1,0))</f>
        <v>0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1</v>
      </c>
      <c r="Q24" s="47" t="n">
        <f aca="false">IF($J24+$L24=0,,$J24)</f>
        <v>60</v>
      </c>
      <c r="R24" s="47" t="n">
        <f aca="false">IF($J24+$L24=0,,$L24)</f>
        <v>69</v>
      </c>
      <c r="S24" s="47" t="n">
        <f aca="false">IF($J24+$L24=0,,$J24-$L24)</f>
        <v>-9</v>
      </c>
      <c r="T24" s="47" t="str">
        <f aca="false">IF($D24="","(Squadra B)",$D24)</f>
        <v>Anaconde Arrabbiate</v>
      </c>
      <c r="U24" s="47" t="n">
        <f aca="false">IF($J24+$L24=0,,IF($L24&gt;$J24,1,0))</f>
        <v>1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0</v>
      </c>
      <c r="X24" s="47" t="n">
        <f aca="false">IF($J24+$L24=0,,$L24)</f>
        <v>69</v>
      </c>
      <c r="Y24" s="47" t="n">
        <f aca="false">IF($J24+$L24=0,,$J24)</f>
        <v>60</v>
      </c>
      <c r="Z24" s="47" t="n">
        <f aca="false">IF($J24+$L24=0,,$L24-$J24)</f>
        <v>9</v>
      </c>
      <c r="AA24" s="47" t="str">
        <f aca="false">IF($J24+$L24=0,"(Vincente)",IF($J24&gt;$L24,$B24,$D24))</f>
        <v>Anaconde Arrabbiate</v>
      </c>
      <c r="AB24" s="47" t="str">
        <f aca="false">IF($J24+$L24=0,"(Perdente)",IF($J24&lt;$L24,$B24,$D24))</f>
        <v>Gazzelle Gagliarde</v>
      </c>
    </row>
    <row r="25" customFormat="false" ht="15.75" hidden="false" customHeight="true" outlineLevel="0" collapsed="false">
      <c r="A25" s="41"/>
      <c r="B25" s="48" t="str">
        <f aca="false">IF(I25="","",HYPERLINK(VLOOKUP(I25,areaCampiSquadre,3,FALSE()),VLOOKUP(I25,areaCampiSquadre,2,FALSE())))</f>
        <v>PalaBufali, Via dello Sport 2, Bufaliopoli BI</v>
      </c>
      <c r="C25" s="48"/>
      <c r="D25" s="48"/>
      <c r="E25" s="48"/>
      <c r="F25" s="48"/>
      <c r="G25" s="48"/>
      <c r="H25" s="48"/>
      <c r="I25" s="43" t="s">
        <v>50</v>
      </c>
      <c r="J25" s="45"/>
      <c r="K25" s="45"/>
      <c r="L25" s="45"/>
    </row>
    <row r="26" customFormat="false" ht="12.75" hidden="false" customHeight="true" outlineLevel="0" collapsed="false">
      <c r="A26" s="40" t="s">
        <v>334</v>
      </c>
      <c r="B26" s="40" t="s">
        <v>317</v>
      </c>
      <c r="C26" s="40"/>
      <c r="D26" s="40" t="s">
        <v>324</v>
      </c>
      <c r="E26" s="40"/>
      <c r="F26" s="40" t="s">
        <v>335</v>
      </c>
      <c r="G26" s="40" t="s">
        <v>336</v>
      </c>
      <c r="H26" s="40" t="s">
        <v>337</v>
      </c>
      <c r="I26" s="40"/>
      <c r="J26" s="40" t="s">
        <v>338</v>
      </c>
      <c r="K26" s="40"/>
      <c r="L26" s="40"/>
    </row>
    <row r="27" customFormat="false" ht="24" hidden="false" customHeight="true" outlineLevel="0" collapsed="false">
      <c r="A27" s="41" t="n">
        <f aca="false">MAX(A$10:A26)+1</f>
        <v>6</v>
      </c>
      <c r="B27" s="42" t="str">
        <f aca="false">IF(C27="","",IFERROR(LEFT(VLOOKUP(C27,areaNomiSquadre,2,FALSE()),FIND("-",VLOOKUP(C27,areaNomiSquadre,2,FALSE()))-1),""))</f>
        <v>Ippopotami Iracondi</v>
      </c>
      <c r="C27" s="43" t="s">
        <v>62</v>
      </c>
      <c r="D27" s="42" t="str">
        <f aca="false">IF(E27="","",IFERROR(LEFT(VLOOKUP(E27,areaNomiSquadre,2,FALSE()),FIND("-",VLOOKUP(E27,areaNomiSquadre,2,FALSE()))-1),""))</f>
        <v>Falchi Furiosi</v>
      </c>
      <c r="E27" s="43" t="s">
        <v>58</v>
      </c>
      <c r="F27" s="44" t="n">
        <v>46334.4791666667</v>
      </c>
      <c r="G27" s="44"/>
      <c r="H27" s="44"/>
      <c r="I27" s="44"/>
      <c r="J27" s="45" t="n">
        <v>48</v>
      </c>
      <c r="K27" s="46" t="s">
        <v>339</v>
      </c>
      <c r="L27" s="45" t="n">
        <v>75</v>
      </c>
      <c r="M27" s="47" t="str">
        <f aca="false">IF($B27="","(Squadra A)",$B27)</f>
        <v>Ippopotami Iracondi</v>
      </c>
      <c r="N27" s="47" t="n">
        <f aca="false">IF($J27+$L27=0,,IF($J27&gt;$L27,1,0))</f>
        <v>0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1</v>
      </c>
      <c r="Q27" s="47" t="n">
        <f aca="false">IF($J27+$L27=0,,$J27)</f>
        <v>48</v>
      </c>
      <c r="R27" s="47" t="n">
        <f aca="false">IF($J27+$L27=0,,$L27)</f>
        <v>75</v>
      </c>
      <c r="S27" s="47" t="n">
        <f aca="false">IF($J27+$L27=0,,$J27-$L27)</f>
        <v>-27</v>
      </c>
      <c r="T27" s="47" t="str">
        <f aca="false">IF($D27="","(Squadra B)",$D27)</f>
        <v>Falchi Furiosi</v>
      </c>
      <c r="U27" s="47" t="n">
        <f aca="false">IF($J27+$L27=0,,IF($L27&gt;$J27,1,0))</f>
        <v>1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0</v>
      </c>
      <c r="X27" s="47" t="n">
        <f aca="false">IF($J27+$L27=0,,$L27)</f>
        <v>75</v>
      </c>
      <c r="Y27" s="47" t="n">
        <f aca="false">IF($J27+$L27=0,,$J27)</f>
        <v>48</v>
      </c>
      <c r="Z27" s="47" t="n">
        <f aca="false">IF($J27+$L27=0,,$L27-$J27)</f>
        <v>27</v>
      </c>
      <c r="AA27" s="47" t="str">
        <f aca="false">IF($J27+$L27=0,"(Vincente)",IF($J27&gt;$L27,$B27,$D27))</f>
        <v>Falchi Furiosi</v>
      </c>
      <c r="AB27" s="47" t="str">
        <f aca="false">IF($J27+$L27=0,"(Perdente)",IF($J27&lt;$L27,$B27,$D27))</f>
        <v>Ippopotami Iracondi</v>
      </c>
    </row>
    <row r="28" customFormat="false" ht="15.75" hidden="false" customHeight="true" outlineLevel="0" collapsed="false">
      <c r="A28" s="41"/>
      <c r="B28" s="48" t="str">
        <f aca="false">IF(I28="","",HYPERLINK(VLOOKUP(I28,areaCampiSquadre,3,FALSE()),VLOOKUP(I28,areaCampiSquadre,2,FALSE())))</f>
        <v>PalaBufali, Via dello Sport 2, Bufaliopoli BI</v>
      </c>
      <c r="C28" s="48"/>
      <c r="D28" s="48"/>
      <c r="E28" s="48"/>
      <c r="F28" s="48"/>
      <c r="G28" s="48"/>
      <c r="H28" s="48"/>
      <c r="I28" s="43" t="s">
        <v>50</v>
      </c>
      <c r="J28" s="45"/>
      <c r="K28" s="45"/>
      <c r="L28" s="45"/>
    </row>
    <row r="29" customFormat="false" ht="12.75" hidden="false" customHeight="true" outlineLevel="0" collapsed="false">
      <c r="A29" s="40" t="s">
        <v>334</v>
      </c>
      <c r="B29" s="40" t="s">
        <v>317</v>
      </c>
      <c r="C29" s="40"/>
      <c r="D29" s="40" t="s">
        <v>324</v>
      </c>
      <c r="E29" s="40"/>
      <c r="F29" s="40" t="s">
        <v>335</v>
      </c>
      <c r="G29" s="40" t="s">
        <v>336</v>
      </c>
      <c r="H29" s="40" t="s">
        <v>337</v>
      </c>
      <c r="I29" s="40"/>
      <c r="J29" s="40" t="s">
        <v>338</v>
      </c>
      <c r="K29" s="40"/>
      <c r="L29" s="40"/>
    </row>
    <row r="30" customFormat="false" ht="24" hidden="false" customHeight="true" outlineLevel="0" collapsed="false">
      <c r="A30" s="41" t="n">
        <f aca="false">MAX(A$10:A29)+1</f>
        <v>7</v>
      </c>
      <c r="B30" s="42" t="str">
        <f aca="false">IF(C30="","",IFERROR(LEFT(VLOOKUP(C30,areaNomiSquadre,2,FALSE()),FIND("-",VLOOKUP(C30,areaNomiSquadre,2,FALSE()))-1),""))</f>
        <v>Ermellini Eleganti</v>
      </c>
      <c r="C30" s="43" t="s">
        <v>56</v>
      </c>
      <c r="D30" s="42" t="str">
        <f aca="false">IF(E30="","",IFERROR(LEFT(VLOOKUP(E30,areaNomiSquadre,2,FALSE()),FIND("-",VLOOKUP(E30,areaNomiSquadre,2,FALSE()))-1),""))</f>
        <v>Bufali Belligeranti</v>
      </c>
      <c r="E30" s="43" t="s">
        <v>50</v>
      </c>
      <c r="F30" s="44" t="n">
        <v>46334.625</v>
      </c>
      <c r="G30" s="44"/>
      <c r="H30" s="44"/>
      <c r="I30" s="44"/>
      <c r="J30" s="45" t="n">
        <v>70</v>
      </c>
      <c r="K30" s="46" t="s">
        <v>339</v>
      </c>
      <c r="L30" s="45" t="n">
        <v>54</v>
      </c>
      <c r="M30" s="47" t="str">
        <f aca="false">IF($B30="","(Squadra A)",$B30)</f>
        <v>Ermellini Eleganti</v>
      </c>
      <c r="N30" s="47" t="n">
        <f aca="false">IF($J30+$L30=0,,IF($J30&gt;$L30,1,0))</f>
        <v>1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47" t="n">
        <f aca="false">IF($J30+$L30=0,,$J30)</f>
        <v>70</v>
      </c>
      <c r="R30" s="47" t="n">
        <f aca="false">IF($J30+$L30=0,,$L30)</f>
        <v>54</v>
      </c>
      <c r="S30" s="47" t="n">
        <f aca="false">IF($J30+$L30=0,,$J30-$L30)</f>
        <v>16</v>
      </c>
      <c r="T30" s="47" t="str">
        <f aca="false">IF($D30="","(Squadra B)",$D30)</f>
        <v>Bufali Belligeranti</v>
      </c>
      <c r="U30" s="47" t="n">
        <f aca="false">IF($J30+$L30=0,,IF($L30&gt;$J30,1,0))</f>
        <v>0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1</v>
      </c>
      <c r="X30" s="47" t="n">
        <f aca="false">IF($J30+$L30=0,,$L30)</f>
        <v>54</v>
      </c>
      <c r="Y30" s="47" t="n">
        <f aca="false">IF($J30+$L30=0,,$J30)</f>
        <v>70</v>
      </c>
      <c r="Z30" s="47" t="n">
        <f aca="false">IF($J30+$L30=0,,$L30-$J30)</f>
        <v>-16</v>
      </c>
      <c r="AA30" s="47" t="str">
        <f aca="false">IF($J30+$L30=0,"(Vincente)",IF($J30&gt;$L30,$B30,$D30))</f>
        <v>Ermellini Eleganti</v>
      </c>
      <c r="AB30" s="47" t="str">
        <f aca="false">IF($J30+$L30=0,"(Perdente)",IF($J30&lt;$L30,$B30,$D30))</f>
        <v>Bufali Belligeranti</v>
      </c>
    </row>
    <row r="31" customFormat="false" ht="15.75" hidden="false" customHeight="true" outlineLevel="0" collapsed="false">
      <c r="A31" s="41"/>
      <c r="B31" s="48" t="str">
        <f aca="false">IF(I31="","",HYPERLINK(VLOOKUP(I31,areaCampiSquadre,3,FALSE()),VLOOKUP(I31,areaCampiSquadre,2,FALSE())))</f>
        <v>PalaBufali, Via dello Sport 2, Bufaliopoli BI</v>
      </c>
      <c r="C31" s="48"/>
      <c r="D31" s="48"/>
      <c r="E31" s="48"/>
      <c r="F31" s="48"/>
      <c r="G31" s="48"/>
      <c r="H31" s="48"/>
      <c r="I31" s="43" t="s">
        <v>50</v>
      </c>
      <c r="J31" s="45"/>
      <c r="K31" s="45"/>
      <c r="L31" s="45"/>
    </row>
    <row r="32" customFormat="false" ht="12.75" hidden="false" customHeight="true" outlineLevel="0" collapsed="false">
      <c r="A32" s="40" t="s">
        <v>334</v>
      </c>
      <c r="B32" s="40" t="s">
        <v>317</v>
      </c>
      <c r="C32" s="40"/>
      <c r="D32" s="40" t="s">
        <v>324</v>
      </c>
      <c r="E32" s="40"/>
      <c r="F32" s="40" t="s">
        <v>335</v>
      </c>
      <c r="G32" s="40" t="s">
        <v>336</v>
      </c>
      <c r="H32" s="40" t="s">
        <v>337</v>
      </c>
      <c r="I32" s="40"/>
      <c r="J32" s="40" t="s">
        <v>338</v>
      </c>
      <c r="K32" s="40"/>
      <c r="L32" s="40"/>
    </row>
    <row r="33" customFormat="false" ht="24" hidden="false" customHeight="true" outlineLevel="0" collapsed="false">
      <c r="A33" s="41" t="n">
        <f aca="false">MAX(A$10:A32)+1</f>
        <v>8</v>
      </c>
      <c r="B33" s="42" t="str">
        <f aca="false">IF(C33="","",IFERROR(LEFT(VLOOKUP(C33,areaNomiSquadre,2,FALSE()),FIND("-",VLOOKUP(C33,areaNomiSquadre,2,FALSE()))-1),""))</f>
        <v>Cobra Coraggiosi</v>
      </c>
      <c r="C33" s="43" t="s">
        <v>52</v>
      </c>
      <c r="D33" s="42" t="str">
        <f aca="false">IF(E33="","",IFERROR(LEFT(VLOOKUP(E33,areaNomiSquadre,2,FALSE()),FIND("-",VLOOKUP(E33,areaNomiSquadre,2,FALSE()))-1),""))</f>
        <v>Delfini Dispettosi</v>
      </c>
      <c r="E33" s="43" t="s">
        <v>54</v>
      </c>
      <c r="F33" s="44" t="n">
        <v>46334.7083333333</v>
      </c>
      <c r="G33" s="44"/>
      <c r="H33" s="44"/>
      <c r="I33" s="44"/>
      <c r="J33" s="45" t="n">
        <v>72</v>
      </c>
      <c r="K33" s="46" t="s">
        <v>339</v>
      </c>
      <c r="L33" s="45" t="n">
        <v>66</v>
      </c>
      <c r="M33" s="47" t="str">
        <f aca="false">IF($B33="","(Squadra A)",$B33)</f>
        <v>Cobra Coraggiosi</v>
      </c>
      <c r="N33" s="47" t="n">
        <f aca="false">IF($J33+$L33=0,,IF($J33&gt;$L33,1,0))</f>
        <v>1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47" t="n">
        <f aca="false">IF($J33+$L33=0,,$J33)</f>
        <v>72</v>
      </c>
      <c r="R33" s="47" t="n">
        <f aca="false">IF($J33+$L33=0,,$L33)</f>
        <v>66</v>
      </c>
      <c r="S33" s="47" t="n">
        <f aca="false">IF($J33+$L33=0,,$J33-$L33)</f>
        <v>6</v>
      </c>
      <c r="T33" s="47" t="str">
        <f aca="false">IF($D33="","(Squadra B)",$D33)</f>
        <v>Delfini Dispettosi</v>
      </c>
      <c r="U33" s="47" t="n">
        <f aca="false">IF($J33+$L33=0,,IF($L33&gt;$J33,1,0))</f>
        <v>0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1</v>
      </c>
      <c r="X33" s="47" t="n">
        <f aca="false">IF($J33+$L33=0,,$L33)</f>
        <v>66</v>
      </c>
      <c r="Y33" s="47" t="n">
        <f aca="false">IF($J33+$L33=0,,$J33)</f>
        <v>72</v>
      </c>
      <c r="Z33" s="47" t="n">
        <f aca="false">IF($J33+$L33=0,,$L33-$J33)</f>
        <v>-6</v>
      </c>
      <c r="AA33" s="47" t="str">
        <f aca="false">IF($J33+$L33=0,"(Vincente)",IF($J33&gt;$L33,$B33,$D33))</f>
        <v>Cobra Coraggiosi</v>
      </c>
      <c r="AB33" s="47" t="str">
        <f aca="false">IF($J33+$L33=0,"(Perdente)",IF($J33&lt;$L33,$B33,$D33))</f>
        <v>Delfini Dispettosi</v>
      </c>
    </row>
    <row r="34" customFormat="false" ht="15.75" hidden="false" customHeight="true" outlineLevel="0" collapsed="false">
      <c r="A34" s="41"/>
      <c r="B34" s="48" t="str">
        <f aca="false">IF(I34="","",HYPERLINK(VLOOKUP(I34,areaCampiSquadre,3,FALSE()),VLOOKUP(I34,areaCampiSquadre,2,FALSE())))</f>
        <v>PalaBufali, Via dello Sport 2, Bufaliopoli BI</v>
      </c>
      <c r="C34" s="48"/>
      <c r="D34" s="48"/>
      <c r="E34" s="48"/>
      <c r="F34" s="48"/>
      <c r="G34" s="48"/>
      <c r="H34" s="48"/>
      <c r="I34" s="43" t="s">
        <v>50</v>
      </c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38" t="s">
        <v>341</v>
      </c>
      <c r="B36" s="39" t="str">
        <f aca="false">"GIORNATA "&amp;ROMAN(VALUE(LEFT(A36,LEN(A36)-1)))&amp;" - GIRONE "&amp;RIGHT(A36,1)</f>
        <v>GIORNATA III - GIRONE A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customFormat="false" ht="12.75" hidden="false" customHeight="true" outlineLevel="0" collapsed="false">
      <c r="A37" s="40" t="s">
        <v>334</v>
      </c>
      <c r="B37" s="40" t="s">
        <v>317</v>
      </c>
      <c r="C37" s="40"/>
      <c r="D37" s="40" t="s">
        <v>324</v>
      </c>
      <c r="E37" s="40"/>
      <c r="F37" s="40" t="s">
        <v>335</v>
      </c>
      <c r="G37" s="40" t="s">
        <v>336</v>
      </c>
      <c r="H37" s="40" t="s">
        <v>337</v>
      </c>
      <c r="I37" s="40"/>
      <c r="J37" s="40" t="s">
        <v>338</v>
      </c>
      <c r="K37" s="40"/>
      <c r="L37" s="40"/>
    </row>
    <row r="38" customFormat="false" ht="24" hidden="false" customHeight="true" outlineLevel="0" collapsed="false">
      <c r="A38" s="41" t="n">
        <f aca="false">MAX(A$10:A37)+1</f>
        <v>9</v>
      </c>
      <c r="B38" s="42" t="str">
        <f aca="false">IF(C38="","",IFERROR(LEFT(VLOOKUP(C38,areaNomiSquadre,2,FALSE()),FIND("-",VLOOKUP(C38,areaNomiSquadre,2,FALSE()))-1),""))</f>
        <v>Anaconde Arrabbiate</v>
      </c>
      <c r="C38" s="43" t="s">
        <v>47</v>
      </c>
      <c r="D38" s="42" t="str">
        <f aca="false">IF(E38="","",IFERROR(LEFT(VLOOKUP(E38,areaNomiSquadre,2,FALSE()),FIND("-",VLOOKUP(E38,areaNomiSquadre,2,FALSE()))-1),""))</f>
        <v>Falchi Furiosi</v>
      </c>
      <c r="E38" s="43" t="s">
        <v>58</v>
      </c>
      <c r="F38" s="44" t="n">
        <v>46355.3958333333</v>
      </c>
      <c r="G38" s="44"/>
      <c r="H38" s="44"/>
      <c r="I38" s="44"/>
      <c r="J38" s="45" t="n">
        <v>65</v>
      </c>
      <c r="K38" s="46" t="s">
        <v>339</v>
      </c>
      <c r="L38" s="45" t="n">
        <v>51</v>
      </c>
      <c r="M38" s="47" t="str">
        <f aca="false">IF($B38="","(Squadra A)",$B38)</f>
        <v>Anaconde Arrabbiate</v>
      </c>
      <c r="N38" s="47" t="n">
        <f aca="false">IF($J38+$L38=0,,IF($J38&gt;$L38,1,0))</f>
        <v>1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65</v>
      </c>
      <c r="R38" s="47" t="n">
        <f aca="false">IF($J38+$L38=0,,$L38)</f>
        <v>51</v>
      </c>
      <c r="S38" s="47" t="n">
        <f aca="false">IF($J38+$L38=0,,$J38-$L38)</f>
        <v>14</v>
      </c>
      <c r="T38" s="47" t="str">
        <f aca="false">IF($D38="","(Squadra B)",$D38)</f>
        <v>Falchi Furiosi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1</v>
      </c>
      <c r="X38" s="47" t="n">
        <f aca="false">IF($J38+$L38=0,,$L38)</f>
        <v>51</v>
      </c>
      <c r="Y38" s="47" t="n">
        <f aca="false">IF($J38+$L38=0,,$J38)</f>
        <v>65</v>
      </c>
      <c r="Z38" s="47" t="n">
        <f aca="false">IF($J38+$L38=0,,$L38-$J38)</f>
        <v>-14</v>
      </c>
      <c r="AA38" s="47" t="str">
        <f aca="false">IF($J38+$L38=0,"(Vincente)",IF($J38&gt;$L38,$B38,$D38))</f>
        <v>Anaconde Arrabbiate</v>
      </c>
      <c r="AB38" s="47" t="str">
        <f aca="false">IF($J38+$L38=0,"(Perdente)",IF($J38&lt;$L38,$B38,$D38))</f>
        <v>Falchi Furiosi</v>
      </c>
    </row>
    <row r="39" customFormat="false" ht="15.75" hidden="false" customHeight="true" outlineLevel="0" collapsed="false">
      <c r="A39" s="41"/>
      <c r="B39" s="48" t="str">
        <f aca="false">IF(I39="","",HYPERLINK(VLOOKUP(I39,areaCampiSquadre,3,FALSE()),VLOOKUP(I39,areaCampiSquadre,2,FALSE())))</f>
        <v>PalaCobra, Via dello Sport 3, Cobraopoli CA</v>
      </c>
      <c r="C39" s="48"/>
      <c r="D39" s="48"/>
      <c r="E39" s="48"/>
      <c r="F39" s="48"/>
      <c r="G39" s="48"/>
      <c r="H39" s="48"/>
      <c r="I39" s="43" t="s">
        <v>52</v>
      </c>
      <c r="J39" s="45"/>
      <c r="K39" s="45"/>
      <c r="L39" s="45"/>
    </row>
    <row r="40" customFormat="false" ht="12.75" hidden="false" customHeight="true" outlineLevel="0" collapsed="false">
      <c r="A40" s="40" t="s">
        <v>334</v>
      </c>
      <c r="B40" s="40" t="s">
        <v>317</v>
      </c>
      <c r="C40" s="40"/>
      <c r="D40" s="40" t="s">
        <v>324</v>
      </c>
      <c r="E40" s="40"/>
      <c r="F40" s="40" t="s">
        <v>335</v>
      </c>
      <c r="G40" s="40" t="s">
        <v>336</v>
      </c>
      <c r="H40" s="40" t="s">
        <v>337</v>
      </c>
      <c r="I40" s="40"/>
      <c r="J40" s="40" t="s">
        <v>338</v>
      </c>
      <c r="K40" s="40"/>
      <c r="L40" s="40"/>
    </row>
    <row r="41" customFormat="false" ht="24" hidden="false" customHeight="true" outlineLevel="0" collapsed="false">
      <c r="A41" s="41" t="n">
        <f aca="false">MAX(A$10:A40)+1</f>
        <v>10</v>
      </c>
      <c r="B41" s="42" t="str">
        <f aca="false">IF(C41="","",IFERROR(LEFT(VLOOKUP(C41,areaNomiSquadre,2,FALSE()),FIND("-",VLOOKUP(C41,areaNomiSquadre,2,FALSE()))-1),""))</f>
        <v>Ermellini Eleganti</v>
      </c>
      <c r="C41" s="43" t="s">
        <v>56</v>
      </c>
      <c r="D41" s="42" t="str">
        <f aca="false">IF(E41="","",IFERROR(LEFT(VLOOKUP(E41,areaNomiSquadre,2,FALSE()),FIND("-",VLOOKUP(E41,areaNomiSquadre,2,FALSE()))-1),""))</f>
        <v>Gazzelle Gagliarde</v>
      </c>
      <c r="E41" s="43" t="s">
        <v>60</v>
      </c>
      <c r="F41" s="44" t="n">
        <v>46355.4791666667</v>
      </c>
      <c r="G41" s="44"/>
      <c r="H41" s="44"/>
      <c r="I41" s="44"/>
      <c r="J41" s="45" t="n">
        <v>75</v>
      </c>
      <c r="K41" s="46" t="s">
        <v>339</v>
      </c>
      <c r="L41" s="45" t="n">
        <v>47</v>
      </c>
      <c r="M41" s="47" t="str">
        <f aca="false">IF($B41="","(Squadra A)",$B41)</f>
        <v>Ermellini Eleganti</v>
      </c>
      <c r="N41" s="47" t="n">
        <f aca="false">IF($J41+$L41=0,,IF($J41&gt;$L41,1,0))</f>
        <v>1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0</v>
      </c>
      <c r="Q41" s="47" t="n">
        <f aca="false">IF($J41+$L41=0,,$J41)</f>
        <v>75</v>
      </c>
      <c r="R41" s="47" t="n">
        <f aca="false">IF($J41+$L41=0,,$L41)</f>
        <v>47</v>
      </c>
      <c r="S41" s="47" t="n">
        <f aca="false">IF($J41+$L41=0,,$J41-$L41)</f>
        <v>28</v>
      </c>
      <c r="T41" s="47" t="str">
        <f aca="false">IF($D41="","(Squadra B)",$D41)</f>
        <v>Gazzelle Gagliarde</v>
      </c>
      <c r="U41" s="47" t="n">
        <f aca="false">IF($J41+$L41=0,,IF($L41&gt;$J41,1,0))</f>
        <v>0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1</v>
      </c>
      <c r="X41" s="47" t="n">
        <f aca="false">IF($J41+$L41=0,,$L41)</f>
        <v>47</v>
      </c>
      <c r="Y41" s="47" t="n">
        <f aca="false">IF($J41+$L41=0,,$J41)</f>
        <v>75</v>
      </c>
      <c r="Z41" s="47" t="n">
        <f aca="false">IF($J41+$L41=0,,$L41-$J41)</f>
        <v>-28</v>
      </c>
      <c r="AA41" s="47" t="str">
        <f aca="false">IF($J41+$L41=0,"(Vincente)",IF($J41&gt;$L41,$B41,$D41))</f>
        <v>Ermellini Eleganti</v>
      </c>
      <c r="AB41" s="47" t="str">
        <f aca="false">IF($J41+$L41=0,"(Perdente)",IF($J41&lt;$L41,$B41,$D41))</f>
        <v>Gazzelle Gagliarde</v>
      </c>
    </row>
    <row r="42" customFormat="false" ht="15.75" hidden="false" customHeight="true" outlineLevel="0" collapsed="false">
      <c r="A42" s="41"/>
      <c r="B42" s="48" t="str">
        <f aca="false">IF(I42="","",HYPERLINK(VLOOKUP(I42,areaCampiSquadre,3,FALSE()),VLOOKUP(I42,areaCampiSquadre,2,FALSE())))</f>
        <v>PalaCobra, Via dello Sport 3, Cobraopoli CA</v>
      </c>
      <c r="C42" s="48"/>
      <c r="D42" s="48"/>
      <c r="E42" s="48"/>
      <c r="F42" s="48"/>
      <c r="G42" s="48"/>
      <c r="H42" s="48"/>
      <c r="I42" s="43" t="s">
        <v>52</v>
      </c>
      <c r="J42" s="45"/>
      <c r="K42" s="45"/>
      <c r="L42" s="45"/>
    </row>
    <row r="43" customFormat="false" ht="12.75" hidden="false" customHeight="true" outlineLevel="0" collapsed="false">
      <c r="A43" s="40" t="s">
        <v>334</v>
      </c>
      <c r="B43" s="40" t="s">
        <v>317</v>
      </c>
      <c r="C43" s="40"/>
      <c r="D43" s="40" t="s">
        <v>324</v>
      </c>
      <c r="E43" s="40"/>
      <c r="F43" s="40" t="s">
        <v>335</v>
      </c>
      <c r="G43" s="40" t="s">
        <v>336</v>
      </c>
      <c r="H43" s="40" t="s">
        <v>337</v>
      </c>
      <c r="I43" s="40"/>
      <c r="J43" s="40" t="s">
        <v>338</v>
      </c>
      <c r="K43" s="40"/>
      <c r="L43" s="40"/>
    </row>
    <row r="44" customFormat="false" ht="24" hidden="false" customHeight="true" outlineLevel="0" collapsed="false">
      <c r="A44" s="41" t="n">
        <f aca="false">MAX(A$10:A43)+1</f>
        <v>11</v>
      </c>
      <c r="B44" s="42" t="str">
        <f aca="false">IF(C44="","",IFERROR(LEFT(VLOOKUP(C44,areaNomiSquadre,2,FALSE()),FIND("-",VLOOKUP(C44,areaNomiSquadre,2,FALSE()))-1),""))</f>
        <v>Ippopotami Iracondi</v>
      </c>
      <c r="C44" s="43" t="s">
        <v>62</v>
      </c>
      <c r="D44" s="42" t="str">
        <f aca="false">IF(E44="","",IFERROR(LEFT(VLOOKUP(E44,areaNomiSquadre,2,FALSE()),FIND("-",VLOOKUP(E44,areaNomiSquadre,2,FALSE()))-1),""))</f>
        <v>Delfini Dispettosi</v>
      </c>
      <c r="E44" s="43" t="s">
        <v>54</v>
      </c>
      <c r="F44" s="44" t="n">
        <v>46355.625</v>
      </c>
      <c r="G44" s="44"/>
      <c r="H44" s="44"/>
      <c r="I44" s="44"/>
      <c r="J44" s="45" t="n">
        <v>76</v>
      </c>
      <c r="K44" s="46" t="s">
        <v>339</v>
      </c>
      <c r="L44" s="45" t="n">
        <v>61</v>
      </c>
      <c r="M44" s="47" t="str">
        <f aca="false">IF($B44="","(Squadra A)",$B44)</f>
        <v>Ippopotami Iracondi</v>
      </c>
      <c r="N44" s="47" t="n">
        <f aca="false">IF($J44+$L44=0,,IF($J44&gt;$L44,1,0))</f>
        <v>1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0</v>
      </c>
      <c r="Q44" s="47" t="n">
        <f aca="false">IF($J44+$L44=0,,$J44)</f>
        <v>76</v>
      </c>
      <c r="R44" s="47" t="n">
        <f aca="false">IF($J44+$L44=0,,$L44)</f>
        <v>61</v>
      </c>
      <c r="S44" s="47" t="n">
        <f aca="false">IF($J44+$L44=0,,$J44-$L44)</f>
        <v>15</v>
      </c>
      <c r="T44" s="47" t="str">
        <f aca="false">IF($D44="","(Squadra B)",$D44)</f>
        <v>Delfini Dispettosi</v>
      </c>
      <c r="U44" s="47" t="n">
        <f aca="false">IF($J44+$L44=0,,IF($L44&gt;$J44,1,0))</f>
        <v>0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1</v>
      </c>
      <c r="X44" s="47" t="n">
        <f aca="false">IF($J44+$L44=0,,$L44)</f>
        <v>61</v>
      </c>
      <c r="Y44" s="47" t="n">
        <f aca="false">IF($J44+$L44=0,,$J44)</f>
        <v>76</v>
      </c>
      <c r="Z44" s="47" t="n">
        <f aca="false">IF($J44+$L44=0,,$L44-$J44)</f>
        <v>-15</v>
      </c>
      <c r="AA44" s="47" t="str">
        <f aca="false">IF($J44+$L44=0,"(Vincente)",IF($J44&gt;$L44,$B44,$D44))</f>
        <v>Ippopotami Iracondi</v>
      </c>
      <c r="AB44" s="47" t="str">
        <f aca="false">IF($J44+$L44=0,"(Perdente)",IF($J44&lt;$L44,$B44,$D44))</f>
        <v>Delfini Dispettosi</v>
      </c>
    </row>
    <row r="45" customFormat="false" ht="15.75" hidden="false" customHeight="true" outlineLevel="0" collapsed="false">
      <c r="A45" s="41"/>
      <c r="B45" s="48" t="str">
        <f aca="false">IF(I45="","",HYPERLINK(VLOOKUP(I45,areaCampiSquadre,3,FALSE()),VLOOKUP(I45,areaCampiSquadre,2,FALSE())))</f>
        <v>PalaCobra, Via dello Sport 3, Cobraopoli CA</v>
      </c>
      <c r="C45" s="48"/>
      <c r="D45" s="48"/>
      <c r="E45" s="48"/>
      <c r="F45" s="48"/>
      <c r="G45" s="48"/>
      <c r="H45" s="48"/>
      <c r="I45" s="43" t="s">
        <v>52</v>
      </c>
      <c r="J45" s="45"/>
      <c r="K45" s="45"/>
      <c r="L45" s="45"/>
    </row>
    <row r="46" customFormat="false" ht="12.75" hidden="false" customHeight="true" outlineLevel="0" collapsed="false">
      <c r="A46" s="40" t="s">
        <v>334</v>
      </c>
      <c r="B46" s="40" t="s">
        <v>317</v>
      </c>
      <c r="C46" s="40"/>
      <c r="D46" s="40" t="s">
        <v>324</v>
      </c>
      <c r="E46" s="40"/>
      <c r="F46" s="40" t="s">
        <v>335</v>
      </c>
      <c r="G46" s="40" t="s">
        <v>336</v>
      </c>
      <c r="H46" s="40" t="s">
        <v>337</v>
      </c>
      <c r="I46" s="40"/>
      <c r="J46" s="40" t="s">
        <v>338</v>
      </c>
      <c r="K46" s="40"/>
      <c r="L46" s="40"/>
    </row>
    <row r="47" customFormat="false" ht="24" hidden="false" customHeight="true" outlineLevel="0" collapsed="false">
      <c r="A47" s="41" t="n">
        <f aca="false">MAX(A$10:A46)+1</f>
        <v>12</v>
      </c>
      <c r="B47" s="42" t="str">
        <f aca="false">IF(C47="","",IFERROR(LEFT(VLOOKUP(C47,areaNomiSquadre,2,FALSE()),FIND("-",VLOOKUP(C47,areaNomiSquadre,2,FALSE()))-1),""))</f>
        <v>Cobra Coraggiosi</v>
      </c>
      <c r="C47" s="43" t="s">
        <v>52</v>
      </c>
      <c r="D47" s="42" t="str">
        <f aca="false">IF(E47="","",IFERROR(LEFT(VLOOKUP(E47,areaNomiSquadre,2,FALSE()),FIND("-",VLOOKUP(E47,areaNomiSquadre,2,FALSE()))-1),""))</f>
        <v>Bufali Belligeranti</v>
      </c>
      <c r="E47" s="43" t="s">
        <v>50</v>
      </c>
      <c r="F47" s="44" t="n">
        <v>46355.7083333333</v>
      </c>
      <c r="G47" s="44"/>
      <c r="H47" s="44"/>
      <c r="I47" s="44"/>
      <c r="J47" s="45" t="n">
        <v>72</v>
      </c>
      <c r="K47" s="46" t="s">
        <v>339</v>
      </c>
      <c r="L47" s="45" t="n">
        <v>67</v>
      </c>
      <c r="M47" s="47" t="str">
        <f aca="false">IF($B47="","(Squadra A)",$B47)</f>
        <v>Cobra Coraggiosi</v>
      </c>
      <c r="N47" s="47" t="n">
        <f aca="false">IF($J47+$L47=0,,IF($J47&gt;$L47,1,0))</f>
        <v>1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47" t="n">
        <f aca="false">IF($J47+$L47=0,,$J47)</f>
        <v>72</v>
      </c>
      <c r="R47" s="47" t="n">
        <f aca="false">IF($J47+$L47=0,,$L47)</f>
        <v>67</v>
      </c>
      <c r="S47" s="47" t="n">
        <f aca="false">IF($J47+$L47=0,,$J47-$L47)</f>
        <v>5</v>
      </c>
      <c r="T47" s="47" t="str">
        <f aca="false">IF($D47="","(Squadra B)",$D47)</f>
        <v>Bufali Belligeranti</v>
      </c>
      <c r="U47" s="47" t="n">
        <f aca="false">IF($J47+$L47=0,,IF($L47&gt;$J47,1,0))</f>
        <v>0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1</v>
      </c>
      <c r="X47" s="47" t="n">
        <f aca="false">IF($J47+$L47=0,,$L47)</f>
        <v>67</v>
      </c>
      <c r="Y47" s="47" t="n">
        <f aca="false">IF($J47+$L47=0,,$J47)</f>
        <v>72</v>
      </c>
      <c r="Z47" s="47" t="n">
        <f aca="false">IF($J47+$L47=0,,$L47-$J47)</f>
        <v>-5</v>
      </c>
      <c r="AA47" s="47" t="str">
        <f aca="false">IF($J47+$L47=0,"(Vincente)",IF($J47&gt;$L47,$B47,$D47))</f>
        <v>Cobra Coraggiosi</v>
      </c>
      <c r="AB47" s="47" t="str">
        <f aca="false">IF($J47+$L47=0,"(Perdente)",IF($J47&lt;$L47,$B47,$D47))</f>
        <v>Bufali Belligeranti</v>
      </c>
    </row>
    <row r="48" customFormat="false" ht="15.75" hidden="false" customHeight="true" outlineLevel="0" collapsed="false">
      <c r="A48" s="41"/>
      <c r="B48" s="48" t="str">
        <f aca="false">IF(I48="","",HYPERLINK(VLOOKUP(I48,areaCampiSquadre,3,FALSE()),VLOOKUP(I48,areaCampiSquadre,2,FALSE())))</f>
        <v>PalaCobra, Via dello Sport 3, Cobraopoli CA</v>
      </c>
      <c r="C48" s="48"/>
      <c r="D48" s="48"/>
      <c r="E48" s="48"/>
      <c r="F48" s="48"/>
      <c r="G48" s="48"/>
      <c r="H48" s="48"/>
      <c r="I48" s="43" t="s">
        <v>52</v>
      </c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38" t="s">
        <v>342</v>
      </c>
      <c r="B50" s="39" t="str">
        <f aca="false">"GIORNATA "&amp;ROMAN(VALUE(LEFT(A50,LEN(A50)-1)))&amp;" - GIRONE "&amp;RIGHT(A50,1)</f>
        <v>GIORNATA IV - GIRONE A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</row>
    <row r="51" customFormat="false" ht="12.75" hidden="false" customHeight="true" outlineLevel="0" collapsed="false">
      <c r="A51" s="40" t="s">
        <v>334</v>
      </c>
      <c r="B51" s="40" t="s">
        <v>317</v>
      </c>
      <c r="C51" s="40"/>
      <c r="D51" s="40" t="s">
        <v>324</v>
      </c>
      <c r="E51" s="40"/>
      <c r="F51" s="40" t="s">
        <v>335</v>
      </c>
      <c r="G51" s="40" t="s">
        <v>336</v>
      </c>
      <c r="H51" s="40" t="s">
        <v>337</v>
      </c>
      <c r="I51" s="40"/>
      <c r="J51" s="40" t="s">
        <v>338</v>
      </c>
      <c r="K51" s="40"/>
      <c r="L51" s="40"/>
    </row>
    <row r="52" customFormat="false" ht="24" hidden="false" customHeight="true" outlineLevel="0" collapsed="false">
      <c r="A52" s="41" t="n">
        <f aca="false">MAX(A$10:A51)+1</f>
        <v>13</v>
      </c>
      <c r="B52" s="42" t="str">
        <f aca="false">IF(C52="","",IFERROR(LEFT(VLOOKUP(C52,areaNomiSquadre,2,FALSE()),FIND("-",VLOOKUP(C52,areaNomiSquadre,2,FALSE()))-1),""))</f>
        <v>Ermellini Eleganti</v>
      </c>
      <c r="C52" s="43" t="s">
        <v>56</v>
      </c>
      <c r="D52" s="42" t="str">
        <f aca="false">IF(E52="","",IFERROR(LEFT(VLOOKUP(E52,areaNomiSquadre,2,FALSE()),FIND("-",VLOOKUP(E52,areaNomiSquadre,2,FALSE()))-1),""))</f>
        <v>Anaconde Arrabbiate</v>
      </c>
      <c r="E52" s="43" t="s">
        <v>47</v>
      </c>
      <c r="F52" s="44" t="n">
        <v>46369.3958333333</v>
      </c>
      <c r="G52" s="44"/>
      <c r="H52" s="44"/>
      <c r="I52" s="44"/>
      <c r="J52" s="45" t="n">
        <v>58</v>
      </c>
      <c r="K52" s="46" t="s">
        <v>339</v>
      </c>
      <c r="L52" s="45" t="n">
        <v>73</v>
      </c>
      <c r="M52" s="47" t="str">
        <f aca="false">IF($B52="","(Squadra A)",$B52)</f>
        <v>Ermellini Eleganti</v>
      </c>
      <c r="N52" s="47" t="n">
        <f aca="false">IF($J52+$L52=0,,IF($J52&gt;$L52,1,0))</f>
        <v>0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1</v>
      </c>
      <c r="Q52" s="47" t="n">
        <f aca="false">IF($J52+$L52=0,,$J52)</f>
        <v>58</v>
      </c>
      <c r="R52" s="47" t="n">
        <f aca="false">IF($J52+$L52=0,,$L52)</f>
        <v>73</v>
      </c>
      <c r="S52" s="47" t="n">
        <f aca="false">IF($J52+$L52=0,,$J52-$L52)</f>
        <v>-15</v>
      </c>
      <c r="T52" s="47" t="str">
        <f aca="false">IF($D52="","(Squadra B)",$D52)</f>
        <v>Anaconde Arrabbiate</v>
      </c>
      <c r="U52" s="47" t="n">
        <f aca="false">IF($J52+$L52=0,,IF($L52&gt;$J52,1,0))</f>
        <v>1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0</v>
      </c>
      <c r="X52" s="47" t="n">
        <f aca="false">IF($J52+$L52=0,,$L52)</f>
        <v>73</v>
      </c>
      <c r="Y52" s="47" t="n">
        <f aca="false">IF($J52+$L52=0,,$J52)</f>
        <v>58</v>
      </c>
      <c r="Z52" s="47" t="n">
        <f aca="false">IF($J52+$L52=0,,$L52-$J52)</f>
        <v>15</v>
      </c>
      <c r="AA52" s="47" t="str">
        <f aca="false">IF($J52+$L52=0,"(Vincente)",IF($J52&gt;$L52,$B52,$D52))</f>
        <v>Anaconde Arrabbiate</v>
      </c>
      <c r="AB52" s="47" t="str">
        <f aca="false">IF($J52+$L52=0,"(Perdente)",IF($J52&lt;$L52,$B52,$D52))</f>
        <v>Ermellini Eleganti</v>
      </c>
    </row>
    <row r="53" customFormat="false" ht="15.75" hidden="false" customHeight="true" outlineLevel="0" collapsed="false">
      <c r="A53" s="41"/>
      <c r="B53" s="48" t="str">
        <f aca="false">IF(I53="","",HYPERLINK(VLOOKUP(I53,areaCampiSquadre,3,FALSE()),VLOOKUP(I53,areaCampiSquadre,2,FALSE())))</f>
        <v>PalaDelfini, Via dello Sport 4, Delfiniopoli DI</v>
      </c>
      <c r="C53" s="48"/>
      <c r="D53" s="48"/>
      <c r="E53" s="48"/>
      <c r="F53" s="48"/>
      <c r="G53" s="48"/>
      <c r="H53" s="48"/>
      <c r="I53" s="43" t="s">
        <v>54</v>
      </c>
      <c r="J53" s="45"/>
      <c r="K53" s="45"/>
      <c r="L53" s="45"/>
    </row>
    <row r="54" customFormat="false" ht="12.75" hidden="false" customHeight="true" outlineLevel="0" collapsed="false">
      <c r="A54" s="40" t="s">
        <v>334</v>
      </c>
      <c r="B54" s="40" t="s">
        <v>317</v>
      </c>
      <c r="C54" s="40"/>
      <c r="D54" s="40" t="s">
        <v>324</v>
      </c>
      <c r="E54" s="40"/>
      <c r="F54" s="40" t="s">
        <v>335</v>
      </c>
      <c r="G54" s="40" t="s">
        <v>336</v>
      </c>
      <c r="H54" s="40" t="s">
        <v>337</v>
      </c>
      <c r="I54" s="40"/>
      <c r="J54" s="40" t="s">
        <v>338</v>
      </c>
      <c r="K54" s="40"/>
      <c r="L54" s="40"/>
    </row>
    <row r="55" customFormat="false" ht="24" hidden="false" customHeight="true" outlineLevel="0" collapsed="false">
      <c r="A55" s="41" t="n">
        <f aca="false">MAX(A$10:A54)+1</f>
        <v>14</v>
      </c>
      <c r="B55" s="42" t="str">
        <f aca="false">IF(C55="","",IFERROR(LEFT(VLOOKUP(C55,areaNomiSquadre,2,FALSE()),FIND("-",VLOOKUP(C55,areaNomiSquadre,2,FALSE()))-1),""))</f>
        <v>Falchi Furiosi</v>
      </c>
      <c r="C55" s="43" t="s">
        <v>58</v>
      </c>
      <c r="D55" s="42" t="str">
        <f aca="false">IF(E55="","",IFERROR(LEFT(VLOOKUP(E55,areaNomiSquadre,2,FALSE()),FIND("-",VLOOKUP(E55,areaNomiSquadre,2,FALSE()))-1),""))</f>
        <v>Delfini Dispettosi</v>
      </c>
      <c r="E55" s="43" t="s">
        <v>54</v>
      </c>
      <c r="F55" s="44" t="n">
        <v>46369.4791666667</v>
      </c>
      <c r="G55" s="44"/>
      <c r="H55" s="44"/>
      <c r="I55" s="44"/>
      <c r="J55" s="45" t="n">
        <v>82</v>
      </c>
      <c r="K55" s="46" t="s">
        <v>339</v>
      </c>
      <c r="L55" s="45" t="n">
        <v>49</v>
      </c>
      <c r="M55" s="47" t="str">
        <f aca="false">IF($B55="","(Squadra A)",$B55)</f>
        <v>Falchi Furiosi</v>
      </c>
      <c r="N55" s="47" t="n">
        <f aca="false">IF($J55+$L55=0,,IF($J55&gt;$L55,1,0))</f>
        <v>1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0</v>
      </c>
      <c r="Q55" s="47" t="n">
        <f aca="false">IF($J55+$L55=0,,$J55)</f>
        <v>82</v>
      </c>
      <c r="R55" s="47" t="n">
        <f aca="false">IF($J55+$L55=0,,$L55)</f>
        <v>49</v>
      </c>
      <c r="S55" s="47" t="n">
        <f aca="false">IF($J55+$L55=0,,$J55-$L55)</f>
        <v>33</v>
      </c>
      <c r="T55" s="47" t="str">
        <f aca="false">IF($D55="","(Squadra B)",$D55)</f>
        <v>Delfini Dispettosi</v>
      </c>
      <c r="U55" s="47" t="n">
        <f aca="false">IF($J55+$L55=0,,IF($L55&gt;$J55,1,0))</f>
        <v>0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1</v>
      </c>
      <c r="X55" s="47" t="n">
        <f aca="false">IF($J55+$L55=0,,$L55)</f>
        <v>49</v>
      </c>
      <c r="Y55" s="47" t="n">
        <f aca="false">IF($J55+$L55=0,,$J55)</f>
        <v>82</v>
      </c>
      <c r="Z55" s="47" t="n">
        <f aca="false">IF($J55+$L55=0,,$L55-$J55)</f>
        <v>-33</v>
      </c>
      <c r="AA55" s="47" t="str">
        <f aca="false">IF($J55+$L55=0,"(Vincente)",IF($J55&gt;$L55,$B55,$D55))</f>
        <v>Falchi Furiosi</v>
      </c>
      <c r="AB55" s="47" t="str">
        <f aca="false">IF($J55+$L55=0,"(Perdente)",IF($J55&lt;$L55,$B55,$D55))</f>
        <v>Delfini Dispettosi</v>
      </c>
    </row>
    <row r="56" customFormat="false" ht="15.75" hidden="false" customHeight="true" outlineLevel="0" collapsed="false">
      <c r="A56" s="41"/>
      <c r="B56" s="48" t="str">
        <f aca="false">IF(I56="","",HYPERLINK(VLOOKUP(I56,areaCampiSquadre,3,FALSE()),VLOOKUP(I56,areaCampiSquadre,2,FALSE())))</f>
        <v>PalaDelfini, Via dello Sport 4, Delfiniopoli DI</v>
      </c>
      <c r="C56" s="48"/>
      <c r="D56" s="48"/>
      <c r="E56" s="48"/>
      <c r="F56" s="48"/>
      <c r="G56" s="48"/>
      <c r="H56" s="48"/>
      <c r="I56" s="43" t="s">
        <v>54</v>
      </c>
      <c r="J56" s="45"/>
      <c r="K56" s="45"/>
      <c r="L56" s="45"/>
    </row>
    <row r="57" customFormat="false" ht="12.75" hidden="false" customHeight="true" outlineLevel="0" collapsed="false">
      <c r="A57" s="40" t="s">
        <v>334</v>
      </c>
      <c r="B57" s="40" t="s">
        <v>317</v>
      </c>
      <c r="C57" s="40"/>
      <c r="D57" s="40" t="s">
        <v>324</v>
      </c>
      <c r="E57" s="40"/>
      <c r="F57" s="40" t="s">
        <v>335</v>
      </c>
      <c r="G57" s="40" t="s">
        <v>336</v>
      </c>
      <c r="H57" s="40" t="s">
        <v>337</v>
      </c>
      <c r="I57" s="40"/>
      <c r="J57" s="40" t="s">
        <v>338</v>
      </c>
      <c r="K57" s="40"/>
      <c r="L57" s="40"/>
    </row>
    <row r="58" customFormat="false" ht="24" hidden="false" customHeight="true" outlineLevel="0" collapsed="false">
      <c r="A58" s="41" t="n">
        <f aca="false">MAX(A$10:A57)+1</f>
        <v>15</v>
      </c>
      <c r="B58" s="42" t="str">
        <f aca="false">IF(C58="","",IFERROR(LEFT(VLOOKUP(C58,areaNomiSquadre,2,FALSE()),FIND("-",VLOOKUP(C58,areaNomiSquadre,2,FALSE()))-1),""))</f>
        <v>Cobra Coraggiosi</v>
      </c>
      <c r="C58" s="43" t="s">
        <v>52</v>
      </c>
      <c r="D58" s="42" t="str">
        <f aca="false">IF(E58="","",IFERROR(LEFT(VLOOKUP(E58,areaNomiSquadre,2,FALSE()),FIND("-",VLOOKUP(E58,areaNomiSquadre,2,FALSE()))-1),""))</f>
        <v>Gazzelle Gagliarde</v>
      </c>
      <c r="E58" s="43" t="s">
        <v>60</v>
      </c>
      <c r="F58" s="44" t="n">
        <v>46369.625</v>
      </c>
      <c r="G58" s="44"/>
      <c r="H58" s="44"/>
      <c r="I58" s="44"/>
      <c r="J58" s="45" t="n">
        <v>50</v>
      </c>
      <c r="K58" s="46" t="s">
        <v>339</v>
      </c>
      <c r="L58" s="45" t="n">
        <v>58</v>
      </c>
      <c r="M58" s="47" t="str">
        <f aca="false">IF($B58="","(Squadra A)",$B58)</f>
        <v>Cobra Coraggiosi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1</v>
      </c>
      <c r="Q58" s="47" t="n">
        <f aca="false">IF($J58+$L58=0,,$J58)</f>
        <v>50</v>
      </c>
      <c r="R58" s="47" t="n">
        <f aca="false">IF($J58+$L58=0,,$L58)</f>
        <v>58</v>
      </c>
      <c r="S58" s="47" t="n">
        <f aca="false">IF($J58+$L58=0,,$J58-$L58)</f>
        <v>-8</v>
      </c>
      <c r="T58" s="47" t="str">
        <f aca="false">IF($D58="","(Squadra B)",$D58)</f>
        <v>Gazzelle Gagliarde</v>
      </c>
      <c r="U58" s="47" t="n">
        <f aca="false">IF($J58+$L58=0,,IF($L58&gt;$J58,1,0))</f>
        <v>1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58</v>
      </c>
      <c r="Y58" s="47" t="n">
        <f aca="false">IF($J58+$L58=0,,$J58)</f>
        <v>50</v>
      </c>
      <c r="Z58" s="47" t="n">
        <f aca="false">IF($J58+$L58=0,,$L58-$J58)</f>
        <v>8</v>
      </c>
      <c r="AA58" s="47" t="str">
        <f aca="false">IF($J58+$L58=0,"(Vincente)",IF($J58&gt;$L58,$B58,$D58))</f>
        <v>Gazzelle Gagliarde</v>
      </c>
      <c r="AB58" s="47" t="str">
        <f aca="false">IF($J58+$L58=0,"(Perdente)",IF($J58&lt;$L58,$B58,$D58))</f>
        <v>Cobra Coraggiosi</v>
      </c>
    </row>
    <row r="59" customFormat="false" ht="15.75" hidden="false" customHeight="true" outlineLevel="0" collapsed="false">
      <c r="A59" s="41"/>
      <c r="B59" s="48" t="str">
        <f aca="false">IF(I59="","",HYPERLINK(VLOOKUP(I59,areaCampiSquadre,3,FALSE()),VLOOKUP(I59,areaCampiSquadre,2,FALSE())))</f>
        <v>PalaDelfini, Via dello Sport 4, Delfiniopoli DI</v>
      </c>
      <c r="C59" s="48"/>
      <c r="D59" s="48"/>
      <c r="E59" s="48"/>
      <c r="F59" s="48"/>
      <c r="G59" s="48"/>
      <c r="H59" s="48"/>
      <c r="I59" s="43" t="s">
        <v>54</v>
      </c>
      <c r="J59" s="45"/>
      <c r="K59" s="45"/>
      <c r="L59" s="45"/>
    </row>
    <row r="60" customFormat="false" ht="12.75" hidden="false" customHeight="true" outlineLevel="0" collapsed="false">
      <c r="A60" s="40" t="s">
        <v>334</v>
      </c>
      <c r="B60" s="40" t="s">
        <v>317</v>
      </c>
      <c r="C60" s="40"/>
      <c r="D60" s="40" t="s">
        <v>324</v>
      </c>
      <c r="E60" s="40"/>
      <c r="F60" s="40" t="s">
        <v>335</v>
      </c>
      <c r="G60" s="40" t="s">
        <v>336</v>
      </c>
      <c r="H60" s="40" t="s">
        <v>337</v>
      </c>
      <c r="I60" s="40"/>
      <c r="J60" s="40" t="s">
        <v>338</v>
      </c>
      <c r="K60" s="40"/>
      <c r="L60" s="40"/>
    </row>
    <row r="61" customFormat="false" ht="24" hidden="false" customHeight="true" outlineLevel="0" collapsed="false">
      <c r="A61" s="41" t="n">
        <f aca="false">MAX(A$10:A60)+1</f>
        <v>16</v>
      </c>
      <c r="B61" s="42" t="str">
        <f aca="false">IF(C61="","",IFERROR(LEFT(VLOOKUP(C61,areaNomiSquadre,2,FALSE()),FIND("-",VLOOKUP(C61,areaNomiSquadre,2,FALSE()))-1),""))</f>
        <v>Ippopotami Iracondi</v>
      </c>
      <c r="C61" s="43" t="s">
        <v>62</v>
      </c>
      <c r="D61" s="42" t="str">
        <f aca="false">IF(E61="","",IFERROR(LEFT(VLOOKUP(E61,areaNomiSquadre,2,FALSE()),FIND("-",VLOOKUP(E61,areaNomiSquadre,2,FALSE()))-1),""))</f>
        <v>Bufali Belligeranti</v>
      </c>
      <c r="E61" s="43" t="s">
        <v>50</v>
      </c>
      <c r="F61" s="44" t="n">
        <v>46369.7083333333</v>
      </c>
      <c r="G61" s="44"/>
      <c r="H61" s="44"/>
      <c r="I61" s="44"/>
      <c r="J61" s="45" t="n">
        <v>61</v>
      </c>
      <c r="K61" s="46" t="s">
        <v>339</v>
      </c>
      <c r="L61" s="45" t="n">
        <v>49</v>
      </c>
      <c r="M61" s="47" t="str">
        <f aca="false">IF($B61="","(Squadra A)",$B61)</f>
        <v>Ippopotami Iracondi</v>
      </c>
      <c r="N61" s="47" t="n">
        <f aca="false">IF($J61+$L61=0,,IF($J61&gt;$L61,1,0))</f>
        <v>1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61</v>
      </c>
      <c r="R61" s="47" t="n">
        <f aca="false">IF($J61+$L61=0,,$L61)</f>
        <v>49</v>
      </c>
      <c r="S61" s="47" t="n">
        <f aca="false">IF($J61+$L61=0,,$J61-$L61)</f>
        <v>12</v>
      </c>
      <c r="T61" s="47" t="str">
        <f aca="false">IF($D61="","(Squadra B)",$D61)</f>
        <v>Bufali Belligeranti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1</v>
      </c>
      <c r="X61" s="47" t="n">
        <f aca="false">IF($J61+$L61=0,,$L61)</f>
        <v>49</v>
      </c>
      <c r="Y61" s="47" t="n">
        <f aca="false">IF($J61+$L61=0,,$J61)</f>
        <v>61</v>
      </c>
      <c r="Z61" s="47" t="n">
        <f aca="false">IF($J61+$L61=0,,$L61-$J61)</f>
        <v>-12</v>
      </c>
      <c r="AA61" s="47" t="str">
        <f aca="false">IF($J61+$L61=0,"(Vincente)",IF($J61&gt;$L61,$B61,$D61))</f>
        <v>Ippopotami Iracondi</v>
      </c>
      <c r="AB61" s="47" t="str">
        <f aca="false">IF($J61+$L61=0,"(Perdente)",IF($J61&lt;$L61,$B61,$D61))</f>
        <v>Bufali Belligeranti</v>
      </c>
    </row>
    <row r="62" customFormat="false" ht="15.75" hidden="false" customHeight="true" outlineLevel="0" collapsed="false">
      <c r="A62" s="41"/>
      <c r="B62" s="48" t="str">
        <f aca="false">IF(I62="","",HYPERLINK(VLOOKUP(I62,areaCampiSquadre,3,FALSE()),VLOOKUP(I62,areaCampiSquadre,2,FALSE())))</f>
        <v>PalaDelfini, Via dello Sport 4, Delfiniopoli DI</v>
      </c>
      <c r="C62" s="48"/>
      <c r="D62" s="48"/>
      <c r="E62" s="48"/>
      <c r="F62" s="48"/>
      <c r="G62" s="48"/>
      <c r="H62" s="48"/>
      <c r="I62" s="43" t="s">
        <v>54</v>
      </c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38" t="s">
        <v>343</v>
      </c>
      <c r="B64" s="39" t="str">
        <f aca="false">"GIORNATA "&amp;ROMAN(VALUE(LEFT(A64,LEN(A64)-1)))&amp;" - GIRONE "&amp;RIGHT(A64,1)</f>
        <v>GIORNATA V - GIRONE A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customFormat="false" ht="12.75" hidden="false" customHeight="true" outlineLevel="0" collapsed="false">
      <c r="A65" s="40" t="s">
        <v>334</v>
      </c>
      <c r="B65" s="40" t="s">
        <v>317</v>
      </c>
      <c r="C65" s="40"/>
      <c r="D65" s="40" t="s">
        <v>324</v>
      </c>
      <c r="E65" s="40"/>
      <c r="F65" s="40" t="s">
        <v>335</v>
      </c>
      <c r="G65" s="40" t="s">
        <v>336</v>
      </c>
      <c r="H65" s="40" t="s">
        <v>337</v>
      </c>
      <c r="I65" s="40"/>
      <c r="J65" s="40" t="s">
        <v>338</v>
      </c>
      <c r="K65" s="40"/>
      <c r="L65" s="40"/>
    </row>
    <row r="66" customFormat="false" ht="24" hidden="false" customHeight="true" outlineLevel="0" collapsed="false">
      <c r="A66" s="41" t="n">
        <f aca="false">MAX(A$10:A65)+1</f>
        <v>17</v>
      </c>
      <c r="B66" s="42" t="str">
        <f aca="false">IF(C66="","",IFERROR(LEFT(VLOOKUP(C66,areaNomiSquadre,2,FALSE()),FIND("-",VLOOKUP(C66,areaNomiSquadre,2,FALSE()))-1),""))</f>
        <v>Anaconde Arrabbiate</v>
      </c>
      <c r="C66" s="43" t="s">
        <v>47</v>
      </c>
      <c r="D66" s="42" t="str">
        <f aca="false">IF(E66="","",IFERROR(LEFT(VLOOKUP(E66,areaNomiSquadre,2,FALSE()),FIND("-",VLOOKUP(E66,areaNomiSquadre,2,FALSE()))-1),""))</f>
        <v>Delfini Dispettosi</v>
      </c>
      <c r="E66" s="43" t="s">
        <v>54</v>
      </c>
      <c r="F66" s="44" t="n">
        <v>46411.3958333333</v>
      </c>
      <c r="G66" s="44"/>
      <c r="H66" s="44"/>
      <c r="I66" s="44"/>
      <c r="J66" s="45" t="n">
        <v>93</v>
      </c>
      <c r="K66" s="46" t="s">
        <v>339</v>
      </c>
      <c r="L66" s="45" t="n">
        <v>50</v>
      </c>
      <c r="M66" s="47" t="str">
        <f aca="false">IF($B66="","(Squadra A)",$B66)</f>
        <v>Anaconde Arrabbiate</v>
      </c>
      <c r="N66" s="47" t="n">
        <f aca="false">IF($J66+$L66=0,,IF($J66&gt;$L66,1,0))</f>
        <v>1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0</v>
      </c>
      <c r="Q66" s="47" t="n">
        <f aca="false">IF($J66+$L66=0,,$J66)</f>
        <v>93</v>
      </c>
      <c r="R66" s="47" t="n">
        <f aca="false">IF($J66+$L66=0,,$L66)</f>
        <v>50</v>
      </c>
      <c r="S66" s="47" t="n">
        <f aca="false">IF($J66+$L66=0,,$J66-$L66)</f>
        <v>43</v>
      </c>
      <c r="T66" s="47" t="str">
        <f aca="false">IF($D66="","(Squadra B)",$D66)</f>
        <v>Delfini Dispettosi</v>
      </c>
      <c r="U66" s="47" t="n">
        <f aca="false">IF($J66+$L66=0,,IF($L66&gt;$J66,1,0))</f>
        <v>0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1</v>
      </c>
      <c r="X66" s="47" t="n">
        <f aca="false">IF($J66+$L66=0,,$L66)</f>
        <v>50</v>
      </c>
      <c r="Y66" s="47" t="n">
        <f aca="false">IF($J66+$L66=0,,$J66)</f>
        <v>93</v>
      </c>
      <c r="Z66" s="47" t="n">
        <f aca="false">IF($J66+$L66=0,,$L66-$J66)</f>
        <v>-43</v>
      </c>
      <c r="AA66" s="47" t="str">
        <f aca="false">IF($J66+$L66=0,"(Vincente)",IF($J66&gt;$L66,$B66,$D66))</f>
        <v>Anaconde Arrabbiate</v>
      </c>
      <c r="AB66" s="47" t="str">
        <f aca="false">IF($J66+$L66=0,"(Perdente)",IF($J66&lt;$L66,$B66,$D66))</f>
        <v>Delfini Dispettosi</v>
      </c>
    </row>
    <row r="67" customFormat="false" ht="15.75" hidden="false" customHeight="true" outlineLevel="0" collapsed="false">
      <c r="A67" s="41"/>
      <c r="B67" s="48" t="str">
        <f aca="false">IF(I67="","",HYPERLINK(VLOOKUP(I67,areaCampiSquadre,3,FALSE()),VLOOKUP(I67,areaCampiSquadre,2,FALSE())))</f>
        <v>PalaErmellini, Via dello Sport 5, Ermelliniopoli EI</v>
      </c>
      <c r="C67" s="48"/>
      <c r="D67" s="48"/>
      <c r="E67" s="48"/>
      <c r="F67" s="48"/>
      <c r="G67" s="48"/>
      <c r="H67" s="48"/>
      <c r="I67" s="43" t="s">
        <v>56</v>
      </c>
      <c r="J67" s="45"/>
      <c r="K67" s="45"/>
      <c r="L67" s="45"/>
    </row>
    <row r="68" customFormat="false" ht="12.75" hidden="false" customHeight="true" outlineLevel="0" collapsed="false">
      <c r="A68" s="40" t="s">
        <v>334</v>
      </c>
      <c r="B68" s="40" t="s">
        <v>317</v>
      </c>
      <c r="C68" s="40"/>
      <c r="D68" s="40" t="s">
        <v>324</v>
      </c>
      <c r="E68" s="40"/>
      <c r="F68" s="40" t="s">
        <v>335</v>
      </c>
      <c r="G68" s="40" t="s">
        <v>336</v>
      </c>
      <c r="H68" s="40" t="s">
        <v>337</v>
      </c>
      <c r="I68" s="40"/>
      <c r="J68" s="40" t="s">
        <v>338</v>
      </c>
      <c r="K68" s="40"/>
      <c r="L68" s="40"/>
    </row>
    <row r="69" customFormat="false" ht="24" hidden="false" customHeight="true" outlineLevel="0" collapsed="false">
      <c r="A69" s="41" t="n">
        <f aca="false">MAX(A$10:A68)+1</f>
        <v>18</v>
      </c>
      <c r="B69" s="42" t="str">
        <f aca="false">IF(C69="","",IFERROR(LEFT(VLOOKUP(C69,areaNomiSquadre,2,FALSE()),FIND("-",VLOOKUP(C69,areaNomiSquadre,2,FALSE()))-1),""))</f>
        <v>Cobra Coraggiosi</v>
      </c>
      <c r="C69" s="43" t="s">
        <v>52</v>
      </c>
      <c r="D69" s="42" t="str">
        <f aca="false">IF(E69="","",IFERROR(LEFT(VLOOKUP(E69,areaNomiSquadre,2,FALSE()),FIND("-",VLOOKUP(E69,areaNomiSquadre,2,FALSE()))-1),""))</f>
        <v>Ermellini Eleganti</v>
      </c>
      <c r="E69" s="43" t="s">
        <v>56</v>
      </c>
      <c r="F69" s="44" t="n">
        <v>46411.4791666667</v>
      </c>
      <c r="G69" s="44"/>
      <c r="H69" s="44"/>
      <c r="I69" s="44"/>
      <c r="J69" s="45" t="n">
        <v>57</v>
      </c>
      <c r="K69" s="46" t="s">
        <v>339</v>
      </c>
      <c r="L69" s="45" t="n">
        <v>65</v>
      </c>
      <c r="M69" s="47" t="str">
        <f aca="false">IF($B69="","(Squadra A)",$B69)</f>
        <v>Cobra Coraggiosi</v>
      </c>
      <c r="N69" s="47" t="n">
        <f aca="false">IF($J69+$L69=0,,IF($J69&gt;$L69,1,0))</f>
        <v>0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1</v>
      </c>
      <c r="Q69" s="47" t="n">
        <f aca="false">IF($J69+$L69=0,,$J69)</f>
        <v>57</v>
      </c>
      <c r="R69" s="47" t="n">
        <f aca="false">IF($J69+$L69=0,,$L69)</f>
        <v>65</v>
      </c>
      <c r="S69" s="47" t="n">
        <f aca="false">IF($J69+$L69=0,,$J69-$L69)</f>
        <v>-8</v>
      </c>
      <c r="T69" s="47" t="str">
        <f aca="false">IF($D69="","(Squadra B)",$D69)</f>
        <v>Ermellini Eleganti</v>
      </c>
      <c r="U69" s="47" t="n">
        <f aca="false">IF($J69+$L69=0,,IF($L69&gt;$J69,1,0))</f>
        <v>1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0</v>
      </c>
      <c r="X69" s="47" t="n">
        <f aca="false">IF($J69+$L69=0,,$L69)</f>
        <v>65</v>
      </c>
      <c r="Y69" s="47" t="n">
        <f aca="false">IF($J69+$L69=0,,$J69)</f>
        <v>57</v>
      </c>
      <c r="Z69" s="47" t="n">
        <f aca="false">IF($J69+$L69=0,,$L69-$J69)</f>
        <v>8</v>
      </c>
      <c r="AA69" s="47" t="str">
        <f aca="false">IF($J69+$L69=0,"(Vincente)",IF($J69&gt;$L69,$B69,$D69))</f>
        <v>Ermellini Eleganti</v>
      </c>
      <c r="AB69" s="47" t="str">
        <f aca="false">IF($J69+$L69=0,"(Perdente)",IF($J69&lt;$L69,$B69,$D69))</f>
        <v>Cobra Coraggiosi</v>
      </c>
    </row>
    <row r="70" customFormat="false" ht="15.75" hidden="false" customHeight="true" outlineLevel="0" collapsed="false">
      <c r="A70" s="41"/>
      <c r="B70" s="48" t="str">
        <f aca="false">IF(I70="","",HYPERLINK(VLOOKUP(I70,areaCampiSquadre,3,FALSE()),VLOOKUP(I70,areaCampiSquadre,2,FALSE())))</f>
        <v>PalaErmellini, Via dello Sport 5, Ermelliniopoli EI</v>
      </c>
      <c r="C70" s="48"/>
      <c r="D70" s="48"/>
      <c r="E70" s="48"/>
      <c r="F70" s="48"/>
      <c r="G70" s="48"/>
      <c r="H70" s="48"/>
      <c r="I70" s="43" t="s">
        <v>56</v>
      </c>
      <c r="J70" s="45"/>
      <c r="K70" s="45"/>
      <c r="L70" s="45"/>
    </row>
    <row r="71" customFormat="false" ht="12.75" hidden="false" customHeight="true" outlineLevel="0" collapsed="false">
      <c r="A71" s="40" t="s">
        <v>334</v>
      </c>
      <c r="B71" s="40" t="s">
        <v>317</v>
      </c>
      <c r="C71" s="40"/>
      <c r="D71" s="40" t="s">
        <v>324</v>
      </c>
      <c r="E71" s="40"/>
      <c r="F71" s="40" t="s">
        <v>335</v>
      </c>
      <c r="G71" s="40" t="s">
        <v>336</v>
      </c>
      <c r="H71" s="40" t="s">
        <v>337</v>
      </c>
      <c r="I71" s="40"/>
      <c r="J71" s="40" t="s">
        <v>338</v>
      </c>
      <c r="K71" s="40"/>
      <c r="L71" s="40"/>
    </row>
    <row r="72" customFormat="false" ht="24" hidden="false" customHeight="true" outlineLevel="0" collapsed="false">
      <c r="A72" s="41" t="n">
        <f aca="false">MAX(A$10:A71)+1</f>
        <v>19</v>
      </c>
      <c r="B72" s="42" t="str">
        <f aca="false">IF(C72="","",IFERROR(LEFT(VLOOKUP(C72,areaNomiSquadre,2,FALSE()),FIND("-",VLOOKUP(C72,areaNomiSquadre,2,FALSE()))-1),""))</f>
        <v>Falchi Furiosi</v>
      </c>
      <c r="C72" s="43" t="s">
        <v>58</v>
      </c>
      <c r="D72" s="42" t="str">
        <f aca="false">IF(E72="","",IFERROR(LEFT(VLOOKUP(E72,areaNomiSquadre,2,FALSE()),FIND("-",VLOOKUP(E72,areaNomiSquadre,2,FALSE()))-1),""))</f>
        <v>Bufali Belligeranti</v>
      </c>
      <c r="E72" s="43" t="s">
        <v>50</v>
      </c>
      <c r="F72" s="44" t="n">
        <v>46411.625</v>
      </c>
      <c r="G72" s="44"/>
      <c r="H72" s="44"/>
      <c r="I72" s="44"/>
      <c r="J72" s="45" t="n">
        <v>68</v>
      </c>
      <c r="K72" s="46" t="s">
        <v>339</v>
      </c>
      <c r="L72" s="45" t="n">
        <v>56</v>
      </c>
      <c r="M72" s="47" t="str">
        <f aca="false">IF($B72="","(Squadra A)",$B72)</f>
        <v>Falchi Furiosi</v>
      </c>
      <c r="N72" s="47" t="n">
        <f aca="false">IF($J72+$L72=0,,IF($J72&gt;$L72,1,0))</f>
        <v>1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0</v>
      </c>
      <c r="Q72" s="47" t="n">
        <f aca="false">IF($J72+$L72=0,,$J72)</f>
        <v>68</v>
      </c>
      <c r="R72" s="47" t="n">
        <f aca="false">IF($J72+$L72=0,,$L72)</f>
        <v>56</v>
      </c>
      <c r="S72" s="47" t="n">
        <f aca="false">IF($J72+$L72=0,,$J72-$L72)</f>
        <v>12</v>
      </c>
      <c r="T72" s="47" t="str">
        <f aca="false">IF($D72="","(Squadra B)",$D72)</f>
        <v>Bufali Belligeranti</v>
      </c>
      <c r="U72" s="47" t="n">
        <f aca="false">IF($J72+$L72=0,,IF($L72&gt;$J72,1,0))</f>
        <v>0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1</v>
      </c>
      <c r="X72" s="47" t="n">
        <f aca="false">IF($J72+$L72=0,,$L72)</f>
        <v>56</v>
      </c>
      <c r="Y72" s="47" t="n">
        <f aca="false">IF($J72+$L72=0,,$J72)</f>
        <v>68</v>
      </c>
      <c r="Z72" s="47" t="n">
        <f aca="false">IF($J72+$L72=0,,$L72-$J72)</f>
        <v>-12</v>
      </c>
      <c r="AA72" s="47" t="str">
        <f aca="false">IF($J72+$L72=0,"(Vincente)",IF($J72&gt;$L72,$B72,$D72))</f>
        <v>Falchi Furiosi</v>
      </c>
      <c r="AB72" s="47" t="str">
        <f aca="false">IF($J72+$L72=0,"(Perdente)",IF($J72&lt;$L72,$B72,$D72))</f>
        <v>Bufali Belligeranti</v>
      </c>
    </row>
    <row r="73" customFormat="false" ht="15.75" hidden="false" customHeight="true" outlineLevel="0" collapsed="false">
      <c r="A73" s="41"/>
      <c r="B73" s="48" t="str">
        <f aca="false">IF(I73="","",HYPERLINK(VLOOKUP(I73,areaCampiSquadre,3,FALSE()),VLOOKUP(I73,areaCampiSquadre,2,FALSE())))</f>
        <v>PalaErmellini, Via dello Sport 5, Ermelliniopoli EI</v>
      </c>
      <c r="C73" s="48"/>
      <c r="D73" s="48"/>
      <c r="E73" s="48"/>
      <c r="F73" s="48"/>
      <c r="G73" s="48"/>
      <c r="H73" s="48"/>
      <c r="I73" s="43" t="s">
        <v>56</v>
      </c>
      <c r="J73" s="45"/>
      <c r="K73" s="45"/>
      <c r="L73" s="45"/>
    </row>
    <row r="74" customFormat="false" ht="12.75" hidden="false" customHeight="true" outlineLevel="0" collapsed="false">
      <c r="A74" s="40" t="s">
        <v>334</v>
      </c>
      <c r="B74" s="40" t="s">
        <v>317</v>
      </c>
      <c r="C74" s="40"/>
      <c r="D74" s="40" t="s">
        <v>324</v>
      </c>
      <c r="E74" s="40"/>
      <c r="F74" s="40" t="s">
        <v>335</v>
      </c>
      <c r="G74" s="40" t="s">
        <v>336</v>
      </c>
      <c r="H74" s="40" t="s">
        <v>337</v>
      </c>
      <c r="I74" s="40"/>
      <c r="J74" s="40" t="s">
        <v>338</v>
      </c>
      <c r="K74" s="40"/>
      <c r="L74" s="40"/>
    </row>
    <row r="75" customFormat="false" ht="24" hidden="false" customHeight="true" outlineLevel="0" collapsed="false">
      <c r="A75" s="41" t="n">
        <f aca="false">MAX(A$10:A74)+1</f>
        <v>20</v>
      </c>
      <c r="B75" s="42" t="str">
        <f aca="false">IF(C75="","",IFERROR(LEFT(VLOOKUP(C75,areaNomiSquadre,2,FALSE()),FIND("-",VLOOKUP(C75,areaNomiSquadre,2,FALSE()))-1),""))</f>
        <v>Ippopotami Iracondi</v>
      </c>
      <c r="C75" s="43" t="s">
        <v>62</v>
      </c>
      <c r="D75" s="42" t="str">
        <f aca="false">IF(E75="","",IFERROR(LEFT(VLOOKUP(E75,areaNomiSquadre,2,FALSE()),FIND("-",VLOOKUP(E75,areaNomiSquadre,2,FALSE()))-1),""))</f>
        <v>Gazzelle Gagliarde</v>
      </c>
      <c r="E75" s="43" t="s">
        <v>60</v>
      </c>
      <c r="F75" s="44" t="n">
        <v>46411.7083333333</v>
      </c>
      <c r="G75" s="44"/>
      <c r="H75" s="44"/>
      <c r="I75" s="44"/>
      <c r="J75" s="45" t="n">
        <v>75</v>
      </c>
      <c r="K75" s="46" t="s">
        <v>339</v>
      </c>
      <c r="L75" s="45" t="n">
        <v>61</v>
      </c>
      <c r="M75" s="47" t="str">
        <f aca="false">IF($B75="","(Squadra A)",$B75)</f>
        <v>Ippopotami Iracondi</v>
      </c>
      <c r="N75" s="47" t="n">
        <f aca="false">IF($J75+$L75=0,,IF($J75&gt;$L75,1,0))</f>
        <v>1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0</v>
      </c>
      <c r="Q75" s="47" t="n">
        <f aca="false">IF($J75+$L75=0,,$J75)</f>
        <v>75</v>
      </c>
      <c r="R75" s="47" t="n">
        <f aca="false">IF($J75+$L75=0,,$L75)</f>
        <v>61</v>
      </c>
      <c r="S75" s="47" t="n">
        <f aca="false">IF($J75+$L75=0,,$J75-$L75)</f>
        <v>14</v>
      </c>
      <c r="T75" s="47" t="str">
        <f aca="false">IF($D75="","(Squadra B)",$D75)</f>
        <v>Gazzelle Gagliarde</v>
      </c>
      <c r="U75" s="47" t="n">
        <f aca="false">IF($J75+$L75=0,,IF($L75&gt;$J75,1,0))</f>
        <v>0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1</v>
      </c>
      <c r="X75" s="47" t="n">
        <f aca="false">IF($J75+$L75=0,,$L75)</f>
        <v>61</v>
      </c>
      <c r="Y75" s="47" t="n">
        <f aca="false">IF($J75+$L75=0,,$J75)</f>
        <v>75</v>
      </c>
      <c r="Z75" s="47" t="n">
        <f aca="false">IF($J75+$L75=0,,$L75-$J75)</f>
        <v>-14</v>
      </c>
      <c r="AA75" s="47" t="str">
        <f aca="false">IF($J75+$L75=0,"(Vincente)",IF($J75&gt;$L75,$B75,$D75))</f>
        <v>Ippopotami Iracondi</v>
      </c>
      <c r="AB75" s="47" t="str">
        <f aca="false">IF($J75+$L75=0,"(Perdente)",IF($J75&lt;$L75,$B75,$D75))</f>
        <v>Gazzelle Gagliarde</v>
      </c>
    </row>
    <row r="76" customFormat="false" ht="15.75" hidden="false" customHeight="true" outlineLevel="0" collapsed="false">
      <c r="A76" s="41"/>
      <c r="B76" s="48" t="str">
        <f aca="false">IF(I76="","",HYPERLINK(VLOOKUP(I76,areaCampiSquadre,3,FALSE()),VLOOKUP(I76,areaCampiSquadre,2,FALSE())))</f>
        <v>PalaErmellini, Via dello Sport 5, Ermelliniopoli EI</v>
      </c>
      <c r="C76" s="48"/>
      <c r="D76" s="48"/>
      <c r="E76" s="48"/>
      <c r="F76" s="48"/>
      <c r="G76" s="48"/>
      <c r="H76" s="48"/>
      <c r="I76" s="43" t="s">
        <v>56</v>
      </c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38" t="s">
        <v>344</v>
      </c>
      <c r="B78" s="39" t="str">
        <f aca="false">"GIORNATA "&amp;ROMAN(VALUE(LEFT(A78,LEN(A78)-1)))&amp;" - GIRONE "&amp;RIGHT(A78,1)</f>
        <v>GIORNATA VI - GIRONE A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customFormat="false" ht="12.75" hidden="false" customHeight="true" outlineLevel="0" collapsed="false">
      <c r="A79" s="40" t="s">
        <v>334</v>
      </c>
      <c r="B79" s="40" t="s">
        <v>317</v>
      </c>
      <c r="C79" s="40"/>
      <c r="D79" s="40" t="s">
        <v>324</v>
      </c>
      <c r="E79" s="40"/>
      <c r="F79" s="40" t="s">
        <v>335</v>
      </c>
      <c r="G79" s="40" t="s">
        <v>336</v>
      </c>
      <c r="H79" s="40" t="s">
        <v>337</v>
      </c>
      <c r="I79" s="40"/>
      <c r="J79" s="40" t="s">
        <v>338</v>
      </c>
      <c r="K79" s="40"/>
      <c r="L79" s="40"/>
    </row>
    <row r="80" customFormat="false" ht="24" hidden="false" customHeight="true" outlineLevel="0" collapsed="false">
      <c r="A80" s="41" t="n">
        <f aca="false">MAX(A$10:A79)+1</f>
        <v>21</v>
      </c>
      <c r="B80" s="42" t="str">
        <f aca="false">IF(C80="","",IFERROR(LEFT(VLOOKUP(C80,areaNomiSquadre,2,FALSE()),FIND("-",VLOOKUP(C80,areaNomiSquadre,2,FALSE()))-1),""))</f>
        <v>Cobra Coraggiosi</v>
      </c>
      <c r="C80" s="43" t="s">
        <v>52</v>
      </c>
      <c r="D80" s="42" t="str">
        <f aca="false">IF(E80="","",IFERROR(LEFT(VLOOKUP(E80,areaNomiSquadre,2,FALSE()),FIND("-",VLOOKUP(E80,areaNomiSquadre,2,FALSE()))-1),""))</f>
        <v>Anaconde Arrabbiate</v>
      </c>
      <c r="E80" s="43" t="s">
        <v>47</v>
      </c>
      <c r="F80" s="44" t="n">
        <v>46432.3958333333</v>
      </c>
      <c r="G80" s="44"/>
      <c r="H80" s="44"/>
      <c r="I80" s="44"/>
      <c r="J80" s="45" t="n">
        <v>41</v>
      </c>
      <c r="K80" s="46" t="s">
        <v>339</v>
      </c>
      <c r="L80" s="45" t="n">
        <v>54</v>
      </c>
      <c r="M80" s="47" t="str">
        <f aca="false">IF($B80="","(Squadra A)",$B80)</f>
        <v>Cobra Coraggiosi</v>
      </c>
      <c r="N80" s="47" t="n">
        <f aca="false">IF($J80+$L80=0,,IF($J80&gt;$L80,1,0))</f>
        <v>0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1</v>
      </c>
      <c r="Q80" s="47" t="n">
        <f aca="false">IF($J80+$L80=0,,$J80)</f>
        <v>41</v>
      </c>
      <c r="R80" s="47" t="n">
        <f aca="false">IF($J80+$L80=0,,$L80)</f>
        <v>54</v>
      </c>
      <c r="S80" s="47" t="n">
        <f aca="false">IF($J80+$L80=0,,$J80-$L80)</f>
        <v>-13</v>
      </c>
      <c r="T80" s="47" t="str">
        <f aca="false">IF($D80="","(Squadra B)",$D80)</f>
        <v>Anaconde Arrabbiate</v>
      </c>
      <c r="U80" s="47" t="n">
        <f aca="false">IF($J80+$L80=0,,IF($L80&gt;$J80,1,0))</f>
        <v>1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0</v>
      </c>
      <c r="X80" s="47" t="n">
        <f aca="false">IF($J80+$L80=0,,$L80)</f>
        <v>54</v>
      </c>
      <c r="Y80" s="47" t="n">
        <f aca="false">IF($J80+$L80=0,,$J80)</f>
        <v>41</v>
      </c>
      <c r="Z80" s="47" t="n">
        <f aca="false">IF($J80+$L80=0,,$L80-$J80)</f>
        <v>13</v>
      </c>
      <c r="AA80" s="47" t="str">
        <f aca="false">IF($J80+$L80=0,"(Vincente)",IF($J80&gt;$L80,$B80,$D80))</f>
        <v>Anaconde Arrabbiate</v>
      </c>
      <c r="AB80" s="47" t="str">
        <f aca="false">IF($J80+$L80=0,"(Perdente)",IF($J80&lt;$L80,$B80,$D80))</f>
        <v>Cobra Coraggiosi</v>
      </c>
    </row>
    <row r="81" customFormat="false" ht="15.75" hidden="false" customHeight="true" outlineLevel="0" collapsed="false">
      <c r="A81" s="41"/>
      <c r="B81" s="48" t="str">
        <f aca="false">IF(I81="","",HYPERLINK(VLOOKUP(I81,areaCampiSquadre,3,FALSE()),VLOOKUP(I81,areaCampiSquadre,2,FALSE())))</f>
        <v>PalaFalchi, Via dello Sport 6, Falchiopoli FI</v>
      </c>
      <c r="C81" s="48"/>
      <c r="D81" s="48"/>
      <c r="E81" s="48"/>
      <c r="F81" s="48"/>
      <c r="G81" s="48"/>
      <c r="H81" s="48"/>
      <c r="I81" s="43" t="s">
        <v>58</v>
      </c>
      <c r="J81" s="45"/>
      <c r="K81" s="45"/>
      <c r="L81" s="45"/>
    </row>
    <row r="82" customFormat="false" ht="12.75" hidden="false" customHeight="true" outlineLevel="0" collapsed="false">
      <c r="A82" s="40" t="s">
        <v>334</v>
      </c>
      <c r="B82" s="40" t="s">
        <v>317</v>
      </c>
      <c r="C82" s="40"/>
      <c r="D82" s="40" t="s">
        <v>324</v>
      </c>
      <c r="E82" s="40"/>
      <c r="F82" s="40" t="s">
        <v>335</v>
      </c>
      <c r="G82" s="40" t="s">
        <v>336</v>
      </c>
      <c r="H82" s="40" t="s">
        <v>337</v>
      </c>
      <c r="I82" s="40"/>
      <c r="J82" s="40" t="s">
        <v>338</v>
      </c>
      <c r="K82" s="40"/>
      <c r="L82" s="40"/>
    </row>
    <row r="83" customFormat="false" ht="24" hidden="false" customHeight="true" outlineLevel="0" collapsed="false">
      <c r="A83" s="41" t="n">
        <f aca="false">MAX(A$10:A82)+1</f>
        <v>22</v>
      </c>
      <c r="B83" s="42" t="str">
        <f aca="false">IF(C83="","",IFERROR(LEFT(VLOOKUP(C83,areaNomiSquadre,2,FALSE()),FIND("-",VLOOKUP(C83,areaNomiSquadre,2,FALSE()))-1),""))</f>
        <v>Delfini Dispettosi</v>
      </c>
      <c r="C83" s="43" t="s">
        <v>54</v>
      </c>
      <c r="D83" s="42" t="str">
        <f aca="false">IF(E83="","",IFERROR(LEFT(VLOOKUP(E83,areaNomiSquadre,2,FALSE()),FIND("-",VLOOKUP(E83,areaNomiSquadre,2,FALSE()))-1),""))</f>
        <v>Bufali Belligeranti</v>
      </c>
      <c r="E83" s="43" t="s">
        <v>50</v>
      </c>
      <c r="F83" s="44" t="n">
        <v>46432.4791666667</v>
      </c>
      <c r="G83" s="44"/>
      <c r="H83" s="44"/>
      <c r="I83" s="44"/>
      <c r="J83" s="45" t="n">
        <v>48</v>
      </c>
      <c r="K83" s="46" t="s">
        <v>339</v>
      </c>
      <c r="L83" s="45" t="n">
        <v>74</v>
      </c>
      <c r="M83" s="47" t="str">
        <f aca="false">IF($B83="","(Squadra A)",$B83)</f>
        <v>Delfini Dispettosi</v>
      </c>
      <c r="N83" s="47" t="n">
        <f aca="false">IF($J83+$L83=0,,IF($J83&gt;$L83,1,0))</f>
        <v>0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1</v>
      </c>
      <c r="Q83" s="47" t="n">
        <f aca="false">IF($J83+$L83=0,,$J83)</f>
        <v>48</v>
      </c>
      <c r="R83" s="47" t="n">
        <f aca="false">IF($J83+$L83=0,,$L83)</f>
        <v>74</v>
      </c>
      <c r="S83" s="47" t="n">
        <f aca="false">IF($J83+$L83=0,,$J83-$L83)</f>
        <v>-26</v>
      </c>
      <c r="T83" s="47" t="str">
        <f aca="false">IF($D83="","(Squadra B)",$D83)</f>
        <v>Bufali Belligeranti</v>
      </c>
      <c r="U83" s="47" t="n">
        <f aca="false">IF($J83+$L83=0,,IF($L83&gt;$J83,1,0))</f>
        <v>1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0</v>
      </c>
      <c r="X83" s="47" t="n">
        <f aca="false">IF($J83+$L83=0,,$L83)</f>
        <v>74</v>
      </c>
      <c r="Y83" s="47" t="n">
        <f aca="false">IF($J83+$L83=0,,$J83)</f>
        <v>48</v>
      </c>
      <c r="Z83" s="47" t="n">
        <f aca="false">IF($J83+$L83=0,,$L83-$J83)</f>
        <v>26</v>
      </c>
      <c r="AA83" s="47" t="str">
        <f aca="false">IF($J83+$L83=0,"(Vincente)",IF($J83&gt;$L83,$B83,$D83))</f>
        <v>Bufali Belligeranti</v>
      </c>
      <c r="AB83" s="47" t="str">
        <f aca="false">IF($J83+$L83=0,"(Perdente)",IF($J83&lt;$L83,$B83,$D83))</f>
        <v>Delfini Dispettosi</v>
      </c>
    </row>
    <row r="84" customFormat="false" ht="15.75" hidden="false" customHeight="true" outlineLevel="0" collapsed="false">
      <c r="A84" s="41"/>
      <c r="B84" s="48" t="str">
        <f aca="false">IF(I84="","",HYPERLINK(VLOOKUP(I84,areaCampiSquadre,3,FALSE()),VLOOKUP(I84,areaCampiSquadre,2,FALSE())))</f>
        <v>PalaFalchi, Via dello Sport 6, Falchiopoli FI</v>
      </c>
      <c r="C84" s="48"/>
      <c r="D84" s="48"/>
      <c r="E84" s="48"/>
      <c r="F84" s="48"/>
      <c r="G84" s="48"/>
      <c r="H84" s="48"/>
      <c r="I84" s="43" t="s">
        <v>58</v>
      </c>
      <c r="J84" s="45"/>
      <c r="K84" s="45"/>
      <c r="L84" s="45"/>
    </row>
    <row r="85" customFormat="false" ht="12.75" hidden="false" customHeight="true" outlineLevel="0" collapsed="false">
      <c r="A85" s="40" t="s">
        <v>334</v>
      </c>
      <c r="B85" s="40" t="s">
        <v>317</v>
      </c>
      <c r="C85" s="40"/>
      <c r="D85" s="40" t="s">
        <v>324</v>
      </c>
      <c r="E85" s="40"/>
      <c r="F85" s="40" t="s">
        <v>335</v>
      </c>
      <c r="G85" s="40" t="s">
        <v>336</v>
      </c>
      <c r="H85" s="40" t="s">
        <v>337</v>
      </c>
      <c r="I85" s="40"/>
      <c r="J85" s="40" t="s">
        <v>338</v>
      </c>
      <c r="K85" s="40"/>
      <c r="L85" s="40"/>
    </row>
    <row r="86" customFormat="false" ht="24" hidden="false" customHeight="true" outlineLevel="0" collapsed="false">
      <c r="A86" s="41" t="n">
        <f aca="false">MAX(A$10:A85)+1</f>
        <v>23</v>
      </c>
      <c r="B86" s="42" t="str">
        <f aca="false">IF(C86="","",IFERROR(LEFT(VLOOKUP(C86,areaNomiSquadre,2,FALSE()),FIND("-",VLOOKUP(C86,areaNomiSquadre,2,FALSE()))-1),""))</f>
        <v>Ippopotami Iracondi</v>
      </c>
      <c r="C86" s="43" t="s">
        <v>62</v>
      </c>
      <c r="D86" s="42" t="str">
        <f aca="false">IF(E86="","",IFERROR(LEFT(VLOOKUP(E86,areaNomiSquadre,2,FALSE()),FIND("-",VLOOKUP(E86,areaNomiSquadre,2,FALSE()))-1),""))</f>
        <v>Ermellini Eleganti</v>
      </c>
      <c r="E86" s="43" t="s">
        <v>56</v>
      </c>
      <c r="F86" s="44" t="n">
        <v>46432.625</v>
      </c>
      <c r="G86" s="44"/>
      <c r="H86" s="44"/>
      <c r="I86" s="44"/>
      <c r="J86" s="45" t="n">
        <v>55</v>
      </c>
      <c r="K86" s="46" t="s">
        <v>339</v>
      </c>
      <c r="L86" s="45" t="n">
        <v>45</v>
      </c>
      <c r="M86" s="47" t="str">
        <f aca="false">IF($B86="","(Squadra A)",$B86)</f>
        <v>Ippopotami Iracondi</v>
      </c>
      <c r="N86" s="47" t="n">
        <f aca="false">IF($J86+$L86=0,,IF($J86&gt;$L86,1,0))</f>
        <v>1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0</v>
      </c>
      <c r="Q86" s="47" t="n">
        <f aca="false">IF($J86+$L86=0,,$J86)</f>
        <v>55</v>
      </c>
      <c r="R86" s="47" t="n">
        <f aca="false">IF($J86+$L86=0,,$L86)</f>
        <v>45</v>
      </c>
      <c r="S86" s="47" t="n">
        <f aca="false">IF($J86+$L86=0,,$J86-$L86)</f>
        <v>10</v>
      </c>
      <c r="T86" s="47" t="str">
        <f aca="false">IF($D86="","(Squadra B)",$D86)</f>
        <v>Ermellini Eleganti</v>
      </c>
      <c r="U86" s="47" t="n">
        <f aca="false">IF($J86+$L86=0,,IF($L86&gt;$J86,1,0))</f>
        <v>0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1</v>
      </c>
      <c r="X86" s="47" t="n">
        <f aca="false">IF($J86+$L86=0,,$L86)</f>
        <v>45</v>
      </c>
      <c r="Y86" s="47" t="n">
        <f aca="false">IF($J86+$L86=0,,$J86)</f>
        <v>55</v>
      </c>
      <c r="Z86" s="47" t="n">
        <f aca="false">IF($J86+$L86=0,,$L86-$J86)</f>
        <v>-10</v>
      </c>
      <c r="AA86" s="47" t="str">
        <f aca="false">IF($J86+$L86=0,"(Vincente)",IF($J86&gt;$L86,$B86,$D86))</f>
        <v>Ippopotami Iracondi</v>
      </c>
      <c r="AB86" s="47" t="str">
        <f aca="false">IF($J86+$L86=0,"(Perdente)",IF($J86&lt;$L86,$B86,$D86))</f>
        <v>Ermellini Eleganti</v>
      </c>
    </row>
    <row r="87" customFormat="false" ht="15.75" hidden="false" customHeight="true" outlineLevel="0" collapsed="false">
      <c r="A87" s="41"/>
      <c r="B87" s="48" t="str">
        <f aca="false">IF(I87="","",HYPERLINK(VLOOKUP(I87,areaCampiSquadre,3,FALSE()),VLOOKUP(I87,areaCampiSquadre,2,FALSE())))</f>
        <v>PalaFalchi, Via dello Sport 6, Falchiopoli FI</v>
      </c>
      <c r="C87" s="48"/>
      <c r="D87" s="48"/>
      <c r="E87" s="48"/>
      <c r="F87" s="48"/>
      <c r="G87" s="48"/>
      <c r="H87" s="48"/>
      <c r="I87" s="43" t="s">
        <v>58</v>
      </c>
      <c r="J87" s="45"/>
      <c r="K87" s="45"/>
      <c r="L87" s="45"/>
    </row>
    <row r="88" customFormat="false" ht="12.75" hidden="false" customHeight="true" outlineLevel="0" collapsed="false">
      <c r="A88" s="40" t="s">
        <v>334</v>
      </c>
      <c r="B88" s="40" t="s">
        <v>317</v>
      </c>
      <c r="C88" s="40"/>
      <c r="D88" s="40" t="s">
        <v>324</v>
      </c>
      <c r="E88" s="40"/>
      <c r="F88" s="40" t="s">
        <v>335</v>
      </c>
      <c r="G88" s="40" t="s">
        <v>336</v>
      </c>
      <c r="H88" s="40" t="s">
        <v>337</v>
      </c>
      <c r="I88" s="40"/>
      <c r="J88" s="40" t="s">
        <v>338</v>
      </c>
      <c r="K88" s="40"/>
      <c r="L88" s="40"/>
    </row>
    <row r="89" customFormat="false" ht="24" hidden="false" customHeight="true" outlineLevel="0" collapsed="false">
      <c r="A89" s="41" t="n">
        <f aca="false">MAX(A$10:A88)+1</f>
        <v>24</v>
      </c>
      <c r="B89" s="42" t="str">
        <f aca="false">IF(C89="","",IFERROR(LEFT(VLOOKUP(C89,areaNomiSquadre,2,FALSE()),FIND("-",VLOOKUP(C89,areaNomiSquadre,2,FALSE()))-1),""))</f>
        <v>Falchi Furiosi</v>
      </c>
      <c r="C89" s="43" t="s">
        <v>58</v>
      </c>
      <c r="D89" s="42" t="str">
        <f aca="false">IF(E89="","",IFERROR(LEFT(VLOOKUP(E89,areaNomiSquadre,2,FALSE()),FIND("-",VLOOKUP(E89,areaNomiSquadre,2,FALSE()))-1),""))</f>
        <v>Gazzelle Gagliarde</v>
      </c>
      <c r="E89" s="43" t="s">
        <v>60</v>
      </c>
      <c r="F89" s="44" t="n">
        <v>46432.7083333333</v>
      </c>
      <c r="G89" s="44"/>
      <c r="H89" s="44"/>
      <c r="I89" s="44"/>
      <c r="J89" s="45" t="n">
        <v>64</v>
      </c>
      <c r="K89" s="46" t="s">
        <v>339</v>
      </c>
      <c r="L89" s="45" t="n">
        <v>69</v>
      </c>
      <c r="M89" s="47" t="str">
        <f aca="false">IF($B89="","(Squadra A)",$B89)</f>
        <v>Falchi Furiosi</v>
      </c>
      <c r="N89" s="47" t="n">
        <f aca="false">IF($J89+$L89=0,,IF($J89&gt;$L89,1,0))</f>
        <v>0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1</v>
      </c>
      <c r="Q89" s="47" t="n">
        <f aca="false">IF($J89+$L89=0,,$J89)</f>
        <v>64</v>
      </c>
      <c r="R89" s="47" t="n">
        <f aca="false">IF($J89+$L89=0,,$L89)</f>
        <v>69</v>
      </c>
      <c r="S89" s="47" t="n">
        <f aca="false">IF($J89+$L89=0,,$J89-$L89)</f>
        <v>-5</v>
      </c>
      <c r="T89" s="47" t="str">
        <f aca="false">IF($D89="","(Squadra B)",$D89)</f>
        <v>Gazzelle Gagliarde</v>
      </c>
      <c r="U89" s="47" t="n">
        <f aca="false">IF($J89+$L89=0,,IF($L89&gt;$J89,1,0))</f>
        <v>1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0</v>
      </c>
      <c r="X89" s="47" t="n">
        <f aca="false">IF($J89+$L89=0,,$L89)</f>
        <v>69</v>
      </c>
      <c r="Y89" s="47" t="n">
        <f aca="false">IF($J89+$L89=0,,$J89)</f>
        <v>64</v>
      </c>
      <c r="Z89" s="47" t="n">
        <f aca="false">IF($J89+$L89=0,,$L89-$J89)</f>
        <v>5</v>
      </c>
      <c r="AA89" s="47" t="str">
        <f aca="false">IF($J89+$L89=0,"(Vincente)",IF($J89&gt;$L89,$B89,$D89))</f>
        <v>Gazzelle Gagliarde</v>
      </c>
      <c r="AB89" s="47" t="str">
        <f aca="false">IF($J89+$L89=0,"(Perdente)",IF($J89&lt;$L89,$B89,$D89))</f>
        <v>Falchi Furiosi</v>
      </c>
    </row>
    <row r="90" customFormat="false" ht="15.75" hidden="false" customHeight="true" outlineLevel="0" collapsed="false">
      <c r="A90" s="41"/>
      <c r="B90" s="48" t="str">
        <f aca="false">IF(I90="","",HYPERLINK(VLOOKUP(I90,areaCampiSquadre,3,FALSE()),VLOOKUP(I90,areaCampiSquadre,2,FALSE())))</f>
        <v>PalaFalchi, Via dello Sport 6, Falchiopoli FI</v>
      </c>
      <c r="C90" s="48"/>
      <c r="D90" s="48"/>
      <c r="E90" s="48"/>
      <c r="F90" s="48"/>
      <c r="G90" s="48"/>
      <c r="H90" s="48"/>
      <c r="I90" s="43" t="s">
        <v>58</v>
      </c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38" t="s">
        <v>345</v>
      </c>
      <c r="B92" s="39" t="str">
        <f aca="false">"GIORNATA "&amp;ROMAN(VALUE(LEFT(A92,LEN(A92)-1)))&amp;" - GIRONE "&amp;RIGHT(A92,1)</f>
        <v>GIORNATA VII - GIRONE A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</row>
    <row r="93" customFormat="false" ht="12.75" hidden="false" customHeight="true" outlineLevel="0" collapsed="false">
      <c r="A93" s="40" t="s">
        <v>334</v>
      </c>
      <c r="B93" s="40" t="s">
        <v>317</v>
      </c>
      <c r="C93" s="40"/>
      <c r="D93" s="40" t="s">
        <v>324</v>
      </c>
      <c r="E93" s="40"/>
      <c r="F93" s="40" t="s">
        <v>335</v>
      </c>
      <c r="G93" s="40" t="s">
        <v>336</v>
      </c>
      <c r="H93" s="40" t="s">
        <v>337</v>
      </c>
      <c r="I93" s="40"/>
      <c r="J93" s="40" t="s">
        <v>338</v>
      </c>
      <c r="K93" s="40"/>
      <c r="L93" s="40"/>
    </row>
    <row r="94" customFormat="false" ht="24" hidden="false" customHeight="true" outlineLevel="0" collapsed="false">
      <c r="A94" s="41" t="n">
        <f aca="false">MAX(A$10:A93)+1</f>
        <v>25</v>
      </c>
      <c r="B94" s="42" t="str">
        <f aca="false">IF(C94="","",IFERROR(LEFT(VLOOKUP(C94,areaNomiSquadre,2,FALSE()),FIND("-",VLOOKUP(C94,areaNomiSquadre,2,FALSE()))-1),""))</f>
        <v>Anaconde Arrabbiate</v>
      </c>
      <c r="C94" s="43" t="s">
        <v>47</v>
      </c>
      <c r="D94" s="42" t="str">
        <f aca="false">IF(E94="","",IFERROR(LEFT(VLOOKUP(E94,areaNomiSquadre,2,FALSE()),FIND("-",VLOOKUP(E94,areaNomiSquadre,2,FALSE()))-1),""))</f>
        <v>Bufali Belligeranti</v>
      </c>
      <c r="E94" s="43" t="s">
        <v>50</v>
      </c>
      <c r="F94" s="44" t="n">
        <v>46453.3958333333</v>
      </c>
      <c r="G94" s="44"/>
      <c r="H94" s="44"/>
      <c r="I94" s="44"/>
      <c r="J94" s="45" t="n">
        <v>79</v>
      </c>
      <c r="K94" s="46" t="s">
        <v>339</v>
      </c>
      <c r="L94" s="45" t="n">
        <v>63</v>
      </c>
      <c r="M94" s="47" t="str">
        <f aca="false">IF($B94="","(Squadra A)",$B94)</f>
        <v>Anaconde Arrabbiate</v>
      </c>
      <c r="N94" s="47" t="n">
        <f aca="false">IF($J94+$L94=0,,IF($J94&gt;$L94,1,0))</f>
        <v>1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0</v>
      </c>
      <c r="Q94" s="47" t="n">
        <f aca="false">IF($J94+$L94=0,,$J94)</f>
        <v>79</v>
      </c>
      <c r="R94" s="47" t="n">
        <f aca="false">IF($J94+$L94=0,,$L94)</f>
        <v>63</v>
      </c>
      <c r="S94" s="47" t="n">
        <f aca="false">IF($J94+$L94=0,,$J94-$L94)</f>
        <v>16</v>
      </c>
      <c r="T94" s="47" t="str">
        <f aca="false">IF($D94="","(Squadra B)",$D94)</f>
        <v>Bufali Belligeranti</v>
      </c>
      <c r="U94" s="47" t="n">
        <f aca="false">IF($J94+$L94=0,,IF($L94&gt;$J94,1,0))</f>
        <v>0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1</v>
      </c>
      <c r="X94" s="47" t="n">
        <f aca="false">IF($J94+$L94=0,,$L94)</f>
        <v>63</v>
      </c>
      <c r="Y94" s="47" t="n">
        <f aca="false">IF($J94+$L94=0,,$J94)</f>
        <v>79</v>
      </c>
      <c r="Z94" s="47" t="n">
        <f aca="false">IF($J94+$L94=0,,$L94-$J94)</f>
        <v>-16</v>
      </c>
      <c r="AA94" s="47" t="str">
        <f aca="false">IF($J94+$L94=0,"(Vincente)",IF($J94&gt;$L94,$B94,$D94))</f>
        <v>Anaconde Arrabbiate</v>
      </c>
      <c r="AB94" s="47" t="str">
        <f aca="false">IF($J94+$L94=0,"(Perdente)",IF($J94&lt;$L94,$B94,$D94))</f>
        <v>Bufali Belligeranti</v>
      </c>
    </row>
    <row r="95" customFormat="false" ht="15.75" hidden="false" customHeight="true" outlineLevel="0" collapsed="false">
      <c r="A95" s="41"/>
      <c r="B95" s="48" t="str">
        <f aca="false">IF(I95="","",HYPERLINK(VLOOKUP(I95,areaCampiSquadre,3,FALSE()),VLOOKUP(I95,areaCampiSquadre,2,FALSE())))</f>
        <v>PalaGazzelle, Via dello Sport 7, Gazzelleopoli GE</v>
      </c>
      <c r="C95" s="48"/>
      <c r="D95" s="48"/>
      <c r="E95" s="48"/>
      <c r="F95" s="48"/>
      <c r="G95" s="48"/>
      <c r="H95" s="48"/>
      <c r="I95" s="43" t="s">
        <v>60</v>
      </c>
      <c r="J95" s="45"/>
      <c r="K95" s="45"/>
      <c r="L95" s="45"/>
    </row>
    <row r="96" customFormat="false" ht="12.75" hidden="false" customHeight="true" outlineLevel="0" collapsed="false">
      <c r="A96" s="40" t="s">
        <v>334</v>
      </c>
      <c r="B96" s="40" t="s">
        <v>317</v>
      </c>
      <c r="C96" s="40"/>
      <c r="D96" s="40" t="s">
        <v>324</v>
      </c>
      <c r="E96" s="40"/>
      <c r="F96" s="40" t="s">
        <v>335</v>
      </c>
      <c r="G96" s="40" t="s">
        <v>336</v>
      </c>
      <c r="H96" s="40" t="s">
        <v>337</v>
      </c>
      <c r="I96" s="40"/>
      <c r="J96" s="40" t="s">
        <v>338</v>
      </c>
      <c r="K96" s="40"/>
      <c r="L96" s="40"/>
    </row>
    <row r="97" customFormat="false" ht="24" hidden="false" customHeight="true" outlineLevel="0" collapsed="false">
      <c r="A97" s="41" t="n">
        <f aca="false">MAX(A$10:A96)+1</f>
        <v>26</v>
      </c>
      <c r="B97" s="42" t="str">
        <f aca="false">IF(C97="","",IFERROR(LEFT(VLOOKUP(C97,areaNomiSquadre,2,FALSE()),FIND("-",VLOOKUP(C97,areaNomiSquadre,2,FALSE()))-1),""))</f>
        <v>Ippopotami Iracondi</v>
      </c>
      <c r="C97" s="43" t="s">
        <v>62</v>
      </c>
      <c r="D97" s="42" t="str">
        <f aca="false">IF(E97="","",IFERROR(LEFT(VLOOKUP(E97,areaNomiSquadre,2,FALSE()),FIND("-",VLOOKUP(E97,areaNomiSquadre,2,FALSE()))-1),""))</f>
        <v>Cobra Coraggiosi</v>
      </c>
      <c r="E97" s="43" t="s">
        <v>52</v>
      </c>
      <c r="F97" s="44" t="n">
        <v>46453.4791666667</v>
      </c>
      <c r="G97" s="44"/>
      <c r="H97" s="44"/>
      <c r="I97" s="44"/>
      <c r="J97" s="45" t="n">
        <v>46</v>
      </c>
      <c r="K97" s="46" t="s">
        <v>339</v>
      </c>
      <c r="L97" s="45" t="n">
        <v>67</v>
      </c>
      <c r="M97" s="47" t="str">
        <f aca="false">IF($B97="","(Squadra A)",$B97)</f>
        <v>Ippopotami Iracondi</v>
      </c>
      <c r="N97" s="47" t="n">
        <f aca="false">IF($J97+$L97=0,,IF($J97&gt;$L97,1,0))</f>
        <v>0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1</v>
      </c>
      <c r="Q97" s="47" t="n">
        <f aca="false">IF($J97+$L97=0,,$J97)</f>
        <v>46</v>
      </c>
      <c r="R97" s="47" t="n">
        <f aca="false">IF($J97+$L97=0,,$L97)</f>
        <v>67</v>
      </c>
      <c r="S97" s="47" t="n">
        <f aca="false">IF($J97+$L97=0,,$J97-$L97)</f>
        <v>-21</v>
      </c>
      <c r="T97" s="47" t="str">
        <f aca="false">IF($D97="","(Squadra B)",$D97)</f>
        <v>Cobra Coraggiosi</v>
      </c>
      <c r="U97" s="47" t="n">
        <f aca="false">IF($J97+$L97=0,,IF($L97&gt;$J97,1,0))</f>
        <v>1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0</v>
      </c>
      <c r="X97" s="47" t="n">
        <f aca="false">IF($J97+$L97=0,,$L97)</f>
        <v>67</v>
      </c>
      <c r="Y97" s="47" t="n">
        <f aca="false">IF($J97+$L97=0,,$J97)</f>
        <v>46</v>
      </c>
      <c r="Z97" s="47" t="n">
        <f aca="false">IF($J97+$L97=0,,$L97-$J97)</f>
        <v>21</v>
      </c>
      <c r="AA97" s="47" t="str">
        <f aca="false">IF($J97+$L97=0,"(Vincente)",IF($J97&gt;$L97,$B97,$D97))</f>
        <v>Cobra Coraggiosi</v>
      </c>
      <c r="AB97" s="47" t="str">
        <f aca="false">IF($J97+$L97=0,"(Perdente)",IF($J97&lt;$L97,$B97,$D97))</f>
        <v>Ippopotami Iracondi</v>
      </c>
    </row>
    <row r="98" customFormat="false" ht="15.75" hidden="false" customHeight="true" outlineLevel="0" collapsed="false">
      <c r="A98" s="41"/>
      <c r="B98" s="48" t="str">
        <f aca="false">IF(I98="","",HYPERLINK(VLOOKUP(I98,areaCampiSquadre,3,FALSE()),VLOOKUP(I98,areaCampiSquadre,2,FALSE())))</f>
        <v>PalaGazzelle, Via dello Sport 7, Gazzelleopoli GE</v>
      </c>
      <c r="C98" s="48"/>
      <c r="D98" s="48"/>
      <c r="E98" s="48"/>
      <c r="F98" s="48"/>
      <c r="G98" s="48"/>
      <c r="H98" s="48"/>
      <c r="I98" s="43" t="s">
        <v>60</v>
      </c>
      <c r="J98" s="45"/>
      <c r="K98" s="45"/>
      <c r="L98" s="45"/>
    </row>
    <row r="99" customFormat="false" ht="12.75" hidden="false" customHeight="true" outlineLevel="0" collapsed="false">
      <c r="A99" s="40" t="s">
        <v>334</v>
      </c>
      <c r="B99" s="40" t="s">
        <v>317</v>
      </c>
      <c r="C99" s="40"/>
      <c r="D99" s="40" t="s">
        <v>324</v>
      </c>
      <c r="E99" s="40"/>
      <c r="F99" s="40" t="s">
        <v>335</v>
      </c>
      <c r="G99" s="40" t="s">
        <v>336</v>
      </c>
      <c r="H99" s="40" t="s">
        <v>337</v>
      </c>
      <c r="I99" s="40"/>
      <c r="J99" s="40" t="s">
        <v>338</v>
      </c>
      <c r="K99" s="40"/>
      <c r="L99" s="40"/>
    </row>
    <row r="100" customFormat="false" ht="24" hidden="false" customHeight="true" outlineLevel="0" collapsed="false">
      <c r="A100" s="41" t="n">
        <f aca="false">MAX(A$10:A99)+1</f>
        <v>27</v>
      </c>
      <c r="B100" s="42" t="str">
        <f aca="false">IF(C100="","",IFERROR(LEFT(VLOOKUP(C100,areaNomiSquadre,2,FALSE()),FIND("-",VLOOKUP(C100,areaNomiSquadre,2,FALSE()))-1),""))</f>
        <v>Delfini Dispettosi</v>
      </c>
      <c r="C100" s="43" t="s">
        <v>54</v>
      </c>
      <c r="D100" s="42" t="str">
        <f aca="false">IF(E100="","",IFERROR(LEFT(VLOOKUP(E100,areaNomiSquadre,2,FALSE()),FIND("-",VLOOKUP(E100,areaNomiSquadre,2,FALSE()))-1),""))</f>
        <v>Gazzelle Gagliarde</v>
      </c>
      <c r="E100" s="43" t="s">
        <v>60</v>
      </c>
      <c r="F100" s="44" t="n">
        <v>46453.625</v>
      </c>
      <c r="G100" s="44"/>
      <c r="H100" s="44"/>
      <c r="I100" s="44"/>
      <c r="J100" s="45" t="n">
        <v>66</v>
      </c>
      <c r="K100" s="46" t="s">
        <v>339</v>
      </c>
      <c r="L100" s="45" t="n">
        <v>50</v>
      </c>
      <c r="M100" s="47" t="str">
        <f aca="false">IF($B100="","(Squadra A)",$B100)</f>
        <v>Delfini Dispettosi</v>
      </c>
      <c r="N100" s="47" t="n">
        <f aca="false">IF($J100+$L100=0,,IF($J100&gt;$L100,1,0))</f>
        <v>1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0</v>
      </c>
      <c r="Q100" s="47" t="n">
        <f aca="false">IF($J100+$L100=0,,$J100)</f>
        <v>66</v>
      </c>
      <c r="R100" s="47" t="n">
        <f aca="false">IF($J100+$L100=0,,$L100)</f>
        <v>50</v>
      </c>
      <c r="S100" s="47" t="n">
        <f aca="false">IF($J100+$L100=0,,$J100-$L100)</f>
        <v>16</v>
      </c>
      <c r="T100" s="47" t="str">
        <f aca="false">IF($D100="","(Squadra B)",$D100)</f>
        <v>Gazzelle Gagliarde</v>
      </c>
      <c r="U100" s="47" t="n">
        <f aca="false">IF($J100+$L100=0,,IF($L100&gt;$J100,1,0))</f>
        <v>0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1</v>
      </c>
      <c r="X100" s="47" t="n">
        <f aca="false">IF($J100+$L100=0,,$L100)</f>
        <v>50</v>
      </c>
      <c r="Y100" s="47" t="n">
        <f aca="false">IF($J100+$L100=0,,$J100)</f>
        <v>66</v>
      </c>
      <c r="Z100" s="47" t="n">
        <f aca="false">IF($J100+$L100=0,,$L100-$J100)</f>
        <v>-16</v>
      </c>
      <c r="AA100" s="47" t="str">
        <f aca="false">IF($J100+$L100=0,"(Vincente)",IF($J100&gt;$L100,$B100,$D100))</f>
        <v>Delfini Dispettosi</v>
      </c>
      <c r="AB100" s="47" t="str">
        <f aca="false">IF($J100+$L100=0,"(Perdente)",IF($J100&lt;$L100,$B100,$D100))</f>
        <v>Gazzelle Gagliarde</v>
      </c>
    </row>
    <row r="101" customFormat="false" ht="15.75" hidden="false" customHeight="true" outlineLevel="0" collapsed="false">
      <c r="A101" s="41"/>
      <c r="B101" s="48" t="str">
        <f aca="false">IF(I101="","",HYPERLINK(VLOOKUP(I101,areaCampiSquadre,3,FALSE()),VLOOKUP(I101,areaCampiSquadre,2,FALSE())))</f>
        <v>PalaGazzelle, Via dello Sport 7, Gazzelleopoli GE</v>
      </c>
      <c r="C101" s="48"/>
      <c r="D101" s="48"/>
      <c r="E101" s="48"/>
      <c r="F101" s="48"/>
      <c r="G101" s="48"/>
      <c r="H101" s="48"/>
      <c r="I101" s="43" t="s">
        <v>60</v>
      </c>
      <c r="J101" s="45"/>
      <c r="K101" s="45"/>
      <c r="L101" s="45"/>
    </row>
    <row r="102" customFormat="false" ht="12.75" hidden="false" customHeight="true" outlineLevel="0" collapsed="false">
      <c r="A102" s="40" t="s">
        <v>334</v>
      </c>
      <c r="B102" s="40" t="s">
        <v>317</v>
      </c>
      <c r="C102" s="40"/>
      <c r="D102" s="40" t="s">
        <v>324</v>
      </c>
      <c r="E102" s="40"/>
      <c r="F102" s="40" t="s">
        <v>335</v>
      </c>
      <c r="G102" s="40" t="s">
        <v>336</v>
      </c>
      <c r="H102" s="40" t="s">
        <v>337</v>
      </c>
      <c r="I102" s="40"/>
      <c r="J102" s="40" t="s">
        <v>338</v>
      </c>
      <c r="K102" s="40"/>
      <c r="L102" s="40"/>
    </row>
    <row r="103" customFormat="false" ht="24" hidden="false" customHeight="true" outlineLevel="0" collapsed="false">
      <c r="A103" s="41" t="n">
        <f aca="false">MAX(A$10:A102)+1</f>
        <v>28</v>
      </c>
      <c r="B103" s="42" t="str">
        <f aca="false">IF(C103="","",IFERROR(LEFT(VLOOKUP(C103,areaNomiSquadre,2,FALSE()),FIND("-",VLOOKUP(C103,areaNomiSquadre,2,FALSE()))-1),""))</f>
        <v>Falchi Furiosi</v>
      </c>
      <c r="C103" s="43" t="s">
        <v>58</v>
      </c>
      <c r="D103" s="42" t="str">
        <f aca="false">IF(E103="","",IFERROR(LEFT(VLOOKUP(E103,areaNomiSquadre,2,FALSE()),FIND("-",VLOOKUP(E103,areaNomiSquadre,2,FALSE()))-1),""))</f>
        <v>Ermellini Eleganti</v>
      </c>
      <c r="E103" s="43" t="s">
        <v>56</v>
      </c>
      <c r="F103" s="44" t="n">
        <v>46453.7083333333</v>
      </c>
      <c r="G103" s="44"/>
      <c r="H103" s="44"/>
      <c r="I103" s="44"/>
      <c r="J103" s="45" t="n">
        <v>66</v>
      </c>
      <c r="K103" s="46" t="s">
        <v>339</v>
      </c>
      <c r="L103" s="45" t="n">
        <v>51</v>
      </c>
      <c r="M103" s="47" t="str">
        <f aca="false">IF($B103="","(Squadra A)",$B103)</f>
        <v>Falchi Furiosi</v>
      </c>
      <c r="N103" s="47" t="n">
        <f aca="false">IF($J103+$L103=0,,IF($J103&gt;$L103,1,0))</f>
        <v>1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0</v>
      </c>
      <c r="Q103" s="47" t="n">
        <f aca="false">IF($J103+$L103=0,,$J103)</f>
        <v>66</v>
      </c>
      <c r="R103" s="47" t="n">
        <f aca="false">IF($J103+$L103=0,,$L103)</f>
        <v>51</v>
      </c>
      <c r="S103" s="47" t="n">
        <f aca="false">IF($J103+$L103=0,,$J103-$L103)</f>
        <v>15</v>
      </c>
      <c r="T103" s="47" t="str">
        <f aca="false">IF($D103="","(Squadra B)",$D103)</f>
        <v>Ermellini Eleganti</v>
      </c>
      <c r="U103" s="47" t="n">
        <f aca="false">IF($J103+$L103=0,,IF($L103&gt;$J103,1,0))</f>
        <v>0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1</v>
      </c>
      <c r="X103" s="47" t="n">
        <f aca="false">IF($J103+$L103=0,,$L103)</f>
        <v>51</v>
      </c>
      <c r="Y103" s="47" t="n">
        <f aca="false">IF($J103+$L103=0,,$J103)</f>
        <v>66</v>
      </c>
      <c r="Z103" s="47" t="n">
        <f aca="false">IF($J103+$L103=0,,$L103-$J103)</f>
        <v>-15</v>
      </c>
      <c r="AA103" s="47" t="str">
        <f aca="false">IF($J103+$L103=0,"(Vincente)",IF($J103&gt;$L103,$B103,$D103))</f>
        <v>Falchi Furiosi</v>
      </c>
      <c r="AB103" s="47" t="str">
        <f aca="false">IF($J103+$L103=0,"(Perdente)",IF($J103&lt;$L103,$B103,$D103))</f>
        <v>Ermellini Eleganti</v>
      </c>
    </row>
    <row r="104" customFormat="false" ht="15.75" hidden="false" customHeight="true" outlineLevel="0" collapsed="false">
      <c r="A104" s="41"/>
      <c r="B104" s="48" t="str">
        <f aca="false">IF(I104="","",HYPERLINK(VLOOKUP(I104,areaCampiSquadre,3,FALSE()),VLOOKUP(I104,areaCampiSquadre,2,FALSE())))</f>
        <v>PalaGazzelle, Via dello Sport 7, Gazzelleopoli GE</v>
      </c>
      <c r="C104" s="48"/>
      <c r="D104" s="48"/>
      <c r="E104" s="48"/>
      <c r="F104" s="48"/>
      <c r="G104" s="48"/>
      <c r="H104" s="48"/>
      <c r="I104" s="43" t="s">
        <v>60</v>
      </c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346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9B4F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>Campionato Baskin Demo - ESEMPIO COMPILATO 64 Squadre</v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50" t="str">
        <f aca="false">"GIRONE B - Stagione "&amp;constStagionaCampionato</f>
        <v>GIRONE B - Stagione 2026/2027</v>
      </c>
      <c r="B3" s="50"/>
      <c r="C3" s="50"/>
      <c r="D3" s="50"/>
    </row>
    <row r="6" customFormat="false" ht="15" hidden="false" customHeight="false" outlineLevel="0" collapsed="false">
      <c r="M6" s="37" t="s">
        <v>317</v>
      </c>
      <c r="N6" s="37" t="s">
        <v>318</v>
      </c>
      <c r="O6" s="37" t="s">
        <v>319</v>
      </c>
      <c r="P6" s="37" t="s">
        <v>320</v>
      </c>
      <c r="Q6" s="37" t="s">
        <v>321</v>
      </c>
      <c r="R6" s="37" t="s">
        <v>322</v>
      </c>
      <c r="S6" s="37" t="s">
        <v>323</v>
      </c>
      <c r="T6" s="37" t="s">
        <v>324</v>
      </c>
      <c r="U6" s="37" t="s">
        <v>325</v>
      </c>
      <c r="V6" s="37" t="s">
        <v>326</v>
      </c>
      <c r="W6" s="37" t="s">
        <v>327</v>
      </c>
      <c r="X6" s="37" t="s">
        <v>328</v>
      </c>
      <c r="Y6" s="37" t="s">
        <v>329</v>
      </c>
      <c r="Z6" s="37" t="s">
        <v>330</v>
      </c>
      <c r="AA6" s="37" t="s">
        <v>331</v>
      </c>
      <c r="AB6" s="37" t="s">
        <v>332</v>
      </c>
    </row>
    <row r="8" customFormat="false" ht="19.5" hidden="false" customHeight="true" outlineLevel="0" collapsed="false">
      <c r="A8" s="51" t="s">
        <v>347</v>
      </c>
      <c r="B8" s="52" t="str">
        <f aca="false">"GIORNATA "&amp;ROMAN(VALUE(LEFT(A8,LEN(A8)-1)))&amp;" - GIRONE "&amp;RIGHT(A8,1)</f>
        <v>GIORNATA I - GIRONE B</v>
      </c>
      <c r="C8" s="52"/>
      <c r="D8" s="52"/>
      <c r="E8" s="52"/>
      <c r="F8" s="52"/>
      <c r="G8" s="52"/>
      <c r="H8" s="52"/>
      <c r="I8" s="52"/>
      <c r="J8" s="52"/>
      <c r="K8" s="52"/>
      <c r="L8" s="52"/>
    </row>
    <row r="9" customFormat="false" ht="12.75" hidden="false" customHeight="true" outlineLevel="0" collapsed="false">
      <c r="A9" s="53" t="s">
        <v>334</v>
      </c>
      <c r="B9" s="53" t="s">
        <v>317</v>
      </c>
      <c r="C9" s="53"/>
      <c r="D9" s="53" t="s">
        <v>324</v>
      </c>
      <c r="E9" s="53"/>
      <c r="F9" s="53" t="s">
        <v>335</v>
      </c>
      <c r="G9" s="53" t="s">
        <v>336</v>
      </c>
      <c r="H9" s="53" t="s">
        <v>337</v>
      </c>
      <c r="I9" s="53"/>
      <c r="J9" s="53" t="s">
        <v>338</v>
      </c>
      <c r="K9" s="53"/>
      <c r="L9" s="53"/>
    </row>
    <row r="10" customFormat="false" ht="24" hidden="false" customHeight="true" outlineLevel="0" collapsed="false">
      <c r="A10" s="54" t="n">
        <v>29</v>
      </c>
      <c r="B10" s="42" t="str">
        <f aca="false">IF(C10="","",IFERROR(LEFT(VLOOKUP(C10,areaNomiSquadre,2,FALSE()),FIND("-",VLOOKUP(C10,areaNomiSquadre,2,FALSE()))-1),""))</f>
        <v>Lupi Lucenti</v>
      </c>
      <c r="C10" s="43" t="s">
        <v>64</v>
      </c>
      <c r="D10" s="42" t="str">
        <f aca="false">IF(E10="","",IFERROR(LEFT(VLOOKUP(E10,areaNomiSquadre,2,FALSE()),FIND("-",VLOOKUP(E10,areaNomiSquadre,2,FALSE()))-1),""))</f>
        <v>Salamandre Scaltre</v>
      </c>
      <c r="E10" s="43" t="s">
        <v>79</v>
      </c>
      <c r="F10" s="44" t="n">
        <v>46313.3958333333</v>
      </c>
      <c r="G10" s="44"/>
      <c r="H10" s="44"/>
      <c r="I10" s="44"/>
      <c r="J10" s="45" t="n">
        <v>70</v>
      </c>
      <c r="K10" s="46" t="s">
        <v>339</v>
      </c>
      <c r="L10" s="45" t="n">
        <v>55</v>
      </c>
      <c r="M10" s="47" t="str">
        <f aca="false">IF($B10="","(Squadra A)",$B10)</f>
        <v>Lupi Lucenti</v>
      </c>
      <c r="N10" s="47" t="n">
        <f aca="false">IF($J10+$L10=0,,IF($J10&gt;$L10,1,0))</f>
        <v>1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70</v>
      </c>
      <c r="R10" s="47" t="n">
        <f aca="false">IF($J10+$L10=0,,$L10)</f>
        <v>55</v>
      </c>
      <c r="S10" s="47" t="n">
        <f aca="false">IF($J10+$L10=0,,$J10-$L10)</f>
        <v>15</v>
      </c>
      <c r="T10" s="47" t="str">
        <f aca="false">IF($D10="","(Squadra B)",$D10)</f>
        <v>Salamandre Scaltre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1</v>
      </c>
      <c r="X10" s="47" t="n">
        <f aca="false">IF($J10+$L10=0,,$L10)</f>
        <v>55</v>
      </c>
      <c r="Y10" s="47" t="n">
        <f aca="false">IF($J10+$L10=0,,$J10)</f>
        <v>70</v>
      </c>
      <c r="Z10" s="47" t="n">
        <f aca="false">IF($J10+$L10=0,,$L10-$J10)</f>
        <v>-15</v>
      </c>
      <c r="AA10" s="47" t="str">
        <f aca="false">IF($J10+$L10=0,"(Vincente)",IF($J10&gt;$L10,$B10,$D10))</f>
        <v>Lupi Lucenti</v>
      </c>
      <c r="AB10" s="47" t="str">
        <f aca="false">IF($J10+$L10=0,"(Perdente)",IF($J10&lt;$L10,$B10,$D10))</f>
        <v>Salamandre Scaltre</v>
      </c>
    </row>
    <row r="11" customFormat="false" ht="15.75" hidden="false" customHeight="true" outlineLevel="0" collapsed="false">
      <c r="A11" s="54"/>
      <c r="B11" s="48" t="str">
        <f aca="false">IF(I11="","",HYPERLINK(VLOOKUP(I11,areaCampiSquadre,3,FALSE()),VLOOKUP(I11,areaCampiSquadre,2,FALSE())))</f>
        <v>PalaLupi, Via dello Sport 9, Lupiopoli LI</v>
      </c>
      <c r="C11" s="48"/>
      <c r="D11" s="48"/>
      <c r="E11" s="48"/>
      <c r="F11" s="48"/>
      <c r="G11" s="48"/>
      <c r="H11" s="48"/>
      <c r="I11" s="43" t="s">
        <v>64</v>
      </c>
      <c r="J11" s="45"/>
      <c r="K11" s="45"/>
      <c r="L11" s="45"/>
    </row>
    <row r="12" customFormat="false" ht="12.75" hidden="false" customHeight="true" outlineLevel="0" collapsed="false">
      <c r="A12" s="53" t="s">
        <v>334</v>
      </c>
      <c r="B12" s="53" t="s">
        <v>317</v>
      </c>
      <c r="C12" s="53"/>
      <c r="D12" s="53" t="s">
        <v>324</v>
      </c>
      <c r="E12" s="53"/>
      <c r="F12" s="53" t="s">
        <v>335</v>
      </c>
      <c r="G12" s="53" t="s">
        <v>336</v>
      </c>
      <c r="H12" s="53" t="s">
        <v>337</v>
      </c>
      <c r="I12" s="53"/>
      <c r="J12" s="53" t="s">
        <v>338</v>
      </c>
      <c r="K12" s="53"/>
      <c r="L12" s="53"/>
    </row>
    <row r="13" customFormat="false" ht="24" hidden="false" customHeight="true" outlineLevel="0" collapsed="false">
      <c r="A13" s="54" t="n">
        <f aca="false">MAX(A$10:A12)+1</f>
        <v>30</v>
      </c>
      <c r="B13" s="42" t="str">
        <f aca="false">IF(C13="","",IFERROR(LEFT(VLOOKUP(C13,areaNomiSquadre,2,FALSE()),FIND("-",VLOOKUP(C13,areaNomiSquadre,2,FALSE()))-1),""))</f>
        <v>Rinoceronti Ribelli</v>
      </c>
      <c r="C13" s="43" t="s">
        <v>77</v>
      </c>
      <c r="D13" s="42" t="str">
        <f aca="false">IF(E13="","",IFERROR(LEFT(VLOOKUP(E13,areaNomiSquadre,2,FALSE()),FIND("-",VLOOKUP(E13,areaNomiSquadre,2,FALSE()))-1),""))</f>
        <v>Marmotte Maldestre</v>
      </c>
      <c r="E13" s="43" t="s">
        <v>67</v>
      </c>
      <c r="F13" s="44" t="n">
        <v>46313.4791666667</v>
      </c>
      <c r="G13" s="44"/>
      <c r="H13" s="44"/>
      <c r="I13" s="44"/>
      <c r="J13" s="45" t="n">
        <v>50</v>
      </c>
      <c r="K13" s="46" t="s">
        <v>339</v>
      </c>
      <c r="L13" s="45" t="n">
        <v>71</v>
      </c>
      <c r="M13" s="47" t="str">
        <f aca="false">IF($B13="","(Squadra A)",$B13)</f>
        <v>Rinoceronti Ribelli</v>
      </c>
      <c r="N13" s="47" t="n">
        <f aca="false">IF($J13+$L13=0,,IF($J13&gt;$L13,1,0))</f>
        <v>0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1</v>
      </c>
      <c r="Q13" s="47" t="n">
        <f aca="false">IF($J13+$L13=0,,$J13)</f>
        <v>50</v>
      </c>
      <c r="R13" s="47" t="n">
        <f aca="false">IF($J13+$L13=0,,$L13)</f>
        <v>71</v>
      </c>
      <c r="S13" s="47" t="n">
        <f aca="false">IF($J13+$L13=0,,$J13-$L13)</f>
        <v>-21</v>
      </c>
      <c r="T13" s="47" t="str">
        <f aca="false">IF($D13="","(Squadra B)",$D13)</f>
        <v>Marmotte Maldestre</v>
      </c>
      <c r="U13" s="47" t="n">
        <f aca="false">IF($J13+$L13=0,,IF($L13&gt;$J13,1,0))</f>
        <v>1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0</v>
      </c>
      <c r="X13" s="47" t="n">
        <f aca="false">IF($J13+$L13=0,,$L13)</f>
        <v>71</v>
      </c>
      <c r="Y13" s="47" t="n">
        <f aca="false">IF($J13+$L13=0,,$J13)</f>
        <v>50</v>
      </c>
      <c r="Z13" s="47" t="n">
        <f aca="false">IF($J13+$L13=0,,$L13-$J13)</f>
        <v>21</v>
      </c>
      <c r="AA13" s="47" t="str">
        <f aca="false">IF($J13+$L13=0,"(Vincente)",IF($J13&gt;$L13,$B13,$D13))</f>
        <v>Marmotte Maldestre</v>
      </c>
      <c r="AB13" s="47" t="str">
        <f aca="false">IF($J13+$L13=0,"(Perdente)",IF($J13&lt;$L13,$B13,$D13))</f>
        <v>Rinoceronti Ribelli</v>
      </c>
    </row>
    <row r="14" customFormat="false" ht="15.75" hidden="false" customHeight="true" outlineLevel="0" collapsed="false">
      <c r="A14" s="54"/>
      <c r="B14" s="48" t="str">
        <f aca="false">IF(I14="","",HYPERLINK(VLOOKUP(I14,areaCampiSquadre,3,FALSE()),VLOOKUP(I14,areaCampiSquadre,2,FALSE())))</f>
        <v>PalaLupi, Via dello Sport 9, Lupiopoli LI</v>
      </c>
      <c r="C14" s="48"/>
      <c r="D14" s="48"/>
      <c r="E14" s="48"/>
      <c r="F14" s="48"/>
      <c r="G14" s="48"/>
      <c r="H14" s="48"/>
      <c r="I14" s="43" t="s">
        <v>64</v>
      </c>
      <c r="J14" s="45"/>
      <c r="K14" s="45"/>
      <c r="L14" s="45"/>
    </row>
    <row r="15" customFormat="false" ht="12.75" hidden="false" customHeight="true" outlineLevel="0" collapsed="false">
      <c r="A15" s="53" t="s">
        <v>334</v>
      </c>
      <c r="B15" s="53" t="s">
        <v>317</v>
      </c>
      <c r="C15" s="53"/>
      <c r="D15" s="53" t="s">
        <v>324</v>
      </c>
      <c r="E15" s="53"/>
      <c r="F15" s="53" t="s">
        <v>335</v>
      </c>
      <c r="G15" s="53" t="s">
        <v>336</v>
      </c>
      <c r="H15" s="53" t="s">
        <v>337</v>
      </c>
      <c r="I15" s="53"/>
      <c r="J15" s="53" t="s">
        <v>338</v>
      </c>
      <c r="K15" s="53"/>
      <c r="L15" s="53"/>
    </row>
    <row r="16" customFormat="false" ht="24" hidden="false" customHeight="true" outlineLevel="0" collapsed="false">
      <c r="A16" s="54" t="n">
        <f aca="false">MAX(A$10:A15)+1</f>
        <v>31</v>
      </c>
      <c r="B16" s="42" t="str">
        <f aca="false">IF(C16="","",IFERROR(LEFT(VLOOKUP(C16,areaNomiSquadre,2,FALSE()),FIND("-",VLOOKUP(C16,areaNomiSquadre,2,FALSE()))-1),""))</f>
        <v>Narvali Nobili</v>
      </c>
      <c r="C16" s="43" t="s">
        <v>69</v>
      </c>
      <c r="D16" s="42" t="str">
        <f aca="false">IF(E16="","",IFERROR(LEFT(VLOOKUP(E16,areaNomiSquadre,2,FALSE()),FIND("-",VLOOKUP(E16,areaNomiSquadre,2,FALSE()))-1),""))</f>
        <v>Quaglie Quiete</v>
      </c>
      <c r="E16" s="43" t="s">
        <v>75</v>
      </c>
      <c r="F16" s="44" t="n">
        <v>46313.625</v>
      </c>
      <c r="G16" s="44"/>
      <c r="H16" s="44"/>
      <c r="I16" s="44"/>
      <c r="J16" s="45" t="n">
        <v>69</v>
      </c>
      <c r="K16" s="46" t="s">
        <v>339</v>
      </c>
      <c r="L16" s="45" t="n">
        <v>70</v>
      </c>
      <c r="M16" s="47" t="str">
        <f aca="false">IF($B16="","(Squadra A)",$B16)</f>
        <v>Narvali Nobili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1</v>
      </c>
      <c r="Q16" s="47" t="n">
        <f aca="false">IF($J16+$L16=0,,$J16)</f>
        <v>69</v>
      </c>
      <c r="R16" s="47" t="n">
        <f aca="false">IF($J16+$L16=0,,$L16)</f>
        <v>70</v>
      </c>
      <c r="S16" s="47" t="n">
        <f aca="false">IF($J16+$L16=0,,$J16-$L16)</f>
        <v>-1</v>
      </c>
      <c r="T16" s="47" t="str">
        <f aca="false">IF($D16="","(Squadra B)",$D16)</f>
        <v>Quaglie Quiete</v>
      </c>
      <c r="U16" s="47" t="n">
        <f aca="false">IF($J16+$L16=0,,IF($L16&gt;$J16,1,0))</f>
        <v>1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70</v>
      </c>
      <c r="Y16" s="47" t="n">
        <f aca="false">IF($J16+$L16=0,,$J16)</f>
        <v>69</v>
      </c>
      <c r="Z16" s="47" t="n">
        <f aca="false">IF($J16+$L16=0,,$L16-$J16)</f>
        <v>1</v>
      </c>
      <c r="AA16" s="47" t="str">
        <f aca="false">IF($J16+$L16=0,"(Vincente)",IF($J16&gt;$L16,$B16,$D16))</f>
        <v>Quaglie Quiete</v>
      </c>
      <c r="AB16" s="47" t="str">
        <f aca="false">IF($J16+$L16=0,"(Perdente)",IF($J16&lt;$L16,$B16,$D16))</f>
        <v>Narvali Nobili</v>
      </c>
    </row>
    <row r="17" customFormat="false" ht="15.75" hidden="false" customHeight="true" outlineLevel="0" collapsed="false">
      <c r="A17" s="54"/>
      <c r="B17" s="48" t="str">
        <f aca="false">IF(I17="","",HYPERLINK(VLOOKUP(I17,areaCampiSquadre,3,FALSE()),VLOOKUP(I17,areaCampiSquadre,2,FALSE())))</f>
        <v>PalaLupi, Via dello Sport 9, Lupiopoli LI</v>
      </c>
      <c r="C17" s="48"/>
      <c r="D17" s="48"/>
      <c r="E17" s="48"/>
      <c r="F17" s="48"/>
      <c r="G17" s="48"/>
      <c r="H17" s="48"/>
      <c r="I17" s="43" t="s">
        <v>64</v>
      </c>
      <c r="J17" s="45"/>
      <c r="K17" s="45"/>
      <c r="L17" s="45"/>
    </row>
    <row r="18" customFormat="false" ht="12.75" hidden="false" customHeight="true" outlineLevel="0" collapsed="false">
      <c r="A18" s="53" t="s">
        <v>334</v>
      </c>
      <c r="B18" s="53" t="s">
        <v>317</v>
      </c>
      <c r="C18" s="53"/>
      <c r="D18" s="53" t="s">
        <v>324</v>
      </c>
      <c r="E18" s="53"/>
      <c r="F18" s="53" t="s">
        <v>335</v>
      </c>
      <c r="G18" s="53" t="s">
        <v>336</v>
      </c>
      <c r="H18" s="53" t="s">
        <v>337</v>
      </c>
      <c r="I18" s="53"/>
      <c r="J18" s="53" t="s">
        <v>338</v>
      </c>
      <c r="K18" s="53"/>
      <c r="L18" s="53"/>
    </row>
    <row r="19" customFormat="false" ht="24" hidden="false" customHeight="true" outlineLevel="0" collapsed="false">
      <c r="A19" s="54" t="n">
        <f aca="false">MAX(A$10:A18)+1</f>
        <v>32</v>
      </c>
      <c r="B19" s="42" t="str">
        <f aca="false">IF(C19="","",IFERROR(LEFT(VLOOKUP(C19,areaNomiSquadre,2,FALSE()),FIND("-",VLOOKUP(C19,areaNomiSquadre,2,FALSE()))-1),""))</f>
        <v>Pantere Pungenti</v>
      </c>
      <c r="C19" s="43" t="s">
        <v>73</v>
      </c>
      <c r="D19" s="42" t="str">
        <f aca="false">IF(E19="","",IFERROR(LEFT(VLOOKUP(E19,areaNomiSquadre,2,FALSE()),FIND("-",VLOOKUP(E19,areaNomiSquadre,2,FALSE()))-1),""))</f>
        <v>Orsi Ostinati</v>
      </c>
      <c r="E19" s="43" t="s">
        <v>71</v>
      </c>
      <c r="F19" s="44" t="n">
        <v>46313.7083333333</v>
      </c>
      <c r="G19" s="44"/>
      <c r="H19" s="44"/>
      <c r="I19" s="44"/>
      <c r="J19" s="45" t="n">
        <v>83</v>
      </c>
      <c r="K19" s="46" t="s">
        <v>339</v>
      </c>
      <c r="L19" s="45" t="n">
        <v>56</v>
      </c>
      <c r="M19" s="47" t="str">
        <f aca="false">IF($B19="","(Squadra A)",$B19)</f>
        <v>Pantere Pungenti</v>
      </c>
      <c r="N19" s="47" t="n">
        <f aca="false">IF($J19+$L19=0,,IF($J19&gt;$L19,1,0))</f>
        <v>1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83</v>
      </c>
      <c r="R19" s="47" t="n">
        <f aca="false">IF($J19+$L19=0,,$L19)</f>
        <v>56</v>
      </c>
      <c r="S19" s="47" t="n">
        <f aca="false">IF($J19+$L19=0,,$J19-$L19)</f>
        <v>27</v>
      </c>
      <c r="T19" s="47" t="str">
        <f aca="false">IF($D19="","(Squadra B)",$D19)</f>
        <v>Orsi Ostinati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1</v>
      </c>
      <c r="X19" s="47" t="n">
        <f aca="false">IF($J19+$L19=0,,$L19)</f>
        <v>56</v>
      </c>
      <c r="Y19" s="47" t="n">
        <f aca="false">IF($J19+$L19=0,,$J19)</f>
        <v>83</v>
      </c>
      <c r="Z19" s="47" t="n">
        <f aca="false">IF($J19+$L19=0,,$L19-$J19)</f>
        <v>-27</v>
      </c>
      <c r="AA19" s="47" t="str">
        <f aca="false">IF($J19+$L19=0,"(Vincente)",IF($J19&gt;$L19,$B19,$D19))</f>
        <v>Pantere Pungenti</v>
      </c>
      <c r="AB19" s="47" t="str">
        <f aca="false">IF($J19+$L19=0,"(Perdente)",IF($J19&lt;$L19,$B19,$D19))</f>
        <v>Orsi Ostinati</v>
      </c>
    </row>
    <row r="20" customFormat="false" ht="15.75" hidden="false" customHeight="true" outlineLevel="0" collapsed="false">
      <c r="A20" s="54"/>
      <c r="B20" s="48" t="str">
        <f aca="false">IF(I20="","",HYPERLINK(VLOOKUP(I20,areaCampiSquadre,3,FALSE()),VLOOKUP(I20,areaCampiSquadre,2,FALSE())))</f>
        <v>PalaLupi, Via dello Sport 9, Lupiopoli LI</v>
      </c>
      <c r="C20" s="48"/>
      <c r="D20" s="48"/>
      <c r="E20" s="48"/>
      <c r="F20" s="48"/>
      <c r="G20" s="48"/>
      <c r="H20" s="48"/>
      <c r="I20" s="43" t="s">
        <v>64</v>
      </c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51" t="s">
        <v>348</v>
      </c>
      <c r="B22" s="52" t="str">
        <f aca="false">"GIORNATA "&amp;ROMAN(VALUE(LEFT(A22,LEN(A22)-1)))&amp;" - GIRONE "&amp;RIGHT(A22,1)</f>
        <v>GIORNATA II - GIRONE B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</row>
    <row r="23" customFormat="false" ht="12.75" hidden="false" customHeight="true" outlineLevel="0" collapsed="false">
      <c r="A23" s="53" t="s">
        <v>334</v>
      </c>
      <c r="B23" s="53" t="s">
        <v>317</v>
      </c>
      <c r="C23" s="53"/>
      <c r="D23" s="53" t="s">
        <v>324</v>
      </c>
      <c r="E23" s="53"/>
      <c r="F23" s="53" t="s">
        <v>335</v>
      </c>
      <c r="G23" s="53" t="s">
        <v>336</v>
      </c>
      <c r="H23" s="53" t="s">
        <v>337</v>
      </c>
      <c r="I23" s="53"/>
      <c r="J23" s="53" t="s">
        <v>338</v>
      </c>
      <c r="K23" s="53"/>
      <c r="L23" s="53"/>
    </row>
    <row r="24" customFormat="false" ht="24" hidden="false" customHeight="true" outlineLevel="0" collapsed="false">
      <c r="A24" s="54" t="n">
        <f aca="false">MAX(A$10:A23)+1</f>
        <v>33</v>
      </c>
      <c r="B24" s="42" t="str">
        <f aca="false">IF(C24="","",IFERROR(LEFT(VLOOKUP(C24,areaNomiSquadre,2,FALSE()),FIND("-",VLOOKUP(C24,areaNomiSquadre,2,FALSE()))-1),""))</f>
        <v>Rinoceronti Ribelli</v>
      </c>
      <c r="C24" s="43" t="s">
        <v>77</v>
      </c>
      <c r="D24" s="42" t="str">
        <f aca="false">IF(E24="","",IFERROR(LEFT(VLOOKUP(E24,areaNomiSquadre,2,FALSE()),FIND("-",VLOOKUP(E24,areaNomiSquadre,2,FALSE()))-1),""))</f>
        <v>Lupi Lucenti</v>
      </c>
      <c r="E24" s="43" t="s">
        <v>64</v>
      </c>
      <c r="F24" s="44" t="n">
        <v>46334.3958333333</v>
      </c>
      <c r="G24" s="44"/>
      <c r="H24" s="44"/>
      <c r="I24" s="44"/>
      <c r="J24" s="45" t="n">
        <v>74</v>
      </c>
      <c r="K24" s="46" t="s">
        <v>339</v>
      </c>
      <c r="L24" s="45" t="n">
        <v>61</v>
      </c>
      <c r="M24" s="47" t="str">
        <f aca="false">IF($B24="","(Squadra A)",$B24)</f>
        <v>Rinoceronti Ribelli</v>
      </c>
      <c r="N24" s="47" t="n">
        <f aca="false">IF($J24+$L24=0,,IF($J24&gt;$L24,1,0))</f>
        <v>1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0</v>
      </c>
      <c r="Q24" s="47" t="n">
        <f aca="false">IF($J24+$L24=0,,$J24)</f>
        <v>74</v>
      </c>
      <c r="R24" s="47" t="n">
        <f aca="false">IF($J24+$L24=0,,$L24)</f>
        <v>61</v>
      </c>
      <c r="S24" s="47" t="n">
        <f aca="false">IF($J24+$L24=0,,$J24-$L24)</f>
        <v>13</v>
      </c>
      <c r="T24" s="47" t="str">
        <f aca="false">IF($D24="","(Squadra B)",$D24)</f>
        <v>Lupi Lucenti</v>
      </c>
      <c r="U24" s="47" t="n">
        <f aca="false">IF($J24+$L24=0,,IF($L24&gt;$J24,1,0))</f>
        <v>0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1</v>
      </c>
      <c r="X24" s="47" t="n">
        <f aca="false">IF($J24+$L24=0,,$L24)</f>
        <v>61</v>
      </c>
      <c r="Y24" s="47" t="n">
        <f aca="false">IF($J24+$L24=0,,$J24)</f>
        <v>74</v>
      </c>
      <c r="Z24" s="47" t="n">
        <f aca="false">IF($J24+$L24=0,,$L24-$J24)</f>
        <v>-13</v>
      </c>
      <c r="AA24" s="47" t="str">
        <f aca="false">IF($J24+$L24=0,"(Vincente)",IF($J24&gt;$L24,$B24,$D24))</f>
        <v>Rinoceronti Ribelli</v>
      </c>
      <c r="AB24" s="47" t="str">
        <f aca="false">IF($J24+$L24=0,"(Perdente)",IF($J24&lt;$L24,$B24,$D24))</f>
        <v>Lupi Lucenti</v>
      </c>
    </row>
    <row r="25" customFormat="false" ht="15.75" hidden="false" customHeight="true" outlineLevel="0" collapsed="false">
      <c r="A25" s="54"/>
      <c r="B25" s="48" t="str">
        <f aca="false">IF(I25="","",HYPERLINK(VLOOKUP(I25,areaCampiSquadre,3,FALSE()),VLOOKUP(I25,areaCampiSquadre,2,FALSE())))</f>
        <v>PalaMarmotte, Via dello Sport 10, Marmotteopoli ME</v>
      </c>
      <c r="C25" s="48"/>
      <c r="D25" s="48"/>
      <c r="E25" s="48"/>
      <c r="F25" s="48"/>
      <c r="G25" s="48"/>
      <c r="H25" s="48"/>
      <c r="I25" s="43" t="s">
        <v>67</v>
      </c>
      <c r="J25" s="45"/>
      <c r="K25" s="45"/>
      <c r="L25" s="45"/>
    </row>
    <row r="26" customFormat="false" ht="12.75" hidden="false" customHeight="true" outlineLevel="0" collapsed="false">
      <c r="A26" s="53" t="s">
        <v>334</v>
      </c>
      <c r="B26" s="53" t="s">
        <v>317</v>
      </c>
      <c r="C26" s="53"/>
      <c r="D26" s="53" t="s">
        <v>324</v>
      </c>
      <c r="E26" s="53"/>
      <c r="F26" s="53" t="s">
        <v>335</v>
      </c>
      <c r="G26" s="53" t="s">
        <v>336</v>
      </c>
      <c r="H26" s="53" t="s">
        <v>337</v>
      </c>
      <c r="I26" s="53"/>
      <c r="J26" s="53" t="s">
        <v>338</v>
      </c>
      <c r="K26" s="53"/>
      <c r="L26" s="53"/>
    </row>
    <row r="27" customFormat="false" ht="24" hidden="false" customHeight="true" outlineLevel="0" collapsed="false">
      <c r="A27" s="54" t="n">
        <f aca="false">MAX(A$10:A26)+1</f>
        <v>34</v>
      </c>
      <c r="B27" s="42" t="str">
        <f aca="false">IF(C27="","",IFERROR(LEFT(VLOOKUP(C27,areaNomiSquadre,2,FALSE()),FIND("-",VLOOKUP(C27,areaNomiSquadre,2,FALSE()))-1),""))</f>
        <v>Salamandre Scaltre</v>
      </c>
      <c r="C27" s="43" t="s">
        <v>79</v>
      </c>
      <c r="D27" s="42" t="str">
        <f aca="false">IF(E27="","",IFERROR(LEFT(VLOOKUP(E27,areaNomiSquadre,2,FALSE()),FIND("-",VLOOKUP(E27,areaNomiSquadre,2,FALSE()))-1),""))</f>
        <v>Quaglie Quiete</v>
      </c>
      <c r="E27" s="43" t="s">
        <v>75</v>
      </c>
      <c r="F27" s="44" t="n">
        <v>46334.4791666667</v>
      </c>
      <c r="G27" s="44"/>
      <c r="H27" s="44"/>
      <c r="I27" s="44"/>
      <c r="J27" s="45" t="n">
        <v>52</v>
      </c>
      <c r="K27" s="46" t="s">
        <v>339</v>
      </c>
      <c r="L27" s="45" t="n">
        <v>57</v>
      </c>
      <c r="M27" s="47" t="str">
        <f aca="false">IF($B27="","(Squadra A)",$B27)</f>
        <v>Salamandre Scaltre</v>
      </c>
      <c r="N27" s="47" t="n">
        <f aca="false">IF($J27+$L27=0,,IF($J27&gt;$L27,1,0))</f>
        <v>0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1</v>
      </c>
      <c r="Q27" s="47" t="n">
        <f aca="false">IF($J27+$L27=0,,$J27)</f>
        <v>52</v>
      </c>
      <c r="R27" s="47" t="n">
        <f aca="false">IF($J27+$L27=0,,$L27)</f>
        <v>57</v>
      </c>
      <c r="S27" s="47" t="n">
        <f aca="false">IF($J27+$L27=0,,$J27-$L27)</f>
        <v>-5</v>
      </c>
      <c r="T27" s="47" t="str">
        <f aca="false">IF($D27="","(Squadra B)",$D27)</f>
        <v>Quaglie Quiete</v>
      </c>
      <c r="U27" s="47" t="n">
        <f aca="false">IF($J27+$L27=0,,IF($L27&gt;$J27,1,0))</f>
        <v>1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0</v>
      </c>
      <c r="X27" s="47" t="n">
        <f aca="false">IF($J27+$L27=0,,$L27)</f>
        <v>57</v>
      </c>
      <c r="Y27" s="47" t="n">
        <f aca="false">IF($J27+$L27=0,,$J27)</f>
        <v>52</v>
      </c>
      <c r="Z27" s="47" t="n">
        <f aca="false">IF($J27+$L27=0,,$L27-$J27)</f>
        <v>5</v>
      </c>
      <c r="AA27" s="47" t="str">
        <f aca="false">IF($J27+$L27=0,"(Vincente)",IF($J27&gt;$L27,$B27,$D27))</f>
        <v>Quaglie Quiete</v>
      </c>
      <c r="AB27" s="47" t="str">
        <f aca="false">IF($J27+$L27=0,"(Perdente)",IF($J27&lt;$L27,$B27,$D27))</f>
        <v>Salamandre Scaltre</v>
      </c>
    </row>
    <row r="28" customFormat="false" ht="15.75" hidden="false" customHeight="true" outlineLevel="0" collapsed="false">
      <c r="A28" s="54"/>
      <c r="B28" s="48" t="str">
        <f aca="false">IF(I28="","",HYPERLINK(VLOOKUP(I28,areaCampiSquadre,3,FALSE()),VLOOKUP(I28,areaCampiSquadre,2,FALSE())))</f>
        <v>PalaMarmotte, Via dello Sport 10, Marmotteopoli ME</v>
      </c>
      <c r="C28" s="48"/>
      <c r="D28" s="48"/>
      <c r="E28" s="48"/>
      <c r="F28" s="48"/>
      <c r="G28" s="48"/>
      <c r="H28" s="48"/>
      <c r="I28" s="43" t="s">
        <v>67</v>
      </c>
      <c r="J28" s="45"/>
      <c r="K28" s="45"/>
      <c r="L28" s="45"/>
    </row>
    <row r="29" customFormat="false" ht="12.75" hidden="false" customHeight="true" outlineLevel="0" collapsed="false">
      <c r="A29" s="53" t="s">
        <v>334</v>
      </c>
      <c r="B29" s="53" t="s">
        <v>317</v>
      </c>
      <c r="C29" s="53"/>
      <c r="D29" s="53" t="s">
        <v>324</v>
      </c>
      <c r="E29" s="53"/>
      <c r="F29" s="53" t="s">
        <v>335</v>
      </c>
      <c r="G29" s="53" t="s">
        <v>336</v>
      </c>
      <c r="H29" s="53" t="s">
        <v>337</v>
      </c>
      <c r="I29" s="53"/>
      <c r="J29" s="53" t="s">
        <v>338</v>
      </c>
      <c r="K29" s="53"/>
      <c r="L29" s="53"/>
    </row>
    <row r="30" customFormat="false" ht="24" hidden="false" customHeight="true" outlineLevel="0" collapsed="false">
      <c r="A30" s="54" t="n">
        <f aca="false">MAX(A$10:A29)+1</f>
        <v>35</v>
      </c>
      <c r="B30" s="42" t="str">
        <f aca="false">IF(C30="","",IFERROR(LEFT(VLOOKUP(C30,areaNomiSquadre,2,FALSE()),FIND("-",VLOOKUP(C30,areaNomiSquadre,2,FALSE()))-1),""))</f>
        <v>Pantere Pungenti</v>
      </c>
      <c r="C30" s="43" t="s">
        <v>73</v>
      </c>
      <c r="D30" s="42" t="str">
        <f aca="false">IF(E30="","",IFERROR(LEFT(VLOOKUP(E30,areaNomiSquadre,2,FALSE()),FIND("-",VLOOKUP(E30,areaNomiSquadre,2,FALSE()))-1),""))</f>
        <v>Marmotte Maldestre</v>
      </c>
      <c r="E30" s="43" t="s">
        <v>67</v>
      </c>
      <c r="F30" s="44" t="n">
        <v>46334.625</v>
      </c>
      <c r="G30" s="44"/>
      <c r="H30" s="44"/>
      <c r="I30" s="44"/>
      <c r="J30" s="45" t="n">
        <v>48</v>
      </c>
      <c r="K30" s="46" t="s">
        <v>339</v>
      </c>
      <c r="L30" s="45" t="n">
        <v>71</v>
      </c>
      <c r="M30" s="47" t="str">
        <f aca="false">IF($B30="","(Squadra A)",$B30)</f>
        <v>Pantere Pungenti</v>
      </c>
      <c r="N30" s="47" t="n">
        <f aca="false">IF($J30+$L30=0,,IF($J30&gt;$L30,1,0))</f>
        <v>0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1</v>
      </c>
      <c r="Q30" s="47" t="n">
        <f aca="false">IF($J30+$L30=0,,$J30)</f>
        <v>48</v>
      </c>
      <c r="R30" s="47" t="n">
        <f aca="false">IF($J30+$L30=0,,$L30)</f>
        <v>71</v>
      </c>
      <c r="S30" s="47" t="n">
        <f aca="false">IF($J30+$L30=0,,$J30-$L30)</f>
        <v>-23</v>
      </c>
      <c r="T30" s="47" t="str">
        <f aca="false">IF($D30="","(Squadra B)",$D30)</f>
        <v>Marmotte Maldestre</v>
      </c>
      <c r="U30" s="47" t="n">
        <f aca="false">IF($J30+$L30=0,,IF($L30&gt;$J30,1,0))</f>
        <v>1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0</v>
      </c>
      <c r="X30" s="47" t="n">
        <f aca="false">IF($J30+$L30=0,,$L30)</f>
        <v>71</v>
      </c>
      <c r="Y30" s="47" t="n">
        <f aca="false">IF($J30+$L30=0,,$J30)</f>
        <v>48</v>
      </c>
      <c r="Z30" s="47" t="n">
        <f aca="false">IF($J30+$L30=0,,$L30-$J30)</f>
        <v>23</v>
      </c>
      <c r="AA30" s="47" t="str">
        <f aca="false">IF($J30+$L30=0,"(Vincente)",IF($J30&gt;$L30,$B30,$D30))</f>
        <v>Marmotte Maldestre</v>
      </c>
      <c r="AB30" s="47" t="str">
        <f aca="false">IF($J30+$L30=0,"(Perdente)",IF($J30&lt;$L30,$B30,$D30))</f>
        <v>Pantere Pungenti</v>
      </c>
    </row>
    <row r="31" customFormat="false" ht="15.75" hidden="false" customHeight="true" outlineLevel="0" collapsed="false">
      <c r="A31" s="54"/>
      <c r="B31" s="48" t="str">
        <f aca="false">IF(I31="","",HYPERLINK(VLOOKUP(I31,areaCampiSquadre,3,FALSE()),VLOOKUP(I31,areaCampiSquadre,2,FALSE())))</f>
        <v>PalaMarmotte, Via dello Sport 10, Marmotteopoli ME</v>
      </c>
      <c r="C31" s="48"/>
      <c r="D31" s="48"/>
      <c r="E31" s="48"/>
      <c r="F31" s="48"/>
      <c r="G31" s="48"/>
      <c r="H31" s="48"/>
      <c r="I31" s="43" t="s">
        <v>67</v>
      </c>
      <c r="J31" s="45"/>
      <c r="K31" s="45"/>
      <c r="L31" s="45"/>
    </row>
    <row r="32" customFormat="false" ht="12.75" hidden="false" customHeight="true" outlineLevel="0" collapsed="false">
      <c r="A32" s="53" t="s">
        <v>334</v>
      </c>
      <c r="B32" s="53" t="s">
        <v>317</v>
      </c>
      <c r="C32" s="53"/>
      <c r="D32" s="53" t="s">
        <v>324</v>
      </c>
      <c r="E32" s="53"/>
      <c r="F32" s="53" t="s">
        <v>335</v>
      </c>
      <c r="G32" s="53" t="s">
        <v>336</v>
      </c>
      <c r="H32" s="53" t="s">
        <v>337</v>
      </c>
      <c r="I32" s="53"/>
      <c r="J32" s="53" t="s">
        <v>338</v>
      </c>
      <c r="K32" s="53"/>
      <c r="L32" s="53"/>
    </row>
    <row r="33" customFormat="false" ht="24" hidden="false" customHeight="true" outlineLevel="0" collapsed="false">
      <c r="A33" s="54" t="n">
        <f aca="false">MAX(A$10:A32)+1</f>
        <v>36</v>
      </c>
      <c r="B33" s="42" t="str">
        <f aca="false">IF(C33="","",IFERROR(LEFT(VLOOKUP(C33,areaNomiSquadre,2,FALSE()),FIND("-",VLOOKUP(C33,areaNomiSquadre,2,FALSE()))-1),""))</f>
        <v>Narvali Nobili</v>
      </c>
      <c r="C33" s="43" t="s">
        <v>69</v>
      </c>
      <c r="D33" s="42" t="str">
        <f aca="false">IF(E33="","",IFERROR(LEFT(VLOOKUP(E33,areaNomiSquadre,2,FALSE()),FIND("-",VLOOKUP(E33,areaNomiSquadre,2,FALSE()))-1),""))</f>
        <v>Orsi Ostinati</v>
      </c>
      <c r="E33" s="43" t="s">
        <v>71</v>
      </c>
      <c r="F33" s="44" t="n">
        <v>46334.7083333333</v>
      </c>
      <c r="G33" s="44"/>
      <c r="H33" s="44"/>
      <c r="I33" s="44"/>
      <c r="J33" s="45" t="n">
        <v>72</v>
      </c>
      <c r="K33" s="46" t="s">
        <v>339</v>
      </c>
      <c r="L33" s="45" t="n">
        <v>60</v>
      </c>
      <c r="M33" s="47" t="str">
        <f aca="false">IF($B33="","(Squadra A)",$B33)</f>
        <v>Narvali Nobili</v>
      </c>
      <c r="N33" s="47" t="n">
        <f aca="false">IF($J33+$L33=0,,IF($J33&gt;$L33,1,0))</f>
        <v>1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47" t="n">
        <f aca="false">IF($J33+$L33=0,,$J33)</f>
        <v>72</v>
      </c>
      <c r="R33" s="47" t="n">
        <f aca="false">IF($J33+$L33=0,,$L33)</f>
        <v>60</v>
      </c>
      <c r="S33" s="47" t="n">
        <f aca="false">IF($J33+$L33=0,,$J33-$L33)</f>
        <v>12</v>
      </c>
      <c r="T33" s="47" t="str">
        <f aca="false">IF($D33="","(Squadra B)",$D33)</f>
        <v>Orsi Ostinati</v>
      </c>
      <c r="U33" s="47" t="n">
        <f aca="false">IF($J33+$L33=0,,IF($L33&gt;$J33,1,0))</f>
        <v>0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1</v>
      </c>
      <c r="X33" s="47" t="n">
        <f aca="false">IF($J33+$L33=0,,$L33)</f>
        <v>60</v>
      </c>
      <c r="Y33" s="47" t="n">
        <f aca="false">IF($J33+$L33=0,,$J33)</f>
        <v>72</v>
      </c>
      <c r="Z33" s="47" t="n">
        <f aca="false">IF($J33+$L33=0,,$L33-$J33)</f>
        <v>-12</v>
      </c>
      <c r="AA33" s="47" t="str">
        <f aca="false">IF($J33+$L33=0,"(Vincente)",IF($J33&gt;$L33,$B33,$D33))</f>
        <v>Narvali Nobili</v>
      </c>
      <c r="AB33" s="47" t="str">
        <f aca="false">IF($J33+$L33=0,"(Perdente)",IF($J33&lt;$L33,$B33,$D33))</f>
        <v>Orsi Ostinati</v>
      </c>
    </row>
    <row r="34" customFormat="false" ht="15.75" hidden="false" customHeight="true" outlineLevel="0" collapsed="false">
      <c r="A34" s="54"/>
      <c r="B34" s="48" t="str">
        <f aca="false">IF(I34="","",HYPERLINK(VLOOKUP(I34,areaCampiSquadre,3,FALSE()),VLOOKUP(I34,areaCampiSquadre,2,FALSE())))</f>
        <v>PalaMarmotte, Via dello Sport 10, Marmotteopoli ME</v>
      </c>
      <c r="C34" s="48"/>
      <c r="D34" s="48"/>
      <c r="E34" s="48"/>
      <c r="F34" s="48"/>
      <c r="G34" s="48"/>
      <c r="H34" s="48"/>
      <c r="I34" s="43" t="s">
        <v>67</v>
      </c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51" t="s">
        <v>349</v>
      </c>
      <c r="B36" s="52" t="str">
        <f aca="false">"GIORNATA "&amp;ROMAN(VALUE(LEFT(A36,LEN(A36)-1)))&amp;" - GIRONE "&amp;RIGHT(A36,1)</f>
        <v>GIORNATA III - GIRONE B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</row>
    <row r="37" customFormat="false" ht="12.75" hidden="false" customHeight="true" outlineLevel="0" collapsed="false">
      <c r="A37" s="53" t="s">
        <v>334</v>
      </c>
      <c r="B37" s="53" t="s">
        <v>317</v>
      </c>
      <c r="C37" s="53"/>
      <c r="D37" s="53" t="s">
        <v>324</v>
      </c>
      <c r="E37" s="53"/>
      <c r="F37" s="53" t="s">
        <v>335</v>
      </c>
      <c r="G37" s="53" t="s">
        <v>336</v>
      </c>
      <c r="H37" s="53" t="s">
        <v>337</v>
      </c>
      <c r="I37" s="53"/>
      <c r="J37" s="53" t="s">
        <v>338</v>
      </c>
      <c r="K37" s="53"/>
      <c r="L37" s="53"/>
    </row>
    <row r="38" customFormat="false" ht="24" hidden="false" customHeight="true" outlineLevel="0" collapsed="false">
      <c r="A38" s="54" t="n">
        <f aca="false">MAX(A$10:A37)+1</f>
        <v>37</v>
      </c>
      <c r="B38" s="42" t="str">
        <f aca="false">IF(C38="","",IFERROR(LEFT(VLOOKUP(C38,areaNomiSquadre,2,FALSE()),FIND("-",VLOOKUP(C38,areaNomiSquadre,2,FALSE()))-1),""))</f>
        <v>Lupi Lucenti</v>
      </c>
      <c r="C38" s="43" t="s">
        <v>64</v>
      </c>
      <c r="D38" s="42" t="str">
        <f aca="false">IF(E38="","",IFERROR(LEFT(VLOOKUP(E38,areaNomiSquadre,2,FALSE()),FIND("-",VLOOKUP(E38,areaNomiSquadre,2,FALSE()))-1),""))</f>
        <v>Quaglie Quiete</v>
      </c>
      <c r="E38" s="43" t="s">
        <v>75</v>
      </c>
      <c r="F38" s="44" t="n">
        <v>46355.3958333333</v>
      </c>
      <c r="G38" s="44"/>
      <c r="H38" s="44"/>
      <c r="I38" s="44"/>
      <c r="J38" s="45" t="n">
        <v>83</v>
      </c>
      <c r="K38" s="46" t="s">
        <v>339</v>
      </c>
      <c r="L38" s="45" t="n">
        <v>57</v>
      </c>
      <c r="M38" s="47" t="str">
        <f aca="false">IF($B38="","(Squadra A)",$B38)</f>
        <v>Lupi Lucenti</v>
      </c>
      <c r="N38" s="47" t="n">
        <f aca="false">IF($J38+$L38=0,,IF($J38&gt;$L38,1,0))</f>
        <v>1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83</v>
      </c>
      <c r="R38" s="47" t="n">
        <f aca="false">IF($J38+$L38=0,,$L38)</f>
        <v>57</v>
      </c>
      <c r="S38" s="47" t="n">
        <f aca="false">IF($J38+$L38=0,,$J38-$L38)</f>
        <v>26</v>
      </c>
      <c r="T38" s="47" t="str">
        <f aca="false">IF($D38="","(Squadra B)",$D38)</f>
        <v>Quaglie Quiete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1</v>
      </c>
      <c r="X38" s="47" t="n">
        <f aca="false">IF($J38+$L38=0,,$L38)</f>
        <v>57</v>
      </c>
      <c r="Y38" s="47" t="n">
        <f aca="false">IF($J38+$L38=0,,$J38)</f>
        <v>83</v>
      </c>
      <c r="Z38" s="47" t="n">
        <f aca="false">IF($J38+$L38=0,,$L38-$J38)</f>
        <v>-26</v>
      </c>
      <c r="AA38" s="47" t="str">
        <f aca="false">IF($J38+$L38=0,"(Vincente)",IF($J38&gt;$L38,$B38,$D38))</f>
        <v>Lupi Lucenti</v>
      </c>
      <c r="AB38" s="47" t="str">
        <f aca="false">IF($J38+$L38=0,"(Perdente)",IF($J38&lt;$L38,$B38,$D38))</f>
        <v>Quaglie Quiete</v>
      </c>
    </row>
    <row r="39" customFormat="false" ht="15.75" hidden="false" customHeight="true" outlineLevel="0" collapsed="false">
      <c r="A39" s="54"/>
      <c r="B39" s="48" t="str">
        <f aca="false">IF(I39="","",HYPERLINK(VLOOKUP(I39,areaCampiSquadre,3,FALSE()),VLOOKUP(I39,areaCampiSquadre,2,FALSE())))</f>
        <v>PalaNarvali, Via dello Sport 11, Narvaliopoli NI</v>
      </c>
      <c r="C39" s="48"/>
      <c r="D39" s="48"/>
      <c r="E39" s="48"/>
      <c r="F39" s="48"/>
      <c r="G39" s="48"/>
      <c r="H39" s="48"/>
      <c r="I39" s="43" t="s">
        <v>69</v>
      </c>
      <c r="J39" s="45"/>
      <c r="K39" s="45"/>
      <c r="L39" s="45"/>
    </row>
    <row r="40" customFormat="false" ht="12.75" hidden="false" customHeight="true" outlineLevel="0" collapsed="false">
      <c r="A40" s="53" t="s">
        <v>334</v>
      </c>
      <c r="B40" s="53" t="s">
        <v>317</v>
      </c>
      <c r="C40" s="53"/>
      <c r="D40" s="53" t="s">
        <v>324</v>
      </c>
      <c r="E40" s="53"/>
      <c r="F40" s="53" t="s">
        <v>335</v>
      </c>
      <c r="G40" s="53" t="s">
        <v>336</v>
      </c>
      <c r="H40" s="53" t="s">
        <v>337</v>
      </c>
      <c r="I40" s="53"/>
      <c r="J40" s="53" t="s">
        <v>338</v>
      </c>
      <c r="K40" s="53"/>
      <c r="L40" s="53"/>
    </row>
    <row r="41" customFormat="false" ht="24" hidden="false" customHeight="true" outlineLevel="0" collapsed="false">
      <c r="A41" s="54" t="n">
        <f aca="false">MAX(A$10:A40)+1</f>
        <v>38</v>
      </c>
      <c r="B41" s="42" t="str">
        <f aca="false">IF(C41="","",IFERROR(LEFT(VLOOKUP(C41,areaNomiSquadre,2,FALSE()),FIND("-",VLOOKUP(C41,areaNomiSquadre,2,FALSE()))-1),""))</f>
        <v>Pantere Pungenti</v>
      </c>
      <c r="C41" s="43" t="s">
        <v>73</v>
      </c>
      <c r="D41" s="42" t="str">
        <f aca="false">IF(E41="","",IFERROR(LEFT(VLOOKUP(E41,areaNomiSquadre,2,FALSE()),FIND("-",VLOOKUP(E41,areaNomiSquadre,2,FALSE()))-1),""))</f>
        <v>Rinoceronti Ribelli</v>
      </c>
      <c r="E41" s="43" t="s">
        <v>77</v>
      </c>
      <c r="F41" s="44" t="n">
        <v>46355.4791666667</v>
      </c>
      <c r="G41" s="44"/>
      <c r="H41" s="44"/>
      <c r="I41" s="44"/>
      <c r="J41" s="45" t="n">
        <v>45</v>
      </c>
      <c r="K41" s="46" t="s">
        <v>339</v>
      </c>
      <c r="L41" s="45" t="n">
        <v>71</v>
      </c>
      <c r="M41" s="47" t="str">
        <f aca="false">IF($B41="","(Squadra A)",$B41)</f>
        <v>Pantere Pungenti</v>
      </c>
      <c r="N41" s="47" t="n">
        <f aca="false">IF($J41+$L41=0,,IF($J41&gt;$L41,1,0))</f>
        <v>0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1</v>
      </c>
      <c r="Q41" s="47" t="n">
        <f aca="false">IF($J41+$L41=0,,$J41)</f>
        <v>45</v>
      </c>
      <c r="R41" s="47" t="n">
        <f aca="false">IF($J41+$L41=0,,$L41)</f>
        <v>71</v>
      </c>
      <c r="S41" s="47" t="n">
        <f aca="false">IF($J41+$L41=0,,$J41-$L41)</f>
        <v>-26</v>
      </c>
      <c r="T41" s="47" t="str">
        <f aca="false">IF($D41="","(Squadra B)",$D41)</f>
        <v>Rinoceronti Ribelli</v>
      </c>
      <c r="U41" s="47" t="n">
        <f aca="false">IF($J41+$L41=0,,IF($L41&gt;$J41,1,0))</f>
        <v>1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0</v>
      </c>
      <c r="X41" s="47" t="n">
        <f aca="false">IF($J41+$L41=0,,$L41)</f>
        <v>71</v>
      </c>
      <c r="Y41" s="47" t="n">
        <f aca="false">IF($J41+$L41=0,,$J41)</f>
        <v>45</v>
      </c>
      <c r="Z41" s="47" t="n">
        <f aca="false">IF($J41+$L41=0,,$L41-$J41)</f>
        <v>26</v>
      </c>
      <c r="AA41" s="47" t="str">
        <f aca="false">IF($J41+$L41=0,"(Vincente)",IF($J41&gt;$L41,$B41,$D41))</f>
        <v>Rinoceronti Ribelli</v>
      </c>
      <c r="AB41" s="47" t="str">
        <f aca="false">IF($J41+$L41=0,"(Perdente)",IF($J41&lt;$L41,$B41,$D41))</f>
        <v>Pantere Pungenti</v>
      </c>
    </row>
    <row r="42" customFormat="false" ht="15.75" hidden="false" customHeight="true" outlineLevel="0" collapsed="false">
      <c r="A42" s="54"/>
      <c r="B42" s="48" t="str">
        <f aca="false">IF(I42="","",HYPERLINK(VLOOKUP(I42,areaCampiSquadre,3,FALSE()),VLOOKUP(I42,areaCampiSquadre,2,FALSE())))</f>
        <v>PalaNarvali, Via dello Sport 11, Narvaliopoli NI</v>
      </c>
      <c r="C42" s="48"/>
      <c r="D42" s="48"/>
      <c r="E42" s="48"/>
      <c r="F42" s="48"/>
      <c r="G42" s="48"/>
      <c r="H42" s="48"/>
      <c r="I42" s="43" t="s">
        <v>69</v>
      </c>
      <c r="J42" s="45"/>
      <c r="K42" s="45"/>
      <c r="L42" s="45"/>
    </row>
    <row r="43" customFormat="false" ht="12.75" hidden="false" customHeight="true" outlineLevel="0" collapsed="false">
      <c r="A43" s="53" t="s">
        <v>334</v>
      </c>
      <c r="B43" s="53" t="s">
        <v>317</v>
      </c>
      <c r="C43" s="53"/>
      <c r="D43" s="53" t="s">
        <v>324</v>
      </c>
      <c r="E43" s="53"/>
      <c r="F43" s="53" t="s">
        <v>335</v>
      </c>
      <c r="G43" s="53" t="s">
        <v>336</v>
      </c>
      <c r="H43" s="53" t="s">
        <v>337</v>
      </c>
      <c r="I43" s="53"/>
      <c r="J43" s="53" t="s">
        <v>338</v>
      </c>
      <c r="K43" s="53"/>
      <c r="L43" s="53"/>
    </row>
    <row r="44" customFormat="false" ht="24" hidden="false" customHeight="true" outlineLevel="0" collapsed="false">
      <c r="A44" s="54" t="n">
        <f aca="false">MAX(A$10:A43)+1</f>
        <v>39</v>
      </c>
      <c r="B44" s="42" t="str">
        <f aca="false">IF(C44="","",IFERROR(LEFT(VLOOKUP(C44,areaNomiSquadre,2,FALSE()),FIND("-",VLOOKUP(C44,areaNomiSquadre,2,FALSE()))-1),""))</f>
        <v>Salamandre Scaltre</v>
      </c>
      <c r="C44" s="43" t="s">
        <v>79</v>
      </c>
      <c r="D44" s="42" t="str">
        <f aca="false">IF(E44="","",IFERROR(LEFT(VLOOKUP(E44,areaNomiSquadre,2,FALSE()),FIND("-",VLOOKUP(E44,areaNomiSquadre,2,FALSE()))-1),""))</f>
        <v>Orsi Ostinati</v>
      </c>
      <c r="E44" s="43" t="s">
        <v>71</v>
      </c>
      <c r="F44" s="44" t="n">
        <v>46355.625</v>
      </c>
      <c r="G44" s="44"/>
      <c r="H44" s="44"/>
      <c r="I44" s="44"/>
      <c r="J44" s="45" t="n">
        <v>72</v>
      </c>
      <c r="K44" s="46" t="s">
        <v>339</v>
      </c>
      <c r="L44" s="45" t="n">
        <v>63</v>
      </c>
      <c r="M44" s="47" t="str">
        <f aca="false">IF($B44="","(Squadra A)",$B44)</f>
        <v>Salamandre Scaltre</v>
      </c>
      <c r="N44" s="47" t="n">
        <f aca="false">IF($J44+$L44=0,,IF($J44&gt;$L44,1,0))</f>
        <v>1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0</v>
      </c>
      <c r="Q44" s="47" t="n">
        <f aca="false">IF($J44+$L44=0,,$J44)</f>
        <v>72</v>
      </c>
      <c r="R44" s="47" t="n">
        <f aca="false">IF($J44+$L44=0,,$L44)</f>
        <v>63</v>
      </c>
      <c r="S44" s="47" t="n">
        <f aca="false">IF($J44+$L44=0,,$J44-$L44)</f>
        <v>9</v>
      </c>
      <c r="T44" s="47" t="str">
        <f aca="false">IF($D44="","(Squadra B)",$D44)</f>
        <v>Orsi Ostinati</v>
      </c>
      <c r="U44" s="47" t="n">
        <f aca="false">IF($J44+$L44=0,,IF($L44&gt;$J44,1,0))</f>
        <v>0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1</v>
      </c>
      <c r="X44" s="47" t="n">
        <f aca="false">IF($J44+$L44=0,,$L44)</f>
        <v>63</v>
      </c>
      <c r="Y44" s="47" t="n">
        <f aca="false">IF($J44+$L44=0,,$J44)</f>
        <v>72</v>
      </c>
      <c r="Z44" s="47" t="n">
        <f aca="false">IF($J44+$L44=0,,$L44-$J44)</f>
        <v>-9</v>
      </c>
      <c r="AA44" s="47" t="str">
        <f aca="false">IF($J44+$L44=0,"(Vincente)",IF($J44&gt;$L44,$B44,$D44))</f>
        <v>Salamandre Scaltre</v>
      </c>
      <c r="AB44" s="47" t="str">
        <f aca="false">IF($J44+$L44=0,"(Perdente)",IF($J44&lt;$L44,$B44,$D44))</f>
        <v>Orsi Ostinati</v>
      </c>
    </row>
    <row r="45" customFormat="false" ht="15.75" hidden="false" customHeight="true" outlineLevel="0" collapsed="false">
      <c r="A45" s="54"/>
      <c r="B45" s="48" t="str">
        <f aca="false">IF(I45="","",HYPERLINK(VLOOKUP(I45,areaCampiSquadre,3,FALSE()),VLOOKUP(I45,areaCampiSquadre,2,FALSE())))</f>
        <v>PalaNarvali, Via dello Sport 11, Narvaliopoli NI</v>
      </c>
      <c r="C45" s="48"/>
      <c r="D45" s="48"/>
      <c r="E45" s="48"/>
      <c r="F45" s="48"/>
      <c r="G45" s="48"/>
      <c r="H45" s="48"/>
      <c r="I45" s="43" t="s">
        <v>69</v>
      </c>
      <c r="J45" s="45"/>
      <c r="K45" s="45"/>
      <c r="L45" s="45"/>
    </row>
    <row r="46" customFormat="false" ht="12.75" hidden="false" customHeight="true" outlineLevel="0" collapsed="false">
      <c r="A46" s="53" t="s">
        <v>334</v>
      </c>
      <c r="B46" s="53" t="s">
        <v>317</v>
      </c>
      <c r="C46" s="53"/>
      <c r="D46" s="53" t="s">
        <v>324</v>
      </c>
      <c r="E46" s="53"/>
      <c r="F46" s="53" t="s">
        <v>335</v>
      </c>
      <c r="G46" s="53" t="s">
        <v>336</v>
      </c>
      <c r="H46" s="53" t="s">
        <v>337</v>
      </c>
      <c r="I46" s="53"/>
      <c r="J46" s="53" t="s">
        <v>338</v>
      </c>
      <c r="K46" s="53"/>
      <c r="L46" s="53"/>
    </row>
    <row r="47" customFormat="false" ht="24" hidden="false" customHeight="true" outlineLevel="0" collapsed="false">
      <c r="A47" s="54" t="n">
        <f aca="false">MAX(A$10:A46)+1</f>
        <v>40</v>
      </c>
      <c r="B47" s="42" t="str">
        <f aca="false">IF(C47="","",IFERROR(LEFT(VLOOKUP(C47,areaNomiSquadre,2,FALSE()),FIND("-",VLOOKUP(C47,areaNomiSquadre,2,FALSE()))-1),""))</f>
        <v>Narvali Nobili</v>
      </c>
      <c r="C47" s="43" t="s">
        <v>69</v>
      </c>
      <c r="D47" s="42" t="str">
        <f aca="false">IF(E47="","",IFERROR(LEFT(VLOOKUP(E47,areaNomiSquadre,2,FALSE()),FIND("-",VLOOKUP(E47,areaNomiSquadre,2,FALSE()))-1),""))</f>
        <v>Marmotte Maldestre</v>
      </c>
      <c r="E47" s="43" t="s">
        <v>67</v>
      </c>
      <c r="F47" s="44" t="n">
        <v>46355.7083333333</v>
      </c>
      <c r="G47" s="44"/>
      <c r="H47" s="44"/>
      <c r="I47" s="44"/>
      <c r="J47" s="45" t="n">
        <v>59</v>
      </c>
      <c r="K47" s="46" t="s">
        <v>339</v>
      </c>
      <c r="L47" s="45" t="n">
        <v>91</v>
      </c>
      <c r="M47" s="47" t="str">
        <f aca="false">IF($B47="","(Squadra A)",$B47)</f>
        <v>Narvali Nobili</v>
      </c>
      <c r="N47" s="47" t="n">
        <f aca="false">IF($J47+$L47=0,,IF($J47&gt;$L47,1,0))</f>
        <v>0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1</v>
      </c>
      <c r="Q47" s="47" t="n">
        <f aca="false">IF($J47+$L47=0,,$J47)</f>
        <v>59</v>
      </c>
      <c r="R47" s="47" t="n">
        <f aca="false">IF($J47+$L47=0,,$L47)</f>
        <v>91</v>
      </c>
      <c r="S47" s="47" t="n">
        <f aca="false">IF($J47+$L47=0,,$J47-$L47)</f>
        <v>-32</v>
      </c>
      <c r="T47" s="47" t="str">
        <f aca="false">IF($D47="","(Squadra B)",$D47)</f>
        <v>Marmotte Maldestre</v>
      </c>
      <c r="U47" s="47" t="n">
        <f aca="false">IF($J47+$L47=0,,IF($L47&gt;$J47,1,0))</f>
        <v>1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0</v>
      </c>
      <c r="X47" s="47" t="n">
        <f aca="false">IF($J47+$L47=0,,$L47)</f>
        <v>91</v>
      </c>
      <c r="Y47" s="47" t="n">
        <f aca="false">IF($J47+$L47=0,,$J47)</f>
        <v>59</v>
      </c>
      <c r="Z47" s="47" t="n">
        <f aca="false">IF($J47+$L47=0,,$L47-$J47)</f>
        <v>32</v>
      </c>
      <c r="AA47" s="47" t="str">
        <f aca="false">IF($J47+$L47=0,"(Vincente)",IF($J47&gt;$L47,$B47,$D47))</f>
        <v>Marmotte Maldestre</v>
      </c>
      <c r="AB47" s="47" t="str">
        <f aca="false">IF($J47+$L47=0,"(Perdente)",IF($J47&lt;$L47,$B47,$D47))</f>
        <v>Narvali Nobili</v>
      </c>
    </row>
    <row r="48" customFormat="false" ht="15.75" hidden="false" customHeight="true" outlineLevel="0" collapsed="false">
      <c r="A48" s="54"/>
      <c r="B48" s="48" t="str">
        <f aca="false">IF(I48="","",HYPERLINK(VLOOKUP(I48,areaCampiSquadre,3,FALSE()),VLOOKUP(I48,areaCampiSquadre,2,FALSE())))</f>
        <v>PalaNarvali, Via dello Sport 11, Narvaliopoli NI</v>
      </c>
      <c r="C48" s="48"/>
      <c r="D48" s="48"/>
      <c r="E48" s="48"/>
      <c r="F48" s="48"/>
      <c r="G48" s="48"/>
      <c r="H48" s="48"/>
      <c r="I48" s="43" t="s">
        <v>69</v>
      </c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51" t="s">
        <v>350</v>
      </c>
      <c r="B50" s="52" t="str">
        <f aca="false">"GIORNATA "&amp;ROMAN(VALUE(LEFT(A50,LEN(A50)-1)))&amp;" - GIRONE "&amp;RIGHT(A50,1)</f>
        <v>GIORNATA IV - GIRONE B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</row>
    <row r="51" customFormat="false" ht="12.75" hidden="false" customHeight="true" outlineLevel="0" collapsed="false">
      <c r="A51" s="53" t="s">
        <v>334</v>
      </c>
      <c r="B51" s="53" t="s">
        <v>317</v>
      </c>
      <c r="C51" s="53"/>
      <c r="D51" s="53" t="s">
        <v>324</v>
      </c>
      <c r="E51" s="53"/>
      <c r="F51" s="53" t="s">
        <v>335</v>
      </c>
      <c r="G51" s="53" t="s">
        <v>336</v>
      </c>
      <c r="H51" s="53" t="s">
        <v>337</v>
      </c>
      <c r="I51" s="53"/>
      <c r="J51" s="53" t="s">
        <v>338</v>
      </c>
      <c r="K51" s="53"/>
      <c r="L51" s="53"/>
    </row>
    <row r="52" customFormat="false" ht="24" hidden="false" customHeight="true" outlineLevel="0" collapsed="false">
      <c r="A52" s="54" t="n">
        <f aca="false">MAX(A$10:A51)+1</f>
        <v>41</v>
      </c>
      <c r="B52" s="42" t="str">
        <f aca="false">IF(C52="","",IFERROR(LEFT(VLOOKUP(C52,areaNomiSquadre,2,FALSE()),FIND("-",VLOOKUP(C52,areaNomiSquadre,2,FALSE()))-1),""))</f>
        <v>Pantere Pungenti</v>
      </c>
      <c r="C52" s="43" t="s">
        <v>73</v>
      </c>
      <c r="D52" s="42" t="str">
        <f aca="false">IF(E52="","",IFERROR(LEFT(VLOOKUP(E52,areaNomiSquadre,2,FALSE()),FIND("-",VLOOKUP(E52,areaNomiSquadre,2,FALSE()))-1),""))</f>
        <v>Lupi Lucenti</v>
      </c>
      <c r="E52" s="43" t="s">
        <v>64</v>
      </c>
      <c r="F52" s="44" t="n">
        <v>46369.3958333333</v>
      </c>
      <c r="G52" s="44"/>
      <c r="H52" s="44"/>
      <c r="I52" s="44"/>
      <c r="J52" s="45" t="n">
        <v>63</v>
      </c>
      <c r="K52" s="46" t="s">
        <v>339</v>
      </c>
      <c r="L52" s="45" t="n">
        <v>57</v>
      </c>
      <c r="M52" s="47" t="str">
        <f aca="false">IF($B52="","(Squadra A)",$B52)</f>
        <v>Pantere Pungenti</v>
      </c>
      <c r="N52" s="47" t="n">
        <f aca="false">IF($J52+$L52=0,,IF($J52&gt;$L52,1,0))</f>
        <v>1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0</v>
      </c>
      <c r="Q52" s="47" t="n">
        <f aca="false">IF($J52+$L52=0,,$J52)</f>
        <v>63</v>
      </c>
      <c r="R52" s="47" t="n">
        <f aca="false">IF($J52+$L52=0,,$L52)</f>
        <v>57</v>
      </c>
      <c r="S52" s="47" t="n">
        <f aca="false">IF($J52+$L52=0,,$J52-$L52)</f>
        <v>6</v>
      </c>
      <c r="T52" s="47" t="str">
        <f aca="false">IF($D52="","(Squadra B)",$D52)</f>
        <v>Lupi Lucenti</v>
      </c>
      <c r="U52" s="47" t="n">
        <f aca="false">IF($J52+$L52=0,,IF($L52&gt;$J52,1,0))</f>
        <v>0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1</v>
      </c>
      <c r="X52" s="47" t="n">
        <f aca="false">IF($J52+$L52=0,,$L52)</f>
        <v>57</v>
      </c>
      <c r="Y52" s="47" t="n">
        <f aca="false">IF($J52+$L52=0,,$J52)</f>
        <v>63</v>
      </c>
      <c r="Z52" s="47" t="n">
        <f aca="false">IF($J52+$L52=0,,$L52-$J52)</f>
        <v>-6</v>
      </c>
      <c r="AA52" s="47" t="str">
        <f aca="false">IF($J52+$L52=0,"(Vincente)",IF($J52&gt;$L52,$B52,$D52))</f>
        <v>Pantere Pungenti</v>
      </c>
      <c r="AB52" s="47" t="str">
        <f aca="false">IF($J52+$L52=0,"(Perdente)",IF($J52&lt;$L52,$B52,$D52))</f>
        <v>Lupi Lucenti</v>
      </c>
    </row>
    <row r="53" customFormat="false" ht="15.75" hidden="false" customHeight="true" outlineLevel="0" collapsed="false">
      <c r="A53" s="54"/>
      <c r="B53" s="48" t="str">
        <f aca="false">IF(I53="","",HYPERLINK(VLOOKUP(I53,areaCampiSquadre,3,FALSE()),VLOOKUP(I53,areaCampiSquadre,2,FALSE())))</f>
        <v>PalaOrsi, Via dello Sport 12, Orsiopoli OI</v>
      </c>
      <c r="C53" s="48"/>
      <c r="D53" s="48"/>
      <c r="E53" s="48"/>
      <c r="F53" s="48"/>
      <c r="G53" s="48"/>
      <c r="H53" s="48"/>
      <c r="I53" s="43" t="s">
        <v>71</v>
      </c>
      <c r="J53" s="45"/>
      <c r="K53" s="45"/>
      <c r="L53" s="45"/>
    </row>
    <row r="54" customFormat="false" ht="12.75" hidden="false" customHeight="true" outlineLevel="0" collapsed="false">
      <c r="A54" s="53" t="s">
        <v>334</v>
      </c>
      <c r="B54" s="53" t="s">
        <v>317</v>
      </c>
      <c r="C54" s="53"/>
      <c r="D54" s="53" t="s">
        <v>324</v>
      </c>
      <c r="E54" s="53"/>
      <c r="F54" s="53" t="s">
        <v>335</v>
      </c>
      <c r="G54" s="53" t="s">
        <v>336</v>
      </c>
      <c r="H54" s="53" t="s">
        <v>337</v>
      </c>
      <c r="I54" s="53"/>
      <c r="J54" s="53" t="s">
        <v>338</v>
      </c>
      <c r="K54" s="53"/>
      <c r="L54" s="53"/>
    </row>
    <row r="55" customFormat="false" ht="24" hidden="false" customHeight="true" outlineLevel="0" collapsed="false">
      <c r="A55" s="54" t="n">
        <f aca="false">MAX(A$10:A54)+1</f>
        <v>42</v>
      </c>
      <c r="B55" s="42" t="str">
        <f aca="false">IF(C55="","",IFERROR(LEFT(VLOOKUP(C55,areaNomiSquadre,2,FALSE()),FIND("-",VLOOKUP(C55,areaNomiSquadre,2,FALSE()))-1),""))</f>
        <v>Quaglie Quiete</v>
      </c>
      <c r="C55" s="43" t="s">
        <v>75</v>
      </c>
      <c r="D55" s="42" t="str">
        <f aca="false">IF(E55="","",IFERROR(LEFT(VLOOKUP(E55,areaNomiSquadre,2,FALSE()),FIND("-",VLOOKUP(E55,areaNomiSquadre,2,FALSE()))-1),""))</f>
        <v>Orsi Ostinati</v>
      </c>
      <c r="E55" s="43" t="s">
        <v>71</v>
      </c>
      <c r="F55" s="44" t="n">
        <v>46369.4791666667</v>
      </c>
      <c r="G55" s="44"/>
      <c r="H55" s="44"/>
      <c r="I55" s="44"/>
      <c r="J55" s="45" t="n">
        <v>62</v>
      </c>
      <c r="K55" s="46" t="s">
        <v>339</v>
      </c>
      <c r="L55" s="45" t="n">
        <v>44</v>
      </c>
      <c r="M55" s="47" t="str">
        <f aca="false">IF($B55="","(Squadra A)",$B55)</f>
        <v>Quaglie Quiete</v>
      </c>
      <c r="N55" s="47" t="n">
        <f aca="false">IF($J55+$L55=0,,IF($J55&gt;$L55,1,0))</f>
        <v>1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0</v>
      </c>
      <c r="Q55" s="47" t="n">
        <f aca="false">IF($J55+$L55=0,,$J55)</f>
        <v>62</v>
      </c>
      <c r="R55" s="47" t="n">
        <f aca="false">IF($J55+$L55=0,,$L55)</f>
        <v>44</v>
      </c>
      <c r="S55" s="47" t="n">
        <f aca="false">IF($J55+$L55=0,,$J55-$L55)</f>
        <v>18</v>
      </c>
      <c r="T55" s="47" t="str">
        <f aca="false">IF($D55="","(Squadra B)",$D55)</f>
        <v>Orsi Ostinati</v>
      </c>
      <c r="U55" s="47" t="n">
        <f aca="false">IF($J55+$L55=0,,IF($L55&gt;$J55,1,0))</f>
        <v>0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1</v>
      </c>
      <c r="X55" s="47" t="n">
        <f aca="false">IF($J55+$L55=0,,$L55)</f>
        <v>44</v>
      </c>
      <c r="Y55" s="47" t="n">
        <f aca="false">IF($J55+$L55=0,,$J55)</f>
        <v>62</v>
      </c>
      <c r="Z55" s="47" t="n">
        <f aca="false">IF($J55+$L55=0,,$L55-$J55)</f>
        <v>-18</v>
      </c>
      <c r="AA55" s="47" t="str">
        <f aca="false">IF($J55+$L55=0,"(Vincente)",IF($J55&gt;$L55,$B55,$D55))</f>
        <v>Quaglie Quiete</v>
      </c>
      <c r="AB55" s="47" t="str">
        <f aca="false">IF($J55+$L55=0,"(Perdente)",IF($J55&lt;$L55,$B55,$D55))</f>
        <v>Orsi Ostinati</v>
      </c>
    </row>
    <row r="56" customFormat="false" ht="15.75" hidden="false" customHeight="true" outlineLevel="0" collapsed="false">
      <c r="A56" s="54"/>
      <c r="B56" s="48" t="str">
        <f aca="false">IF(I56="","",HYPERLINK(VLOOKUP(I56,areaCampiSquadre,3,FALSE()),VLOOKUP(I56,areaCampiSquadre,2,FALSE())))</f>
        <v>PalaOrsi, Via dello Sport 12, Orsiopoli OI</v>
      </c>
      <c r="C56" s="48"/>
      <c r="D56" s="48"/>
      <c r="E56" s="48"/>
      <c r="F56" s="48"/>
      <c r="G56" s="48"/>
      <c r="H56" s="48"/>
      <c r="I56" s="43" t="s">
        <v>71</v>
      </c>
      <c r="J56" s="45"/>
      <c r="K56" s="45"/>
      <c r="L56" s="45"/>
    </row>
    <row r="57" customFormat="false" ht="12.75" hidden="false" customHeight="true" outlineLevel="0" collapsed="false">
      <c r="A57" s="53" t="s">
        <v>334</v>
      </c>
      <c r="B57" s="53" t="s">
        <v>317</v>
      </c>
      <c r="C57" s="53"/>
      <c r="D57" s="53" t="s">
        <v>324</v>
      </c>
      <c r="E57" s="53"/>
      <c r="F57" s="53" t="s">
        <v>335</v>
      </c>
      <c r="G57" s="53" t="s">
        <v>336</v>
      </c>
      <c r="H57" s="53" t="s">
        <v>337</v>
      </c>
      <c r="I57" s="53"/>
      <c r="J57" s="53" t="s">
        <v>338</v>
      </c>
      <c r="K57" s="53"/>
      <c r="L57" s="53"/>
    </row>
    <row r="58" customFormat="false" ht="24" hidden="false" customHeight="true" outlineLevel="0" collapsed="false">
      <c r="A58" s="54" t="n">
        <f aca="false">MAX(A$10:A57)+1</f>
        <v>43</v>
      </c>
      <c r="B58" s="42" t="str">
        <f aca="false">IF(C58="","",IFERROR(LEFT(VLOOKUP(C58,areaNomiSquadre,2,FALSE()),FIND("-",VLOOKUP(C58,areaNomiSquadre,2,FALSE()))-1),""))</f>
        <v>Narvali Nobili</v>
      </c>
      <c r="C58" s="43" t="s">
        <v>69</v>
      </c>
      <c r="D58" s="42" t="str">
        <f aca="false">IF(E58="","",IFERROR(LEFT(VLOOKUP(E58,areaNomiSquadre,2,FALSE()),FIND("-",VLOOKUP(E58,areaNomiSquadre,2,FALSE()))-1),""))</f>
        <v>Rinoceronti Ribelli</v>
      </c>
      <c r="E58" s="43" t="s">
        <v>77</v>
      </c>
      <c r="F58" s="44" t="n">
        <v>46369.625</v>
      </c>
      <c r="G58" s="44"/>
      <c r="H58" s="44"/>
      <c r="I58" s="44"/>
      <c r="J58" s="45" t="n">
        <v>48</v>
      </c>
      <c r="K58" s="46" t="s">
        <v>339</v>
      </c>
      <c r="L58" s="45" t="n">
        <v>83</v>
      </c>
      <c r="M58" s="47" t="str">
        <f aca="false">IF($B58="","(Squadra A)",$B58)</f>
        <v>Narvali Nobili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1</v>
      </c>
      <c r="Q58" s="47" t="n">
        <f aca="false">IF($J58+$L58=0,,$J58)</f>
        <v>48</v>
      </c>
      <c r="R58" s="47" t="n">
        <f aca="false">IF($J58+$L58=0,,$L58)</f>
        <v>83</v>
      </c>
      <c r="S58" s="47" t="n">
        <f aca="false">IF($J58+$L58=0,,$J58-$L58)</f>
        <v>-35</v>
      </c>
      <c r="T58" s="47" t="str">
        <f aca="false">IF($D58="","(Squadra B)",$D58)</f>
        <v>Rinoceronti Ribelli</v>
      </c>
      <c r="U58" s="47" t="n">
        <f aca="false">IF($J58+$L58=0,,IF($L58&gt;$J58,1,0))</f>
        <v>1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83</v>
      </c>
      <c r="Y58" s="47" t="n">
        <f aca="false">IF($J58+$L58=0,,$J58)</f>
        <v>48</v>
      </c>
      <c r="Z58" s="47" t="n">
        <f aca="false">IF($J58+$L58=0,,$L58-$J58)</f>
        <v>35</v>
      </c>
      <c r="AA58" s="47" t="str">
        <f aca="false">IF($J58+$L58=0,"(Vincente)",IF($J58&gt;$L58,$B58,$D58))</f>
        <v>Rinoceronti Ribelli</v>
      </c>
      <c r="AB58" s="47" t="str">
        <f aca="false">IF($J58+$L58=0,"(Perdente)",IF($J58&lt;$L58,$B58,$D58))</f>
        <v>Narvali Nobili</v>
      </c>
    </row>
    <row r="59" customFormat="false" ht="15.75" hidden="false" customHeight="true" outlineLevel="0" collapsed="false">
      <c r="A59" s="54"/>
      <c r="B59" s="48" t="str">
        <f aca="false">IF(I59="","",HYPERLINK(VLOOKUP(I59,areaCampiSquadre,3,FALSE()),VLOOKUP(I59,areaCampiSquadre,2,FALSE())))</f>
        <v>PalaOrsi, Via dello Sport 12, Orsiopoli OI</v>
      </c>
      <c r="C59" s="48"/>
      <c r="D59" s="48"/>
      <c r="E59" s="48"/>
      <c r="F59" s="48"/>
      <c r="G59" s="48"/>
      <c r="H59" s="48"/>
      <c r="I59" s="43" t="s">
        <v>71</v>
      </c>
      <c r="J59" s="45"/>
      <c r="K59" s="45"/>
      <c r="L59" s="45"/>
    </row>
    <row r="60" customFormat="false" ht="12.75" hidden="false" customHeight="true" outlineLevel="0" collapsed="false">
      <c r="A60" s="53" t="s">
        <v>334</v>
      </c>
      <c r="B60" s="53" t="s">
        <v>317</v>
      </c>
      <c r="C60" s="53"/>
      <c r="D60" s="53" t="s">
        <v>324</v>
      </c>
      <c r="E60" s="53"/>
      <c r="F60" s="53" t="s">
        <v>335</v>
      </c>
      <c r="G60" s="53" t="s">
        <v>336</v>
      </c>
      <c r="H60" s="53" t="s">
        <v>337</v>
      </c>
      <c r="I60" s="53"/>
      <c r="J60" s="53" t="s">
        <v>338</v>
      </c>
      <c r="K60" s="53"/>
      <c r="L60" s="53"/>
    </row>
    <row r="61" customFormat="false" ht="24" hidden="false" customHeight="true" outlineLevel="0" collapsed="false">
      <c r="A61" s="54" t="n">
        <f aca="false">MAX(A$10:A60)+1</f>
        <v>44</v>
      </c>
      <c r="B61" s="42" t="str">
        <f aca="false">IF(C61="","",IFERROR(LEFT(VLOOKUP(C61,areaNomiSquadre,2,FALSE()),FIND("-",VLOOKUP(C61,areaNomiSquadre,2,FALSE()))-1),""))</f>
        <v>Salamandre Scaltre</v>
      </c>
      <c r="C61" s="43" t="s">
        <v>79</v>
      </c>
      <c r="D61" s="42" t="str">
        <f aca="false">IF(E61="","",IFERROR(LEFT(VLOOKUP(E61,areaNomiSquadre,2,FALSE()),FIND("-",VLOOKUP(E61,areaNomiSquadre,2,FALSE()))-1),""))</f>
        <v>Marmotte Maldestre</v>
      </c>
      <c r="E61" s="43" t="s">
        <v>67</v>
      </c>
      <c r="F61" s="44" t="n">
        <v>46369.7083333333</v>
      </c>
      <c r="G61" s="44"/>
      <c r="H61" s="44"/>
      <c r="I61" s="44"/>
      <c r="J61" s="45" t="n">
        <v>66</v>
      </c>
      <c r="K61" s="46" t="s">
        <v>339</v>
      </c>
      <c r="L61" s="45" t="n">
        <v>64</v>
      </c>
      <c r="M61" s="47" t="str">
        <f aca="false">IF($B61="","(Squadra A)",$B61)</f>
        <v>Salamandre Scaltre</v>
      </c>
      <c r="N61" s="47" t="n">
        <f aca="false">IF($J61+$L61=0,,IF($J61&gt;$L61,1,0))</f>
        <v>1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66</v>
      </c>
      <c r="R61" s="47" t="n">
        <f aca="false">IF($J61+$L61=0,,$L61)</f>
        <v>64</v>
      </c>
      <c r="S61" s="47" t="n">
        <f aca="false">IF($J61+$L61=0,,$J61-$L61)</f>
        <v>2</v>
      </c>
      <c r="T61" s="47" t="str">
        <f aca="false">IF($D61="","(Squadra B)",$D61)</f>
        <v>Marmotte Maldestre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1</v>
      </c>
      <c r="X61" s="47" t="n">
        <f aca="false">IF($J61+$L61=0,,$L61)</f>
        <v>64</v>
      </c>
      <c r="Y61" s="47" t="n">
        <f aca="false">IF($J61+$L61=0,,$J61)</f>
        <v>66</v>
      </c>
      <c r="Z61" s="47" t="n">
        <f aca="false">IF($J61+$L61=0,,$L61-$J61)</f>
        <v>-2</v>
      </c>
      <c r="AA61" s="47" t="str">
        <f aca="false">IF($J61+$L61=0,"(Vincente)",IF($J61&gt;$L61,$B61,$D61))</f>
        <v>Salamandre Scaltre</v>
      </c>
      <c r="AB61" s="47" t="str">
        <f aca="false">IF($J61+$L61=0,"(Perdente)",IF($J61&lt;$L61,$B61,$D61))</f>
        <v>Marmotte Maldestre</v>
      </c>
    </row>
    <row r="62" customFormat="false" ht="15.75" hidden="false" customHeight="true" outlineLevel="0" collapsed="false">
      <c r="A62" s="54"/>
      <c r="B62" s="48" t="str">
        <f aca="false">IF(I62="","",HYPERLINK(VLOOKUP(I62,areaCampiSquadre,3,FALSE()),VLOOKUP(I62,areaCampiSquadre,2,FALSE())))</f>
        <v>PalaOrsi, Via dello Sport 12, Orsiopoli OI</v>
      </c>
      <c r="C62" s="48"/>
      <c r="D62" s="48"/>
      <c r="E62" s="48"/>
      <c r="F62" s="48"/>
      <c r="G62" s="48"/>
      <c r="H62" s="48"/>
      <c r="I62" s="43" t="s">
        <v>71</v>
      </c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51" t="s">
        <v>351</v>
      </c>
      <c r="B64" s="52" t="str">
        <f aca="false">"GIORNATA "&amp;ROMAN(VALUE(LEFT(A64,LEN(A64)-1)))&amp;" - GIRONE "&amp;RIGHT(A64,1)</f>
        <v>GIORNATA V - GIRONE B</v>
      </c>
      <c r="C64" s="52"/>
      <c r="D64" s="52"/>
      <c r="E64" s="52"/>
      <c r="F64" s="52"/>
      <c r="G64" s="52"/>
      <c r="H64" s="52"/>
      <c r="I64" s="52"/>
      <c r="J64" s="52"/>
      <c r="K64" s="52"/>
      <c r="L64" s="52"/>
    </row>
    <row r="65" customFormat="false" ht="12.75" hidden="false" customHeight="true" outlineLevel="0" collapsed="false">
      <c r="A65" s="53" t="s">
        <v>334</v>
      </c>
      <c r="B65" s="53" t="s">
        <v>317</v>
      </c>
      <c r="C65" s="53"/>
      <c r="D65" s="53" t="s">
        <v>324</v>
      </c>
      <c r="E65" s="53"/>
      <c r="F65" s="53" t="s">
        <v>335</v>
      </c>
      <c r="G65" s="53" t="s">
        <v>336</v>
      </c>
      <c r="H65" s="53" t="s">
        <v>337</v>
      </c>
      <c r="I65" s="53"/>
      <c r="J65" s="53" t="s">
        <v>338</v>
      </c>
      <c r="K65" s="53"/>
      <c r="L65" s="53"/>
    </row>
    <row r="66" customFormat="false" ht="24" hidden="false" customHeight="true" outlineLevel="0" collapsed="false">
      <c r="A66" s="54" t="n">
        <f aca="false">MAX(A$10:A65)+1</f>
        <v>45</v>
      </c>
      <c r="B66" s="42" t="str">
        <f aca="false">IF(C66="","",IFERROR(LEFT(VLOOKUP(C66,areaNomiSquadre,2,FALSE()),FIND("-",VLOOKUP(C66,areaNomiSquadre,2,FALSE()))-1),""))</f>
        <v>Lupi Lucenti</v>
      </c>
      <c r="C66" s="43" t="s">
        <v>64</v>
      </c>
      <c r="D66" s="42" t="str">
        <f aca="false">IF(E66="","",IFERROR(LEFT(VLOOKUP(E66,areaNomiSquadre,2,FALSE()),FIND("-",VLOOKUP(E66,areaNomiSquadre,2,FALSE()))-1),""))</f>
        <v>Orsi Ostinati</v>
      </c>
      <c r="E66" s="43" t="s">
        <v>71</v>
      </c>
      <c r="F66" s="44" t="n">
        <v>46411.3958333333</v>
      </c>
      <c r="G66" s="44"/>
      <c r="H66" s="44"/>
      <c r="I66" s="44"/>
      <c r="J66" s="45" t="n">
        <v>83</v>
      </c>
      <c r="K66" s="46" t="s">
        <v>339</v>
      </c>
      <c r="L66" s="45" t="n">
        <v>45</v>
      </c>
      <c r="M66" s="47" t="str">
        <f aca="false">IF($B66="","(Squadra A)",$B66)</f>
        <v>Lupi Lucenti</v>
      </c>
      <c r="N66" s="47" t="n">
        <f aca="false">IF($J66+$L66=0,,IF($J66&gt;$L66,1,0))</f>
        <v>1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0</v>
      </c>
      <c r="Q66" s="47" t="n">
        <f aca="false">IF($J66+$L66=0,,$J66)</f>
        <v>83</v>
      </c>
      <c r="R66" s="47" t="n">
        <f aca="false">IF($J66+$L66=0,,$L66)</f>
        <v>45</v>
      </c>
      <c r="S66" s="47" t="n">
        <f aca="false">IF($J66+$L66=0,,$J66-$L66)</f>
        <v>38</v>
      </c>
      <c r="T66" s="47" t="str">
        <f aca="false">IF($D66="","(Squadra B)",$D66)</f>
        <v>Orsi Ostinati</v>
      </c>
      <c r="U66" s="47" t="n">
        <f aca="false">IF($J66+$L66=0,,IF($L66&gt;$J66,1,0))</f>
        <v>0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1</v>
      </c>
      <c r="X66" s="47" t="n">
        <f aca="false">IF($J66+$L66=0,,$L66)</f>
        <v>45</v>
      </c>
      <c r="Y66" s="47" t="n">
        <f aca="false">IF($J66+$L66=0,,$J66)</f>
        <v>83</v>
      </c>
      <c r="Z66" s="47" t="n">
        <f aca="false">IF($J66+$L66=0,,$L66-$J66)</f>
        <v>-38</v>
      </c>
      <c r="AA66" s="47" t="str">
        <f aca="false">IF($J66+$L66=0,"(Vincente)",IF($J66&gt;$L66,$B66,$D66))</f>
        <v>Lupi Lucenti</v>
      </c>
      <c r="AB66" s="47" t="str">
        <f aca="false">IF($J66+$L66=0,"(Perdente)",IF($J66&lt;$L66,$B66,$D66))</f>
        <v>Orsi Ostinati</v>
      </c>
    </row>
    <row r="67" customFormat="false" ht="15.75" hidden="false" customHeight="true" outlineLevel="0" collapsed="false">
      <c r="A67" s="54"/>
      <c r="B67" s="48" t="str">
        <f aca="false">IF(I67="","",HYPERLINK(VLOOKUP(I67,areaCampiSquadre,3,FALSE()),VLOOKUP(I67,areaCampiSquadre,2,FALSE())))</f>
        <v>PalaPantere, Via dello Sport 13, Pantereopoli PE</v>
      </c>
      <c r="C67" s="48"/>
      <c r="D67" s="48"/>
      <c r="E67" s="48"/>
      <c r="F67" s="48"/>
      <c r="G67" s="48"/>
      <c r="H67" s="48"/>
      <c r="I67" s="43" t="s">
        <v>73</v>
      </c>
      <c r="J67" s="45"/>
      <c r="K67" s="45"/>
      <c r="L67" s="45"/>
    </row>
    <row r="68" customFormat="false" ht="12.75" hidden="false" customHeight="true" outlineLevel="0" collapsed="false">
      <c r="A68" s="53" t="s">
        <v>334</v>
      </c>
      <c r="B68" s="53" t="s">
        <v>317</v>
      </c>
      <c r="C68" s="53"/>
      <c r="D68" s="53" t="s">
        <v>324</v>
      </c>
      <c r="E68" s="53"/>
      <c r="F68" s="53" t="s">
        <v>335</v>
      </c>
      <c r="G68" s="53" t="s">
        <v>336</v>
      </c>
      <c r="H68" s="53" t="s">
        <v>337</v>
      </c>
      <c r="I68" s="53"/>
      <c r="J68" s="53" t="s">
        <v>338</v>
      </c>
      <c r="K68" s="53"/>
      <c r="L68" s="53"/>
    </row>
    <row r="69" customFormat="false" ht="24" hidden="false" customHeight="true" outlineLevel="0" collapsed="false">
      <c r="A69" s="54" t="n">
        <f aca="false">MAX(A$10:A68)+1</f>
        <v>46</v>
      </c>
      <c r="B69" s="42" t="str">
        <f aca="false">IF(C69="","",IFERROR(LEFT(VLOOKUP(C69,areaNomiSquadre,2,FALSE()),FIND("-",VLOOKUP(C69,areaNomiSquadre,2,FALSE()))-1),""))</f>
        <v>Narvali Nobili</v>
      </c>
      <c r="C69" s="43" t="s">
        <v>69</v>
      </c>
      <c r="D69" s="42" t="str">
        <f aca="false">IF(E69="","",IFERROR(LEFT(VLOOKUP(E69,areaNomiSquadre,2,FALSE()),FIND("-",VLOOKUP(E69,areaNomiSquadre,2,FALSE()))-1),""))</f>
        <v>Pantere Pungenti</v>
      </c>
      <c r="E69" s="43" t="s">
        <v>73</v>
      </c>
      <c r="F69" s="44" t="n">
        <v>46411.4791666667</v>
      </c>
      <c r="G69" s="44"/>
      <c r="H69" s="44"/>
      <c r="I69" s="44"/>
      <c r="J69" s="45" t="n">
        <v>51</v>
      </c>
      <c r="K69" s="46" t="s">
        <v>339</v>
      </c>
      <c r="L69" s="45" t="n">
        <v>49</v>
      </c>
      <c r="M69" s="47" t="str">
        <f aca="false">IF($B69="","(Squadra A)",$B69)</f>
        <v>Narvali Nobili</v>
      </c>
      <c r="N69" s="47" t="n">
        <f aca="false">IF($J69+$L69=0,,IF($J69&gt;$L69,1,0))</f>
        <v>1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0</v>
      </c>
      <c r="Q69" s="47" t="n">
        <f aca="false">IF($J69+$L69=0,,$J69)</f>
        <v>51</v>
      </c>
      <c r="R69" s="47" t="n">
        <f aca="false">IF($J69+$L69=0,,$L69)</f>
        <v>49</v>
      </c>
      <c r="S69" s="47" t="n">
        <f aca="false">IF($J69+$L69=0,,$J69-$L69)</f>
        <v>2</v>
      </c>
      <c r="T69" s="47" t="str">
        <f aca="false">IF($D69="","(Squadra B)",$D69)</f>
        <v>Pantere Pungenti</v>
      </c>
      <c r="U69" s="47" t="n">
        <f aca="false">IF($J69+$L69=0,,IF($L69&gt;$J69,1,0))</f>
        <v>0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1</v>
      </c>
      <c r="X69" s="47" t="n">
        <f aca="false">IF($J69+$L69=0,,$L69)</f>
        <v>49</v>
      </c>
      <c r="Y69" s="47" t="n">
        <f aca="false">IF($J69+$L69=0,,$J69)</f>
        <v>51</v>
      </c>
      <c r="Z69" s="47" t="n">
        <f aca="false">IF($J69+$L69=0,,$L69-$J69)</f>
        <v>-2</v>
      </c>
      <c r="AA69" s="47" t="str">
        <f aca="false">IF($J69+$L69=0,"(Vincente)",IF($J69&gt;$L69,$B69,$D69))</f>
        <v>Narvali Nobili</v>
      </c>
      <c r="AB69" s="47" t="str">
        <f aca="false">IF($J69+$L69=0,"(Perdente)",IF($J69&lt;$L69,$B69,$D69))</f>
        <v>Pantere Pungenti</v>
      </c>
    </row>
    <row r="70" customFormat="false" ht="15.75" hidden="false" customHeight="true" outlineLevel="0" collapsed="false">
      <c r="A70" s="54"/>
      <c r="B70" s="48" t="str">
        <f aca="false">IF(I70="","",HYPERLINK(VLOOKUP(I70,areaCampiSquadre,3,FALSE()),VLOOKUP(I70,areaCampiSquadre,2,FALSE())))</f>
        <v>PalaPantere, Via dello Sport 13, Pantereopoli PE</v>
      </c>
      <c r="C70" s="48"/>
      <c r="D70" s="48"/>
      <c r="E70" s="48"/>
      <c r="F70" s="48"/>
      <c r="G70" s="48"/>
      <c r="H70" s="48"/>
      <c r="I70" s="43" t="s">
        <v>73</v>
      </c>
      <c r="J70" s="45"/>
      <c r="K70" s="45"/>
      <c r="L70" s="45"/>
    </row>
    <row r="71" customFormat="false" ht="12.75" hidden="false" customHeight="true" outlineLevel="0" collapsed="false">
      <c r="A71" s="53" t="s">
        <v>334</v>
      </c>
      <c r="B71" s="53" t="s">
        <v>317</v>
      </c>
      <c r="C71" s="53"/>
      <c r="D71" s="53" t="s">
        <v>324</v>
      </c>
      <c r="E71" s="53"/>
      <c r="F71" s="53" t="s">
        <v>335</v>
      </c>
      <c r="G71" s="53" t="s">
        <v>336</v>
      </c>
      <c r="H71" s="53" t="s">
        <v>337</v>
      </c>
      <c r="I71" s="53"/>
      <c r="J71" s="53" t="s">
        <v>338</v>
      </c>
      <c r="K71" s="53"/>
      <c r="L71" s="53"/>
    </row>
    <row r="72" customFormat="false" ht="24" hidden="false" customHeight="true" outlineLevel="0" collapsed="false">
      <c r="A72" s="54" t="n">
        <f aca="false">MAX(A$10:A71)+1</f>
        <v>47</v>
      </c>
      <c r="B72" s="42" t="str">
        <f aca="false">IF(C72="","",IFERROR(LEFT(VLOOKUP(C72,areaNomiSquadre,2,FALSE()),FIND("-",VLOOKUP(C72,areaNomiSquadre,2,FALSE()))-1),""))</f>
        <v>Quaglie Quiete</v>
      </c>
      <c r="C72" s="43" t="s">
        <v>75</v>
      </c>
      <c r="D72" s="42" t="str">
        <f aca="false">IF(E72="","",IFERROR(LEFT(VLOOKUP(E72,areaNomiSquadre,2,FALSE()),FIND("-",VLOOKUP(E72,areaNomiSquadre,2,FALSE()))-1),""))</f>
        <v>Marmotte Maldestre</v>
      </c>
      <c r="E72" s="43" t="s">
        <v>67</v>
      </c>
      <c r="F72" s="44" t="n">
        <v>46411.625</v>
      </c>
      <c r="G72" s="44"/>
      <c r="H72" s="44"/>
      <c r="I72" s="44"/>
      <c r="J72" s="45" t="n">
        <v>64</v>
      </c>
      <c r="K72" s="46" t="s">
        <v>339</v>
      </c>
      <c r="L72" s="45" t="n">
        <v>76</v>
      </c>
      <c r="M72" s="47" t="str">
        <f aca="false">IF($B72="","(Squadra A)",$B72)</f>
        <v>Quaglie Quiete</v>
      </c>
      <c r="N72" s="47" t="n">
        <f aca="false">IF($J72+$L72=0,,IF($J72&gt;$L72,1,0))</f>
        <v>0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1</v>
      </c>
      <c r="Q72" s="47" t="n">
        <f aca="false">IF($J72+$L72=0,,$J72)</f>
        <v>64</v>
      </c>
      <c r="R72" s="47" t="n">
        <f aca="false">IF($J72+$L72=0,,$L72)</f>
        <v>76</v>
      </c>
      <c r="S72" s="47" t="n">
        <f aca="false">IF($J72+$L72=0,,$J72-$L72)</f>
        <v>-12</v>
      </c>
      <c r="T72" s="47" t="str">
        <f aca="false">IF($D72="","(Squadra B)",$D72)</f>
        <v>Marmotte Maldestre</v>
      </c>
      <c r="U72" s="47" t="n">
        <f aca="false">IF($J72+$L72=0,,IF($L72&gt;$J72,1,0))</f>
        <v>1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0</v>
      </c>
      <c r="X72" s="47" t="n">
        <f aca="false">IF($J72+$L72=0,,$L72)</f>
        <v>76</v>
      </c>
      <c r="Y72" s="47" t="n">
        <f aca="false">IF($J72+$L72=0,,$J72)</f>
        <v>64</v>
      </c>
      <c r="Z72" s="47" t="n">
        <f aca="false">IF($J72+$L72=0,,$L72-$J72)</f>
        <v>12</v>
      </c>
      <c r="AA72" s="47" t="str">
        <f aca="false">IF($J72+$L72=0,"(Vincente)",IF($J72&gt;$L72,$B72,$D72))</f>
        <v>Marmotte Maldestre</v>
      </c>
      <c r="AB72" s="47" t="str">
        <f aca="false">IF($J72+$L72=0,"(Perdente)",IF($J72&lt;$L72,$B72,$D72))</f>
        <v>Quaglie Quiete</v>
      </c>
    </row>
    <row r="73" customFormat="false" ht="15.75" hidden="false" customHeight="true" outlineLevel="0" collapsed="false">
      <c r="A73" s="54"/>
      <c r="B73" s="48" t="str">
        <f aca="false">IF(I73="","",HYPERLINK(VLOOKUP(I73,areaCampiSquadre,3,FALSE()),VLOOKUP(I73,areaCampiSquadre,2,FALSE())))</f>
        <v>PalaPantere, Via dello Sport 13, Pantereopoli PE</v>
      </c>
      <c r="C73" s="48"/>
      <c r="D73" s="48"/>
      <c r="E73" s="48"/>
      <c r="F73" s="48"/>
      <c r="G73" s="48"/>
      <c r="H73" s="48"/>
      <c r="I73" s="43" t="s">
        <v>73</v>
      </c>
      <c r="J73" s="45"/>
      <c r="K73" s="45"/>
      <c r="L73" s="45"/>
    </row>
    <row r="74" customFormat="false" ht="12.75" hidden="false" customHeight="true" outlineLevel="0" collapsed="false">
      <c r="A74" s="53" t="s">
        <v>334</v>
      </c>
      <c r="B74" s="53" t="s">
        <v>317</v>
      </c>
      <c r="C74" s="53"/>
      <c r="D74" s="53" t="s">
        <v>324</v>
      </c>
      <c r="E74" s="53"/>
      <c r="F74" s="53" t="s">
        <v>335</v>
      </c>
      <c r="G74" s="53" t="s">
        <v>336</v>
      </c>
      <c r="H74" s="53" t="s">
        <v>337</v>
      </c>
      <c r="I74" s="53"/>
      <c r="J74" s="53" t="s">
        <v>338</v>
      </c>
      <c r="K74" s="53"/>
      <c r="L74" s="53"/>
    </row>
    <row r="75" customFormat="false" ht="24" hidden="false" customHeight="true" outlineLevel="0" collapsed="false">
      <c r="A75" s="54" t="n">
        <f aca="false">MAX(A$10:A74)+1</f>
        <v>48</v>
      </c>
      <c r="B75" s="42" t="str">
        <f aca="false">IF(C75="","",IFERROR(LEFT(VLOOKUP(C75,areaNomiSquadre,2,FALSE()),FIND("-",VLOOKUP(C75,areaNomiSquadre,2,FALSE()))-1),""))</f>
        <v>Salamandre Scaltre</v>
      </c>
      <c r="C75" s="43" t="s">
        <v>79</v>
      </c>
      <c r="D75" s="42" t="str">
        <f aca="false">IF(E75="","",IFERROR(LEFT(VLOOKUP(E75,areaNomiSquadre,2,FALSE()),FIND("-",VLOOKUP(E75,areaNomiSquadre,2,FALSE()))-1),""))</f>
        <v>Rinoceronti Ribelli</v>
      </c>
      <c r="E75" s="43" t="s">
        <v>77</v>
      </c>
      <c r="F75" s="44" t="n">
        <v>46411.7083333333</v>
      </c>
      <c r="G75" s="44"/>
      <c r="H75" s="44"/>
      <c r="I75" s="44"/>
      <c r="J75" s="45" t="n">
        <v>67</v>
      </c>
      <c r="K75" s="46" t="s">
        <v>339</v>
      </c>
      <c r="L75" s="45" t="n">
        <v>80</v>
      </c>
      <c r="M75" s="47" t="str">
        <f aca="false">IF($B75="","(Squadra A)",$B75)</f>
        <v>Salamandre Scaltre</v>
      </c>
      <c r="N75" s="47" t="n">
        <f aca="false">IF($J75+$L75=0,,IF($J75&gt;$L75,1,0))</f>
        <v>0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1</v>
      </c>
      <c r="Q75" s="47" t="n">
        <f aca="false">IF($J75+$L75=0,,$J75)</f>
        <v>67</v>
      </c>
      <c r="R75" s="47" t="n">
        <f aca="false">IF($J75+$L75=0,,$L75)</f>
        <v>80</v>
      </c>
      <c r="S75" s="47" t="n">
        <f aca="false">IF($J75+$L75=0,,$J75-$L75)</f>
        <v>-13</v>
      </c>
      <c r="T75" s="47" t="str">
        <f aca="false">IF($D75="","(Squadra B)",$D75)</f>
        <v>Rinoceronti Ribelli</v>
      </c>
      <c r="U75" s="47" t="n">
        <f aca="false">IF($J75+$L75=0,,IF($L75&gt;$J75,1,0))</f>
        <v>1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0</v>
      </c>
      <c r="X75" s="47" t="n">
        <f aca="false">IF($J75+$L75=0,,$L75)</f>
        <v>80</v>
      </c>
      <c r="Y75" s="47" t="n">
        <f aca="false">IF($J75+$L75=0,,$J75)</f>
        <v>67</v>
      </c>
      <c r="Z75" s="47" t="n">
        <f aca="false">IF($J75+$L75=0,,$L75-$J75)</f>
        <v>13</v>
      </c>
      <c r="AA75" s="47" t="str">
        <f aca="false">IF($J75+$L75=0,"(Vincente)",IF($J75&gt;$L75,$B75,$D75))</f>
        <v>Rinoceronti Ribelli</v>
      </c>
      <c r="AB75" s="47" t="str">
        <f aca="false">IF($J75+$L75=0,"(Perdente)",IF($J75&lt;$L75,$B75,$D75))</f>
        <v>Salamandre Scaltre</v>
      </c>
    </row>
    <row r="76" customFormat="false" ht="15.75" hidden="false" customHeight="true" outlineLevel="0" collapsed="false">
      <c r="A76" s="54"/>
      <c r="B76" s="48" t="str">
        <f aca="false">IF(I76="","",HYPERLINK(VLOOKUP(I76,areaCampiSquadre,3,FALSE()),VLOOKUP(I76,areaCampiSquadre,2,FALSE())))</f>
        <v>PalaPantere, Via dello Sport 13, Pantereopoli PE</v>
      </c>
      <c r="C76" s="48"/>
      <c r="D76" s="48"/>
      <c r="E76" s="48"/>
      <c r="F76" s="48"/>
      <c r="G76" s="48"/>
      <c r="H76" s="48"/>
      <c r="I76" s="43" t="s">
        <v>73</v>
      </c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51" t="s">
        <v>352</v>
      </c>
      <c r="B78" s="52" t="str">
        <f aca="false">"GIORNATA "&amp;ROMAN(VALUE(LEFT(A78,LEN(A78)-1)))&amp;" - GIRONE "&amp;RIGHT(A78,1)</f>
        <v>GIORNATA VI - GIRONE B</v>
      </c>
      <c r="C78" s="52"/>
      <c r="D78" s="52"/>
      <c r="E78" s="52"/>
      <c r="F78" s="52"/>
      <c r="G78" s="52"/>
      <c r="H78" s="52"/>
      <c r="I78" s="52"/>
      <c r="J78" s="52"/>
      <c r="K78" s="52"/>
      <c r="L78" s="52"/>
    </row>
    <row r="79" customFormat="false" ht="12.75" hidden="false" customHeight="true" outlineLevel="0" collapsed="false">
      <c r="A79" s="53" t="s">
        <v>334</v>
      </c>
      <c r="B79" s="53" t="s">
        <v>317</v>
      </c>
      <c r="C79" s="53"/>
      <c r="D79" s="53" t="s">
        <v>324</v>
      </c>
      <c r="E79" s="53"/>
      <c r="F79" s="53" t="s">
        <v>335</v>
      </c>
      <c r="G79" s="53" t="s">
        <v>336</v>
      </c>
      <c r="H79" s="53" t="s">
        <v>337</v>
      </c>
      <c r="I79" s="53"/>
      <c r="J79" s="53" t="s">
        <v>338</v>
      </c>
      <c r="K79" s="53"/>
      <c r="L79" s="53"/>
    </row>
    <row r="80" customFormat="false" ht="24" hidden="false" customHeight="true" outlineLevel="0" collapsed="false">
      <c r="A80" s="54" t="n">
        <f aca="false">MAX(A$10:A79)+1</f>
        <v>49</v>
      </c>
      <c r="B80" s="42" t="str">
        <f aca="false">IF(C80="","",IFERROR(LEFT(VLOOKUP(C80,areaNomiSquadre,2,FALSE()),FIND("-",VLOOKUP(C80,areaNomiSquadre,2,FALSE()))-1),""))</f>
        <v>Narvali Nobili</v>
      </c>
      <c r="C80" s="43" t="s">
        <v>69</v>
      </c>
      <c r="D80" s="42" t="str">
        <f aca="false">IF(E80="","",IFERROR(LEFT(VLOOKUP(E80,areaNomiSquadre,2,FALSE()),FIND("-",VLOOKUP(E80,areaNomiSquadre,2,FALSE()))-1),""))</f>
        <v>Lupi Lucenti</v>
      </c>
      <c r="E80" s="43" t="s">
        <v>64</v>
      </c>
      <c r="F80" s="44" t="n">
        <v>46432.3958333333</v>
      </c>
      <c r="G80" s="44"/>
      <c r="H80" s="44"/>
      <c r="I80" s="44"/>
      <c r="J80" s="45" t="n">
        <v>47</v>
      </c>
      <c r="K80" s="46" t="s">
        <v>339</v>
      </c>
      <c r="L80" s="45" t="n">
        <v>73</v>
      </c>
      <c r="M80" s="47" t="str">
        <f aca="false">IF($B80="","(Squadra A)",$B80)</f>
        <v>Narvali Nobili</v>
      </c>
      <c r="N80" s="47" t="n">
        <f aca="false">IF($J80+$L80=0,,IF($J80&gt;$L80,1,0))</f>
        <v>0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1</v>
      </c>
      <c r="Q80" s="47" t="n">
        <f aca="false">IF($J80+$L80=0,,$J80)</f>
        <v>47</v>
      </c>
      <c r="R80" s="47" t="n">
        <f aca="false">IF($J80+$L80=0,,$L80)</f>
        <v>73</v>
      </c>
      <c r="S80" s="47" t="n">
        <f aca="false">IF($J80+$L80=0,,$J80-$L80)</f>
        <v>-26</v>
      </c>
      <c r="T80" s="47" t="str">
        <f aca="false">IF($D80="","(Squadra B)",$D80)</f>
        <v>Lupi Lucenti</v>
      </c>
      <c r="U80" s="47" t="n">
        <f aca="false">IF($J80+$L80=0,,IF($L80&gt;$J80,1,0))</f>
        <v>1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0</v>
      </c>
      <c r="X80" s="47" t="n">
        <f aca="false">IF($J80+$L80=0,,$L80)</f>
        <v>73</v>
      </c>
      <c r="Y80" s="47" t="n">
        <f aca="false">IF($J80+$L80=0,,$J80)</f>
        <v>47</v>
      </c>
      <c r="Z80" s="47" t="n">
        <f aca="false">IF($J80+$L80=0,,$L80-$J80)</f>
        <v>26</v>
      </c>
      <c r="AA80" s="47" t="str">
        <f aca="false">IF($J80+$L80=0,"(Vincente)",IF($J80&gt;$L80,$B80,$D80))</f>
        <v>Lupi Lucenti</v>
      </c>
      <c r="AB80" s="47" t="str">
        <f aca="false">IF($J80+$L80=0,"(Perdente)",IF($J80&lt;$L80,$B80,$D80))</f>
        <v>Narvali Nobili</v>
      </c>
    </row>
    <row r="81" customFormat="false" ht="15.75" hidden="false" customHeight="true" outlineLevel="0" collapsed="false">
      <c r="A81" s="54"/>
      <c r="B81" s="48" t="str">
        <f aca="false">IF(I81="","",HYPERLINK(VLOOKUP(I81,areaCampiSquadre,3,FALSE()),VLOOKUP(I81,areaCampiSquadre,2,FALSE())))</f>
        <v>PalaQuaglie, Via dello Sport 14, Quaglieopoli QE</v>
      </c>
      <c r="C81" s="48"/>
      <c r="D81" s="48"/>
      <c r="E81" s="48"/>
      <c r="F81" s="48"/>
      <c r="G81" s="48"/>
      <c r="H81" s="48"/>
      <c r="I81" s="43" t="s">
        <v>75</v>
      </c>
      <c r="J81" s="45"/>
      <c r="K81" s="45"/>
      <c r="L81" s="45"/>
    </row>
    <row r="82" customFormat="false" ht="12.75" hidden="false" customHeight="true" outlineLevel="0" collapsed="false">
      <c r="A82" s="53" t="s">
        <v>334</v>
      </c>
      <c r="B82" s="53" t="s">
        <v>317</v>
      </c>
      <c r="C82" s="53"/>
      <c r="D82" s="53" t="s">
        <v>324</v>
      </c>
      <c r="E82" s="53"/>
      <c r="F82" s="53" t="s">
        <v>335</v>
      </c>
      <c r="G82" s="53" t="s">
        <v>336</v>
      </c>
      <c r="H82" s="53" t="s">
        <v>337</v>
      </c>
      <c r="I82" s="53"/>
      <c r="J82" s="53" t="s">
        <v>338</v>
      </c>
      <c r="K82" s="53"/>
      <c r="L82" s="53"/>
    </row>
    <row r="83" customFormat="false" ht="24" hidden="false" customHeight="true" outlineLevel="0" collapsed="false">
      <c r="A83" s="54" t="n">
        <f aca="false">MAX(A$10:A82)+1</f>
        <v>50</v>
      </c>
      <c r="B83" s="42" t="str">
        <f aca="false">IF(C83="","",IFERROR(LEFT(VLOOKUP(C83,areaNomiSquadre,2,FALSE()),FIND("-",VLOOKUP(C83,areaNomiSquadre,2,FALSE()))-1),""))</f>
        <v>Orsi Ostinati</v>
      </c>
      <c r="C83" s="43" t="s">
        <v>71</v>
      </c>
      <c r="D83" s="42" t="str">
        <f aca="false">IF(E83="","",IFERROR(LEFT(VLOOKUP(E83,areaNomiSquadre,2,FALSE()),FIND("-",VLOOKUP(E83,areaNomiSquadre,2,FALSE()))-1),""))</f>
        <v>Marmotte Maldestre</v>
      </c>
      <c r="E83" s="43" t="s">
        <v>67</v>
      </c>
      <c r="F83" s="44" t="n">
        <v>46432.4791666667</v>
      </c>
      <c r="G83" s="44"/>
      <c r="H83" s="44"/>
      <c r="I83" s="44"/>
      <c r="J83" s="45" t="n">
        <v>35</v>
      </c>
      <c r="K83" s="46" t="s">
        <v>339</v>
      </c>
      <c r="L83" s="45" t="n">
        <v>68</v>
      </c>
      <c r="M83" s="47" t="str">
        <f aca="false">IF($B83="","(Squadra A)",$B83)</f>
        <v>Orsi Ostinati</v>
      </c>
      <c r="N83" s="47" t="n">
        <f aca="false">IF($J83+$L83=0,,IF($J83&gt;$L83,1,0))</f>
        <v>0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1</v>
      </c>
      <c r="Q83" s="47" t="n">
        <f aca="false">IF($J83+$L83=0,,$J83)</f>
        <v>35</v>
      </c>
      <c r="R83" s="47" t="n">
        <f aca="false">IF($J83+$L83=0,,$L83)</f>
        <v>68</v>
      </c>
      <c r="S83" s="47" t="n">
        <f aca="false">IF($J83+$L83=0,,$J83-$L83)</f>
        <v>-33</v>
      </c>
      <c r="T83" s="47" t="str">
        <f aca="false">IF($D83="","(Squadra B)",$D83)</f>
        <v>Marmotte Maldestre</v>
      </c>
      <c r="U83" s="47" t="n">
        <f aca="false">IF($J83+$L83=0,,IF($L83&gt;$J83,1,0))</f>
        <v>1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0</v>
      </c>
      <c r="X83" s="47" t="n">
        <f aca="false">IF($J83+$L83=0,,$L83)</f>
        <v>68</v>
      </c>
      <c r="Y83" s="47" t="n">
        <f aca="false">IF($J83+$L83=0,,$J83)</f>
        <v>35</v>
      </c>
      <c r="Z83" s="47" t="n">
        <f aca="false">IF($J83+$L83=0,,$L83-$J83)</f>
        <v>33</v>
      </c>
      <c r="AA83" s="47" t="str">
        <f aca="false">IF($J83+$L83=0,"(Vincente)",IF($J83&gt;$L83,$B83,$D83))</f>
        <v>Marmotte Maldestre</v>
      </c>
      <c r="AB83" s="47" t="str">
        <f aca="false">IF($J83+$L83=0,"(Perdente)",IF($J83&lt;$L83,$B83,$D83))</f>
        <v>Orsi Ostinati</v>
      </c>
    </row>
    <row r="84" customFormat="false" ht="15.75" hidden="false" customHeight="true" outlineLevel="0" collapsed="false">
      <c r="A84" s="54"/>
      <c r="B84" s="48" t="str">
        <f aca="false">IF(I84="","",HYPERLINK(VLOOKUP(I84,areaCampiSquadre,3,FALSE()),VLOOKUP(I84,areaCampiSquadre,2,FALSE())))</f>
        <v>PalaQuaglie, Via dello Sport 14, Quaglieopoli QE</v>
      </c>
      <c r="C84" s="48"/>
      <c r="D84" s="48"/>
      <c r="E84" s="48"/>
      <c r="F84" s="48"/>
      <c r="G84" s="48"/>
      <c r="H84" s="48"/>
      <c r="I84" s="43" t="s">
        <v>75</v>
      </c>
      <c r="J84" s="45"/>
      <c r="K84" s="45"/>
      <c r="L84" s="45"/>
    </row>
    <row r="85" customFormat="false" ht="12.75" hidden="false" customHeight="true" outlineLevel="0" collapsed="false">
      <c r="A85" s="53" t="s">
        <v>334</v>
      </c>
      <c r="B85" s="53" t="s">
        <v>317</v>
      </c>
      <c r="C85" s="53"/>
      <c r="D85" s="53" t="s">
        <v>324</v>
      </c>
      <c r="E85" s="53"/>
      <c r="F85" s="53" t="s">
        <v>335</v>
      </c>
      <c r="G85" s="53" t="s">
        <v>336</v>
      </c>
      <c r="H85" s="53" t="s">
        <v>337</v>
      </c>
      <c r="I85" s="53"/>
      <c r="J85" s="53" t="s">
        <v>338</v>
      </c>
      <c r="K85" s="53"/>
      <c r="L85" s="53"/>
    </row>
    <row r="86" customFormat="false" ht="24" hidden="false" customHeight="true" outlineLevel="0" collapsed="false">
      <c r="A86" s="54" t="n">
        <f aca="false">MAX(A$10:A85)+1</f>
        <v>51</v>
      </c>
      <c r="B86" s="42" t="str">
        <f aca="false">IF(C86="","",IFERROR(LEFT(VLOOKUP(C86,areaNomiSquadre,2,FALSE()),FIND("-",VLOOKUP(C86,areaNomiSquadre,2,FALSE()))-1),""))</f>
        <v>Salamandre Scaltre</v>
      </c>
      <c r="C86" s="43" t="s">
        <v>79</v>
      </c>
      <c r="D86" s="42" t="str">
        <f aca="false">IF(E86="","",IFERROR(LEFT(VLOOKUP(E86,areaNomiSquadre,2,FALSE()),FIND("-",VLOOKUP(E86,areaNomiSquadre,2,FALSE()))-1),""))</f>
        <v>Pantere Pungenti</v>
      </c>
      <c r="E86" s="43" t="s">
        <v>73</v>
      </c>
      <c r="F86" s="44" t="n">
        <v>46432.625</v>
      </c>
      <c r="G86" s="44"/>
      <c r="H86" s="44"/>
      <c r="I86" s="44"/>
      <c r="J86" s="45" t="n">
        <v>70</v>
      </c>
      <c r="K86" s="46" t="s">
        <v>339</v>
      </c>
      <c r="L86" s="45" t="n">
        <v>68</v>
      </c>
      <c r="M86" s="47" t="str">
        <f aca="false">IF($B86="","(Squadra A)",$B86)</f>
        <v>Salamandre Scaltre</v>
      </c>
      <c r="N86" s="47" t="n">
        <f aca="false">IF($J86+$L86=0,,IF($J86&gt;$L86,1,0))</f>
        <v>1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0</v>
      </c>
      <c r="Q86" s="47" t="n">
        <f aca="false">IF($J86+$L86=0,,$J86)</f>
        <v>70</v>
      </c>
      <c r="R86" s="47" t="n">
        <f aca="false">IF($J86+$L86=0,,$L86)</f>
        <v>68</v>
      </c>
      <c r="S86" s="47" t="n">
        <f aca="false">IF($J86+$L86=0,,$J86-$L86)</f>
        <v>2</v>
      </c>
      <c r="T86" s="47" t="str">
        <f aca="false">IF($D86="","(Squadra B)",$D86)</f>
        <v>Pantere Pungenti</v>
      </c>
      <c r="U86" s="47" t="n">
        <f aca="false">IF($J86+$L86=0,,IF($L86&gt;$J86,1,0))</f>
        <v>0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1</v>
      </c>
      <c r="X86" s="47" t="n">
        <f aca="false">IF($J86+$L86=0,,$L86)</f>
        <v>68</v>
      </c>
      <c r="Y86" s="47" t="n">
        <f aca="false">IF($J86+$L86=0,,$J86)</f>
        <v>70</v>
      </c>
      <c r="Z86" s="47" t="n">
        <f aca="false">IF($J86+$L86=0,,$L86-$J86)</f>
        <v>-2</v>
      </c>
      <c r="AA86" s="47" t="str">
        <f aca="false">IF($J86+$L86=0,"(Vincente)",IF($J86&gt;$L86,$B86,$D86))</f>
        <v>Salamandre Scaltre</v>
      </c>
      <c r="AB86" s="47" t="str">
        <f aca="false">IF($J86+$L86=0,"(Perdente)",IF($J86&lt;$L86,$B86,$D86))</f>
        <v>Pantere Pungenti</v>
      </c>
    </row>
    <row r="87" customFormat="false" ht="15.75" hidden="false" customHeight="true" outlineLevel="0" collapsed="false">
      <c r="A87" s="54"/>
      <c r="B87" s="48" t="str">
        <f aca="false">IF(I87="","",HYPERLINK(VLOOKUP(I87,areaCampiSquadre,3,FALSE()),VLOOKUP(I87,areaCampiSquadre,2,FALSE())))</f>
        <v>PalaQuaglie, Via dello Sport 14, Quaglieopoli QE</v>
      </c>
      <c r="C87" s="48"/>
      <c r="D87" s="48"/>
      <c r="E87" s="48"/>
      <c r="F87" s="48"/>
      <c r="G87" s="48"/>
      <c r="H87" s="48"/>
      <c r="I87" s="43" t="s">
        <v>75</v>
      </c>
      <c r="J87" s="45"/>
      <c r="K87" s="45"/>
      <c r="L87" s="45"/>
    </row>
    <row r="88" customFormat="false" ht="12.75" hidden="false" customHeight="true" outlineLevel="0" collapsed="false">
      <c r="A88" s="53" t="s">
        <v>334</v>
      </c>
      <c r="B88" s="53" t="s">
        <v>317</v>
      </c>
      <c r="C88" s="53"/>
      <c r="D88" s="53" t="s">
        <v>324</v>
      </c>
      <c r="E88" s="53"/>
      <c r="F88" s="53" t="s">
        <v>335</v>
      </c>
      <c r="G88" s="53" t="s">
        <v>336</v>
      </c>
      <c r="H88" s="53" t="s">
        <v>337</v>
      </c>
      <c r="I88" s="53"/>
      <c r="J88" s="53" t="s">
        <v>338</v>
      </c>
      <c r="K88" s="53"/>
      <c r="L88" s="53"/>
    </row>
    <row r="89" customFormat="false" ht="24" hidden="false" customHeight="true" outlineLevel="0" collapsed="false">
      <c r="A89" s="54" t="n">
        <f aca="false">MAX(A$10:A88)+1</f>
        <v>52</v>
      </c>
      <c r="B89" s="42" t="str">
        <f aca="false">IF(C89="","",IFERROR(LEFT(VLOOKUP(C89,areaNomiSquadre,2,FALSE()),FIND("-",VLOOKUP(C89,areaNomiSquadre,2,FALSE()))-1),""))</f>
        <v>Quaglie Quiete</v>
      </c>
      <c r="C89" s="43" t="s">
        <v>75</v>
      </c>
      <c r="D89" s="42" t="str">
        <f aca="false">IF(E89="","",IFERROR(LEFT(VLOOKUP(E89,areaNomiSquadre,2,FALSE()),FIND("-",VLOOKUP(E89,areaNomiSquadre,2,FALSE()))-1),""))</f>
        <v>Rinoceronti Ribelli</v>
      </c>
      <c r="E89" s="43" t="s">
        <v>77</v>
      </c>
      <c r="F89" s="44" t="n">
        <v>46432.7083333333</v>
      </c>
      <c r="G89" s="44"/>
      <c r="H89" s="44"/>
      <c r="I89" s="44"/>
      <c r="J89" s="45" t="n">
        <v>45</v>
      </c>
      <c r="K89" s="46" t="s">
        <v>339</v>
      </c>
      <c r="L89" s="45" t="n">
        <v>77</v>
      </c>
      <c r="M89" s="47" t="str">
        <f aca="false">IF($B89="","(Squadra A)",$B89)</f>
        <v>Quaglie Quiete</v>
      </c>
      <c r="N89" s="47" t="n">
        <f aca="false">IF($J89+$L89=0,,IF($J89&gt;$L89,1,0))</f>
        <v>0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1</v>
      </c>
      <c r="Q89" s="47" t="n">
        <f aca="false">IF($J89+$L89=0,,$J89)</f>
        <v>45</v>
      </c>
      <c r="R89" s="47" t="n">
        <f aca="false">IF($J89+$L89=0,,$L89)</f>
        <v>77</v>
      </c>
      <c r="S89" s="47" t="n">
        <f aca="false">IF($J89+$L89=0,,$J89-$L89)</f>
        <v>-32</v>
      </c>
      <c r="T89" s="47" t="str">
        <f aca="false">IF($D89="","(Squadra B)",$D89)</f>
        <v>Rinoceronti Ribelli</v>
      </c>
      <c r="U89" s="47" t="n">
        <f aca="false">IF($J89+$L89=0,,IF($L89&gt;$J89,1,0))</f>
        <v>1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0</v>
      </c>
      <c r="X89" s="47" t="n">
        <f aca="false">IF($J89+$L89=0,,$L89)</f>
        <v>77</v>
      </c>
      <c r="Y89" s="47" t="n">
        <f aca="false">IF($J89+$L89=0,,$J89)</f>
        <v>45</v>
      </c>
      <c r="Z89" s="47" t="n">
        <f aca="false">IF($J89+$L89=0,,$L89-$J89)</f>
        <v>32</v>
      </c>
      <c r="AA89" s="47" t="str">
        <f aca="false">IF($J89+$L89=0,"(Vincente)",IF($J89&gt;$L89,$B89,$D89))</f>
        <v>Rinoceronti Ribelli</v>
      </c>
      <c r="AB89" s="47" t="str">
        <f aca="false">IF($J89+$L89=0,"(Perdente)",IF($J89&lt;$L89,$B89,$D89))</f>
        <v>Quaglie Quiete</v>
      </c>
    </row>
    <row r="90" customFormat="false" ht="15.75" hidden="false" customHeight="true" outlineLevel="0" collapsed="false">
      <c r="A90" s="54"/>
      <c r="B90" s="48" t="str">
        <f aca="false">IF(I90="","",HYPERLINK(VLOOKUP(I90,areaCampiSquadre,3,FALSE()),VLOOKUP(I90,areaCampiSquadre,2,FALSE())))</f>
        <v>PalaQuaglie, Via dello Sport 14, Quaglieopoli QE</v>
      </c>
      <c r="C90" s="48"/>
      <c r="D90" s="48"/>
      <c r="E90" s="48"/>
      <c r="F90" s="48"/>
      <c r="G90" s="48"/>
      <c r="H90" s="48"/>
      <c r="I90" s="43" t="s">
        <v>75</v>
      </c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51" t="s">
        <v>353</v>
      </c>
      <c r="B92" s="52" t="str">
        <f aca="false">"GIORNATA "&amp;ROMAN(VALUE(LEFT(A92,LEN(A92)-1)))&amp;" - GIRONE "&amp;RIGHT(A92,1)</f>
        <v>GIORNATA VII - GIRONE B</v>
      </c>
      <c r="C92" s="52"/>
      <c r="D92" s="52"/>
      <c r="E92" s="52"/>
      <c r="F92" s="52"/>
      <c r="G92" s="52"/>
      <c r="H92" s="52"/>
      <c r="I92" s="52"/>
      <c r="J92" s="52"/>
      <c r="K92" s="52"/>
      <c r="L92" s="52"/>
    </row>
    <row r="93" customFormat="false" ht="12.75" hidden="false" customHeight="true" outlineLevel="0" collapsed="false">
      <c r="A93" s="53" t="s">
        <v>334</v>
      </c>
      <c r="B93" s="53" t="s">
        <v>317</v>
      </c>
      <c r="C93" s="53"/>
      <c r="D93" s="53" t="s">
        <v>324</v>
      </c>
      <c r="E93" s="53"/>
      <c r="F93" s="53" t="s">
        <v>335</v>
      </c>
      <c r="G93" s="53" t="s">
        <v>336</v>
      </c>
      <c r="H93" s="53" t="s">
        <v>337</v>
      </c>
      <c r="I93" s="53"/>
      <c r="J93" s="53" t="s">
        <v>338</v>
      </c>
      <c r="K93" s="53"/>
      <c r="L93" s="53"/>
    </row>
    <row r="94" customFormat="false" ht="24" hidden="false" customHeight="true" outlineLevel="0" collapsed="false">
      <c r="A94" s="54" t="n">
        <f aca="false">MAX(A$10:A93)+1</f>
        <v>53</v>
      </c>
      <c r="B94" s="42" t="str">
        <f aca="false">IF(C94="","",IFERROR(LEFT(VLOOKUP(C94,areaNomiSquadre,2,FALSE()),FIND("-",VLOOKUP(C94,areaNomiSquadre,2,FALSE()))-1),""))</f>
        <v>Lupi Lucenti</v>
      </c>
      <c r="C94" s="43" t="s">
        <v>64</v>
      </c>
      <c r="D94" s="42" t="str">
        <f aca="false">IF(E94="","",IFERROR(LEFT(VLOOKUP(E94,areaNomiSquadre,2,FALSE()),FIND("-",VLOOKUP(E94,areaNomiSquadre,2,FALSE()))-1),""))</f>
        <v>Marmotte Maldestre</v>
      </c>
      <c r="E94" s="43" t="s">
        <v>67</v>
      </c>
      <c r="F94" s="44" t="n">
        <v>46453.3958333333</v>
      </c>
      <c r="G94" s="44"/>
      <c r="H94" s="44"/>
      <c r="I94" s="44"/>
      <c r="J94" s="45" t="n">
        <v>58</v>
      </c>
      <c r="K94" s="46" t="s">
        <v>339</v>
      </c>
      <c r="L94" s="45" t="n">
        <v>48</v>
      </c>
      <c r="M94" s="47" t="str">
        <f aca="false">IF($B94="","(Squadra A)",$B94)</f>
        <v>Lupi Lucenti</v>
      </c>
      <c r="N94" s="47" t="n">
        <f aca="false">IF($J94+$L94=0,,IF($J94&gt;$L94,1,0))</f>
        <v>1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0</v>
      </c>
      <c r="Q94" s="47" t="n">
        <f aca="false">IF($J94+$L94=0,,$J94)</f>
        <v>58</v>
      </c>
      <c r="R94" s="47" t="n">
        <f aca="false">IF($J94+$L94=0,,$L94)</f>
        <v>48</v>
      </c>
      <c r="S94" s="47" t="n">
        <f aca="false">IF($J94+$L94=0,,$J94-$L94)</f>
        <v>10</v>
      </c>
      <c r="T94" s="47" t="str">
        <f aca="false">IF($D94="","(Squadra B)",$D94)</f>
        <v>Marmotte Maldestre</v>
      </c>
      <c r="U94" s="47" t="n">
        <f aca="false">IF($J94+$L94=0,,IF($L94&gt;$J94,1,0))</f>
        <v>0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1</v>
      </c>
      <c r="X94" s="47" t="n">
        <f aca="false">IF($J94+$L94=0,,$L94)</f>
        <v>48</v>
      </c>
      <c r="Y94" s="47" t="n">
        <f aca="false">IF($J94+$L94=0,,$J94)</f>
        <v>58</v>
      </c>
      <c r="Z94" s="47" t="n">
        <f aca="false">IF($J94+$L94=0,,$L94-$J94)</f>
        <v>-10</v>
      </c>
      <c r="AA94" s="47" t="str">
        <f aca="false">IF($J94+$L94=0,"(Vincente)",IF($J94&gt;$L94,$B94,$D94))</f>
        <v>Lupi Lucenti</v>
      </c>
      <c r="AB94" s="47" t="str">
        <f aca="false">IF($J94+$L94=0,"(Perdente)",IF($J94&lt;$L94,$B94,$D94))</f>
        <v>Marmotte Maldestre</v>
      </c>
    </row>
    <row r="95" customFormat="false" ht="15.75" hidden="false" customHeight="true" outlineLevel="0" collapsed="false">
      <c r="A95" s="54"/>
      <c r="B95" s="48" t="str">
        <f aca="false">IF(I95="","",HYPERLINK(VLOOKUP(I95,areaCampiSquadre,3,FALSE()),VLOOKUP(I95,areaCampiSquadre,2,FALSE())))</f>
        <v>PalaRinoceronti, Via dello Sport 15, Rinocerontiopoli RI</v>
      </c>
      <c r="C95" s="48"/>
      <c r="D95" s="48"/>
      <c r="E95" s="48"/>
      <c r="F95" s="48"/>
      <c r="G95" s="48"/>
      <c r="H95" s="48"/>
      <c r="I95" s="43" t="s">
        <v>77</v>
      </c>
      <c r="J95" s="45"/>
      <c r="K95" s="45"/>
      <c r="L95" s="45"/>
    </row>
    <row r="96" customFormat="false" ht="12.75" hidden="false" customHeight="true" outlineLevel="0" collapsed="false">
      <c r="A96" s="53" t="s">
        <v>334</v>
      </c>
      <c r="B96" s="53" t="s">
        <v>317</v>
      </c>
      <c r="C96" s="53"/>
      <c r="D96" s="53" t="s">
        <v>324</v>
      </c>
      <c r="E96" s="53"/>
      <c r="F96" s="53" t="s">
        <v>335</v>
      </c>
      <c r="G96" s="53" t="s">
        <v>336</v>
      </c>
      <c r="H96" s="53" t="s">
        <v>337</v>
      </c>
      <c r="I96" s="53"/>
      <c r="J96" s="53" t="s">
        <v>338</v>
      </c>
      <c r="K96" s="53"/>
      <c r="L96" s="53"/>
    </row>
    <row r="97" customFormat="false" ht="24" hidden="false" customHeight="true" outlineLevel="0" collapsed="false">
      <c r="A97" s="54" t="n">
        <f aca="false">MAX(A$10:A96)+1</f>
        <v>54</v>
      </c>
      <c r="B97" s="42" t="str">
        <f aca="false">IF(C97="","",IFERROR(LEFT(VLOOKUP(C97,areaNomiSquadre,2,FALSE()),FIND("-",VLOOKUP(C97,areaNomiSquadre,2,FALSE()))-1),""))</f>
        <v>Salamandre Scaltre</v>
      </c>
      <c r="C97" s="43" t="s">
        <v>79</v>
      </c>
      <c r="D97" s="42" t="str">
        <f aca="false">IF(E97="","",IFERROR(LEFT(VLOOKUP(E97,areaNomiSquadre,2,FALSE()),FIND("-",VLOOKUP(E97,areaNomiSquadre,2,FALSE()))-1),""))</f>
        <v>Narvali Nobili</v>
      </c>
      <c r="E97" s="43" t="s">
        <v>69</v>
      </c>
      <c r="F97" s="44" t="n">
        <v>46453.4791666667</v>
      </c>
      <c r="G97" s="44"/>
      <c r="H97" s="44"/>
      <c r="I97" s="44"/>
      <c r="J97" s="45" t="n">
        <v>63</v>
      </c>
      <c r="K97" s="46" t="s">
        <v>339</v>
      </c>
      <c r="L97" s="45" t="n">
        <v>53</v>
      </c>
      <c r="M97" s="47" t="str">
        <f aca="false">IF($B97="","(Squadra A)",$B97)</f>
        <v>Salamandre Scaltre</v>
      </c>
      <c r="N97" s="47" t="n">
        <f aca="false">IF($J97+$L97=0,,IF($J97&gt;$L97,1,0))</f>
        <v>1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63</v>
      </c>
      <c r="R97" s="47" t="n">
        <f aca="false">IF($J97+$L97=0,,$L97)</f>
        <v>53</v>
      </c>
      <c r="S97" s="47" t="n">
        <f aca="false">IF($J97+$L97=0,,$J97-$L97)</f>
        <v>10</v>
      </c>
      <c r="T97" s="47" t="str">
        <f aca="false">IF($D97="","(Squadra B)",$D97)</f>
        <v>Narvali Nobili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1</v>
      </c>
      <c r="X97" s="47" t="n">
        <f aca="false">IF($J97+$L97=0,,$L97)</f>
        <v>53</v>
      </c>
      <c r="Y97" s="47" t="n">
        <f aca="false">IF($J97+$L97=0,,$J97)</f>
        <v>63</v>
      </c>
      <c r="Z97" s="47" t="n">
        <f aca="false">IF($J97+$L97=0,,$L97-$J97)</f>
        <v>-10</v>
      </c>
      <c r="AA97" s="47" t="str">
        <f aca="false">IF($J97+$L97=0,"(Vincente)",IF($J97&gt;$L97,$B97,$D97))</f>
        <v>Salamandre Scaltre</v>
      </c>
      <c r="AB97" s="47" t="str">
        <f aca="false">IF($J97+$L97=0,"(Perdente)",IF($J97&lt;$L97,$B97,$D97))</f>
        <v>Narvali Nobili</v>
      </c>
    </row>
    <row r="98" customFormat="false" ht="15.75" hidden="false" customHeight="true" outlineLevel="0" collapsed="false">
      <c r="A98" s="54"/>
      <c r="B98" s="48" t="str">
        <f aca="false">IF(I98="","",HYPERLINK(VLOOKUP(I98,areaCampiSquadre,3,FALSE()),VLOOKUP(I98,areaCampiSquadre,2,FALSE())))</f>
        <v>PalaRinoceronti, Via dello Sport 15, Rinocerontiopoli RI</v>
      </c>
      <c r="C98" s="48"/>
      <c r="D98" s="48"/>
      <c r="E98" s="48"/>
      <c r="F98" s="48"/>
      <c r="G98" s="48"/>
      <c r="H98" s="48"/>
      <c r="I98" s="43" t="s">
        <v>77</v>
      </c>
      <c r="J98" s="45"/>
      <c r="K98" s="45"/>
      <c r="L98" s="45"/>
    </row>
    <row r="99" customFormat="false" ht="12.75" hidden="false" customHeight="true" outlineLevel="0" collapsed="false">
      <c r="A99" s="53" t="s">
        <v>334</v>
      </c>
      <c r="B99" s="53" t="s">
        <v>317</v>
      </c>
      <c r="C99" s="53"/>
      <c r="D99" s="53" t="s">
        <v>324</v>
      </c>
      <c r="E99" s="53"/>
      <c r="F99" s="53" t="s">
        <v>335</v>
      </c>
      <c r="G99" s="53" t="s">
        <v>336</v>
      </c>
      <c r="H99" s="53" t="s">
        <v>337</v>
      </c>
      <c r="I99" s="53"/>
      <c r="J99" s="53" t="s">
        <v>338</v>
      </c>
      <c r="K99" s="53"/>
      <c r="L99" s="53"/>
    </row>
    <row r="100" customFormat="false" ht="24" hidden="false" customHeight="true" outlineLevel="0" collapsed="false">
      <c r="A100" s="54" t="n">
        <f aca="false">MAX(A$10:A99)+1</f>
        <v>55</v>
      </c>
      <c r="B100" s="42" t="str">
        <f aca="false">IF(C100="","",IFERROR(LEFT(VLOOKUP(C100,areaNomiSquadre,2,FALSE()),FIND("-",VLOOKUP(C100,areaNomiSquadre,2,FALSE()))-1),""))</f>
        <v>Orsi Ostinati</v>
      </c>
      <c r="C100" s="43" t="s">
        <v>71</v>
      </c>
      <c r="D100" s="42" t="str">
        <f aca="false">IF(E100="","",IFERROR(LEFT(VLOOKUP(E100,areaNomiSquadre,2,FALSE()),FIND("-",VLOOKUP(E100,areaNomiSquadre,2,FALSE()))-1),""))</f>
        <v>Rinoceronti Ribelli</v>
      </c>
      <c r="E100" s="43" t="s">
        <v>77</v>
      </c>
      <c r="F100" s="44" t="n">
        <v>46453.625</v>
      </c>
      <c r="G100" s="44"/>
      <c r="H100" s="44"/>
      <c r="I100" s="44"/>
      <c r="J100" s="45" t="n">
        <v>33</v>
      </c>
      <c r="K100" s="46" t="s">
        <v>339</v>
      </c>
      <c r="L100" s="45" t="n">
        <v>67</v>
      </c>
      <c r="M100" s="47" t="str">
        <f aca="false">IF($B100="","(Squadra A)",$B100)</f>
        <v>Orsi Ostinati</v>
      </c>
      <c r="N100" s="47" t="n">
        <f aca="false">IF($J100+$L100=0,,IF($J100&gt;$L100,1,0))</f>
        <v>0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1</v>
      </c>
      <c r="Q100" s="47" t="n">
        <f aca="false">IF($J100+$L100=0,,$J100)</f>
        <v>33</v>
      </c>
      <c r="R100" s="47" t="n">
        <f aca="false">IF($J100+$L100=0,,$L100)</f>
        <v>67</v>
      </c>
      <c r="S100" s="47" t="n">
        <f aca="false">IF($J100+$L100=0,,$J100-$L100)</f>
        <v>-34</v>
      </c>
      <c r="T100" s="47" t="str">
        <f aca="false">IF($D100="","(Squadra B)",$D100)</f>
        <v>Rinoceronti Ribelli</v>
      </c>
      <c r="U100" s="47" t="n">
        <f aca="false">IF($J100+$L100=0,,IF($L100&gt;$J100,1,0))</f>
        <v>1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0</v>
      </c>
      <c r="X100" s="47" t="n">
        <f aca="false">IF($J100+$L100=0,,$L100)</f>
        <v>67</v>
      </c>
      <c r="Y100" s="47" t="n">
        <f aca="false">IF($J100+$L100=0,,$J100)</f>
        <v>33</v>
      </c>
      <c r="Z100" s="47" t="n">
        <f aca="false">IF($J100+$L100=0,,$L100-$J100)</f>
        <v>34</v>
      </c>
      <c r="AA100" s="47" t="str">
        <f aca="false">IF($J100+$L100=0,"(Vincente)",IF($J100&gt;$L100,$B100,$D100))</f>
        <v>Rinoceronti Ribelli</v>
      </c>
      <c r="AB100" s="47" t="str">
        <f aca="false">IF($J100+$L100=0,"(Perdente)",IF($J100&lt;$L100,$B100,$D100))</f>
        <v>Orsi Ostinati</v>
      </c>
    </row>
    <row r="101" customFormat="false" ht="15.75" hidden="false" customHeight="true" outlineLevel="0" collapsed="false">
      <c r="A101" s="54"/>
      <c r="B101" s="48" t="str">
        <f aca="false">IF(I101="","",HYPERLINK(VLOOKUP(I101,areaCampiSquadre,3,FALSE()),VLOOKUP(I101,areaCampiSquadre,2,FALSE())))</f>
        <v>PalaRinoceronti, Via dello Sport 15, Rinocerontiopoli RI</v>
      </c>
      <c r="C101" s="48"/>
      <c r="D101" s="48"/>
      <c r="E101" s="48"/>
      <c r="F101" s="48"/>
      <c r="G101" s="48"/>
      <c r="H101" s="48"/>
      <c r="I101" s="43" t="s">
        <v>77</v>
      </c>
      <c r="J101" s="45"/>
      <c r="K101" s="45"/>
      <c r="L101" s="45"/>
    </row>
    <row r="102" customFormat="false" ht="12.75" hidden="false" customHeight="true" outlineLevel="0" collapsed="false">
      <c r="A102" s="53" t="s">
        <v>334</v>
      </c>
      <c r="B102" s="53" t="s">
        <v>317</v>
      </c>
      <c r="C102" s="53"/>
      <c r="D102" s="53" t="s">
        <v>324</v>
      </c>
      <c r="E102" s="53"/>
      <c r="F102" s="53" t="s">
        <v>335</v>
      </c>
      <c r="G102" s="53" t="s">
        <v>336</v>
      </c>
      <c r="H102" s="53" t="s">
        <v>337</v>
      </c>
      <c r="I102" s="53"/>
      <c r="J102" s="53" t="s">
        <v>338</v>
      </c>
      <c r="K102" s="53"/>
      <c r="L102" s="53"/>
    </row>
    <row r="103" customFormat="false" ht="24" hidden="false" customHeight="true" outlineLevel="0" collapsed="false">
      <c r="A103" s="54" t="n">
        <f aca="false">MAX(A$10:A102)+1</f>
        <v>56</v>
      </c>
      <c r="B103" s="42" t="str">
        <f aca="false">IF(C103="","",IFERROR(LEFT(VLOOKUP(C103,areaNomiSquadre,2,FALSE()),FIND("-",VLOOKUP(C103,areaNomiSquadre,2,FALSE()))-1),""))</f>
        <v>Quaglie Quiete</v>
      </c>
      <c r="C103" s="43" t="s">
        <v>75</v>
      </c>
      <c r="D103" s="42" t="str">
        <f aca="false">IF(E103="","",IFERROR(LEFT(VLOOKUP(E103,areaNomiSquadre,2,FALSE()),FIND("-",VLOOKUP(E103,areaNomiSquadre,2,FALSE()))-1),""))</f>
        <v>Pantere Pungenti</v>
      </c>
      <c r="E103" s="43" t="s">
        <v>73</v>
      </c>
      <c r="F103" s="44" t="n">
        <v>46453.7083333333</v>
      </c>
      <c r="G103" s="44"/>
      <c r="H103" s="44"/>
      <c r="I103" s="44"/>
      <c r="J103" s="45" t="n">
        <v>57</v>
      </c>
      <c r="K103" s="46" t="s">
        <v>339</v>
      </c>
      <c r="L103" s="45" t="n">
        <v>60</v>
      </c>
      <c r="M103" s="47" t="str">
        <f aca="false">IF($B103="","(Squadra A)",$B103)</f>
        <v>Quaglie Quiete</v>
      </c>
      <c r="N103" s="47" t="n">
        <f aca="false">IF($J103+$L103=0,,IF($J103&gt;$L103,1,0))</f>
        <v>0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1</v>
      </c>
      <c r="Q103" s="47" t="n">
        <f aca="false">IF($J103+$L103=0,,$J103)</f>
        <v>57</v>
      </c>
      <c r="R103" s="47" t="n">
        <f aca="false">IF($J103+$L103=0,,$L103)</f>
        <v>60</v>
      </c>
      <c r="S103" s="47" t="n">
        <f aca="false">IF($J103+$L103=0,,$J103-$L103)</f>
        <v>-3</v>
      </c>
      <c r="T103" s="47" t="str">
        <f aca="false">IF($D103="","(Squadra B)",$D103)</f>
        <v>Pantere Pungenti</v>
      </c>
      <c r="U103" s="47" t="n">
        <f aca="false">IF($J103+$L103=0,,IF($L103&gt;$J103,1,0))</f>
        <v>1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0</v>
      </c>
      <c r="X103" s="47" t="n">
        <f aca="false">IF($J103+$L103=0,,$L103)</f>
        <v>60</v>
      </c>
      <c r="Y103" s="47" t="n">
        <f aca="false">IF($J103+$L103=0,,$J103)</f>
        <v>57</v>
      </c>
      <c r="Z103" s="47" t="n">
        <f aca="false">IF($J103+$L103=0,,$L103-$J103)</f>
        <v>3</v>
      </c>
      <c r="AA103" s="47" t="str">
        <f aca="false">IF($J103+$L103=0,"(Vincente)",IF($J103&gt;$L103,$B103,$D103))</f>
        <v>Pantere Pungenti</v>
      </c>
      <c r="AB103" s="47" t="str">
        <f aca="false">IF($J103+$L103=0,"(Perdente)",IF($J103&lt;$L103,$B103,$D103))</f>
        <v>Quaglie Quiete</v>
      </c>
    </row>
    <row r="104" customFormat="false" ht="15.75" hidden="false" customHeight="true" outlineLevel="0" collapsed="false">
      <c r="A104" s="54"/>
      <c r="B104" s="48" t="str">
        <f aca="false">IF(I104="","",HYPERLINK(VLOOKUP(I104,areaCampiSquadre,3,FALSE()),VLOOKUP(I104,areaCampiSquadre,2,FALSE())))</f>
        <v>PalaRinoceronti, Via dello Sport 15, Rinocerontiopoli RI</v>
      </c>
      <c r="C104" s="48"/>
      <c r="D104" s="48"/>
      <c r="E104" s="48"/>
      <c r="F104" s="48"/>
      <c r="G104" s="48"/>
      <c r="H104" s="48"/>
      <c r="I104" s="43" t="s">
        <v>77</v>
      </c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346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>Campionato Baskin Demo - ESEMPIO COMPILATO 64 Squadre</v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55" t="str">
        <f aca="false">"GIRONE C - Stagione "&amp;constStagionaCampionato</f>
        <v>GIRONE C - Stagione 2026/2027</v>
      </c>
      <c r="B3" s="55"/>
      <c r="C3" s="55"/>
      <c r="D3" s="55"/>
    </row>
    <row r="6" customFormat="false" ht="15" hidden="false" customHeight="false" outlineLevel="0" collapsed="false">
      <c r="M6" s="37" t="s">
        <v>317</v>
      </c>
      <c r="N6" s="37" t="s">
        <v>318</v>
      </c>
      <c r="O6" s="37" t="s">
        <v>319</v>
      </c>
      <c r="P6" s="37" t="s">
        <v>320</v>
      </c>
      <c r="Q6" s="37" t="s">
        <v>321</v>
      </c>
      <c r="R6" s="37" t="s">
        <v>322</v>
      </c>
      <c r="S6" s="37" t="s">
        <v>323</v>
      </c>
      <c r="T6" s="37" t="s">
        <v>324</v>
      </c>
      <c r="U6" s="37" t="s">
        <v>325</v>
      </c>
      <c r="V6" s="37" t="s">
        <v>326</v>
      </c>
      <c r="W6" s="37" t="s">
        <v>327</v>
      </c>
      <c r="X6" s="37" t="s">
        <v>328</v>
      </c>
      <c r="Y6" s="37" t="s">
        <v>329</v>
      </c>
      <c r="Z6" s="37" t="s">
        <v>330</v>
      </c>
      <c r="AA6" s="37" t="s">
        <v>331</v>
      </c>
      <c r="AB6" s="37" t="s">
        <v>332</v>
      </c>
    </row>
    <row r="8" customFormat="false" ht="19.5" hidden="false" customHeight="true" outlineLevel="0" collapsed="false">
      <c r="A8" s="56" t="s">
        <v>354</v>
      </c>
      <c r="B8" s="57" t="str">
        <f aca="false">"GIORNATA "&amp;ROMAN(VALUE(LEFT(A8,LEN(A8)-1)))&amp;" - GIRONE "&amp;RIGHT(A8,1)</f>
        <v>GIORNATA I - GIRONE C</v>
      </c>
      <c r="C8" s="57"/>
      <c r="D8" s="57"/>
      <c r="E8" s="57"/>
      <c r="F8" s="57"/>
      <c r="G8" s="57"/>
      <c r="H8" s="57"/>
      <c r="I8" s="57"/>
      <c r="J8" s="57"/>
      <c r="K8" s="57"/>
      <c r="L8" s="57"/>
    </row>
    <row r="9" customFormat="false" ht="12.75" hidden="false" customHeight="true" outlineLevel="0" collapsed="false">
      <c r="A9" s="58" t="s">
        <v>334</v>
      </c>
      <c r="B9" s="58" t="s">
        <v>317</v>
      </c>
      <c r="C9" s="58"/>
      <c r="D9" s="58" t="s">
        <v>324</v>
      </c>
      <c r="E9" s="58"/>
      <c r="F9" s="58" t="s">
        <v>335</v>
      </c>
      <c r="G9" s="58" t="s">
        <v>336</v>
      </c>
      <c r="H9" s="58" t="s">
        <v>337</v>
      </c>
      <c r="I9" s="58"/>
      <c r="J9" s="58" t="s">
        <v>338</v>
      </c>
      <c r="K9" s="58"/>
      <c r="L9" s="58"/>
    </row>
    <row r="10" customFormat="false" ht="24" hidden="false" customHeight="true" outlineLevel="0" collapsed="false">
      <c r="A10" s="59" t="n">
        <v>57</v>
      </c>
      <c r="B10" s="42" t="str">
        <f aca="false">IF(C10="","",IFERROR(LEFT(VLOOKUP(C10,areaNomiSquadre,2,FALSE()),FIND("-",VLOOKUP(C10,areaNomiSquadre,2,FALSE()))-1),""))</f>
        <v>Tigri Tenaci</v>
      </c>
      <c r="C10" s="43" t="s">
        <v>81</v>
      </c>
      <c r="D10" s="42" t="str">
        <f aca="false">IF(E10="","",IFERROR(LEFT(VLOOKUP(E10,areaNomiSquadre,2,FALSE()),FIND("-",VLOOKUP(E10,areaNomiSquadre,2,FALSE()))-1),""))</f>
        <v>Dromedari Danzanti</v>
      </c>
      <c r="E10" s="43" t="s">
        <v>96</v>
      </c>
      <c r="F10" s="44" t="n">
        <v>46313.3958333333</v>
      </c>
      <c r="G10" s="44"/>
      <c r="H10" s="44"/>
      <c r="I10" s="44"/>
      <c r="J10" s="45" t="n">
        <v>69</v>
      </c>
      <c r="K10" s="46" t="s">
        <v>339</v>
      </c>
      <c r="L10" s="45" t="n">
        <v>37</v>
      </c>
      <c r="M10" s="47" t="str">
        <f aca="false">IF($B10="","(Squadra A)",$B10)</f>
        <v>Tigri Tenaci</v>
      </c>
      <c r="N10" s="47" t="n">
        <f aca="false">IF($J10+$L10=0,,IF($J10&gt;$L10,1,0))</f>
        <v>1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69</v>
      </c>
      <c r="R10" s="47" t="n">
        <f aca="false">IF($J10+$L10=0,,$L10)</f>
        <v>37</v>
      </c>
      <c r="S10" s="47" t="n">
        <f aca="false">IF($J10+$L10=0,,$J10-$L10)</f>
        <v>32</v>
      </c>
      <c r="T10" s="47" t="str">
        <f aca="false">IF($D10="","(Squadra B)",$D10)</f>
        <v>Dromedari Danzanti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1</v>
      </c>
      <c r="X10" s="47" t="n">
        <f aca="false">IF($J10+$L10=0,,$L10)</f>
        <v>37</v>
      </c>
      <c r="Y10" s="47" t="n">
        <f aca="false">IF($J10+$L10=0,,$J10)</f>
        <v>69</v>
      </c>
      <c r="Z10" s="47" t="n">
        <f aca="false">IF($J10+$L10=0,,$L10-$J10)</f>
        <v>-32</v>
      </c>
      <c r="AA10" s="47" t="str">
        <f aca="false">IF($J10+$L10=0,"(Vincente)",IF($J10&gt;$L10,$B10,$D10))</f>
        <v>Tigri Tenaci</v>
      </c>
      <c r="AB10" s="47" t="str">
        <f aca="false">IF($J10+$L10=0,"(Perdente)",IF($J10&lt;$L10,$B10,$D10))</f>
        <v>Dromedari Danzanti</v>
      </c>
    </row>
    <row r="11" customFormat="false" ht="15.75" hidden="false" customHeight="true" outlineLevel="0" collapsed="false">
      <c r="A11" s="59"/>
      <c r="B11" s="48" t="str">
        <f aca="false">IF(I11="","",HYPERLINK(VLOOKUP(I11,areaCampiSquadre,3,FALSE()),VLOOKUP(I11,areaCampiSquadre,2,FALSE())))</f>
        <v>PalaTigri, Via dello Sport 17, Tigriopoli TI</v>
      </c>
      <c r="C11" s="48"/>
      <c r="D11" s="48"/>
      <c r="E11" s="48"/>
      <c r="F11" s="48"/>
      <c r="G11" s="48"/>
      <c r="H11" s="48"/>
      <c r="I11" s="43" t="s">
        <v>81</v>
      </c>
      <c r="J11" s="45"/>
      <c r="K11" s="45"/>
      <c r="L11" s="45"/>
    </row>
    <row r="12" customFormat="false" ht="12.75" hidden="false" customHeight="true" outlineLevel="0" collapsed="false">
      <c r="A12" s="58" t="s">
        <v>334</v>
      </c>
      <c r="B12" s="58" t="s">
        <v>317</v>
      </c>
      <c r="C12" s="58"/>
      <c r="D12" s="58" t="s">
        <v>324</v>
      </c>
      <c r="E12" s="58"/>
      <c r="F12" s="58" t="s">
        <v>335</v>
      </c>
      <c r="G12" s="58" t="s">
        <v>336</v>
      </c>
      <c r="H12" s="58" t="s">
        <v>337</v>
      </c>
      <c r="I12" s="58"/>
      <c r="J12" s="58" t="s">
        <v>338</v>
      </c>
      <c r="K12" s="58"/>
      <c r="L12" s="58"/>
    </row>
    <row r="13" customFormat="false" ht="24" hidden="false" customHeight="true" outlineLevel="0" collapsed="false">
      <c r="A13" s="59" t="n">
        <f aca="false">MAX(A$10:A12)+1</f>
        <v>58</v>
      </c>
      <c r="B13" s="42" t="str">
        <f aca="false">IF(C13="","",IFERROR(LEFT(VLOOKUP(C13,areaNomiSquadre,2,FALSE()),FIND("-",VLOOKUP(C13,areaNomiSquadre,2,FALSE()))-1),""))</f>
        <v>Cinghiali Caparbi</v>
      </c>
      <c r="C13" s="43" t="s">
        <v>94</v>
      </c>
      <c r="D13" s="42" t="str">
        <f aca="false">IF(E13="","",IFERROR(LEFT(VLOOKUP(E13,areaNomiSquadre,2,FALSE()),FIND("-",VLOOKUP(E13,areaNomiSquadre,2,FALSE()))-1),""))</f>
        <v>Upupe Umoristiche</v>
      </c>
      <c r="E13" s="43" t="s">
        <v>84</v>
      </c>
      <c r="F13" s="44" t="n">
        <v>46313.4791666667</v>
      </c>
      <c r="G13" s="44"/>
      <c r="H13" s="44"/>
      <c r="I13" s="44"/>
      <c r="J13" s="45" t="n">
        <v>53</v>
      </c>
      <c r="K13" s="46" t="s">
        <v>339</v>
      </c>
      <c r="L13" s="45" t="n">
        <v>47</v>
      </c>
      <c r="M13" s="47" t="str">
        <f aca="false">IF($B13="","(Squadra A)",$B13)</f>
        <v>Cinghiali Caparbi</v>
      </c>
      <c r="N13" s="47" t="n">
        <f aca="false">IF($J13+$L13=0,,IF($J13&gt;$L13,1,0))</f>
        <v>1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47" t="n">
        <f aca="false">IF($J13+$L13=0,,$J13)</f>
        <v>53</v>
      </c>
      <c r="R13" s="47" t="n">
        <f aca="false">IF($J13+$L13=0,,$L13)</f>
        <v>47</v>
      </c>
      <c r="S13" s="47" t="n">
        <f aca="false">IF($J13+$L13=0,,$J13-$L13)</f>
        <v>6</v>
      </c>
      <c r="T13" s="47" t="str">
        <f aca="false">IF($D13="","(Squadra B)",$D13)</f>
        <v>Upupe Umoristiche</v>
      </c>
      <c r="U13" s="47" t="n">
        <f aca="false">IF($J13+$L13=0,,IF($L13&gt;$J13,1,0))</f>
        <v>0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1</v>
      </c>
      <c r="X13" s="47" t="n">
        <f aca="false">IF($J13+$L13=0,,$L13)</f>
        <v>47</v>
      </c>
      <c r="Y13" s="47" t="n">
        <f aca="false">IF($J13+$L13=0,,$J13)</f>
        <v>53</v>
      </c>
      <c r="Z13" s="47" t="n">
        <f aca="false">IF($J13+$L13=0,,$L13-$J13)</f>
        <v>-6</v>
      </c>
      <c r="AA13" s="47" t="str">
        <f aca="false">IF($J13+$L13=0,"(Vincente)",IF($J13&gt;$L13,$B13,$D13))</f>
        <v>Cinghiali Caparbi</v>
      </c>
      <c r="AB13" s="47" t="str">
        <f aca="false">IF($J13+$L13=0,"(Perdente)",IF($J13&lt;$L13,$B13,$D13))</f>
        <v>Upupe Umoristiche</v>
      </c>
    </row>
    <row r="14" customFormat="false" ht="15.75" hidden="false" customHeight="true" outlineLevel="0" collapsed="false">
      <c r="A14" s="59"/>
      <c r="B14" s="48" t="str">
        <f aca="false">IF(I14="","",HYPERLINK(VLOOKUP(I14,areaCampiSquadre,3,FALSE()),VLOOKUP(I14,areaCampiSquadre,2,FALSE())))</f>
        <v>PalaTigri, Via dello Sport 17, Tigriopoli TI</v>
      </c>
      <c r="C14" s="48"/>
      <c r="D14" s="48"/>
      <c r="E14" s="48"/>
      <c r="F14" s="48"/>
      <c r="G14" s="48"/>
      <c r="H14" s="48"/>
      <c r="I14" s="43" t="s">
        <v>81</v>
      </c>
      <c r="J14" s="45"/>
      <c r="K14" s="45"/>
      <c r="L14" s="45"/>
    </row>
    <row r="15" customFormat="false" ht="12.75" hidden="false" customHeight="true" outlineLevel="0" collapsed="false">
      <c r="A15" s="58" t="s">
        <v>334</v>
      </c>
      <c r="B15" s="58" t="s">
        <v>317</v>
      </c>
      <c r="C15" s="58"/>
      <c r="D15" s="58" t="s">
        <v>324</v>
      </c>
      <c r="E15" s="58"/>
      <c r="F15" s="58" t="s">
        <v>335</v>
      </c>
      <c r="G15" s="58" t="s">
        <v>336</v>
      </c>
      <c r="H15" s="58" t="s">
        <v>337</v>
      </c>
      <c r="I15" s="58"/>
      <c r="J15" s="58" t="s">
        <v>338</v>
      </c>
      <c r="K15" s="58"/>
      <c r="L15" s="58"/>
    </row>
    <row r="16" customFormat="false" ht="24" hidden="false" customHeight="true" outlineLevel="0" collapsed="false">
      <c r="A16" s="59" t="n">
        <f aca="false">MAX(A$10:A15)+1</f>
        <v>59</v>
      </c>
      <c r="B16" s="42" t="str">
        <f aca="false">IF(C16="","",IFERROR(LEFT(VLOOKUP(C16,areaNomiSquadre,2,FALSE()),FIND("-",VLOOKUP(C16,areaNomiSquadre,2,FALSE()))-1),""))</f>
        <v>Vipere Vivaci</v>
      </c>
      <c r="C16" s="43" t="s">
        <v>86</v>
      </c>
      <c r="D16" s="42" t="str">
        <f aca="false">IF(E16="","",IFERROR(LEFT(VLOOKUP(E16,areaNomiSquadre,2,FALSE()),FIND("-",VLOOKUP(E16,areaNomiSquadre,2,FALSE()))-1),""))</f>
        <v>Bisonti Baldanzosi</v>
      </c>
      <c r="E16" s="43" t="s">
        <v>92</v>
      </c>
      <c r="F16" s="44" t="n">
        <v>46313.625</v>
      </c>
      <c r="G16" s="44"/>
      <c r="H16" s="44"/>
      <c r="I16" s="44"/>
      <c r="J16" s="45" t="n">
        <v>51</v>
      </c>
      <c r="K16" s="46" t="s">
        <v>339</v>
      </c>
      <c r="L16" s="45" t="n">
        <v>50</v>
      </c>
      <c r="M16" s="47" t="str">
        <f aca="false">IF($B16="","(Squadra A)",$B16)</f>
        <v>Vipere Vivaci</v>
      </c>
      <c r="N16" s="47" t="n">
        <f aca="false">IF($J16+$L16=0,,IF($J16&gt;$L16,1,0))</f>
        <v>1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47" t="n">
        <f aca="false">IF($J16+$L16=0,,$J16)</f>
        <v>51</v>
      </c>
      <c r="R16" s="47" t="n">
        <f aca="false">IF($J16+$L16=0,,$L16)</f>
        <v>50</v>
      </c>
      <c r="S16" s="47" t="n">
        <f aca="false">IF($J16+$L16=0,,$J16-$L16)</f>
        <v>1</v>
      </c>
      <c r="T16" s="47" t="str">
        <f aca="false">IF($D16="","(Squadra B)",$D16)</f>
        <v>Bisonti Baldanzosi</v>
      </c>
      <c r="U16" s="47" t="n">
        <f aca="false">IF($J16+$L16=0,,IF($L16&gt;$J16,1,0))</f>
        <v>0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1</v>
      </c>
      <c r="X16" s="47" t="n">
        <f aca="false">IF($J16+$L16=0,,$L16)</f>
        <v>50</v>
      </c>
      <c r="Y16" s="47" t="n">
        <f aca="false">IF($J16+$L16=0,,$J16)</f>
        <v>51</v>
      </c>
      <c r="Z16" s="47" t="n">
        <f aca="false">IF($J16+$L16=0,,$L16-$J16)</f>
        <v>-1</v>
      </c>
      <c r="AA16" s="47" t="str">
        <f aca="false">IF($J16+$L16=0,"(Vincente)",IF($J16&gt;$L16,$B16,$D16))</f>
        <v>Vipere Vivaci</v>
      </c>
      <c r="AB16" s="47" t="str">
        <f aca="false">IF($J16+$L16=0,"(Perdente)",IF($J16&lt;$L16,$B16,$D16))</f>
        <v>Bisonti Baldanzosi</v>
      </c>
    </row>
    <row r="17" customFormat="false" ht="15.75" hidden="false" customHeight="true" outlineLevel="0" collapsed="false">
      <c r="A17" s="59"/>
      <c r="B17" s="48" t="str">
        <f aca="false">IF(I17="","",HYPERLINK(VLOOKUP(I17,areaCampiSquadre,3,FALSE()),VLOOKUP(I17,areaCampiSquadre,2,FALSE())))</f>
        <v>PalaTigri, Via dello Sport 17, Tigriopoli TI</v>
      </c>
      <c r="C17" s="48"/>
      <c r="D17" s="48"/>
      <c r="E17" s="48"/>
      <c r="F17" s="48"/>
      <c r="G17" s="48"/>
      <c r="H17" s="48"/>
      <c r="I17" s="43" t="s">
        <v>81</v>
      </c>
      <c r="J17" s="45"/>
      <c r="K17" s="45"/>
      <c r="L17" s="45"/>
    </row>
    <row r="18" customFormat="false" ht="12.75" hidden="false" customHeight="true" outlineLevel="0" collapsed="false">
      <c r="A18" s="58" t="s">
        <v>334</v>
      </c>
      <c r="B18" s="58" t="s">
        <v>317</v>
      </c>
      <c r="C18" s="58"/>
      <c r="D18" s="58" t="s">
        <v>324</v>
      </c>
      <c r="E18" s="58"/>
      <c r="F18" s="58" t="s">
        <v>335</v>
      </c>
      <c r="G18" s="58" t="s">
        <v>336</v>
      </c>
      <c r="H18" s="58" t="s">
        <v>337</v>
      </c>
      <c r="I18" s="58"/>
      <c r="J18" s="58" t="s">
        <v>338</v>
      </c>
      <c r="K18" s="58"/>
      <c r="L18" s="58"/>
    </row>
    <row r="19" customFormat="false" ht="24" hidden="false" customHeight="true" outlineLevel="0" collapsed="false">
      <c r="A19" s="59" t="n">
        <f aca="false">MAX(A$10:A18)+1</f>
        <v>60</v>
      </c>
      <c r="B19" s="42" t="str">
        <f aca="false">IF(C19="","",IFERROR(LEFT(VLOOKUP(C19,areaNomiSquadre,2,FALSE()),FIND("-",VLOOKUP(C19,areaNomiSquadre,2,FALSE()))-1),""))</f>
        <v>Albatri Astuti</v>
      </c>
      <c r="C19" s="43" t="s">
        <v>90</v>
      </c>
      <c r="D19" s="42" t="str">
        <f aca="false">IF(E19="","",IFERROR(LEFT(VLOOKUP(E19,areaNomiSquadre,2,FALSE()),FIND("-",VLOOKUP(E19,areaNomiSquadre,2,FALSE()))-1),""))</f>
        <v>Zebre Zelanti</v>
      </c>
      <c r="E19" s="43" t="s">
        <v>88</v>
      </c>
      <c r="F19" s="44" t="n">
        <v>46313.7083333333</v>
      </c>
      <c r="G19" s="44"/>
      <c r="H19" s="44"/>
      <c r="I19" s="44"/>
      <c r="J19" s="45" t="n">
        <v>47</v>
      </c>
      <c r="K19" s="46" t="s">
        <v>339</v>
      </c>
      <c r="L19" s="45" t="n">
        <v>63</v>
      </c>
      <c r="M19" s="47" t="str">
        <f aca="false">IF($B19="","(Squadra A)",$B19)</f>
        <v>Albatri Astuti</v>
      </c>
      <c r="N19" s="47" t="n">
        <f aca="false">IF($J19+$L19=0,,IF($J19&gt;$L19,1,0))</f>
        <v>0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1</v>
      </c>
      <c r="Q19" s="47" t="n">
        <f aca="false">IF($J19+$L19=0,,$J19)</f>
        <v>47</v>
      </c>
      <c r="R19" s="47" t="n">
        <f aca="false">IF($J19+$L19=0,,$L19)</f>
        <v>63</v>
      </c>
      <c r="S19" s="47" t="n">
        <f aca="false">IF($J19+$L19=0,,$J19-$L19)</f>
        <v>-16</v>
      </c>
      <c r="T19" s="47" t="str">
        <f aca="false">IF($D19="","(Squadra B)",$D19)</f>
        <v>Zebre Zelanti</v>
      </c>
      <c r="U19" s="47" t="n">
        <f aca="false">IF($J19+$L19=0,,IF($L19&gt;$J19,1,0))</f>
        <v>1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0</v>
      </c>
      <c r="X19" s="47" t="n">
        <f aca="false">IF($J19+$L19=0,,$L19)</f>
        <v>63</v>
      </c>
      <c r="Y19" s="47" t="n">
        <f aca="false">IF($J19+$L19=0,,$J19)</f>
        <v>47</v>
      </c>
      <c r="Z19" s="47" t="n">
        <f aca="false">IF($J19+$L19=0,,$L19-$J19)</f>
        <v>16</v>
      </c>
      <c r="AA19" s="47" t="str">
        <f aca="false">IF($J19+$L19=0,"(Vincente)",IF($J19&gt;$L19,$B19,$D19))</f>
        <v>Zebre Zelanti</v>
      </c>
      <c r="AB19" s="47" t="str">
        <f aca="false">IF($J19+$L19=0,"(Perdente)",IF($J19&lt;$L19,$B19,$D19))</f>
        <v>Albatri Astuti</v>
      </c>
    </row>
    <row r="20" customFormat="false" ht="15.75" hidden="false" customHeight="true" outlineLevel="0" collapsed="false">
      <c r="A20" s="59"/>
      <c r="B20" s="48" t="str">
        <f aca="false">IF(I20="","",HYPERLINK(VLOOKUP(I20,areaCampiSquadre,3,FALSE()),VLOOKUP(I20,areaCampiSquadre,2,FALSE())))</f>
        <v>PalaTigri, Via dello Sport 17, Tigriopoli TI</v>
      </c>
      <c r="C20" s="48"/>
      <c r="D20" s="48"/>
      <c r="E20" s="48"/>
      <c r="F20" s="48"/>
      <c r="G20" s="48"/>
      <c r="H20" s="48"/>
      <c r="I20" s="43" t="s">
        <v>81</v>
      </c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56" t="s">
        <v>355</v>
      </c>
      <c r="B22" s="57" t="str">
        <f aca="false">"GIORNATA "&amp;ROMAN(VALUE(LEFT(A22,LEN(A22)-1)))&amp;" - GIRONE "&amp;RIGHT(A22,1)</f>
        <v>GIORNATA II - GIRONE C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customFormat="false" ht="12.75" hidden="false" customHeight="true" outlineLevel="0" collapsed="false">
      <c r="A23" s="58" t="s">
        <v>334</v>
      </c>
      <c r="B23" s="58" t="s">
        <v>317</v>
      </c>
      <c r="C23" s="58"/>
      <c r="D23" s="58" t="s">
        <v>324</v>
      </c>
      <c r="E23" s="58"/>
      <c r="F23" s="58" t="s">
        <v>335</v>
      </c>
      <c r="G23" s="58" t="s">
        <v>336</v>
      </c>
      <c r="H23" s="58" t="s">
        <v>337</v>
      </c>
      <c r="I23" s="58"/>
      <c r="J23" s="58" t="s">
        <v>338</v>
      </c>
      <c r="K23" s="58"/>
      <c r="L23" s="58"/>
    </row>
    <row r="24" customFormat="false" ht="24" hidden="false" customHeight="true" outlineLevel="0" collapsed="false">
      <c r="A24" s="59" t="n">
        <f aca="false">MAX(A$10:A23)+1</f>
        <v>61</v>
      </c>
      <c r="B24" s="42" t="str">
        <f aca="false">IF(C24="","",IFERROR(LEFT(VLOOKUP(C24,areaNomiSquadre,2,FALSE()),FIND("-",VLOOKUP(C24,areaNomiSquadre,2,FALSE()))-1),""))</f>
        <v>Cinghiali Caparbi</v>
      </c>
      <c r="C24" s="43" t="s">
        <v>94</v>
      </c>
      <c r="D24" s="42" t="str">
        <f aca="false">IF(E24="","",IFERROR(LEFT(VLOOKUP(E24,areaNomiSquadre,2,FALSE()),FIND("-",VLOOKUP(E24,areaNomiSquadre,2,FALSE()))-1),""))</f>
        <v>Tigri Tenaci</v>
      </c>
      <c r="E24" s="43" t="s">
        <v>81</v>
      </c>
      <c r="F24" s="44" t="n">
        <v>46334.3958333333</v>
      </c>
      <c r="G24" s="44"/>
      <c r="H24" s="44"/>
      <c r="I24" s="44"/>
      <c r="J24" s="45" t="n">
        <v>58</v>
      </c>
      <c r="K24" s="46" t="s">
        <v>339</v>
      </c>
      <c r="L24" s="45" t="n">
        <v>65</v>
      </c>
      <c r="M24" s="47" t="str">
        <f aca="false">IF($B24="","(Squadra A)",$B24)</f>
        <v>Cinghiali Caparbi</v>
      </c>
      <c r="N24" s="47" t="n">
        <f aca="false">IF($J24+$L24=0,,IF($J24&gt;$L24,1,0))</f>
        <v>0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1</v>
      </c>
      <c r="Q24" s="47" t="n">
        <f aca="false">IF($J24+$L24=0,,$J24)</f>
        <v>58</v>
      </c>
      <c r="R24" s="47" t="n">
        <f aca="false">IF($J24+$L24=0,,$L24)</f>
        <v>65</v>
      </c>
      <c r="S24" s="47" t="n">
        <f aca="false">IF($J24+$L24=0,,$J24-$L24)</f>
        <v>-7</v>
      </c>
      <c r="T24" s="47" t="str">
        <f aca="false">IF($D24="","(Squadra B)",$D24)</f>
        <v>Tigri Tenaci</v>
      </c>
      <c r="U24" s="47" t="n">
        <f aca="false">IF($J24+$L24=0,,IF($L24&gt;$J24,1,0))</f>
        <v>1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0</v>
      </c>
      <c r="X24" s="47" t="n">
        <f aca="false">IF($J24+$L24=0,,$L24)</f>
        <v>65</v>
      </c>
      <c r="Y24" s="47" t="n">
        <f aca="false">IF($J24+$L24=0,,$J24)</f>
        <v>58</v>
      </c>
      <c r="Z24" s="47" t="n">
        <f aca="false">IF($J24+$L24=0,,$L24-$J24)</f>
        <v>7</v>
      </c>
      <c r="AA24" s="47" t="str">
        <f aca="false">IF($J24+$L24=0,"(Vincente)",IF($J24&gt;$L24,$B24,$D24))</f>
        <v>Tigri Tenaci</v>
      </c>
      <c r="AB24" s="47" t="str">
        <f aca="false">IF($J24+$L24=0,"(Perdente)",IF($J24&lt;$L24,$B24,$D24))</f>
        <v>Cinghiali Caparbi</v>
      </c>
    </row>
    <row r="25" customFormat="false" ht="15.75" hidden="false" customHeight="true" outlineLevel="0" collapsed="false">
      <c r="A25" s="59"/>
      <c r="B25" s="48" t="str">
        <f aca="false">IF(I25="","",HYPERLINK(VLOOKUP(I25,areaCampiSquadre,3,FALSE()),VLOOKUP(I25,areaCampiSquadre,2,FALSE())))</f>
        <v>PalaUpupe, Via dello Sport 18, Upupeopoli UE</v>
      </c>
      <c r="C25" s="48"/>
      <c r="D25" s="48"/>
      <c r="E25" s="48"/>
      <c r="F25" s="48"/>
      <c r="G25" s="48"/>
      <c r="H25" s="48"/>
      <c r="I25" s="43" t="s">
        <v>84</v>
      </c>
      <c r="J25" s="45"/>
      <c r="K25" s="45"/>
      <c r="L25" s="45"/>
    </row>
    <row r="26" customFormat="false" ht="12.75" hidden="false" customHeight="true" outlineLevel="0" collapsed="false">
      <c r="A26" s="58" t="s">
        <v>334</v>
      </c>
      <c r="B26" s="58" t="s">
        <v>317</v>
      </c>
      <c r="C26" s="58"/>
      <c r="D26" s="58" t="s">
        <v>324</v>
      </c>
      <c r="E26" s="58"/>
      <c r="F26" s="58" t="s">
        <v>335</v>
      </c>
      <c r="G26" s="58" t="s">
        <v>336</v>
      </c>
      <c r="H26" s="58" t="s">
        <v>337</v>
      </c>
      <c r="I26" s="58"/>
      <c r="J26" s="58" t="s">
        <v>338</v>
      </c>
      <c r="K26" s="58"/>
      <c r="L26" s="58"/>
    </row>
    <row r="27" customFormat="false" ht="24" hidden="false" customHeight="true" outlineLevel="0" collapsed="false">
      <c r="A27" s="59" t="n">
        <f aca="false">MAX(A$10:A26)+1</f>
        <v>62</v>
      </c>
      <c r="B27" s="42" t="str">
        <f aca="false">IF(C27="","",IFERROR(LEFT(VLOOKUP(C27,areaNomiSquadre,2,FALSE()),FIND("-",VLOOKUP(C27,areaNomiSquadre,2,FALSE()))-1),""))</f>
        <v>Dromedari Danzanti</v>
      </c>
      <c r="C27" s="43" t="s">
        <v>96</v>
      </c>
      <c r="D27" s="42" t="str">
        <f aca="false">IF(E27="","",IFERROR(LEFT(VLOOKUP(E27,areaNomiSquadre,2,FALSE()),FIND("-",VLOOKUP(E27,areaNomiSquadre,2,FALSE()))-1),""))</f>
        <v>Bisonti Baldanzosi</v>
      </c>
      <c r="E27" s="43" t="s">
        <v>92</v>
      </c>
      <c r="F27" s="44" t="n">
        <v>46334.4791666667</v>
      </c>
      <c r="G27" s="44"/>
      <c r="H27" s="44"/>
      <c r="I27" s="44"/>
      <c r="J27" s="45" t="n">
        <v>44</v>
      </c>
      <c r="K27" s="46" t="s">
        <v>339</v>
      </c>
      <c r="L27" s="45" t="n">
        <v>79</v>
      </c>
      <c r="M27" s="47" t="str">
        <f aca="false">IF($B27="","(Squadra A)",$B27)</f>
        <v>Dromedari Danzanti</v>
      </c>
      <c r="N27" s="47" t="n">
        <f aca="false">IF($J27+$L27=0,,IF($J27&gt;$L27,1,0))</f>
        <v>0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1</v>
      </c>
      <c r="Q27" s="47" t="n">
        <f aca="false">IF($J27+$L27=0,,$J27)</f>
        <v>44</v>
      </c>
      <c r="R27" s="47" t="n">
        <f aca="false">IF($J27+$L27=0,,$L27)</f>
        <v>79</v>
      </c>
      <c r="S27" s="47" t="n">
        <f aca="false">IF($J27+$L27=0,,$J27-$L27)</f>
        <v>-35</v>
      </c>
      <c r="T27" s="47" t="str">
        <f aca="false">IF($D27="","(Squadra B)",$D27)</f>
        <v>Bisonti Baldanzosi</v>
      </c>
      <c r="U27" s="47" t="n">
        <f aca="false">IF($J27+$L27=0,,IF($L27&gt;$J27,1,0))</f>
        <v>1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0</v>
      </c>
      <c r="X27" s="47" t="n">
        <f aca="false">IF($J27+$L27=0,,$L27)</f>
        <v>79</v>
      </c>
      <c r="Y27" s="47" t="n">
        <f aca="false">IF($J27+$L27=0,,$J27)</f>
        <v>44</v>
      </c>
      <c r="Z27" s="47" t="n">
        <f aca="false">IF($J27+$L27=0,,$L27-$J27)</f>
        <v>35</v>
      </c>
      <c r="AA27" s="47" t="str">
        <f aca="false">IF($J27+$L27=0,"(Vincente)",IF($J27&gt;$L27,$B27,$D27))</f>
        <v>Bisonti Baldanzosi</v>
      </c>
      <c r="AB27" s="47" t="str">
        <f aca="false">IF($J27+$L27=0,"(Perdente)",IF($J27&lt;$L27,$B27,$D27))</f>
        <v>Dromedari Danzanti</v>
      </c>
    </row>
    <row r="28" customFormat="false" ht="15.75" hidden="false" customHeight="true" outlineLevel="0" collapsed="false">
      <c r="A28" s="59"/>
      <c r="B28" s="48" t="str">
        <f aca="false">IF(I28="","",HYPERLINK(VLOOKUP(I28,areaCampiSquadre,3,FALSE()),VLOOKUP(I28,areaCampiSquadre,2,FALSE())))</f>
        <v>PalaUpupe, Via dello Sport 18, Upupeopoli UE</v>
      </c>
      <c r="C28" s="48"/>
      <c r="D28" s="48"/>
      <c r="E28" s="48"/>
      <c r="F28" s="48"/>
      <c r="G28" s="48"/>
      <c r="H28" s="48"/>
      <c r="I28" s="43" t="s">
        <v>84</v>
      </c>
      <c r="J28" s="45"/>
      <c r="K28" s="45"/>
      <c r="L28" s="45"/>
    </row>
    <row r="29" customFormat="false" ht="12.75" hidden="false" customHeight="true" outlineLevel="0" collapsed="false">
      <c r="A29" s="58" t="s">
        <v>334</v>
      </c>
      <c r="B29" s="58" t="s">
        <v>317</v>
      </c>
      <c r="C29" s="58"/>
      <c r="D29" s="58" t="s">
        <v>324</v>
      </c>
      <c r="E29" s="58"/>
      <c r="F29" s="58" t="s">
        <v>335</v>
      </c>
      <c r="G29" s="58" t="s">
        <v>336</v>
      </c>
      <c r="H29" s="58" t="s">
        <v>337</v>
      </c>
      <c r="I29" s="58"/>
      <c r="J29" s="58" t="s">
        <v>338</v>
      </c>
      <c r="K29" s="58"/>
      <c r="L29" s="58"/>
    </row>
    <row r="30" customFormat="false" ht="24" hidden="false" customHeight="true" outlineLevel="0" collapsed="false">
      <c r="A30" s="59" t="n">
        <f aca="false">MAX(A$10:A29)+1</f>
        <v>63</v>
      </c>
      <c r="B30" s="42" t="str">
        <f aca="false">IF(C30="","",IFERROR(LEFT(VLOOKUP(C30,areaNomiSquadre,2,FALSE()),FIND("-",VLOOKUP(C30,areaNomiSquadre,2,FALSE()))-1),""))</f>
        <v>Albatri Astuti</v>
      </c>
      <c r="C30" s="43" t="s">
        <v>90</v>
      </c>
      <c r="D30" s="42" t="str">
        <f aca="false">IF(E30="","",IFERROR(LEFT(VLOOKUP(E30,areaNomiSquadre,2,FALSE()),FIND("-",VLOOKUP(E30,areaNomiSquadre,2,FALSE()))-1),""))</f>
        <v>Upupe Umoristiche</v>
      </c>
      <c r="E30" s="43" t="s">
        <v>84</v>
      </c>
      <c r="F30" s="44" t="n">
        <v>46334.625</v>
      </c>
      <c r="G30" s="44"/>
      <c r="H30" s="44"/>
      <c r="I30" s="44"/>
      <c r="J30" s="45" t="n">
        <v>70</v>
      </c>
      <c r="K30" s="46" t="s">
        <v>339</v>
      </c>
      <c r="L30" s="45" t="n">
        <v>61</v>
      </c>
      <c r="M30" s="47" t="str">
        <f aca="false">IF($B30="","(Squadra A)",$B30)</f>
        <v>Albatri Astuti</v>
      </c>
      <c r="N30" s="47" t="n">
        <f aca="false">IF($J30+$L30=0,,IF($J30&gt;$L30,1,0))</f>
        <v>1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47" t="n">
        <f aca="false">IF($J30+$L30=0,,$J30)</f>
        <v>70</v>
      </c>
      <c r="R30" s="47" t="n">
        <f aca="false">IF($J30+$L30=0,,$L30)</f>
        <v>61</v>
      </c>
      <c r="S30" s="47" t="n">
        <f aca="false">IF($J30+$L30=0,,$J30-$L30)</f>
        <v>9</v>
      </c>
      <c r="T30" s="47" t="str">
        <f aca="false">IF($D30="","(Squadra B)",$D30)</f>
        <v>Upupe Umoristiche</v>
      </c>
      <c r="U30" s="47" t="n">
        <f aca="false">IF($J30+$L30=0,,IF($L30&gt;$J30,1,0))</f>
        <v>0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1</v>
      </c>
      <c r="X30" s="47" t="n">
        <f aca="false">IF($J30+$L30=0,,$L30)</f>
        <v>61</v>
      </c>
      <c r="Y30" s="47" t="n">
        <f aca="false">IF($J30+$L30=0,,$J30)</f>
        <v>70</v>
      </c>
      <c r="Z30" s="47" t="n">
        <f aca="false">IF($J30+$L30=0,,$L30-$J30)</f>
        <v>-9</v>
      </c>
      <c r="AA30" s="47" t="str">
        <f aca="false">IF($J30+$L30=0,"(Vincente)",IF($J30&gt;$L30,$B30,$D30))</f>
        <v>Albatri Astuti</v>
      </c>
      <c r="AB30" s="47" t="str">
        <f aca="false">IF($J30+$L30=0,"(Perdente)",IF($J30&lt;$L30,$B30,$D30))</f>
        <v>Upupe Umoristiche</v>
      </c>
    </row>
    <row r="31" customFormat="false" ht="15.75" hidden="false" customHeight="true" outlineLevel="0" collapsed="false">
      <c r="A31" s="59"/>
      <c r="B31" s="48" t="str">
        <f aca="false">IF(I31="","",HYPERLINK(VLOOKUP(I31,areaCampiSquadre,3,FALSE()),VLOOKUP(I31,areaCampiSquadre,2,FALSE())))</f>
        <v>PalaUpupe, Via dello Sport 18, Upupeopoli UE</v>
      </c>
      <c r="C31" s="48"/>
      <c r="D31" s="48"/>
      <c r="E31" s="48"/>
      <c r="F31" s="48"/>
      <c r="G31" s="48"/>
      <c r="H31" s="48"/>
      <c r="I31" s="43" t="s">
        <v>84</v>
      </c>
      <c r="J31" s="45"/>
      <c r="K31" s="45"/>
      <c r="L31" s="45"/>
    </row>
    <row r="32" customFormat="false" ht="12.75" hidden="false" customHeight="true" outlineLevel="0" collapsed="false">
      <c r="A32" s="58" t="s">
        <v>334</v>
      </c>
      <c r="B32" s="58" t="s">
        <v>317</v>
      </c>
      <c r="C32" s="58"/>
      <c r="D32" s="58" t="s">
        <v>324</v>
      </c>
      <c r="E32" s="58"/>
      <c r="F32" s="58" t="s">
        <v>335</v>
      </c>
      <c r="G32" s="58" t="s">
        <v>336</v>
      </c>
      <c r="H32" s="58" t="s">
        <v>337</v>
      </c>
      <c r="I32" s="58"/>
      <c r="J32" s="58" t="s">
        <v>338</v>
      </c>
      <c r="K32" s="58"/>
      <c r="L32" s="58"/>
    </row>
    <row r="33" customFormat="false" ht="24" hidden="false" customHeight="true" outlineLevel="0" collapsed="false">
      <c r="A33" s="59" t="n">
        <f aca="false">MAX(A$10:A32)+1</f>
        <v>64</v>
      </c>
      <c r="B33" s="42" t="str">
        <f aca="false">IF(C33="","",IFERROR(LEFT(VLOOKUP(C33,areaNomiSquadre,2,FALSE()),FIND("-",VLOOKUP(C33,areaNomiSquadre,2,FALSE()))-1),""))</f>
        <v>Vipere Vivaci</v>
      </c>
      <c r="C33" s="43" t="s">
        <v>86</v>
      </c>
      <c r="D33" s="42" t="str">
        <f aca="false">IF(E33="","",IFERROR(LEFT(VLOOKUP(E33,areaNomiSquadre,2,FALSE()),FIND("-",VLOOKUP(E33,areaNomiSquadre,2,FALSE()))-1),""))</f>
        <v>Zebre Zelanti</v>
      </c>
      <c r="E33" s="43" t="s">
        <v>88</v>
      </c>
      <c r="F33" s="44" t="n">
        <v>46334.7083333333</v>
      </c>
      <c r="G33" s="44"/>
      <c r="H33" s="44"/>
      <c r="I33" s="44"/>
      <c r="J33" s="45" t="n">
        <v>63</v>
      </c>
      <c r="K33" s="46" t="s">
        <v>339</v>
      </c>
      <c r="L33" s="45" t="n">
        <v>84</v>
      </c>
      <c r="M33" s="47" t="str">
        <f aca="false">IF($B33="","(Squadra A)",$B33)</f>
        <v>Vipere Vivaci</v>
      </c>
      <c r="N33" s="47" t="n">
        <f aca="false">IF($J33+$L33=0,,IF($J33&gt;$L33,1,0))</f>
        <v>0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1</v>
      </c>
      <c r="Q33" s="47" t="n">
        <f aca="false">IF($J33+$L33=0,,$J33)</f>
        <v>63</v>
      </c>
      <c r="R33" s="47" t="n">
        <f aca="false">IF($J33+$L33=0,,$L33)</f>
        <v>84</v>
      </c>
      <c r="S33" s="47" t="n">
        <f aca="false">IF($J33+$L33=0,,$J33-$L33)</f>
        <v>-21</v>
      </c>
      <c r="T33" s="47" t="str">
        <f aca="false">IF($D33="","(Squadra B)",$D33)</f>
        <v>Zebre Zelanti</v>
      </c>
      <c r="U33" s="47" t="n">
        <f aca="false">IF($J33+$L33=0,,IF($L33&gt;$J33,1,0))</f>
        <v>1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0</v>
      </c>
      <c r="X33" s="47" t="n">
        <f aca="false">IF($J33+$L33=0,,$L33)</f>
        <v>84</v>
      </c>
      <c r="Y33" s="47" t="n">
        <f aca="false">IF($J33+$L33=0,,$J33)</f>
        <v>63</v>
      </c>
      <c r="Z33" s="47" t="n">
        <f aca="false">IF($J33+$L33=0,,$L33-$J33)</f>
        <v>21</v>
      </c>
      <c r="AA33" s="47" t="str">
        <f aca="false">IF($J33+$L33=0,"(Vincente)",IF($J33&gt;$L33,$B33,$D33))</f>
        <v>Zebre Zelanti</v>
      </c>
      <c r="AB33" s="47" t="str">
        <f aca="false">IF($J33+$L33=0,"(Perdente)",IF($J33&lt;$L33,$B33,$D33))</f>
        <v>Vipere Vivaci</v>
      </c>
    </row>
    <row r="34" customFormat="false" ht="15.75" hidden="false" customHeight="true" outlineLevel="0" collapsed="false">
      <c r="A34" s="59"/>
      <c r="B34" s="48" t="str">
        <f aca="false">IF(I34="","",HYPERLINK(VLOOKUP(I34,areaCampiSquadre,3,FALSE()),VLOOKUP(I34,areaCampiSquadre,2,FALSE())))</f>
        <v>PalaUpupe, Via dello Sport 18, Upupeopoli UE</v>
      </c>
      <c r="C34" s="48"/>
      <c r="D34" s="48"/>
      <c r="E34" s="48"/>
      <c r="F34" s="48"/>
      <c r="G34" s="48"/>
      <c r="H34" s="48"/>
      <c r="I34" s="43" t="s">
        <v>84</v>
      </c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56" t="s">
        <v>356</v>
      </c>
      <c r="B36" s="57" t="str">
        <f aca="false">"GIORNATA "&amp;ROMAN(VALUE(LEFT(A36,LEN(A36)-1)))&amp;" - GIRONE "&amp;RIGHT(A36,1)</f>
        <v>GIORNATA III - GIRONE C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</row>
    <row r="37" customFormat="false" ht="12.75" hidden="false" customHeight="true" outlineLevel="0" collapsed="false">
      <c r="A37" s="58" t="s">
        <v>334</v>
      </c>
      <c r="B37" s="58" t="s">
        <v>317</v>
      </c>
      <c r="C37" s="58"/>
      <c r="D37" s="58" t="s">
        <v>324</v>
      </c>
      <c r="E37" s="58"/>
      <c r="F37" s="58" t="s">
        <v>335</v>
      </c>
      <c r="G37" s="58" t="s">
        <v>336</v>
      </c>
      <c r="H37" s="58" t="s">
        <v>337</v>
      </c>
      <c r="I37" s="58"/>
      <c r="J37" s="58" t="s">
        <v>338</v>
      </c>
      <c r="K37" s="58"/>
      <c r="L37" s="58"/>
    </row>
    <row r="38" customFormat="false" ht="24" hidden="false" customHeight="true" outlineLevel="0" collapsed="false">
      <c r="A38" s="59" t="n">
        <f aca="false">MAX(A$10:A37)+1</f>
        <v>65</v>
      </c>
      <c r="B38" s="42" t="str">
        <f aca="false">IF(C38="","",IFERROR(LEFT(VLOOKUP(C38,areaNomiSquadre,2,FALSE()),FIND("-",VLOOKUP(C38,areaNomiSquadre,2,FALSE()))-1),""))</f>
        <v>Tigri Tenaci</v>
      </c>
      <c r="C38" s="43" t="s">
        <v>81</v>
      </c>
      <c r="D38" s="42" t="str">
        <f aca="false">IF(E38="","",IFERROR(LEFT(VLOOKUP(E38,areaNomiSquadre,2,FALSE()),FIND("-",VLOOKUP(E38,areaNomiSquadre,2,FALSE()))-1),""))</f>
        <v>Bisonti Baldanzosi</v>
      </c>
      <c r="E38" s="43" t="s">
        <v>92</v>
      </c>
      <c r="F38" s="44" t="n">
        <v>46355.3958333333</v>
      </c>
      <c r="G38" s="44"/>
      <c r="H38" s="44"/>
      <c r="I38" s="44"/>
      <c r="J38" s="45" t="n">
        <v>61</v>
      </c>
      <c r="K38" s="46" t="s">
        <v>339</v>
      </c>
      <c r="L38" s="45" t="n">
        <v>58</v>
      </c>
      <c r="M38" s="47" t="str">
        <f aca="false">IF($B38="","(Squadra A)",$B38)</f>
        <v>Tigri Tenaci</v>
      </c>
      <c r="N38" s="47" t="n">
        <f aca="false">IF($J38+$L38=0,,IF($J38&gt;$L38,1,0))</f>
        <v>1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61</v>
      </c>
      <c r="R38" s="47" t="n">
        <f aca="false">IF($J38+$L38=0,,$L38)</f>
        <v>58</v>
      </c>
      <c r="S38" s="47" t="n">
        <f aca="false">IF($J38+$L38=0,,$J38-$L38)</f>
        <v>3</v>
      </c>
      <c r="T38" s="47" t="str">
        <f aca="false">IF($D38="","(Squadra B)",$D38)</f>
        <v>Bisonti Baldanzosi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1</v>
      </c>
      <c r="X38" s="47" t="n">
        <f aca="false">IF($J38+$L38=0,,$L38)</f>
        <v>58</v>
      </c>
      <c r="Y38" s="47" t="n">
        <f aca="false">IF($J38+$L38=0,,$J38)</f>
        <v>61</v>
      </c>
      <c r="Z38" s="47" t="n">
        <f aca="false">IF($J38+$L38=0,,$L38-$J38)</f>
        <v>-3</v>
      </c>
      <c r="AA38" s="47" t="str">
        <f aca="false">IF($J38+$L38=0,"(Vincente)",IF($J38&gt;$L38,$B38,$D38))</f>
        <v>Tigri Tenaci</v>
      </c>
      <c r="AB38" s="47" t="str">
        <f aca="false">IF($J38+$L38=0,"(Perdente)",IF($J38&lt;$L38,$B38,$D38))</f>
        <v>Bisonti Baldanzosi</v>
      </c>
    </row>
    <row r="39" customFormat="false" ht="15.75" hidden="false" customHeight="true" outlineLevel="0" collapsed="false">
      <c r="A39" s="59"/>
      <c r="B39" s="48" t="str">
        <f aca="false">IF(I39="","",HYPERLINK(VLOOKUP(I39,areaCampiSquadre,3,FALSE()),VLOOKUP(I39,areaCampiSquadre,2,FALSE())))</f>
        <v>PalaVipere, Via dello Sport 19, Vipereopoli VE</v>
      </c>
      <c r="C39" s="48"/>
      <c r="D39" s="48"/>
      <c r="E39" s="48"/>
      <c r="F39" s="48"/>
      <c r="G39" s="48"/>
      <c r="H39" s="48"/>
      <c r="I39" s="43" t="s">
        <v>86</v>
      </c>
      <c r="J39" s="45"/>
      <c r="K39" s="45"/>
      <c r="L39" s="45"/>
    </row>
    <row r="40" customFormat="false" ht="12.75" hidden="false" customHeight="true" outlineLevel="0" collapsed="false">
      <c r="A40" s="58" t="s">
        <v>334</v>
      </c>
      <c r="B40" s="58" t="s">
        <v>317</v>
      </c>
      <c r="C40" s="58"/>
      <c r="D40" s="58" t="s">
        <v>324</v>
      </c>
      <c r="E40" s="58"/>
      <c r="F40" s="58" t="s">
        <v>335</v>
      </c>
      <c r="G40" s="58" t="s">
        <v>336</v>
      </c>
      <c r="H40" s="58" t="s">
        <v>337</v>
      </c>
      <c r="I40" s="58"/>
      <c r="J40" s="58" t="s">
        <v>338</v>
      </c>
      <c r="K40" s="58"/>
      <c r="L40" s="58"/>
    </row>
    <row r="41" customFormat="false" ht="24" hidden="false" customHeight="true" outlineLevel="0" collapsed="false">
      <c r="A41" s="59" t="n">
        <f aca="false">MAX(A$10:A40)+1</f>
        <v>66</v>
      </c>
      <c r="B41" s="42" t="str">
        <f aca="false">IF(C41="","",IFERROR(LEFT(VLOOKUP(C41,areaNomiSquadre,2,FALSE()),FIND("-",VLOOKUP(C41,areaNomiSquadre,2,FALSE()))-1),""))</f>
        <v>Albatri Astuti</v>
      </c>
      <c r="C41" s="43" t="s">
        <v>90</v>
      </c>
      <c r="D41" s="42" t="str">
        <f aca="false">IF(E41="","",IFERROR(LEFT(VLOOKUP(E41,areaNomiSquadre,2,FALSE()),FIND("-",VLOOKUP(E41,areaNomiSquadre,2,FALSE()))-1),""))</f>
        <v>Cinghiali Caparbi</v>
      </c>
      <c r="E41" s="43" t="s">
        <v>94</v>
      </c>
      <c r="F41" s="44" t="n">
        <v>46355.4791666667</v>
      </c>
      <c r="G41" s="44"/>
      <c r="H41" s="44"/>
      <c r="I41" s="44"/>
      <c r="J41" s="45" t="n">
        <v>62</v>
      </c>
      <c r="K41" s="46" t="s">
        <v>339</v>
      </c>
      <c r="L41" s="45" t="n">
        <v>59</v>
      </c>
      <c r="M41" s="47" t="str">
        <f aca="false">IF($B41="","(Squadra A)",$B41)</f>
        <v>Albatri Astuti</v>
      </c>
      <c r="N41" s="47" t="n">
        <f aca="false">IF($J41+$L41=0,,IF($J41&gt;$L41,1,0))</f>
        <v>1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0</v>
      </c>
      <c r="Q41" s="47" t="n">
        <f aca="false">IF($J41+$L41=0,,$J41)</f>
        <v>62</v>
      </c>
      <c r="R41" s="47" t="n">
        <f aca="false">IF($J41+$L41=0,,$L41)</f>
        <v>59</v>
      </c>
      <c r="S41" s="47" t="n">
        <f aca="false">IF($J41+$L41=0,,$J41-$L41)</f>
        <v>3</v>
      </c>
      <c r="T41" s="47" t="str">
        <f aca="false">IF($D41="","(Squadra B)",$D41)</f>
        <v>Cinghiali Caparbi</v>
      </c>
      <c r="U41" s="47" t="n">
        <f aca="false">IF($J41+$L41=0,,IF($L41&gt;$J41,1,0))</f>
        <v>0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1</v>
      </c>
      <c r="X41" s="47" t="n">
        <f aca="false">IF($J41+$L41=0,,$L41)</f>
        <v>59</v>
      </c>
      <c r="Y41" s="47" t="n">
        <f aca="false">IF($J41+$L41=0,,$J41)</f>
        <v>62</v>
      </c>
      <c r="Z41" s="47" t="n">
        <f aca="false">IF($J41+$L41=0,,$L41-$J41)</f>
        <v>-3</v>
      </c>
      <c r="AA41" s="47" t="str">
        <f aca="false">IF($J41+$L41=0,"(Vincente)",IF($J41&gt;$L41,$B41,$D41))</f>
        <v>Albatri Astuti</v>
      </c>
      <c r="AB41" s="47" t="str">
        <f aca="false">IF($J41+$L41=0,"(Perdente)",IF($J41&lt;$L41,$B41,$D41))</f>
        <v>Cinghiali Caparbi</v>
      </c>
    </row>
    <row r="42" customFormat="false" ht="15.75" hidden="false" customHeight="true" outlineLevel="0" collapsed="false">
      <c r="A42" s="59"/>
      <c r="B42" s="48" t="str">
        <f aca="false">IF(I42="","",HYPERLINK(VLOOKUP(I42,areaCampiSquadre,3,FALSE()),VLOOKUP(I42,areaCampiSquadre,2,FALSE())))</f>
        <v>PalaVipere, Via dello Sport 19, Vipereopoli VE</v>
      </c>
      <c r="C42" s="48"/>
      <c r="D42" s="48"/>
      <c r="E42" s="48"/>
      <c r="F42" s="48"/>
      <c r="G42" s="48"/>
      <c r="H42" s="48"/>
      <c r="I42" s="43" t="s">
        <v>86</v>
      </c>
      <c r="J42" s="45"/>
      <c r="K42" s="45"/>
      <c r="L42" s="45"/>
    </row>
    <row r="43" customFormat="false" ht="12.75" hidden="false" customHeight="true" outlineLevel="0" collapsed="false">
      <c r="A43" s="58" t="s">
        <v>334</v>
      </c>
      <c r="B43" s="58" t="s">
        <v>317</v>
      </c>
      <c r="C43" s="58"/>
      <c r="D43" s="58" t="s">
        <v>324</v>
      </c>
      <c r="E43" s="58"/>
      <c r="F43" s="58" t="s">
        <v>335</v>
      </c>
      <c r="G43" s="58" t="s">
        <v>336</v>
      </c>
      <c r="H43" s="58" t="s">
        <v>337</v>
      </c>
      <c r="I43" s="58"/>
      <c r="J43" s="58" t="s">
        <v>338</v>
      </c>
      <c r="K43" s="58"/>
      <c r="L43" s="58"/>
    </row>
    <row r="44" customFormat="false" ht="24" hidden="false" customHeight="true" outlineLevel="0" collapsed="false">
      <c r="A44" s="59" t="n">
        <f aca="false">MAX(A$10:A43)+1</f>
        <v>67</v>
      </c>
      <c r="B44" s="42" t="str">
        <f aca="false">IF(C44="","",IFERROR(LEFT(VLOOKUP(C44,areaNomiSquadre,2,FALSE()),FIND("-",VLOOKUP(C44,areaNomiSquadre,2,FALSE()))-1),""))</f>
        <v>Dromedari Danzanti</v>
      </c>
      <c r="C44" s="43" t="s">
        <v>96</v>
      </c>
      <c r="D44" s="42" t="str">
        <f aca="false">IF(E44="","",IFERROR(LEFT(VLOOKUP(E44,areaNomiSquadre,2,FALSE()),FIND("-",VLOOKUP(E44,areaNomiSquadre,2,FALSE()))-1),""))</f>
        <v>Zebre Zelanti</v>
      </c>
      <c r="E44" s="43" t="s">
        <v>88</v>
      </c>
      <c r="F44" s="44" t="n">
        <v>46355.625</v>
      </c>
      <c r="G44" s="44"/>
      <c r="H44" s="44"/>
      <c r="I44" s="44"/>
      <c r="J44" s="45" t="n">
        <v>43</v>
      </c>
      <c r="K44" s="46" t="s">
        <v>339</v>
      </c>
      <c r="L44" s="45" t="n">
        <v>71</v>
      </c>
      <c r="M44" s="47" t="str">
        <f aca="false">IF($B44="","(Squadra A)",$B44)</f>
        <v>Dromedari Danzanti</v>
      </c>
      <c r="N44" s="47" t="n">
        <f aca="false">IF($J44+$L44=0,,IF($J44&gt;$L44,1,0))</f>
        <v>0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1</v>
      </c>
      <c r="Q44" s="47" t="n">
        <f aca="false">IF($J44+$L44=0,,$J44)</f>
        <v>43</v>
      </c>
      <c r="R44" s="47" t="n">
        <f aca="false">IF($J44+$L44=0,,$L44)</f>
        <v>71</v>
      </c>
      <c r="S44" s="47" t="n">
        <f aca="false">IF($J44+$L44=0,,$J44-$L44)</f>
        <v>-28</v>
      </c>
      <c r="T44" s="47" t="str">
        <f aca="false">IF($D44="","(Squadra B)",$D44)</f>
        <v>Zebre Zelanti</v>
      </c>
      <c r="U44" s="47" t="n">
        <f aca="false">IF($J44+$L44=0,,IF($L44&gt;$J44,1,0))</f>
        <v>1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0</v>
      </c>
      <c r="X44" s="47" t="n">
        <f aca="false">IF($J44+$L44=0,,$L44)</f>
        <v>71</v>
      </c>
      <c r="Y44" s="47" t="n">
        <f aca="false">IF($J44+$L44=0,,$J44)</f>
        <v>43</v>
      </c>
      <c r="Z44" s="47" t="n">
        <f aca="false">IF($J44+$L44=0,,$L44-$J44)</f>
        <v>28</v>
      </c>
      <c r="AA44" s="47" t="str">
        <f aca="false">IF($J44+$L44=0,"(Vincente)",IF($J44&gt;$L44,$B44,$D44))</f>
        <v>Zebre Zelanti</v>
      </c>
      <c r="AB44" s="47" t="str">
        <f aca="false">IF($J44+$L44=0,"(Perdente)",IF($J44&lt;$L44,$B44,$D44))</f>
        <v>Dromedari Danzanti</v>
      </c>
    </row>
    <row r="45" customFormat="false" ht="15.75" hidden="false" customHeight="true" outlineLevel="0" collapsed="false">
      <c r="A45" s="59"/>
      <c r="B45" s="48" t="str">
        <f aca="false">IF(I45="","",HYPERLINK(VLOOKUP(I45,areaCampiSquadre,3,FALSE()),VLOOKUP(I45,areaCampiSquadre,2,FALSE())))</f>
        <v>PalaVipere, Via dello Sport 19, Vipereopoli VE</v>
      </c>
      <c r="C45" s="48"/>
      <c r="D45" s="48"/>
      <c r="E45" s="48"/>
      <c r="F45" s="48"/>
      <c r="G45" s="48"/>
      <c r="H45" s="48"/>
      <c r="I45" s="43" t="s">
        <v>86</v>
      </c>
      <c r="J45" s="45"/>
      <c r="K45" s="45"/>
      <c r="L45" s="45"/>
    </row>
    <row r="46" customFormat="false" ht="12.75" hidden="false" customHeight="true" outlineLevel="0" collapsed="false">
      <c r="A46" s="58" t="s">
        <v>334</v>
      </c>
      <c r="B46" s="58" t="s">
        <v>317</v>
      </c>
      <c r="C46" s="58"/>
      <c r="D46" s="58" t="s">
        <v>324</v>
      </c>
      <c r="E46" s="58"/>
      <c r="F46" s="58" t="s">
        <v>335</v>
      </c>
      <c r="G46" s="58" t="s">
        <v>336</v>
      </c>
      <c r="H46" s="58" t="s">
        <v>337</v>
      </c>
      <c r="I46" s="58"/>
      <c r="J46" s="58" t="s">
        <v>338</v>
      </c>
      <c r="K46" s="58"/>
      <c r="L46" s="58"/>
    </row>
    <row r="47" customFormat="false" ht="24" hidden="false" customHeight="true" outlineLevel="0" collapsed="false">
      <c r="A47" s="59" t="n">
        <f aca="false">MAX(A$10:A46)+1</f>
        <v>68</v>
      </c>
      <c r="B47" s="42" t="str">
        <f aca="false">IF(C47="","",IFERROR(LEFT(VLOOKUP(C47,areaNomiSquadre,2,FALSE()),FIND("-",VLOOKUP(C47,areaNomiSquadre,2,FALSE()))-1),""))</f>
        <v>Vipere Vivaci</v>
      </c>
      <c r="C47" s="43" t="s">
        <v>86</v>
      </c>
      <c r="D47" s="42" t="str">
        <f aca="false">IF(E47="","",IFERROR(LEFT(VLOOKUP(E47,areaNomiSquadre,2,FALSE()),FIND("-",VLOOKUP(E47,areaNomiSquadre,2,FALSE()))-1),""))</f>
        <v>Upupe Umoristiche</v>
      </c>
      <c r="E47" s="43" t="s">
        <v>84</v>
      </c>
      <c r="F47" s="44" t="n">
        <v>46355.7083333333</v>
      </c>
      <c r="G47" s="44"/>
      <c r="H47" s="44"/>
      <c r="I47" s="44"/>
      <c r="J47" s="45" t="n">
        <v>69</v>
      </c>
      <c r="K47" s="46" t="s">
        <v>339</v>
      </c>
      <c r="L47" s="45" t="n">
        <v>70</v>
      </c>
      <c r="M47" s="47" t="str">
        <f aca="false">IF($B47="","(Squadra A)",$B47)</f>
        <v>Vipere Vivaci</v>
      </c>
      <c r="N47" s="47" t="n">
        <f aca="false">IF($J47+$L47=0,,IF($J47&gt;$L47,1,0))</f>
        <v>0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1</v>
      </c>
      <c r="Q47" s="47" t="n">
        <f aca="false">IF($J47+$L47=0,,$J47)</f>
        <v>69</v>
      </c>
      <c r="R47" s="47" t="n">
        <f aca="false">IF($J47+$L47=0,,$L47)</f>
        <v>70</v>
      </c>
      <c r="S47" s="47" t="n">
        <f aca="false">IF($J47+$L47=0,,$J47-$L47)</f>
        <v>-1</v>
      </c>
      <c r="T47" s="47" t="str">
        <f aca="false">IF($D47="","(Squadra B)",$D47)</f>
        <v>Upupe Umoristiche</v>
      </c>
      <c r="U47" s="47" t="n">
        <f aca="false">IF($J47+$L47=0,,IF($L47&gt;$J47,1,0))</f>
        <v>1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0</v>
      </c>
      <c r="X47" s="47" t="n">
        <f aca="false">IF($J47+$L47=0,,$L47)</f>
        <v>70</v>
      </c>
      <c r="Y47" s="47" t="n">
        <f aca="false">IF($J47+$L47=0,,$J47)</f>
        <v>69</v>
      </c>
      <c r="Z47" s="47" t="n">
        <f aca="false">IF($J47+$L47=0,,$L47-$J47)</f>
        <v>1</v>
      </c>
      <c r="AA47" s="47" t="str">
        <f aca="false">IF($J47+$L47=0,"(Vincente)",IF($J47&gt;$L47,$B47,$D47))</f>
        <v>Upupe Umoristiche</v>
      </c>
      <c r="AB47" s="47" t="str">
        <f aca="false">IF($J47+$L47=0,"(Perdente)",IF($J47&lt;$L47,$B47,$D47))</f>
        <v>Vipere Vivaci</v>
      </c>
    </row>
    <row r="48" customFormat="false" ht="15.75" hidden="false" customHeight="true" outlineLevel="0" collapsed="false">
      <c r="A48" s="59"/>
      <c r="B48" s="48" t="str">
        <f aca="false">IF(I48="","",HYPERLINK(VLOOKUP(I48,areaCampiSquadre,3,FALSE()),VLOOKUP(I48,areaCampiSquadre,2,FALSE())))</f>
        <v>PalaVipere, Via dello Sport 19, Vipereopoli VE</v>
      </c>
      <c r="C48" s="48"/>
      <c r="D48" s="48"/>
      <c r="E48" s="48"/>
      <c r="F48" s="48"/>
      <c r="G48" s="48"/>
      <c r="H48" s="48"/>
      <c r="I48" s="43" t="s">
        <v>86</v>
      </c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56" t="s">
        <v>357</v>
      </c>
      <c r="B50" s="57" t="str">
        <f aca="false">"GIORNATA "&amp;ROMAN(VALUE(LEFT(A50,LEN(A50)-1)))&amp;" - GIRONE "&amp;RIGHT(A50,1)</f>
        <v>GIORNATA IV - GIRONE C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</row>
    <row r="51" customFormat="false" ht="12.75" hidden="false" customHeight="true" outlineLevel="0" collapsed="false">
      <c r="A51" s="58" t="s">
        <v>334</v>
      </c>
      <c r="B51" s="58" t="s">
        <v>317</v>
      </c>
      <c r="C51" s="58"/>
      <c r="D51" s="58" t="s">
        <v>324</v>
      </c>
      <c r="E51" s="58"/>
      <c r="F51" s="58" t="s">
        <v>335</v>
      </c>
      <c r="G51" s="58" t="s">
        <v>336</v>
      </c>
      <c r="H51" s="58" t="s">
        <v>337</v>
      </c>
      <c r="I51" s="58"/>
      <c r="J51" s="58" t="s">
        <v>338</v>
      </c>
      <c r="K51" s="58"/>
      <c r="L51" s="58"/>
    </row>
    <row r="52" customFormat="false" ht="24" hidden="false" customHeight="true" outlineLevel="0" collapsed="false">
      <c r="A52" s="59" t="n">
        <f aca="false">MAX(A$10:A51)+1</f>
        <v>69</v>
      </c>
      <c r="B52" s="42" t="str">
        <f aca="false">IF(C52="","",IFERROR(LEFT(VLOOKUP(C52,areaNomiSquadre,2,FALSE()),FIND("-",VLOOKUP(C52,areaNomiSquadre,2,FALSE()))-1),""))</f>
        <v>Albatri Astuti</v>
      </c>
      <c r="C52" s="43" t="s">
        <v>90</v>
      </c>
      <c r="D52" s="42" t="str">
        <f aca="false">IF(E52="","",IFERROR(LEFT(VLOOKUP(E52,areaNomiSquadre,2,FALSE()),FIND("-",VLOOKUP(E52,areaNomiSquadre,2,FALSE()))-1),""))</f>
        <v>Tigri Tenaci</v>
      </c>
      <c r="E52" s="43" t="s">
        <v>81</v>
      </c>
      <c r="F52" s="44" t="n">
        <v>46369.3958333333</v>
      </c>
      <c r="G52" s="44"/>
      <c r="H52" s="44"/>
      <c r="I52" s="44"/>
      <c r="J52" s="45" t="n">
        <v>60</v>
      </c>
      <c r="K52" s="46" t="s">
        <v>339</v>
      </c>
      <c r="L52" s="45" t="n">
        <v>67</v>
      </c>
      <c r="M52" s="47" t="str">
        <f aca="false">IF($B52="","(Squadra A)",$B52)</f>
        <v>Albatri Astuti</v>
      </c>
      <c r="N52" s="47" t="n">
        <f aca="false">IF($J52+$L52=0,,IF($J52&gt;$L52,1,0))</f>
        <v>0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1</v>
      </c>
      <c r="Q52" s="47" t="n">
        <f aca="false">IF($J52+$L52=0,,$J52)</f>
        <v>60</v>
      </c>
      <c r="R52" s="47" t="n">
        <f aca="false">IF($J52+$L52=0,,$L52)</f>
        <v>67</v>
      </c>
      <c r="S52" s="47" t="n">
        <f aca="false">IF($J52+$L52=0,,$J52-$L52)</f>
        <v>-7</v>
      </c>
      <c r="T52" s="47" t="str">
        <f aca="false">IF($D52="","(Squadra B)",$D52)</f>
        <v>Tigri Tenaci</v>
      </c>
      <c r="U52" s="47" t="n">
        <f aca="false">IF($J52+$L52=0,,IF($L52&gt;$J52,1,0))</f>
        <v>1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0</v>
      </c>
      <c r="X52" s="47" t="n">
        <f aca="false">IF($J52+$L52=0,,$L52)</f>
        <v>67</v>
      </c>
      <c r="Y52" s="47" t="n">
        <f aca="false">IF($J52+$L52=0,,$J52)</f>
        <v>60</v>
      </c>
      <c r="Z52" s="47" t="n">
        <f aca="false">IF($J52+$L52=0,,$L52-$J52)</f>
        <v>7</v>
      </c>
      <c r="AA52" s="47" t="str">
        <f aca="false">IF($J52+$L52=0,"(Vincente)",IF($J52&gt;$L52,$B52,$D52))</f>
        <v>Tigri Tenaci</v>
      </c>
      <c r="AB52" s="47" t="str">
        <f aca="false">IF($J52+$L52=0,"(Perdente)",IF($J52&lt;$L52,$B52,$D52))</f>
        <v>Albatri Astuti</v>
      </c>
    </row>
    <row r="53" customFormat="false" ht="15.75" hidden="false" customHeight="true" outlineLevel="0" collapsed="false">
      <c r="A53" s="59"/>
      <c r="B53" s="48" t="str">
        <f aca="false">IF(I53="","",HYPERLINK(VLOOKUP(I53,areaCampiSquadre,3,FALSE()),VLOOKUP(I53,areaCampiSquadre,2,FALSE())))</f>
        <v>PalaZebre, Via dello Sport 20, Zebreopoli ZE</v>
      </c>
      <c r="C53" s="48"/>
      <c r="D53" s="48"/>
      <c r="E53" s="48"/>
      <c r="F53" s="48"/>
      <c r="G53" s="48"/>
      <c r="H53" s="48"/>
      <c r="I53" s="43" t="s">
        <v>88</v>
      </c>
      <c r="J53" s="45"/>
      <c r="K53" s="45"/>
      <c r="L53" s="45"/>
    </row>
    <row r="54" customFormat="false" ht="12.75" hidden="false" customHeight="true" outlineLevel="0" collapsed="false">
      <c r="A54" s="58" t="s">
        <v>334</v>
      </c>
      <c r="B54" s="58" t="s">
        <v>317</v>
      </c>
      <c r="C54" s="58"/>
      <c r="D54" s="58" t="s">
        <v>324</v>
      </c>
      <c r="E54" s="58"/>
      <c r="F54" s="58" t="s">
        <v>335</v>
      </c>
      <c r="G54" s="58" t="s">
        <v>336</v>
      </c>
      <c r="H54" s="58" t="s">
        <v>337</v>
      </c>
      <c r="I54" s="58"/>
      <c r="J54" s="58" t="s">
        <v>338</v>
      </c>
      <c r="K54" s="58"/>
      <c r="L54" s="58"/>
    </row>
    <row r="55" customFormat="false" ht="24" hidden="false" customHeight="true" outlineLevel="0" collapsed="false">
      <c r="A55" s="59" t="n">
        <f aca="false">MAX(A$10:A54)+1</f>
        <v>70</v>
      </c>
      <c r="B55" s="42" t="str">
        <f aca="false">IF(C55="","",IFERROR(LEFT(VLOOKUP(C55,areaNomiSquadre,2,FALSE()),FIND("-",VLOOKUP(C55,areaNomiSquadre,2,FALSE()))-1),""))</f>
        <v>Bisonti Baldanzosi</v>
      </c>
      <c r="C55" s="43" t="s">
        <v>92</v>
      </c>
      <c r="D55" s="42" t="str">
        <f aca="false">IF(E55="","",IFERROR(LEFT(VLOOKUP(E55,areaNomiSquadre,2,FALSE()),FIND("-",VLOOKUP(E55,areaNomiSquadre,2,FALSE()))-1),""))</f>
        <v>Zebre Zelanti</v>
      </c>
      <c r="E55" s="43" t="s">
        <v>88</v>
      </c>
      <c r="F55" s="44" t="n">
        <v>46369.4791666667</v>
      </c>
      <c r="G55" s="44"/>
      <c r="H55" s="44"/>
      <c r="I55" s="44"/>
      <c r="J55" s="45" t="n">
        <v>58</v>
      </c>
      <c r="K55" s="46" t="s">
        <v>339</v>
      </c>
      <c r="L55" s="45" t="n">
        <v>61</v>
      </c>
      <c r="M55" s="47" t="str">
        <f aca="false">IF($B55="","(Squadra A)",$B55)</f>
        <v>Bisonti Baldanzosi</v>
      </c>
      <c r="N55" s="47" t="n">
        <f aca="false">IF($J55+$L55=0,,IF($J55&gt;$L55,1,0))</f>
        <v>0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1</v>
      </c>
      <c r="Q55" s="47" t="n">
        <f aca="false">IF($J55+$L55=0,,$J55)</f>
        <v>58</v>
      </c>
      <c r="R55" s="47" t="n">
        <f aca="false">IF($J55+$L55=0,,$L55)</f>
        <v>61</v>
      </c>
      <c r="S55" s="47" t="n">
        <f aca="false">IF($J55+$L55=0,,$J55-$L55)</f>
        <v>-3</v>
      </c>
      <c r="T55" s="47" t="str">
        <f aca="false">IF($D55="","(Squadra B)",$D55)</f>
        <v>Zebre Zelanti</v>
      </c>
      <c r="U55" s="47" t="n">
        <f aca="false">IF($J55+$L55=0,,IF($L55&gt;$J55,1,0))</f>
        <v>1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0</v>
      </c>
      <c r="X55" s="47" t="n">
        <f aca="false">IF($J55+$L55=0,,$L55)</f>
        <v>61</v>
      </c>
      <c r="Y55" s="47" t="n">
        <f aca="false">IF($J55+$L55=0,,$J55)</f>
        <v>58</v>
      </c>
      <c r="Z55" s="47" t="n">
        <f aca="false">IF($J55+$L55=0,,$L55-$J55)</f>
        <v>3</v>
      </c>
      <c r="AA55" s="47" t="str">
        <f aca="false">IF($J55+$L55=0,"(Vincente)",IF($J55&gt;$L55,$B55,$D55))</f>
        <v>Zebre Zelanti</v>
      </c>
      <c r="AB55" s="47" t="str">
        <f aca="false">IF($J55+$L55=0,"(Perdente)",IF($J55&lt;$L55,$B55,$D55))</f>
        <v>Bisonti Baldanzosi</v>
      </c>
    </row>
    <row r="56" customFormat="false" ht="15.75" hidden="false" customHeight="true" outlineLevel="0" collapsed="false">
      <c r="A56" s="59"/>
      <c r="B56" s="48" t="str">
        <f aca="false">IF(I56="","",HYPERLINK(VLOOKUP(I56,areaCampiSquadre,3,FALSE()),VLOOKUP(I56,areaCampiSquadre,2,FALSE())))</f>
        <v>PalaZebre, Via dello Sport 20, Zebreopoli ZE</v>
      </c>
      <c r="C56" s="48"/>
      <c r="D56" s="48"/>
      <c r="E56" s="48"/>
      <c r="F56" s="48"/>
      <c r="G56" s="48"/>
      <c r="H56" s="48"/>
      <c r="I56" s="43" t="s">
        <v>88</v>
      </c>
      <c r="J56" s="45"/>
      <c r="K56" s="45"/>
      <c r="L56" s="45"/>
    </row>
    <row r="57" customFormat="false" ht="12.75" hidden="false" customHeight="true" outlineLevel="0" collapsed="false">
      <c r="A57" s="58" t="s">
        <v>334</v>
      </c>
      <c r="B57" s="58" t="s">
        <v>317</v>
      </c>
      <c r="C57" s="58"/>
      <c r="D57" s="58" t="s">
        <v>324</v>
      </c>
      <c r="E57" s="58"/>
      <c r="F57" s="58" t="s">
        <v>335</v>
      </c>
      <c r="G57" s="58" t="s">
        <v>336</v>
      </c>
      <c r="H57" s="58" t="s">
        <v>337</v>
      </c>
      <c r="I57" s="58"/>
      <c r="J57" s="58" t="s">
        <v>338</v>
      </c>
      <c r="K57" s="58"/>
      <c r="L57" s="58"/>
    </row>
    <row r="58" customFormat="false" ht="24" hidden="false" customHeight="true" outlineLevel="0" collapsed="false">
      <c r="A58" s="59" t="n">
        <f aca="false">MAX(A$10:A57)+1</f>
        <v>71</v>
      </c>
      <c r="B58" s="42" t="str">
        <f aca="false">IF(C58="","",IFERROR(LEFT(VLOOKUP(C58,areaNomiSquadre,2,FALSE()),FIND("-",VLOOKUP(C58,areaNomiSquadre,2,FALSE()))-1),""))</f>
        <v>Vipere Vivaci</v>
      </c>
      <c r="C58" s="43" t="s">
        <v>86</v>
      </c>
      <c r="D58" s="42" t="str">
        <f aca="false">IF(E58="","",IFERROR(LEFT(VLOOKUP(E58,areaNomiSquadre,2,FALSE()),FIND("-",VLOOKUP(E58,areaNomiSquadre,2,FALSE()))-1),""))</f>
        <v>Cinghiali Caparbi</v>
      </c>
      <c r="E58" s="43" t="s">
        <v>94</v>
      </c>
      <c r="F58" s="44" t="n">
        <v>46369.625</v>
      </c>
      <c r="G58" s="44"/>
      <c r="H58" s="44"/>
      <c r="I58" s="44"/>
      <c r="J58" s="45" t="n">
        <v>37</v>
      </c>
      <c r="K58" s="46" t="s">
        <v>339</v>
      </c>
      <c r="L58" s="45" t="n">
        <v>73</v>
      </c>
      <c r="M58" s="47" t="str">
        <f aca="false">IF($B58="","(Squadra A)",$B58)</f>
        <v>Vipere Vivaci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1</v>
      </c>
      <c r="Q58" s="47" t="n">
        <f aca="false">IF($J58+$L58=0,,$J58)</f>
        <v>37</v>
      </c>
      <c r="R58" s="47" t="n">
        <f aca="false">IF($J58+$L58=0,,$L58)</f>
        <v>73</v>
      </c>
      <c r="S58" s="47" t="n">
        <f aca="false">IF($J58+$L58=0,,$J58-$L58)</f>
        <v>-36</v>
      </c>
      <c r="T58" s="47" t="str">
        <f aca="false">IF($D58="","(Squadra B)",$D58)</f>
        <v>Cinghiali Caparbi</v>
      </c>
      <c r="U58" s="47" t="n">
        <f aca="false">IF($J58+$L58=0,,IF($L58&gt;$J58,1,0))</f>
        <v>1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73</v>
      </c>
      <c r="Y58" s="47" t="n">
        <f aca="false">IF($J58+$L58=0,,$J58)</f>
        <v>37</v>
      </c>
      <c r="Z58" s="47" t="n">
        <f aca="false">IF($J58+$L58=0,,$L58-$J58)</f>
        <v>36</v>
      </c>
      <c r="AA58" s="47" t="str">
        <f aca="false">IF($J58+$L58=0,"(Vincente)",IF($J58&gt;$L58,$B58,$D58))</f>
        <v>Cinghiali Caparbi</v>
      </c>
      <c r="AB58" s="47" t="str">
        <f aca="false">IF($J58+$L58=0,"(Perdente)",IF($J58&lt;$L58,$B58,$D58))</f>
        <v>Vipere Vivaci</v>
      </c>
    </row>
    <row r="59" customFormat="false" ht="15.75" hidden="false" customHeight="true" outlineLevel="0" collapsed="false">
      <c r="A59" s="59"/>
      <c r="B59" s="48" t="str">
        <f aca="false">IF(I59="","",HYPERLINK(VLOOKUP(I59,areaCampiSquadre,3,FALSE()),VLOOKUP(I59,areaCampiSquadre,2,FALSE())))</f>
        <v>PalaZebre, Via dello Sport 20, Zebreopoli ZE</v>
      </c>
      <c r="C59" s="48"/>
      <c r="D59" s="48"/>
      <c r="E59" s="48"/>
      <c r="F59" s="48"/>
      <c r="G59" s="48"/>
      <c r="H59" s="48"/>
      <c r="I59" s="43" t="s">
        <v>88</v>
      </c>
      <c r="J59" s="45"/>
      <c r="K59" s="45"/>
      <c r="L59" s="45"/>
    </row>
    <row r="60" customFormat="false" ht="12.75" hidden="false" customHeight="true" outlineLevel="0" collapsed="false">
      <c r="A60" s="58" t="s">
        <v>334</v>
      </c>
      <c r="B60" s="58" t="s">
        <v>317</v>
      </c>
      <c r="C60" s="58"/>
      <c r="D60" s="58" t="s">
        <v>324</v>
      </c>
      <c r="E60" s="58"/>
      <c r="F60" s="58" t="s">
        <v>335</v>
      </c>
      <c r="G60" s="58" t="s">
        <v>336</v>
      </c>
      <c r="H60" s="58" t="s">
        <v>337</v>
      </c>
      <c r="I60" s="58"/>
      <c r="J60" s="58" t="s">
        <v>338</v>
      </c>
      <c r="K60" s="58"/>
      <c r="L60" s="58"/>
    </row>
    <row r="61" customFormat="false" ht="24" hidden="false" customHeight="true" outlineLevel="0" collapsed="false">
      <c r="A61" s="59" t="n">
        <f aca="false">MAX(A$10:A60)+1</f>
        <v>72</v>
      </c>
      <c r="B61" s="42" t="str">
        <f aca="false">IF(C61="","",IFERROR(LEFT(VLOOKUP(C61,areaNomiSquadre,2,FALSE()),FIND("-",VLOOKUP(C61,areaNomiSquadre,2,FALSE()))-1),""))</f>
        <v>Dromedari Danzanti</v>
      </c>
      <c r="C61" s="43" t="s">
        <v>96</v>
      </c>
      <c r="D61" s="42" t="str">
        <f aca="false">IF(E61="","",IFERROR(LEFT(VLOOKUP(E61,areaNomiSquadre,2,FALSE()),FIND("-",VLOOKUP(E61,areaNomiSquadre,2,FALSE()))-1),""))</f>
        <v>Upupe Umoristiche</v>
      </c>
      <c r="E61" s="43" t="s">
        <v>84</v>
      </c>
      <c r="F61" s="44" t="n">
        <v>46369.7083333333</v>
      </c>
      <c r="G61" s="44"/>
      <c r="H61" s="44"/>
      <c r="I61" s="44"/>
      <c r="J61" s="45" t="n">
        <v>48</v>
      </c>
      <c r="K61" s="46" t="s">
        <v>339</v>
      </c>
      <c r="L61" s="45" t="n">
        <v>64</v>
      </c>
      <c r="M61" s="47" t="str">
        <f aca="false">IF($B61="","(Squadra A)",$B61)</f>
        <v>Dromedari Danzanti</v>
      </c>
      <c r="N61" s="47" t="n">
        <f aca="false">IF($J61+$L61=0,,IF($J61&gt;$L61,1,0))</f>
        <v>0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1</v>
      </c>
      <c r="Q61" s="47" t="n">
        <f aca="false">IF($J61+$L61=0,,$J61)</f>
        <v>48</v>
      </c>
      <c r="R61" s="47" t="n">
        <f aca="false">IF($J61+$L61=0,,$L61)</f>
        <v>64</v>
      </c>
      <c r="S61" s="47" t="n">
        <f aca="false">IF($J61+$L61=0,,$J61-$L61)</f>
        <v>-16</v>
      </c>
      <c r="T61" s="47" t="str">
        <f aca="false">IF($D61="","(Squadra B)",$D61)</f>
        <v>Upupe Umoristiche</v>
      </c>
      <c r="U61" s="47" t="n">
        <f aca="false">IF($J61+$L61=0,,IF($L61&gt;$J61,1,0))</f>
        <v>1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0</v>
      </c>
      <c r="X61" s="47" t="n">
        <f aca="false">IF($J61+$L61=0,,$L61)</f>
        <v>64</v>
      </c>
      <c r="Y61" s="47" t="n">
        <f aca="false">IF($J61+$L61=0,,$J61)</f>
        <v>48</v>
      </c>
      <c r="Z61" s="47" t="n">
        <f aca="false">IF($J61+$L61=0,,$L61-$J61)</f>
        <v>16</v>
      </c>
      <c r="AA61" s="47" t="str">
        <f aca="false">IF($J61+$L61=0,"(Vincente)",IF($J61&gt;$L61,$B61,$D61))</f>
        <v>Upupe Umoristiche</v>
      </c>
      <c r="AB61" s="47" t="str">
        <f aca="false">IF($J61+$L61=0,"(Perdente)",IF($J61&lt;$L61,$B61,$D61))</f>
        <v>Dromedari Danzanti</v>
      </c>
    </row>
    <row r="62" customFormat="false" ht="15.75" hidden="false" customHeight="true" outlineLevel="0" collapsed="false">
      <c r="A62" s="59"/>
      <c r="B62" s="48" t="str">
        <f aca="false">IF(I62="","",HYPERLINK(VLOOKUP(I62,areaCampiSquadre,3,FALSE()),VLOOKUP(I62,areaCampiSquadre,2,FALSE())))</f>
        <v>PalaZebre, Via dello Sport 20, Zebreopoli ZE</v>
      </c>
      <c r="C62" s="48"/>
      <c r="D62" s="48"/>
      <c r="E62" s="48"/>
      <c r="F62" s="48"/>
      <c r="G62" s="48"/>
      <c r="H62" s="48"/>
      <c r="I62" s="43" t="s">
        <v>88</v>
      </c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56" t="s">
        <v>358</v>
      </c>
      <c r="B64" s="57" t="str">
        <f aca="false">"GIORNATA "&amp;ROMAN(VALUE(LEFT(A64,LEN(A64)-1)))&amp;" - GIRONE "&amp;RIGHT(A64,1)</f>
        <v>GIORNATA V - GIRONE C</v>
      </c>
      <c r="C64" s="57"/>
      <c r="D64" s="57"/>
      <c r="E64" s="57"/>
      <c r="F64" s="57"/>
      <c r="G64" s="57"/>
      <c r="H64" s="57"/>
      <c r="I64" s="57"/>
      <c r="J64" s="57"/>
      <c r="K64" s="57"/>
      <c r="L64" s="57"/>
    </row>
    <row r="65" customFormat="false" ht="12.75" hidden="false" customHeight="true" outlineLevel="0" collapsed="false">
      <c r="A65" s="58" t="s">
        <v>334</v>
      </c>
      <c r="B65" s="58" t="s">
        <v>317</v>
      </c>
      <c r="C65" s="58"/>
      <c r="D65" s="58" t="s">
        <v>324</v>
      </c>
      <c r="E65" s="58"/>
      <c r="F65" s="58" t="s">
        <v>335</v>
      </c>
      <c r="G65" s="58" t="s">
        <v>336</v>
      </c>
      <c r="H65" s="58" t="s">
        <v>337</v>
      </c>
      <c r="I65" s="58"/>
      <c r="J65" s="58" t="s">
        <v>338</v>
      </c>
      <c r="K65" s="58"/>
      <c r="L65" s="58"/>
    </row>
    <row r="66" customFormat="false" ht="24" hidden="false" customHeight="true" outlineLevel="0" collapsed="false">
      <c r="A66" s="59" t="n">
        <f aca="false">MAX(A$10:A65)+1</f>
        <v>73</v>
      </c>
      <c r="B66" s="42" t="str">
        <f aca="false">IF(C66="","",IFERROR(LEFT(VLOOKUP(C66,areaNomiSquadre,2,FALSE()),FIND("-",VLOOKUP(C66,areaNomiSquadre,2,FALSE()))-1),""))</f>
        <v>Tigri Tenaci</v>
      </c>
      <c r="C66" s="43" t="s">
        <v>81</v>
      </c>
      <c r="D66" s="42" t="str">
        <f aca="false">IF(E66="","",IFERROR(LEFT(VLOOKUP(E66,areaNomiSquadre,2,FALSE()),FIND("-",VLOOKUP(E66,areaNomiSquadre,2,FALSE()))-1),""))</f>
        <v>Zebre Zelanti</v>
      </c>
      <c r="E66" s="43" t="s">
        <v>88</v>
      </c>
      <c r="F66" s="44" t="n">
        <v>46411.3958333333</v>
      </c>
      <c r="G66" s="44"/>
      <c r="H66" s="44"/>
      <c r="I66" s="44"/>
      <c r="J66" s="45" t="n">
        <v>69</v>
      </c>
      <c r="K66" s="46" t="s">
        <v>339</v>
      </c>
      <c r="L66" s="45" t="n">
        <v>73</v>
      </c>
      <c r="M66" s="47" t="str">
        <f aca="false">IF($B66="","(Squadra A)",$B66)</f>
        <v>Tigri Tenaci</v>
      </c>
      <c r="N66" s="47" t="n">
        <f aca="false">IF($J66+$L66=0,,IF($J66&gt;$L66,1,0))</f>
        <v>0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1</v>
      </c>
      <c r="Q66" s="47" t="n">
        <f aca="false">IF($J66+$L66=0,,$J66)</f>
        <v>69</v>
      </c>
      <c r="R66" s="47" t="n">
        <f aca="false">IF($J66+$L66=0,,$L66)</f>
        <v>73</v>
      </c>
      <c r="S66" s="47" t="n">
        <f aca="false">IF($J66+$L66=0,,$J66-$L66)</f>
        <v>-4</v>
      </c>
      <c r="T66" s="47" t="str">
        <f aca="false">IF($D66="","(Squadra B)",$D66)</f>
        <v>Zebre Zelanti</v>
      </c>
      <c r="U66" s="47" t="n">
        <f aca="false">IF($J66+$L66=0,,IF($L66&gt;$J66,1,0))</f>
        <v>1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0</v>
      </c>
      <c r="X66" s="47" t="n">
        <f aca="false">IF($J66+$L66=0,,$L66)</f>
        <v>73</v>
      </c>
      <c r="Y66" s="47" t="n">
        <f aca="false">IF($J66+$L66=0,,$J66)</f>
        <v>69</v>
      </c>
      <c r="Z66" s="47" t="n">
        <f aca="false">IF($J66+$L66=0,,$L66-$J66)</f>
        <v>4</v>
      </c>
      <c r="AA66" s="47" t="str">
        <f aca="false">IF($J66+$L66=0,"(Vincente)",IF($J66&gt;$L66,$B66,$D66))</f>
        <v>Zebre Zelanti</v>
      </c>
      <c r="AB66" s="47" t="str">
        <f aca="false">IF($J66+$L66=0,"(Perdente)",IF($J66&lt;$L66,$B66,$D66))</f>
        <v>Tigri Tenaci</v>
      </c>
    </row>
    <row r="67" customFormat="false" ht="15.75" hidden="false" customHeight="true" outlineLevel="0" collapsed="false">
      <c r="A67" s="59"/>
      <c r="B67" s="48" t="str">
        <f aca="false">IF(I67="","",HYPERLINK(VLOOKUP(I67,areaCampiSquadre,3,FALSE()),VLOOKUP(I67,areaCampiSquadre,2,FALSE())))</f>
        <v>PalaAlbatri, Via dello Sport 1, Albatriopoli AI</v>
      </c>
      <c r="C67" s="48"/>
      <c r="D67" s="48"/>
      <c r="E67" s="48"/>
      <c r="F67" s="48"/>
      <c r="G67" s="48"/>
      <c r="H67" s="48"/>
      <c r="I67" s="43" t="s">
        <v>90</v>
      </c>
      <c r="J67" s="45"/>
      <c r="K67" s="45"/>
      <c r="L67" s="45"/>
    </row>
    <row r="68" customFormat="false" ht="12.75" hidden="false" customHeight="true" outlineLevel="0" collapsed="false">
      <c r="A68" s="58" t="s">
        <v>334</v>
      </c>
      <c r="B68" s="58" t="s">
        <v>317</v>
      </c>
      <c r="C68" s="58"/>
      <c r="D68" s="58" t="s">
        <v>324</v>
      </c>
      <c r="E68" s="58"/>
      <c r="F68" s="58" t="s">
        <v>335</v>
      </c>
      <c r="G68" s="58" t="s">
        <v>336</v>
      </c>
      <c r="H68" s="58" t="s">
        <v>337</v>
      </c>
      <c r="I68" s="58"/>
      <c r="J68" s="58" t="s">
        <v>338</v>
      </c>
      <c r="K68" s="58"/>
      <c r="L68" s="58"/>
    </row>
    <row r="69" customFormat="false" ht="24" hidden="false" customHeight="true" outlineLevel="0" collapsed="false">
      <c r="A69" s="59" t="n">
        <f aca="false">MAX(A$10:A68)+1</f>
        <v>74</v>
      </c>
      <c r="B69" s="42" t="str">
        <f aca="false">IF(C69="","",IFERROR(LEFT(VLOOKUP(C69,areaNomiSquadre,2,FALSE()),FIND("-",VLOOKUP(C69,areaNomiSquadre,2,FALSE()))-1),""))</f>
        <v>Vipere Vivaci</v>
      </c>
      <c r="C69" s="43" t="s">
        <v>86</v>
      </c>
      <c r="D69" s="42" t="str">
        <f aca="false">IF(E69="","",IFERROR(LEFT(VLOOKUP(E69,areaNomiSquadre,2,FALSE()),FIND("-",VLOOKUP(E69,areaNomiSquadre,2,FALSE()))-1),""))</f>
        <v>Albatri Astuti</v>
      </c>
      <c r="E69" s="43" t="s">
        <v>90</v>
      </c>
      <c r="F69" s="44" t="n">
        <v>46411.4791666667</v>
      </c>
      <c r="G69" s="44"/>
      <c r="H69" s="44"/>
      <c r="I69" s="44"/>
      <c r="J69" s="45" t="n">
        <v>56</v>
      </c>
      <c r="K69" s="46" t="s">
        <v>339</v>
      </c>
      <c r="L69" s="45" t="n">
        <v>76</v>
      </c>
      <c r="M69" s="47" t="str">
        <f aca="false">IF($B69="","(Squadra A)",$B69)</f>
        <v>Vipere Vivaci</v>
      </c>
      <c r="N69" s="47" t="n">
        <f aca="false">IF($J69+$L69=0,,IF($J69&gt;$L69,1,0))</f>
        <v>0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1</v>
      </c>
      <c r="Q69" s="47" t="n">
        <f aca="false">IF($J69+$L69=0,,$J69)</f>
        <v>56</v>
      </c>
      <c r="R69" s="47" t="n">
        <f aca="false">IF($J69+$L69=0,,$L69)</f>
        <v>76</v>
      </c>
      <c r="S69" s="47" t="n">
        <f aca="false">IF($J69+$L69=0,,$J69-$L69)</f>
        <v>-20</v>
      </c>
      <c r="T69" s="47" t="str">
        <f aca="false">IF($D69="","(Squadra B)",$D69)</f>
        <v>Albatri Astuti</v>
      </c>
      <c r="U69" s="47" t="n">
        <f aca="false">IF($J69+$L69=0,,IF($L69&gt;$J69,1,0))</f>
        <v>1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0</v>
      </c>
      <c r="X69" s="47" t="n">
        <f aca="false">IF($J69+$L69=0,,$L69)</f>
        <v>76</v>
      </c>
      <c r="Y69" s="47" t="n">
        <f aca="false">IF($J69+$L69=0,,$J69)</f>
        <v>56</v>
      </c>
      <c r="Z69" s="47" t="n">
        <f aca="false">IF($J69+$L69=0,,$L69-$J69)</f>
        <v>20</v>
      </c>
      <c r="AA69" s="47" t="str">
        <f aca="false">IF($J69+$L69=0,"(Vincente)",IF($J69&gt;$L69,$B69,$D69))</f>
        <v>Albatri Astuti</v>
      </c>
      <c r="AB69" s="47" t="str">
        <f aca="false">IF($J69+$L69=0,"(Perdente)",IF($J69&lt;$L69,$B69,$D69))</f>
        <v>Vipere Vivaci</v>
      </c>
    </row>
    <row r="70" customFormat="false" ht="15.75" hidden="false" customHeight="true" outlineLevel="0" collapsed="false">
      <c r="A70" s="59"/>
      <c r="B70" s="48" t="str">
        <f aca="false">IF(I70="","",HYPERLINK(VLOOKUP(I70,areaCampiSquadre,3,FALSE()),VLOOKUP(I70,areaCampiSquadre,2,FALSE())))</f>
        <v>PalaAlbatri, Via dello Sport 1, Albatriopoli AI</v>
      </c>
      <c r="C70" s="48"/>
      <c r="D70" s="48"/>
      <c r="E70" s="48"/>
      <c r="F70" s="48"/>
      <c r="G70" s="48"/>
      <c r="H70" s="48"/>
      <c r="I70" s="43" t="s">
        <v>90</v>
      </c>
      <c r="J70" s="45"/>
      <c r="K70" s="45"/>
      <c r="L70" s="45"/>
    </row>
    <row r="71" customFormat="false" ht="12.75" hidden="false" customHeight="true" outlineLevel="0" collapsed="false">
      <c r="A71" s="58" t="s">
        <v>334</v>
      </c>
      <c r="B71" s="58" t="s">
        <v>317</v>
      </c>
      <c r="C71" s="58"/>
      <c r="D71" s="58" t="s">
        <v>324</v>
      </c>
      <c r="E71" s="58"/>
      <c r="F71" s="58" t="s">
        <v>335</v>
      </c>
      <c r="G71" s="58" t="s">
        <v>336</v>
      </c>
      <c r="H71" s="58" t="s">
        <v>337</v>
      </c>
      <c r="I71" s="58"/>
      <c r="J71" s="58" t="s">
        <v>338</v>
      </c>
      <c r="K71" s="58"/>
      <c r="L71" s="58"/>
    </row>
    <row r="72" customFormat="false" ht="24" hidden="false" customHeight="true" outlineLevel="0" collapsed="false">
      <c r="A72" s="59" t="n">
        <f aca="false">MAX(A$10:A71)+1</f>
        <v>75</v>
      </c>
      <c r="B72" s="42" t="str">
        <f aca="false">IF(C72="","",IFERROR(LEFT(VLOOKUP(C72,areaNomiSquadre,2,FALSE()),FIND("-",VLOOKUP(C72,areaNomiSquadre,2,FALSE()))-1),""))</f>
        <v>Bisonti Baldanzosi</v>
      </c>
      <c r="C72" s="43" t="s">
        <v>92</v>
      </c>
      <c r="D72" s="42" t="str">
        <f aca="false">IF(E72="","",IFERROR(LEFT(VLOOKUP(E72,areaNomiSquadre,2,FALSE()),FIND("-",VLOOKUP(E72,areaNomiSquadre,2,FALSE()))-1),""))</f>
        <v>Upupe Umoristiche</v>
      </c>
      <c r="E72" s="43" t="s">
        <v>84</v>
      </c>
      <c r="F72" s="44" t="n">
        <v>46411.625</v>
      </c>
      <c r="G72" s="44"/>
      <c r="H72" s="44"/>
      <c r="I72" s="44"/>
      <c r="J72" s="45" t="n">
        <v>60</v>
      </c>
      <c r="K72" s="46" t="s">
        <v>339</v>
      </c>
      <c r="L72" s="45" t="n">
        <v>56</v>
      </c>
      <c r="M72" s="47" t="str">
        <f aca="false">IF($B72="","(Squadra A)",$B72)</f>
        <v>Bisonti Baldanzosi</v>
      </c>
      <c r="N72" s="47" t="n">
        <f aca="false">IF($J72+$L72=0,,IF($J72&gt;$L72,1,0))</f>
        <v>1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0</v>
      </c>
      <c r="Q72" s="47" t="n">
        <f aca="false">IF($J72+$L72=0,,$J72)</f>
        <v>60</v>
      </c>
      <c r="R72" s="47" t="n">
        <f aca="false">IF($J72+$L72=0,,$L72)</f>
        <v>56</v>
      </c>
      <c r="S72" s="47" t="n">
        <f aca="false">IF($J72+$L72=0,,$J72-$L72)</f>
        <v>4</v>
      </c>
      <c r="T72" s="47" t="str">
        <f aca="false">IF($D72="","(Squadra B)",$D72)</f>
        <v>Upupe Umoristiche</v>
      </c>
      <c r="U72" s="47" t="n">
        <f aca="false">IF($J72+$L72=0,,IF($L72&gt;$J72,1,0))</f>
        <v>0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1</v>
      </c>
      <c r="X72" s="47" t="n">
        <f aca="false">IF($J72+$L72=0,,$L72)</f>
        <v>56</v>
      </c>
      <c r="Y72" s="47" t="n">
        <f aca="false">IF($J72+$L72=0,,$J72)</f>
        <v>60</v>
      </c>
      <c r="Z72" s="47" t="n">
        <f aca="false">IF($J72+$L72=0,,$L72-$J72)</f>
        <v>-4</v>
      </c>
      <c r="AA72" s="47" t="str">
        <f aca="false">IF($J72+$L72=0,"(Vincente)",IF($J72&gt;$L72,$B72,$D72))</f>
        <v>Bisonti Baldanzosi</v>
      </c>
      <c r="AB72" s="47" t="str">
        <f aca="false">IF($J72+$L72=0,"(Perdente)",IF($J72&lt;$L72,$B72,$D72))</f>
        <v>Upupe Umoristiche</v>
      </c>
    </row>
    <row r="73" customFormat="false" ht="15.75" hidden="false" customHeight="true" outlineLevel="0" collapsed="false">
      <c r="A73" s="59"/>
      <c r="B73" s="48" t="str">
        <f aca="false">IF(I73="","",HYPERLINK(VLOOKUP(I73,areaCampiSquadre,3,FALSE()),VLOOKUP(I73,areaCampiSquadre,2,FALSE())))</f>
        <v>PalaAlbatri, Via dello Sport 1, Albatriopoli AI</v>
      </c>
      <c r="C73" s="48"/>
      <c r="D73" s="48"/>
      <c r="E73" s="48"/>
      <c r="F73" s="48"/>
      <c r="G73" s="48"/>
      <c r="H73" s="48"/>
      <c r="I73" s="43" t="s">
        <v>90</v>
      </c>
      <c r="J73" s="45"/>
      <c r="K73" s="45"/>
      <c r="L73" s="45"/>
    </row>
    <row r="74" customFormat="false" ht="12.75" hidden="false" customHeight="true" outlineLevel="0" collapsed="false">
      <c r="A74" s="58" t="s">
        <v>334</v>
      </c>
      <c r="B74" s="58" t="s">
        <v>317</v>
      </c>
      <c r="C74" s="58"/>
      <c r="D74" s="58" t="s">
        <v>324</v>
      </c>
      <c r="E74" s="58"/>
      <c r="F74" s="58" t="s">
        <v>335</v>
      </c>
      <c r="G74" s="58" t="s">
        <v>336</v>
      </c>
      <c r="H74" s="58" t="s">
        <v>337</v>
      </c>
      <c r="I74" s="58"/>
      <c r="J74" s="58" t="s">
        <v>338</v>
      </c>
      <c r="K74" s="58"/>
      <c r="L74" s="58"/>
    </row>
    <row r="75" customFormat="false" ht="24" hidden="false" customHeight="true" outlineLevel="0" collapsed="false">
      <c r="A75" s="59" t="n">
        <f aca="false">MAX(A$10:A74)+1</f>
        <v>76</v>
      </c>
      <c r="B75" s="42" t="str">
        <f aca="false">IF(C75="","",IFERROR(LEFT(VLOOKUP(C75,areaNomiSquadre,2,FALSE()),FIND("-",VLOOKUP(C75,areaNomiSquadre,2,FALSE()))-1),""))</f>
        <v>Dromedari Danzanti</v>
      </c>
      <c r="C75" s="43" t="s">
        <v>96</v>
      </c>
      <c r="D75" s="42" t="str">
        <f aca="false">IF(E75="","",IFERROR(LEFT(VLOOKUP(E75,areaNomiSquadre,2,FALSE()),FIND("-",VLOOKUP(E75,areaNomiSquadre,2,FALSE()))-1),""))</f>
        <v>Cinghiali Caparbi</v>
      </c>
      <c r="E75" s="43" t="s">
        <v>94</v>
      </c>
      <c r="F75" s="44" t="n">
        <v>46411.7083333333</v>
      </c>
      <c r="G75" s="44"/>
      <c r="H75" s="44"/>
      <c r="I75" s="44"/>
      <c r="J75" s="45" t="n">
        <v>45</v>
      </c>
      <c r="K75" s="46" t="s">
        <v>339</v>
      </c>
      <c r="L75" s="45" t="n">
        <v>70</v>
      </c>
      <c r="M75" s="47" t="str">
        <f aca="false">IF($B75="","(Squadra A)",$B75)</f>
        <v>Dromedari Danzanti</v>
      </c>
      <c r="N75" s="47" t="n">
        <f aca="false">IF($J75+$L75=0,,IF($J75&gt;$L75,1,0))</f>
        <v>0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1</v>
      </c>
      <c r="Q75" s="47" t="n">
        <f aca="false">IF($J75+$L75=0,,$J75)</f>
        <v>45</v>
      </c>
      <c r="R75" s="47" t="n">
        <f aca="false">IF($J75+$L75=0,,$L75)</f>
        <v>70</v>
      </c>
      <c r="S75" s="47" t="n">
        <f aca="false">IF($J75+$L75=0,,$J75-$L75)</f>
        <v>-25</v>
      </c>
      <c r="T75" s="47" t="str">
        <f aca="false">IF($D75="","(Squadra B)",$D75)</f>
        <v>Cinghiali Caparbi</v>
      </c>
      <c r="U75" s="47" t="n">
        <f aca="false">IF($J75+$L75=0,,IF($L75&gt;$J75,1,0))</f>
        <v>1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0</v>
      </c>
      <c r="X75" s="47" t="n">
        <f aca="false">IF($J75+$L75=0,,$L75)</f>
        <v>70</v>
      </c>
      <c r="Y75" s="47" t="n">
        <f aca="false">IF($J75+$L75=0,,$J75)</f>
        <v>45</v>
      </c>
      <c r="Z75" s="47" t="n">
        <f aca="false">IF($J75+$L75=0,,$L75-$J75)</f>
        <v>25</v>
      </c>
      <c r="AA75" s="47" t="str">
        <f aca="false">IF($J75+$L75=0,"(Vincente)",IF($J75&gt;$L75,$B75,$D75))</f>
        <v>Cinghiali Caparbi</v>
      </c>
      <c r="AB75" s="47" t="str">
        <f aca="false">IF($J75+$L75=0,"(Perdente)",IF($J75&lt;$L75,$B75,$D75))</f>
        <v>Dromedari Danzanti</v>
      </c>
    </row>
    <row r="76" customFormat="false" ht="15.75" hidden="false" customHeight="true" outlineLevel="0" collapsed="false">
      <c r="A76" s="59"/>
      <c r="B76" s="48" t="str">
        <f aca="false">IF(I76="","",HYPERLINK(VLOOKUP(I76,areaCampiSquadre,3,FALSE()),VLOOKUP(I76,areaCampiSquadre,2,FALSE())))</f>
        <v>PalaAlbatri, Via dello Sport 1, Albatriopoli AI</v>
      </c>
      <c r="C76" s="48"/>
      <c r="D76" s="48"/>
      <c r="E76" s="48"/>
      <c r="F76" s="48"/>
      <c r="G76" s="48"/>
      <c r="H76" s="48"/>
      <c r="I76" s="43" t="s">
        <v>90</v>
      </c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56" t="s">
        <v>359</v>
      </c>
      <c r="B78" s="57" t="str">
        <f aca="false">"GIORNATA "&amp;ROMAN(VALUE(LEFT(A78,LEN(A78)-1)))&amp;" - GIRONE "&amp;RIGHT(A78,1)</f>
        <v>GIORNATA VI - GIRONE C</v>
      </c>
      <c r="C78" s="57"/>
      <c r="D78" s="57"/>
      <c r="E78" s="57"/>
      <c r="F78" s="57"/>
      <c r="G78" s="57"/>
      <c r="H78" s="57"/>
      <c r="I78" s="57"/>
      <c r="J78" s="57"/>
      <c r="K78" s="57"/>
      <c r="L78" s="57"/>
    </row>
    <row r="79" customFormat="false" ht="12.75" hidden="false" customHeight="true" outlineLevel="0" collapsed="false">
      <c r="A79" s="58" t="s">
        <v>334</v>
      </c>
      <c r="B79" s="58" t="s">
        <v>317</v>
      </c>
      <c r="C79" s="58"/>
      <c r="D79" s="58" t="s">
        <v>324</v>
      </c>
      <c r="E79" s="58"/>
      <c r="F79" s="58" t="s">
        <v>335</v>
      </c>
      <c r="G79" s="58" t="s">
        <v>336</v>
      </c>
      <c r="H79" s="58" t="s">
        <v>337</v>
      </c>
      <c r="I79" s="58"/>
      <c r="J79" s="58" t="s">
        <v>338</v>
      </c>
      <c r="K79" s="58"/>
      <c r="L79" s="58"/>
    </row>
    <row r="80" customFormat="false" ht="24" hidden="false" customHeight="true" outlineLevel="0" collapsed="false">
      <c r="A80" s="59" t="n">
        <f aca="false">MAX(A$10:A79)+1</f>
        <v>77</v>
      </c>
      <c r="B80" s="42" t="str">
        <f aca="false">IF(C80="","",IFERROR(LEFT(VLOOKUP(C80,areaNomiSquadre,2,FALSE()),FIND("-",VLOOKUP(C80,areaNomiSquadre,2,FALSE()))-1),""))</f>
        <v>Vipere Vivaci</v>
      </c>
      <c r="C80" s="43" t="s">
        <v>86</v>
      </c>
      <c r="D80" s="42" t="str">
        <f aca="false">IF(E80="","",IFERROR(LEFT(VLOOKUP(E80,areaNomiSquadre,2,FALSE()),FIND("-",VLOOKUP(E80,areaNomiSquadre,2,FALSE()))-1),""))</f>
        <v>Tigri Tenaci</v>
      </c>
      <c r="E80" s="43" t="s">
        <v>81</v>
      </c>
      <c r="F80" s="44" t="n">
        <v>46432.3958333333</v>
      </c>
      <c r="G80" s="44"/>
      <c r="H80" s="44"/>
      <c r="I80" s="44"/>
      <c r="J80" s="45" t="n">
        <v>46</v>
      </c>
      <c r="K80" s="46" t="s">
        <v>339</v>
      </c>
      <c r="L80" s="45" t="n">
        <v>87</v>
      </c>
      <c r="M80" s="47" t="str">
        <f aca="false">IF($B80="","(Squadra A)",$B80)</f>
        <v>Vipere Vivaci</v>
      </c>
      <c r="N80" s="47" t="n">
        <f aca="false">IF($J80+$L80=0,,IF($J80&gt;$L80,1,0))</f>
        <v>0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1</v>
      </c>
      <c r="Q80" s="47" t="n">
        <f aca="false">IF($J80+$L80=0,,$J80)</f>
        <v>46</v>
      </c>
      <c r="R80" s="47" t="n">
        <f aca="false">IF($J80+$L80=0,,$L80)</f>
        <v>87</v>
      </c>
      <c r="S80" s="47" t="n">
        <f aca="false">IF($J80+$L80=0,,$J80-$L80)</f>
        <v>-41</v>
      </c>
      <c r="T80" s="47" t="str">
        <f aca="false">IF($D80="","(Squadra B)",$D80)</f>
        <v>Tigri Tenaci</v>
      </c>
      <c r="U80" s="47" t="n">
        <f aca="false">IF($J80+$L80=0,,IF($L80&gt;$J80,1,0))</f>
        <v>1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0</v>
      </c>
      <c r="X80" s="47" t="n">
        <f aca="false">IF($J80+$L80=0,,$L80)</f>
        <v>87</v>
      </c>
      <c r="Y80" s="47" t="n">
        <f aca="false">IF($J80+$L80=0,,$J80)</f>
        <v>46</v>
      </c>
      <c r="Z80" s="47" t="n">
        <f aca="false">IF($J80+$L80=0,,$L80-$J80)</f>
        <v>41</v>
      </c>
      <c r="AA80" s="47" t="str">
        <f aca="false">IF($J80+$L80=0,"(Vincente)",IF($J80&gt;$L80,$B80,$D80))</f>
        <v>Tigri Tenaci</v>
      </c>
      <c r="AB80" s="47" t="str">
        <f aca="false">IF($J80+$L80=0,"(Perdente)",IF($J80&lt;$L80,$B80,$D80))</f>
        <v>Vipere Vivaci</v>
      </c>
    </row>
    <row r="81" customFormat="false" ht="15.75" hidden="false" customHeight="true" outlineLevel="0" collapsed="false">
      <c r="A81" s="59"/>
      <c r="B81" s="48" t="str">
        <f aca="false">IF(I81="","",HYPERLINK(VLOOKUP(I81,areaCampiSquadre,3,FALSE()),VLOOKUP(I81,areaCampiSquadre,2,FALSE())))</f>
        <v>PalaBisonti, Via dello Sport 2, Bisontiopoli BI</v>
      </c>
      <c r="C81" s="48"/>
      <c r="D81" s="48"/>
      <c r="E81" s="48"/>
      <c r="F81" s="48"/>
      <c r="G81" s="48"/>
      <c r="H81" s="48"/>
      <c r="I81" s="43" t="s">
        <v>92</v>
      </c>
      <c r="J81" s="45"/>
      <c r="K81" s="45"/>
      <c r="L81" s="45"/>
    </row>
    <row r="82" customFormat="false" ht="12.75" hidden="false" customHeight="true" outlineLevel="0" collapsed="false">
      <c r="A82" s="58" t="s">
        <v>334</v>
      </c>
      <c r="B82" s="58" t="s">
        <v>317</v>
      </c>
      <c r="C82" s="58"/>
      <c r="D82" s="58" t="s">
        <v>324</v>
      </c>
      <c r="E82" s="58"/>
      <c r="F82" s="58" t="s">
        <v>335</v>
      </c>
      <c r="G82" s="58" t="s">
        <v>336</v>
      </c>
      <c r="H82" s="58" t="s">
        <v>337</v>
      </c>
      <c r="I82" s="58"/>
      <c r="J82" s="58" t="s">
        <v>338</v>
      </c>
      <c r="K82" s="58"/>
      <c r="L82" s="58"/>
    </row>
    <row r="83" customFormat="false" ht="24" hidden="false" customHeight="true" outlineLevel="0" collapsed="false">
      <c r="A83" s="59" t="n">
        <f aca="false">MAX(A$10:A82)+1</f>
        <v>78</v>
      </c>
      <c r="B83" s="42" t="str">
        <f aca="false">IF(C83="","",IFERROR(LEFT(VLOOKUP(C83,areaNomiSquadre,2,FALSE()),FIND("-",VLOOKUP(C83,areaNomiSquadre,2,FALSE()))-1),""))</f>
        <v>Zebre Zelanti</v>
      </c>
      <c r="C83" s="43" t="s">
        <v>88</v>
      </c>
      <c r="D83" s="42" t="str">
        <f aca="false">IF(E83="","",IFERROR(LEFT(VLOOKUP(E83,areaNomiSquadre,2,FALSE()),FIND("-",VLOOKUP(E83,areaNomiSquadre,2,FALSE()))-1),""))</f>
        <v>Upupe Umoristiche</v>
      </c>
      <c r="E83" s="43" t="s">
        <v>84</v>
      </c>
      <c r="F83" s="44" t="n">
        <v>46432.4791666667</v>
      </c>
      <c r="G83" s="44"/>
      <c r="H83" s="44"/>
      <c r="I83" s="44"/>
      <c r="J83" s="45" t="n">
        <v>69</v>
      </c>
      <c r="K83" s="46" t="s">
        <v>339</v>
      </c>
      <c r="L83" s="45" t="n">
        <v>59</v>
      </c>
      <c r="M83" s="47" t="str">
        <f aca="false">IF($B83="","(Squadra A)",$B83)</f>
        <v>Zebre Zelanti</v>
      </c>
      <c r="N83" s="47" t="n">
        <f aca="false">IF($J83+$L83=0,,IF($J83&gt;$L83,1,0))</f>
        <v>1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0</v>
      </c>
      <c r="Q83" s="47" t="n">
        <f aca="false">IF($J83+$L83=0,,$J83)</f>
        <v>69</v>
      </c>
      <c r="R83" s="47" t="n">
        <f aca="false">IF($J83+$L83=0,,$L83)</f>
        <v>59</v>
      </c>
      <c r="S83" s="47" t="n">
        <f aca="false">IF($J83+$L83=0,,$J83-$L83)</f>
        <v>10</v>
      </c>
      <c r="T83" s="47" t="str">
        <f aca="false">IF($D83="","(Squadra B)",$D83)</f>
        <v>Upupe Umoristiche</v>
      </c>
      <c r="U83" s="47" t="n">
        <f aca="false">IF($J83+$L83=0,,IF($L83&gt;$J83,1,0))</f>
        <v>0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1</v>
      </c>
      <c r="X83" s="47" t="n">
        <f aca="false">IF($J83+$L83=0,,$L83)</f>
        <v>59</v>
      </c>
      <c r="Y83" s="47" t="n">
        <f aca="false">IF($J83+$L83=0,,$J83)</f>
        <v>69</v>
      </c>
      <c r="Z83" s="47" t="n">
        <f aca="false">IF($J83+$L83=0,,$L83-$J83)</f>
        <v>-10</v>
      </c>
      <c r="AA83" s="47" t="str">
        <f aca="false">IF($J83+$L83=0,"(Vincente)",IF($J83&gt;$L83,$B83,$D83))</f>
        <v>Zebre Zelanti</v>
      </c>
      <c r="AB83" s="47" t="str">
        <f aca="false">IF($J83+$L83=0,"(Perdente)",IF($J83&lt;$L83,$B83,$D83))</f>
        <v>Upupe Umoristiche</v>
      </c>
    </row>
    <row r="84" customFormat="false" ht="15.75" hidden="false" customHeight="true" outlineLevel="0" collapsed="false">
      <c r="A84" s="59"/>
      <c r="B84" s="48" t="str">
        <f aca="false">IF(I84="","",HYPERLINK(VLOOKUP(I84,areaCampiSquadre,3,FALSE()),VLOOKUP(I84,areaCampiSquadre,2,FALSE())))</f>
        <v>PalaBisonti, Via dello Sport 2, Bisontiopoli BI</v>
      </c>
      <c r="C84" s="48"/>
      <c r="D84" s="48"/>
      <c r="E84" s="48"/>
      <c r="F84" s="48"/>
      <c r="G84" s="48"/>
      <c r="H84" s="48"/>
      <c r="I84" s="43" t="s">
        <v>92</v>
      </c>
      <c r="J84" s="45"/>
      <c r="K84" s="45"/>
      <c r="L84" s="45"/>
    </row>
    <row r="85" customFormat="false" ht="12.75" hidden="false" customHeight="true" outlineLevel="0" collapsed="false">
      <c r="A85" s="58" t="s">
        <v>334</v>
      </c>
      <c r="B85" s="58" t="s">
        <v>317</v>
      </c>
      <c r="C85" s="58"/>
      <c r="D85" s="58" t="s">
        <v>324</v>
      </c>
      <c r="E85" s="58"/>
      <c r="F85" s="58" t="s">
        <v>335</v>
      </c>
      <c r="G85" s="58" t="s">
        <v>336</v>
      </c>
      <c r="H85" s="58" t="s">
        <v>337</v>
      </c>
      <c r="I85" s="58"/>
      <c r="J85" s="58" t="s">
        <v>338</v>
      </c>
      <c r="K85" s="58"/>
      <c r="L85" s="58"/>
    </row>
    <row r="86" customFormat="false" ht="24" hidden="false" customHeight="true" outlineLevel="0" collapsed="false">
      <c r="A86" s="59" t="n">
        <f aca="false">MAX(A$10:A85)+1</f>
        <v>79</v>
      </c>
      <c r="B86" s="42" t="str">
        <f aca="false">IF(C86="","",IFERROR(LEFT(VLOOKUP(C86,areaNomiSquadre,2,FALSE()),FIND("-",VLOOKUP(C86,areaNomiSquadre,2,FALSE()))-1),""))</f>
        <v>Dromedari Danzanti</v>
      </c>
      <c r="C86" s="43" t="s">
        <v>96</v>
      </c>
      <c r="D86" s="42" t="str">
        <f aca="false">IF(E86="","",IFERROR(LEFT(VLOOKUP(E86,areaNomiSquadre,2,FALSE()),FIND("-",VLOOKUP(E86,areaNomiSquadre,2,FALSE()))-1),""))</f>
        <v>Albatri Astuti</v>
      </c>
      <c r="E86" s="43" t="s">
        <v>90</v>
      </c>
      <c r="F86" s="44" t="n">
        <v>46432.625</v>
      </c>
      <c r="G86" s="44"/>
      <c r="H86" s="44"/>
      <c r="I86" s="44"/>
      <c r="J86" s="45" t="n">
        <v>56</v>
      </c>
      <c r="K86" s="46" t="s">
        <v>339</v>
      </c>
      <c r="L86" s="45" t="n">
        <v>69</v>
      </c>
      <c r="M86" s="47" t="str">
        <f aca="false">IF($B86="","(Squadra A)",$B86)</f>
        <v>Dromedari Danzanti</v>
      </c>
      <c r="N86" s="47" t="n">
        <f aca="false">IF($J86+$L86=0,,IF($J86&gt;$L86,1,0))</f>
        <v>0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1</v>
      </c>
      <c r="Q86" s="47" t="n">
        <f aca="false">IF($J86+$L86=0,,$J86)</f>
        <v>56</v>
      </c>
      <c r="R86" s="47" t="n">
        <f aca="false">IF($J86+$L86=0,,$L86)</f>
        <v>69</v>
      </c>
      <c r="S86" s="47" t="n">
        <f aca="false">IF($J86+$L86=0,,$J86-$L86)</f>
        <v>-13</v>
      </c>
      <c r="T86" s="47" t="str">
        <f aca="false">IF($D86="","(Squadra B)",$D86)</f>
        <v>Albatri Astuti</v>
      </c>
      <c r="U86" s="47" t="n">
        <f aca="false">IF($J86+$L86=0,,IF($L86&gt;$J86,1,0))</f>
        <v>1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0</v>
      </c>
      <c r="X86" s="47" t="n">
        <f aca="false">IF($J86+$L86=0,,$L86)</f>
        <v>69</v>
      </c>
      <c r="Y86" s="47" t="n">
        <f aca="false">IF($J86+$L86=0,,$J86)</f>
        <v>56</v>
      </c>
      <c r="Z86" s="47" t="n">
        <f aca="false">IF($J86+$L86=0,,$L86-$J86)</f>
        <v>13</v>
      </c>
      <c r="AA86" s="47" t="str">
        <f aca="false">IF($J86+$L86=0,"(Vincente)",IF($J86&gt;$L86,$B86,$D86))</f>
        <v>Albatri Astuti</v>
      </c>
      <c r="AB86" s="47" t="str">
        <f aca="false">IF($J86+$L86=0,"(Perdente)",IF($J86&lt;$L86,$B86,$D86))</f>
        <v>Dromedari Danzanti</v>
      </c>
    </row>
    <row r="87" customFormat="false" ht="15.75" hidden="false" customHeight="true" outlineLevel="0" collapsed="false">
      <c r="A87" s="59"/>
      <c r="B87" s="48" t="str">
        <f aca="false">IF(I87="","",HYPERLINK(VLOOKUP(I87,areaCampiSquadre,3,FALSE()),VLOOKUP(I87,areaCampiSquadre,2,FALSE())))</f>
        <v>PalaBisonti, Via dello Sport 2, Bisontiopoli BI</v>
      </c>
      <c r="C87" s="48"/>
      <c r="D87" s="48"/>
      <c r="E87" s="48"/>
      <c r="F87" s="48"/>
      <c r="G87" s="48"/>
      <c r="H87" s="48"/>
      <c r="I87" s="43" t="s">
        <v>92</v>
      </c>
      <c r="J87" s="45"/>
      <c r="K87" s="45"/>
      <c r="L87" s="45"/>
    </row>
    <row r="88" customFormat="false" ht="12.75" hidden="false" customHeight="true" outlineLevel="0" collapsed="false">
      <c r="A88" s="58" t="s">
        <v>334</v>
      </c>
      <c r="B88" s="58" t="s">
        <v>317</v>
      </c>
      <c r="C88" s="58"/>
      <c r="D88" s="58" t="s">
        <v>324</v>
      </c>
      <c r="E88" s="58"/>
      <c r="F88" s="58" t="s">
        <v>335</v>
      </c>
      <c r="G88" s="58" t="s">
        <v>336</v>
      </c>
      <c r="H88" s="58" t="s">
        <v>337</v>
      </c>
      <c r="I88" s="58"/>
      <c r="J88" s="58" t="s">
        <v>338</v>
      </c>
      <c r="K88" s="58"/>
      <c r="L88" s="58"/>
    </row>
    <row r="89" customFormat="false" ht="24" hidden="false" customHeight="true" outlineLevel="0" collapsed="false">
      <c r="A89" s="59" t="n">
        <f aca="false">MAX(A$10:A88)+1</f>
        <v>80</v>
      </c>
      <c r="B89" s="42" t="str">
        <f aca="false">IF(C89="","",IFERROR(LEFT(VLOOKUP(C89,areaNomiSquadre,2,FALSE()),FIND("-",VLOOKUP(C89,areaNomiSquadre,2,FALSE()))-1),""))</f>
        <v>Bisonti Baldanzosi</v>
      </c>
      <c r="C89" s="43" t="s">
        <v>92</v>
      </c>
      <c r="D89" s="42" t="str">
        <f aca="false">IF(E89="","",IFERROR(LEFT(VLOOKUP(E89,areaNomiSquadre,2,FALSE()),FIND("-",VLOOKUP(E89,areaNomiSquadre,2,FALSE()))-1),""))</f>
        <v>Cinghiali Caparbi</v>
      </c>
      <c r="E89" s="43" t="s">
        <v>94</v>
      </c>
      <c r="F89" s="44" t="n">
        <v>46432.7083333333</v>
      </c>
      <c r="G89" s="44"/>
      <c r="H89" s="44"/>
      <c r="I89" s="44"/>
      <c r="J89" s="45" t="n">
        <v>58</v>
      </c>
      <c r="K89" s="46" t="s">
        <v>339</v>
      </c>
      <c r="L89" s="45" t="n">
        <v>52</v>
      </c>
      <c r="M89" s="47" t="str">
        <f aca="false">IF($B89="","(Squadra A)",$B89)</f>
        <v>Bisonti Baldanzosi</v>
      </c>
      <c r="N89" s="47" t="n">
        <f aca="false">IF($J89+$L89=0,,IF($J89&gt;$L89,1,0))</f>
        <v>1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0</v>
      </c>
      <c r="Q89" s="47" t="n">
        <f aca="false">IF($J89+$L89=0,,$J89)</f>
        <v>58</v>
      </c>
      <c r="R89" s="47" t="n">
        <f aca="false">IF($J89+$L89=0,,$L89)</f>
        <v>52</v>
      </c>
      <c r="S89" s="47" t="n">
        <f aca="false">IF($J89+$L89=0,,$J89-$L89)</f>
        <v>6</v>
      </c>
      <c r="T89" s="47" t="str">
        <f aca="false">IF($D89="","(Squadra B)",$D89)</f>
        <v>Cinghiali Caparbi</v>
      </c>
      <c r="U89" s="47" t="n">
        <f aca="false">IF($J89+$L89=0,,IF($L89&gt;$J89,1,0))</f>
        <v>0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1</v>
      </c>
      <c r="X89" s="47" t="n">
        <f aca="false">IF($J89+$L89=0,,$L89)</f>
        <v>52</v>
      </c>
      <c r="Y89" s="47" t="n">
        <f aca="false">IF($J89+$L89=0,,$J89)</f>
        <v>58</v>
      </c>
      <c r="Z89" s="47" t="n">
        <f aca="false">IF($J89+$L89=0,,$L89-$J89)</f>
        <v>-6</v>
      </c>
      <c r="AA89" s="47" t="str">
        <f aca="false">IF($J89+$L89=0,"(Vincente)",IF($J89&gt;$L89,$B89,$D89))</f>
        <v>Bisonti Baldanzosi</v>
      </c>
      <c r="AB89" s="47" t="str">
        <f aca="false">IF($J89+$L89=0,"(Perdente)",IF($J89&lt;$L89,$B89,$D89))</f>
        <v>Cinghiali Caparbi</v>
      </c>
    </row>
    <row r="90" customFormat="false" ht="15.75" hidden="false" customHeight="true" outlineLevel="0" collapsed="false">
      <c r="A90" s="59"/>
      <c r="B90" s="48" t="str">
        <f aca="false">IF(I90="","",HYPERLINK(VLOOKUP(I90,areaCampiSquadre,3,FALSE()),VLOOKUP(I90,areaCampiSquadre,2,FALSE())))</f>
        <v>PalaBisonti, Via dello Sport 2, Bisontiopoli BI</v>
      </c>
      <c r="C90" s="48"/>
      <c r="D90" s="48"/>
      <c r="E90" s="48"/>
      <c r="F90" s="48"/>
      <c r="G90" s="48"/>
      <c r="H90" s="48"/>
      <c r="I90" s="43" t="s">
        <v>92</v>
      </c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56" t="s">
        <v>360</v>
      </c>
      <c r="B92" s="57" t="str">
        <f aca="false">"GIORNATA "&amp;ROMAN(VALUE(LEFT(A92,LEN(A92)-1)))&amp;" - GIRONE "&amp;RIGHT(A92,1)</f>
        <v>GIORNATA VII - GIRONE C</v>
      </c>
      <c r="C92" s="57"/>
      <c r="D92" s="57"/>
      <c r="E92" s="57"/>
      <c r="F92" s="57"/>
      <c r="G92" s="57"/>
      <c r="H92" s="57"/>
      <c r="I92" s="57"/>
      <c r="J92" s="57"/>
      <c r="K92" s="57"/>
      <c r="L92" s="57"/>
    </row>
    <row r="93" customFormat="false" ht="12.75" hidden="false" customHeight="true" outlineLevel="0" collapsed="false">
      <c r="A93" s="58" t="s">
        <v>334</v>
      </c>
      <c r="B93" s="58" t="s">
        <v>317</v>
      </c>
      <c r="C93" s="58"/>
      <c r="D93" s="58" t="s">
        <v>324</v>
      </c>
      <c r="E93" s="58"/>
      <c r="F93" s="58" t="s">
        <v>335</v>
      </c>
      <c r="G93" s="58" t="s">
        <v>336</v>
      </c>
      <c r="H93" s="58" t="s">
        <v>337</v>
      </c>
      <c r="I93" s="58"/>
      <c r="J93" s="58" t="s">
        <v>338</v>
      </c>
      <c r="K93" s="58"/>
      <c r="L93" s="58"/>
    </row>
    <row r="94" customFormat="false" ht="24" hidden="false" customHeight="true" outlineLevel="0" collapsed="false">
      <c r="A94" s="59" t="n">
        <f aca="false">MAX(A$10:A93)+1</f>
        <v>81</v>
      </c>
      <c r="B94" s="42" t="str">
        <f aca="false">IF(C94="","",IFERROR(LEFT(VLOOKUP(C94,areaNomiSquadre,2,FALSE()),FIND("-",VLOOKUP(C94,areaNomiSquadre,2,FALSE()))-1),""))</f>
        <v>Tigri Tenaci</v>
      </c>
      <c r="C94" s="43" t="s">
        <v>81</v>
      </c>
      <c r="D94" s="42" t="str">
        <f aca="false">IF(E94="","",IFERROR(LEFT(VLOOKUP(E94,areaNomiSquadre,2,FALSE()),FIND("-",VLOOKUP(E94,areaNomiSquadre,2,FALSE()))-1),""))</f>
        <v>Upupe Umoristiche</v>
      </c>
      <c r="E94" s="43" t="s">
        <v>84</v>
      </c>
      <c r="F94" s="44" t="n">
        <v>46453.3958333333</v>
      </c>
      <c r="G94" s="44"/>
      <c r="H94" s="44"/>
      <c r="I94" s="44"/>
      <c r="J94" s="45" t="n">
        <v>75</v>
      </c>
      <c r="K94" s="46" t="s">
        <v>339</v>
      </c>
      <c r="L94" s="45" t="n">
        <v>52</v>
      </c>
      <c r="M94" s="47" t="str">
        <f aca="false">IF($B94="","(Squadra A)",$B94)</f>
        <v>Tigri Tenaci</v>
      </c>
      <c r="N94" s="47" t="n">
        <f aca="false">IF($J94+$L94=0,,IF($J94&gt;$L94,1,0))</f>
        <v>1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0</v>
      </c>
      <c r="Q94" s="47" t="n">
        <f aca="false">IF($J94+$L94=0,,$J94)</f>
        <v>75</v>
      </c>
      <c r="R94" s="47" t="n">
        <f aca="false">IF($J94+$L94=0,,$L94)</f>
        <v>52</v>
      </c>
      <c r="S94" s="47" t="n">
        <f aca="false">IF($J94+$L94=0,,$J94-$L94)</f>
        <v>23</v>
      </c>
      <c r="T94" s="47" t="str">
        <f aca="false">IF($D94="","(Squadra B)",$D94)</f>
        <v>Upupe Umoristiche</v>
      </c>
      <c r="U94" s="47" t="n">
        <f aca="false">IF($J94+$L94=0,,IF($L94&gt;$J94,1,0))</f>
        <v>0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1</v>
      </c>
      <c r="X94" s="47" t="n">
        <f aca="false">IF($J94+$L94=0,,$L94)</f>
        <v>52</v>
      </c>
      <c r="Y94" s="47" t="n">
        <f aca="false">IF($J94+$L94=0,,$J94)</f>
        <v>75</v>
      </c>
      <c r="Z94" s="47" t="n">
        <f aca="false">IF($J94+$L94=0,,$L94-$J94)</f>
        <v>-23</v>
      </c>
      <c r="AA94" s="47" t="str">
        <f aca="false">IF($J94+$L94=0,"(Vincente)",IF($J94&gt;$L94,$B94,$D94))</f>
        <v>Tigri Tenaci</v>
      </c>
      <c r="AB94" s="47" t="str">
        <f aca="false">IF($J94+$L94=0,"(Perdente)",IF($J94&lt;$L94,$B94,$D94))</f>
        <v>Upupe Umoristiche</v>
      </c>
    </row>
    <row r="95" customFormat="false" ht="15.75" hidden="false" customHeight="true" outlineLevel="0" collapsed="false">
      <c r="A95" s="59"/>
      <c r="B95" s="48" t="str">
        <f aca="false">IF(I95="","",HYPERLINK(VLOOKUP(I95,areaCampiSquadre,3,FALSE()),VLOOKUP(I95,areaCampiSquadre,2,FALSE())))</f>
        <v>PalaCinghiali, Via dello Sport 3, Cinghialiopoli CI</v>
      </c>
      <c r="C95" s="48"/>
      <c r="D95" s="48"/>
      <c r="E95" s="48"/>
      <c r="F95" s="48"/>
      <c r="G95" s="48"/>
      <c r="H95" s="48"/>
      <c r="I95" s="43" t="s">
        <v>94</v>
      </c>
      <c r="J95" s="45"/>
      <c r="K95" s="45"/>
      <c r="L95" s="45"/>
    </row>
    <row r="96" customFormat="false" ht="12.75" hidden="false" customHeight="true" outlineLevel="0" collapsed="false">
      <c r="A96" s="58" t="s">
        <v>334</v>
      </c>
      <c r="B96" s="58" t="s">
        <v>317</v>
      </c>
      <c r="C96" s="58"/>
      <c r="D96" s="58" t="s">
        <v>324</v>
      </c>
      <c r="E96" s="58"/>
      <c r="F96" s="58" t="s">
        <v>335</v>
      </c>
      <c r="G96" s="58" t="s">
        <v>336</v>
      </c>
      <c r="H96" s="58" t="s">
        <v>337</v>
      </c>
      <c r="I96" s="58"/>
      <c r="J96" s="58" t="s">
        <v>338</v>
      </c>
      <c r="K96" s="58"/>
      <c r="L96" s="58"/>
    </row>
    <row r="97" customFormat="false" ht="24" hidden="false" customHeight="true" outlineLevel="0" collapsed="false">
      <c r="A97" s="59" t="n">
        <f aca="false">MAX(A$10:A96)+1</f>
        <v>82</v>
      </c>
      <c r="B97" s="42" t="str">
        <f aca="false">IF(C97="","",IFERROR(LEFT(VLOOKUP(C97,areaNomiSquadre,2,FALSE()),FIND("-",VLOOKUP(C97,areaNomiSquadre,2,FALSE()))-1),""))</f>
        <v>Dromedari Danzanti</v>
      </c>
      <c r="C97" s="43" t="s">
        <v>96</v>
      </c>
      <c r="D97" s="42" t="str">
        <f aca="false">IF(E97="","",IFERROR(LEFT(VLOOKUP(E97,areaNomiSquadre,2,FALSE()),FIND("-",VLOOKUP(E97,areaNomiSquadre,2,FALSE()))-1),""))</f>
        <v>Vipere Vivaci</v>
      </c>
      <c r="E97" s="43" t="s">
        <v>86</v>
      </c>
      <c r="F97" s="44" t="n">
        <v>46453.4791666667</v>
      </c>
      <c r="G97" s="44"/>
      <c r="H97" s="44"/>
      <c r="I97" s="44"/>
      <c r="J97" s="45" t="n">
        <v>69</v>
      </c>
      <c r="K97" s="46" t="s">
        <v>339</v>
      </c>
      <c r="L97" s="45" t="n">
        <v>64</v>
      </c>
      <c r="M97" s="47" t="str">
        <f aca="false">IF($B97="","(Squadra A)",$B97)</f>
        <v>Dromedari Danzanti</v>
      </c>
      <c r="N97" s="47" t="n">
        <f aca="false">IF($J97+$L97=0,,IF($J97&gt;$L97,1,0))</f>
        <v>1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69</v>
      </c>
      <c r="R97" s="47" t="n">
        <f aca="false">IF($J97+$L97=0,,$L97)</f>
        <v>64</v>
      </c>
      <c r="S97" s="47" t="n">
        <f aca="false">IF($J97+$L97=0,,$J97-$L97)</f>
        <v>5</v>
      </c>
      <c r="T97" s="47" t="str">
        <f aca="false">IF($D97="","(Squadra B)",$D97)</f>
        <v>Vipere Vivaci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1</v>
      </c>
      <c r="X97" s="47" t="n">
        <f aca="false">IF($J97+$L97=0,,$L97)</f>
        <v>64</v>
      </c>
      <c r="Y97" s="47" t="n">
        <f aca="false">IF($J97+$L97=0,,$J97)</f>
        <v>69</v>
      </c>
      <c r="Z97" s="47" t="n">
        <f aca="false">IF($J97+$L97=0,,$L97-$J97)</f>
        <v>-5</v>
      </c>
      <c r="AA97" s="47" t="str">
        <f aca="false">IF($J97+$L97=0,"(Vincente)",IF($J97&gt;$L97,$B97,$D97))</f>
        <v>Dromedari Danzanti</v>
      </c>
      <c r="AB97" s="47" t="str">
        <f aca="false">IF($J97+$L97=0,"(Perdente)",IF($J97&lt;$L97,$B97,$D97))</f>
        <v>Vipere Vivaci</v>
      </c>
    </row>
    <row r="98" customFormat="false" ht="15.75" hidden="false" customHeight="true" outlineLevel="0" collapsed="false">
      <c r="A98" s="59"/>
      <c r="B98" s="48" t="str">
        <f aca="false">IF(I98="","",HYPERLINK(VLOOKUP(I98,areaCampiSquadre,3,FALSE()),VLOOKUP(I98,areaCampiSquadre,2,FALSE())))</f>
        <v>PalaCinghiali, Via dello Sport 3, Cinghialiopoli CI</v>
      </c>
      <c r="C98" s="48"/>
      <c r="D98" s="48"/>
      <c r="E98" s="48"/>
      <c r="F98" s="48"/>
      <c r="G98" s="48"/>
      <c r="H98" s="48"/>
      <c r="I98" s="43" t="s">
        <v>94</v>
      </c>
      <c r="J98" s="45"/>
      <c r="K98" s="45"/>
      <c r="L98" s="45"/>
    </row>
    <row r="99" customFormat="false" ht="12.75" hidden="false" customHeight="true" outlineLevel="0" collapsed="false">
      <c r="A99" s="58" t="s">
        <v>334</v>
      </c>
      <c r="B99" s="58" t="s">
        <v>317</v>
      </c>
      <c r="C99" s="58"/>
      <c r="D99" s="58" t="s">
        <v>324</v>
      </c>
      <c r="E99" s="58"/>
      <c r="F99" s="58" t="s">
        <v>335</v>
      </c>
      <c r="G99" s="58" t="s">
        <v>336</v>
      </c>
      <c r="H99" s="58" t="s">
        <v>337</v>
      </c>
      <c r="I99" s="58"/>
      <c r="J99" s="58" t="s">
        <v>338</v>
      </c>
      <c r="K99" s="58"/>
      <c r="L99" s="58"/>
    </row>
    <row r="100" customFormat="false" ht="24" hidden="false" customHeight="true" outlineLevel="0" collapsed="false">
      <c r="A100" s="59" t="n">
        <f aca="false">MAX(A$10:A99)+1</f>
        <v>83</v>
      </c>
      <c r="B100" s="42" t="str">
        <f aca="false">IF(C100="","",IFERROR(LEFT(VLOOKUP(C100,areaNomiSquadre,2,FALSE()),FIND("-",VLOOKUP(C100,areaNomiSquadre,2,FALSE()))-1),""))</f>
        <v>Zebre Zelanti</v>
      </c>
      <c r="C100" s="43" t="s">
        <v>88</v>
      </c>
      <c r="D100" s="42" t="str">
        <f aca="false">IF(E100="","",IFERROR(LEFT(VLOOKUP(E100,areaNomiSquadre,2,FALSE()),FIND("-",VLOOKUP(E100,areaNomiSquadre,2,FALSE()))-1),""))</f>
        <v>Cinghiali Caparbi</v>
      </c>
      <c r="E100" s="43" t="s">
        <v>94</v>
      </c>
      <c r="F100" s="44" t="n">
        <v>46453.625</v>
      </c>
      <c r="G100" s="44"/>
      <c r="H100" s="44"/>
      <c r="I100" s="44"/>
      <c r="J100" s="45" t="n">
        <v>79</v>
      </c>
      <c r="K100" s="46" t="s">
        <v>339</v>
      </c>
      <c r="L100" s="45" t="n">
        <v>71</v>
      </c>
      <c r="M100" s="47" t="str">
        <f aca="false">IF($B100="","(Squadra A)",$B100)</f>
        <v>Zebre Zelanti</v>
      </c>
      <c r="N100" s="47" t="n">
        <f aca="false">IF($J100+$L100=0,,IF($J100&gt;$L100,1,0))</f>
        <v>1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0</v>
      </c>
      <c r="Q100" s="47" t="n">
        <f aca="false">IF($J100+$L100=0,,$J100)</f>
        <v>79</v>
      </c>
      <c r="R100" s="47" t="n">
        <f aca="false">IF($J100+$L100=0,,$L100)</f>
        <v>71</v>
      </c>
      <c r="S100" s="47" t="n">
        <f aca="false">IF($J100+$L100=0,,$J100-$L100)</f>
        <v>8</v>
      </c>
      <c r="T100" s="47" t="str">
        <f aca="false">IF($D100="","(Squadra B)",$D100)</f>
        <v>Cinghiali Caparbi</v>
      </c>
      <c r="U100" s="47" t="n">
        <f aca="false">IF($J100+$L100=0,,IF($L100&gt;$J100,1,0))</f>
        <v>0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1</v>
      </c>
      <c r="X100" s="47" t="n">
        <f aca="false">IF($J100+$L100=0,,$L100)</f>
        <v>71</v>
      </c>
      <c r="Y100" s="47" t="n">
        <f aca="false">IF($J100+$L100=0,,$J100)</f>
        <v>79</v>
      </c>
      <c r="Z100" s="47" t="n">
        <f aca="false">IF($J100+$L100=0,,$L100-$J100)</f>
        <v>-8</v>
      </c>
      <c r="AA100" s="47" t="str">
        <f aca="false">IF($J100+$L100=0,"(Vincente)",IF($J100&gt;$L100,$B100,$D100))</f>
        <v>Zebre Zelanti</v>
      </c>
      <c r="AB100" s="47" t="str">
        <f aca="false">IF($J100+$L100=0,"(Perdente)",IF($J100&lt;$L100,$B100,$D100))</f>
        <v>Cinghiali Caparbi</v>
      </c>
    </row>
    <row r="101" customFormat="false" ht="15.75" hidden="false" customHeight="true" outlineLevel="0" collapsed="false">
      <c r="A101" s="59"/>
      <c r="B101" s="48" t="str">
        <f aca="false">IF(I101="","",HYPERLINK(VLOOKUP(I101,areaCampiSquadre,3,FALSE()),VLOOKUP(I101,areaCampiSquadre,2,FALSE())))</f>
        <v>PalaCinghiali, Via dello Sport 3, Cinghialiopoli CI</v>
      </c>
      <c r="C101" s="48"/>
      <c r="D101" s="48"/>
      <c r="E101" s="48"/>
      <c r="F101" s="48"/>
      <c r="G101" s="48"/>
      <c r="H101" s="48"/>
      <c r="I101" s="43" t="s">
        <v>94</v>
      </c>
      <c r="J101" s="45"/>
      <c r="K101" s="45"/>
      <c r="L101" s="45"/>
    </row>
    <row r="102" customFormat="false" ht="12.75" hidden="false" customHeight="true" outlineLevel="0" collapsed="false">
      <c r="A102" s="58" t="s">
        <v>334</v>
      </c>
      <c r="B102" s="58" t="s">
        <v>317</v>
      </c>
      <c r="C102" s="58"/>
      <c r="D102" s="58" t="s">
        <v>324</v>
      </c>
      <c r="E102" s="58"/>
      <c r="F102" s="58" t="s">
        <v>335</v>
      </c>
      <c r="G102" s="58" t="s">
        <v>336</v>
      </c>
      <c r="H102" s="58" t="s">
        <v>337</v>
      </c>
      <c r="I102" s="58"/>
      <c r="J102" s="58" t="s">
        <v>338</v>
      </c>
      <c r="K102" s="58"/>
      <c r="L102" s="58"/>
    </row>
    <row r="103" customFormat="false" ht="24" hidden="false" customHeight="true" outlineLevel="0" collapsed="false">
      <c r="A103" s="59" t="n">
        <f aca="false">MAX(A$10:A102)+1</f>
        <v>84</v>
      </c>
      <c r="B103" s="42" t="str">
        <f aca="false">IF(C103="","",IFERROR(LEFT(VLOOKUP(C103,areaNomiSquadre,2,FALSE()),FIND("-",VLOOKUP(C103,areaNomiSquadre,2,FALSE()))-1),""))</f>
        <v>Bisonti Baldanzosi</v>
      </c>
      <c r="C103" s="43" t="s">
        <v>92</v>
      </c>
      <c r="D103" s="42" t="str">
        <f aca="false">IF(E103="","",IFERROR(LEFT(VLOOKUP(E103,areaNomiSquadre,2,FALSE()),FIND("-",VLOOKUP(E103,areaNomiSquadre,2,FALSE()))-1),""))</f>
        <v>Albatri Astuti</v>
      </c>
      <c r="E103" s="43" t="s">
        <v>90</v>
      </c>
      <c r="F103" s="44" t="n">
        <v>46453.7083333333</v>
      </c>
      <c r="G103" s="44"/>
      <c r="H103" s="44"/>
      <c r="I103" s="44"/>
      <c r="J103" s="45" t="n">
        <v>54</v>
      </c>
      <c r="K103" s="46" t="s">
        <v>339</v>
      </c>
      <c r="L103" s="45" t="n">
        <v>56</v>
      </c>
      <c r="M103" s="47" t="str">
        <f aca="false">IF($B103="","(Squadra A)",$B103)</f>
        <v>Bisonti Baldanzosi</v>
      </c>
      <c r="N103" s="47" t="n">
        <f aca="false">IF($J103+$L103=0,,IF($J103&gt;$L103,1,0))</f>
        <v>0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1</v>
      </c>
      <c r="Q103" s="47" t="n">
        <f aca="false">IF($J103+$L103=0,,$J103)</f>
        <v>54</v>
      </c>
      <c r="R103" s="47" t="n">
        <f aca="false">IF($J103+$L103=0,,$L103)</f>
        <v>56</v>
      </c>
      <c r="S103" s="47" t="n">
        <f aca="false">IF($J103+$L103=0,,$J103-$L103)</f>
        <v>-2</v>
      </c>
      <c r="T103" s="47" t="str">
        <f aca="false">IF($D103="","(Squadra B)",$D103)</f>
        <v>Albatri Astuti</v>
      </c>
      <c r="U103" s="47" t="n">
        <f aca="false">IF($J103+$L103=0,,IF($L103&gt;$J103,1,0))</f>
        <v>1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0</v>
      </c>
      <c r="X103" s="47" t="n">
        <f aca="false">IF($J103+$L103=0,,$L103)</f>
        <v>56</v>
      </c>
      <c r="Y103" s="47" t="n">
        <f aca="false">IF($J103+$L103=0,,$J103)</f>
        <v>54</v>
      </c>
      <c r="Z103" s="47" t="n">
        <f aca="false">IF($J103+$L103=0,,$L103-$J103)</f>
        <v>2</v>
      </c>
      <c r="AA103" s="47" t="str">
        <f aca="false">IF($J103+$L103=0,"(Vincente)",IF($J103&gt;$L103,$B103,$D103))</f>
        <v>Albatri Astuti</v>
      </c>
      <c r="AB103" s="47" t="str">
        <f aca="false">IF($J103+$L103=0,"(Perdente)",IF($J103&lt;$L103,$B103,$D103))</f>
        <v>Bisonti Baldanzosi</v>
      </c>
    </row>
    <row r="104" customFormat="false" ht="15.75" hidden="false" customHeight="true" outlineLevel="0" collapsed="false">
      <c r="A104" s="59"/>
      <c r="B104" s="48" t="str">
        <f aca="false">IF(I104="","",HYPERLINK(VLOOKUP(I104,areaCampiSquadre,3,FALSE()),VLOOKUP(I104,areaCampiSquadre,2,FALSE())))</f>
        <v>PalaCinghiali, Via dello Sport 3, Cinghialiopoli CI</v>
      </c>
      <c r="C104" s="48"/>
      <c r="D104" s="48"/>
      <c r="E104" s="48"/>
      <c r="F104" s="48"/>
      <c r="G104" s="48"/>
      <c r="H104" s="48"/>
      <c r="I104" s="43" t="s">
        <v>94</v>
      </c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346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7B12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>Campionato Baskin Demo - ESEMPIO COMPILATO 64 Squadre</v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60" t="str">
        <f aca="false">"GIRONE D - Stagione "&amp;constStagionaCampionato</f>
        <v>GIRONE D - Stagione 2026/2027</v>
      </c>
      <c r="B3" s="60"/>
      <c r="C3" s="60"/>
      <c r="D3" s="60"/>
    </row>
    <row r="6" customFormat="false" ht="15" hidden="false" customHeight="false" outlineLevel="0" collapsed="false">
      <c r="M6" s="37" t="s">
        <v>317</v>
      </c>
      <c r="N6" s="37" t="s">
        <v>318</v>
      </c>
      <c r="O6" s="37" t="s">
        <v>319</v>
      </c>
      <c r="P6" s="37" t="s">
        <v>320</v>
      </c>
      <c r="Q6" s="37" t="s">
        <v>321</v>
      </c>
      <c r="R6" s="37" t="s">
        <v>322</v>
      </c>
      <c r="S6" s="37" t="s">
        <v>323</v>
      </c>
      <c r="T6" s="37" t="s">
        <v>324</v>
      </c>
      <c r="U6" s="37" t="s">
        <v>325</v>
      </c>
      <c r="V6" s="37" t="s">
        <v>326</v>
      </c>
      <c r="W6" s="37" t="s">
        <v>327</v>
      </c>
      <c r="X6" s="37" t="s">
        <v>328</v>
      </c>
      <c r="Y6" s="37" t="s">
        <v>329</v>
      </c>
      <c r="Z6" s="37" t="s">
        <v>330</v>
      </c>
      <c r="AA6" s="37" t="s">
        <v>331</v>
      </c>
      <c r="AB6" s="37" t="s">
        <v>332</v>
      </c>
    </row>
    <row r="8" customFormat="false" ht="19.5" hidden="false" customHeight="true" outlineLevel="0" collapsed="false">
      <c r="A8" s="61" t="s">
        <v>361</v>
      </c>
      <c r="B8" s="62" t="str">
        <f aca="false">"GIORNATA "&amp;ROMAN(VALUE(LEFT(A8,LEN(A8)-1)))&amp;" - GIRONE "&amp;RIGHT(A8,1)</f>
        <v>GIORNATA I - GIRONE D</v>
      </c>
      <c r="C8" s="62"/>
      <c r="D8" s="62"/>
      <c r="E8" s="62"/>
      <c r="F8" s="62"/>
      <c r="G8" s="62"/>
      <c r="H8" s="62"/>
      <c r="I8" s="62"/>
      <c r="J8" s="62"/>
      <c r="K8" s="62"/>
      <c r="L8" s="62"/>
    </row>
    <row r="9" customFormat="false" ht="12.75" hidden="false" customHeight="true" outlineLevel="0" collapsed="false">
      <c r="A9" s="63" t="s">
        <v>334</v>
      </c>
      <c r="B9" s="63" t="s">
        <v>317</v>
      </c>
      <c r="C9" s="63"/>
      <c r="D9" s="63" t="s">
        <v>324</v>
      </c>
      <c r="E9" s="63"/>
      <c r="F9" s="63" t="s">
        <v>335</v>
      </c>
      <c r="G9" s="63" t="s">
        <v>336</v>
      </c>
      <c r="H9" s="63" t="s">
        <v>337</v>
      </c>
      <c r="I9" s="63"/>
      <c r="J9" s="63" t="s">
        <v>338</v>
      </c>
      <c r="K9" s="63"/>
      <c r="L9" s="63"/>
    </row>
    <row r="10" customFormat="false" ht="24" hidden="false" customHeight="true" outlineLevel="0" collapsed="false">
      <c r="A10" s="64" t="n">
        <v>85</v>
      </c>
      <c r="B10" s="42" t="str">
        <f aca="false">IF(C10="","",IFERROR(LEFT(VLOOKUP(C10,areaNomiSquadre,2,FALSE()),FIND("-",VLOOKUP(C10,areaNomiSquadre,2,FALSE()))-1),""))</f>
        <v>Elefanti Esuberanti</v>
      </c>
      <c r="C10" s="43" t="s">
        <v>98</v>
      </c>
      <c r="D10" s="42" t="str">
        <f aca="false">IF(E10="","",IFERROR(LEFT(VLOOKUP(E10,areaNomiSquadre,2,FALSE()),FIND("-",VLOOKUP(E10,areaNomiSquadre,2,FALSE()))-1),""))</f>
        <v>Otarie Ottimiste</v>
      </c>
      <c r="E10" s="43" t="s">
        <v>113</v>
      </c>
      <c r="F10" s="44" t="n">
        <v>46313.3958333333</v>
      </c>
      <c r="G10" s="44"/>
      <c r="H10" s="44"/>
      <c r="I10" s="44"/>
      <c r="J10" s="45" t="n">
        <v>71</v>
      </c>
      <c r="K10" s="46" t="s">
        <v>339</v>
      </c>
      <c r="L10" s="45" t="n">
        <v>50</v>
      </c>
      <c r="M10" s="47" t="str">
        <f aca="false">IF($B10="","(Squadra A)",$B10)</f>
        <v>Elefanti Esuberanti</v>
      </c>
      <c r="N10" s="47" t="n">
        <f aca="false">IF($J10+$L10=0,,IF($J10&gt;$L10,1,0))</f>
        <v>1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71</v>
      </c>
      <c r="R10" s="47" t="n">
        <f aca="false">IF($J10+$L10=0,,$L10)</f>
        <v>50</v>
      </c>
      <c r="S10" s="47" t="n">
        <f aca="false">IF($J10+$L10=0,,$J10-$L10)</f>
        <v>21</v>
      </c>
      <c r="T10" s="47" t="str">
        <f aca="false">IF($D10="","(Squadra B)",$D10)</f>
        <v>Otarie Ottimiste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1</v>
      </c>
      <c r="X10" s="47" t="n">
        <f aca="false">IF($J10+$L10=0,,$L10)</f>
        <v>50</v>
      </c>
      <c r="Y10" s="47" t="n">
        <f aca="false">IF($J10+$L10=0,,$J10)</f>
        <v>71</v>
      </c>
      <c r="Z10" s="47" t="n">
        <f aca="false">IF($J10+$L10=0,,$L10-$J10)</f>
        <v>-21</v>
      </c>
      <c r="AA10" s="47" t="str">
        <f aca="false">IF($J10+$L10=0,"(Vincente)",IF($J10&gt;$L10,$B10,$D10))</f>
        <v>Elefanti Esuberanti</v>
      </c>
      <c r="AB10" s="47" t="str">
        <f aca="false">IF($J10+$L10=0,"(Perdente)",IF($J10&lt;$L10,$B10,$D10))</f>
        <v>Otarie Ottimiste</v>
      </c>
    </row>
    <row r="11" customFormat="false" ht="15.75" hidden="false" customHeight="true" outlineLevel="0" collapsed="false">
      <c r="A11" s="64"/>
      <c r="B11" s="48" t="str">
        <f aca="false">IF(I11="","",HYPERLINK(VLOOKUP(I11,areaCampiSquadre,3,FALSE()),VLOOKUP(I11,areaCampiSquadre,2,FALSE())))</f>
        <v>PalaElefanti, Via dello Sport 5, Elefantiopoli EI</v>
      </c>
      <c r="C11" s="48"/>
      <c r="D11" s="48"/>
      <c r="E11" s="48"/>
      <c r="F11" s="48"/>
      <c r="G11" s="48"/>
      <c r="H11" s="48"/>
      <c r="I11" s="43" t="s">
        <v>98</v>
      </c>
      <c r="J11" s="45"/>
      <c r="K11" s="45"/>
      <c r="L11" s="45"/>
    </row>
    <row r="12" customFormat="false" ht="12.75" hidden="false" customHeight="true" outlineLevel="0" collapsed="false">
      <c r="A12" s="63" t="s">
        <v>334</v>
      </c>
      <c r="B12" s="63" t="s">
        <v>317</v>
      </c>
      <c r="C12" s="63"/>
      <c r="D12" s="63" t="s">
        <v>324</v>
      </c>
      <c r="E12" s="63"/>
      <c r="F12" s="63" t="s">
        <v>335</v>
      </c>
      <c r="G12" s="63" t="s">
        <v>336</v>
      </c>
      <c r="H12" s="63" t="s">
        <v>337</v>
      </c>
      <c r="I12" s="63"/>
      <c r="J12" s="63" t="s">
        <v>338</v>
      </c>
      <c r="K12" s="63"/>
      <c r="L12" s="63"/>
    </row>
    <row r="13" customFormat="false" ht="24" hidden="false" customHeight="true" outlineLevel="0" collapsed="false">
      <c r="A13" s="64" t="n">
        <f aca="false">MAX(A$10:A12)+1</f>
        <v>86</v>
      </c>
      <c r="B13" s="42" t="str">
        <f aca="false">IF(C13="","",IFERROR(LEFT(VLOOKUP(C13,areaNomiSquadre,2,FALSE()),FIND("-",VLOOKUP(C13,areaNomiSquadre,2,FALSE()))-1),""))</f>
        <v>Nutrie Nervose</v>
      </c>
      <c r="C13" s="43" t="s">
        <v>111</v>
      </c>
      <c r="D13" s="42" t="str">
        <f aca="false">IF(E13="","",IFERROR(LEFT(VLOOKUP(E13,areaNomiSquadre,2,FALSE()),FIND("-",VLOOKUP(E13,areaNomiSquadre,2,FALSE()))-1),""))</f>
        <v>Fenicotteri Focosi</v>
      </c>
      <c r="E13" s="43" t="s">
        <v>101</v>
      </c>
      <c r="F13" s="44" t="n">
        <v>46313.4791666667</v>
      </c>
      <c r="G13" s="44"/>
      <c r="H13" s="44"/>
      <c r="I13" s="44"/>
      <c r="J13" s="45" t="n">
        <v>54</v>
      </c>
      <c r="K13" s="46" t="s">
        <v>339</v>
      </c>
      <c r="L13" s="45" t="n">
        <v>74</v>
      </c>
      <c r="M13" s="47" t="str">
        <f aca="false">IF($B13="","(Squadra A)",$B13)</f>
        <v>Nutrie Nervose</v>
      </c>
      <c r="N13" s="47" t="n">
        <f aca="false">IF($J13+$L13=0,,IF($J13&gt;$L13,1,0))</f>
        <v>0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1</v>
      </c>
      <c r="Q13" s="47" t="n">
        <f aca="false">IF($J13+$L13=0,,$J13)</f>
        <v>54</v>
      </c>
      <c r="R13" s="47" t="n">
        <f aca="false">IF($J13+$L13=0,,$L13)</f>
        <v>74</v>
      </c>
      <c r="S13" s="47" t="n">
        <f aca="false">IF($J13+$L13=0,,$J13-$L13)</f>
        <v>-20</v>
      </c>
      <c r="T13" s="47" t="str">
        <f aca="false">IF($D13="","(Squadra B)",$D13)</f>
        <v>Fenicotteri Focosi</v>
      </c>
      <c r="U13" s="47" t="n">
        <f aca="false">IF($J13+$L13=0,,IF($L13&gt;$J13,1,0))</f>
        <v>1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0</v>
      </c>
      <c r="X13" s="47" t="n">
        <f aca="false">IF($J13+$L13=0,,$L13)</f>
        <v>74</v>
      </c>
      <c r="Y13" s="47" t="n">
        <f aca="false">IF($J13+$L13=0,,$J13)</f>
        <v>54</v>
      </c>
      <c r="Z13" s="47" t="n">
        <f aca="false">IF($J13+$L13=0,,$L13-$J13)</f>
        <v>20</v>
      </c>
      <c r="AA13" s="47" t="str">
        <f aca="false">IF($J13+$L13=0,"(Vincente)",IF($J13&gt;$L13,$B13,$D13))</f>
        <v>Fenicotteri Focosi</v>
      </c>
      <c r="AB13" s="47" t="str">
        <f aca="false">IF($J13+$L13=0,"(Perdente)",IF($J13&lt;$L13,$B13,$D13))</f>
        <v>Nutrie Nervose</v>
      </c>
    </row>
    <row r="14" customFormat="false" ht="15.75" hidden="false" customHeight="true" outlineLevel="0" collapsed="false">
      <c r="A14" s="64"/>
      <c r="B14" s="48" t="str">
        <f aca="false">IF(I14="","",HYPERLINK(VLOOKUP(I14,areaCampiSquadre,3,FALSE()),VLOOKUP(I14,areaCampiSquadre,2,FALSE())))</f>
        <v>PalaElefanti, Via dello Sport 5, Elefantiopoli EI</v>
      </c>
      <c r="C14" s="48"/>
      <c r="D14" s="48"/>
      <c r="E14" s="48"/>
      <c r="F14" s="48"/>
      <c r="G14" s="48"/>
      <c r="H14" s="48"/>
      <c r="I14" s="43" t="s">
        <v>98</v>
      </c>
      <c r="J14" s="45"/>
      <c r="K14" s="45"/>
      <c r="L14" s="45"/>
    </row>
    <row r="15" customFormat="false" ht="12.75" hidden="false" customHeight="true" outlineLevel="0" collapsed="false">
      <c r="A15" s="63" t="s">
        <v>334</v>
      </c>
      <c r="B15" s="63" t="s">
        <v>317</v>
      </c>
      <c r="C15" s="63"/>
      <c r="D15" s="63" t="s">
        <v>324</v>
      </c>
      <c r="E15" s="63"/>
      <c r="F15" s="63" t="s">
        <v>335</v>
      </c>
      <c r="G15" s="63" t="s">
        <v>336</v>
      </c>
      <c r="H15" s="63" t="s">
        <v>337</v>
      </c>
      <c r="I15" s="63"/>
      <c r="J15" s="63" t="s">
        <v>338</v>
      </c>
      <c r="K15" s="63"/>
      <c r="L15" s="63"/>
    </row>
    <row r="16" customFormat="false" ht="24" hidden="false" customHeight="true" outlineLevel="0" collapsed="false">
      <c r="A16" s="64" t="n">
        <f aca="false">MAX(A$10:A15)+1</f>
        <v>87</v>
      </c>
      <c r="B16" s="42" t="str">
        <f aca="false">IF(C16="","",IFERROR(LEFT(VLOOKUP(C16,areaNomiSquadre,2,FALSE()),FIND("-",VLOOKUP(C16,areaNomiSquadre,2,FALSE()))-1),""))</f>
        <v>Ghepardi Guizzanti</v>
      </c>
      <c r="C16" s="43" t="s">
        <v>103</v>
      </c>
      <c r="D16" s="42" t="str">
        <f aca="false">IF(E16="","",IFERROR(LEFT(VLOOKUP(E16,areaNomiSquadre,2,FALSE()),FIND("-",VLOOKUP(E16,areaNomiSquadre,2,FALSE()))-1),""))</f>
        <v>Manguste Mordaci</v>
      </c>
      <c r="E16" s="43" t="s">
        <v>109</v>
      </c>
      <c r="F16" s="44" t="n">
        <v>46313.625</v>
      </c>
      <c r="G16" s="44"/>
      <c r="H16" s="44"/>
      <c r="I16" s="44"/>
      <c r="J16" s="45" t="n">
        <v>57</v>
      </c>
      <c r="K16" s="46" t="s">
        <v>339</v>
      </c>
      <c r="L16" s="45" t="n">
        <v>84</v>
      </c>
      <c r="M16" s="47" t="str">
        <f aca="false">IF($B16="","(Squadra A)",$B16)</f>
        <v>Ghepardi Guizzanti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1</v>
      </c>
      <c r="Q16" s="47" t="n">
        <f aca="false">IF($J16+$L16=0,,$J16)</f>
        <v>57</v>
      </c>
      <c r="R16" s="47" t="n">
        <f aca="false">IF($J16+$L16=0,,$L16)</f>
        <v>84</v>
      </c>
      <c r="S16" s="47" t="n">
        <f aca="false">IF($J16+$L16=0,,$J16-$L16)</f>
        <v>-27</v>
      </c>
      <c r="T16" s="47" t="str">
        <f aca="false">IF($D16="","(Squadra B)",$D16)</f>
        <v>Manguste Mordaci</v>
      </c>
      <c r="U16" s="47" t="n">
        <f aca="false">IF($J16+$L16=0,,IF($L16&gt;$J16,1,0))</f>
        <v>1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84</v>
      </c>
      <c r="Y16" s="47" t="n">
        <f aca="false">IF($J16+$L16=0,,$J16)</f>
        <v>57</v>
      </c>
      <c r="Z16" s="47" t="n">
        <f aca="false">IF($J16+$L16=0,,$L16-$J16)</f>
        <v>27</v>
      </c>
      <c r="AA16" s="47" t="str">
        <f aca="false">IF($J16+$L16=0,"(Vincente)",IF($J16&gt;$L16,$B16,$D16))</f>
        <v>Manguste Mordaci</v>
      </c>
      <c r="AB16" s="47" t="str">
        <f aca="false">IF($J16+$L16=0,"(Perdente)",IF($J16&lt;$L16,$B16,$D16))</f>
        <v>Ghepardi Guizzanti</v>
      </c>
    </row>
    <row r="17" customFormat="false" ht="15.75" hidden="false" customHeight="true" outlineLevel="0" collapsed="false">
      <c r="A17" s="64"/>
      <c r="B17" s="48" t="str">
        <f aca="false">IF(I17="","",HYPERLINK(VLOOKUP(I17,areaCampiSquadre,3,FALSE()),VLOOKUP(I17,areaCampiSquadre,2,FALSE())))</f>
        <v>PalaElefanti, Via dello Sport 5, Elefantiopoli EI</v>
      </c>
      <c r="C17" s="48"/>
      <c r="D17" s="48"/>
      <c r="E17" s="48"/>
      <c r="F17" s="48"/>
      <c r="G17" s="48"/>
      <c r="H17" s="48"/>
      <c r="I17" s="43" t="s">
        <v>98</v>
      </c>
      <c r="J17" s="45"/>
      <c r="K17" s="45"/>
      <c r="L17" s="45"/>
    </row>
    <row r="18" customFormat="false" ht="12.75" hidden="false" customHeight="true" outlineLevel="0" collapsed="false">
      <c r="A18" s="63" t="s">
        <v>334</v>
      </c>
      <c r="B18" s="63" t="s">
        <v>317</v>
      </c>
      <c r="C18" s="63"/>
      <c r="D18" s="63" t="s">
        <v>324</v>
      </c>
      <c r="E18" s="63"/>
      <c r="F18" s="63" t="s">
        <v>335</v>
      </c>
      <c r="G18" s="63" t="s">
        <v>336</v>
      </c>
      <c r="H18" s="63" t="s">
        <v>337</v>
      </c>
      <c r="I18" s="63"/>
      <c r="J18" s="63" t="s">
        <v>338</v>
      </c>
      <c r="K18" s="63"/>
      <c r="L18" s="63"/>
    </row>
    <row r="19" customFormat="false" ht="24" hidden="false" customHeight="true" outlineLevel="0" collapsed="false">
      <c r="A19" s="64" t="n">
        <f aca="false">MAX(A$10:A18)+1</f>
        <v>88</v>
      </c>
      <c r="B19" s="42" t="str">
        <f aca="false">IF(C19="","",IFERROR(LEFT(VLOOKUP(C19,areaNomiSquadre,2,FALSE()),FIND("-",VLOOKUP(C19,areaNomiSquadre,2,FALSE()))-1),""))</f>
        <v>Lontre Loquaci</v>
      </c>
      <c r="C19" s="43" t="s">
        <v>107</v>
      </c>
      <c r="D19" s="42" t="str">
        <f aca="false">IF(E19="","",IFERROR(LEFT(VLOOKUP(E19,areaNomiSquadre,2,FALSE()),FIND("-",VLOOKUP(E19,areaNomiSquadre,2,FALSE()))-1),""))</f>
        <v>Iguane Impavide</v>
      </c>
      <c r="E19" s="43" t="s">
        <v>105</v>
      </c>
      <c r="F19" s="44" t="n">
        <v>46313.7083333333</v>
      </c>
      <c r="G19" s="44"/>
      <c r="H19" s="44"/>
      <c r="I19" s="44"/>
      <c r="J19" s="45" t="n">
        <v>67</v>
      </c>
      <c r="K19" s="46" t="s">
        <v>339</v>
      </c>
      <c r="L19" s="45" t="n">
        <v>55</v>
      </c>
      <c r="M19" s="47" t="str">
        <f aca="false">IF($B19="","(Squadra A)",$B19)</f>
        <v>Lontre Loquaci</v>
      </c>
      <c r="N19" s="47" t="n">
        <f aca="false">IF($J19+$L19=0,,IF($J19&gt;$L19,1,0))</f>
        <v>1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67</v>
      </c>
      <c r="R19" s="47" t="n">
        <f aca="false">IF($J19+$L19=0,,$L19)</f>
        <v>55</v>
      </c>
      <c r="S19" s="47" t="n">
        <f aca="false">IF($J19+$L19=0,,$J19-$L19)</f>
        <v>12</v>
      </c>
      <c r="T19" s="47" t="str">
        <f aca="false">IF($D19="","(Squadra B)",$D19)</f>
        <v>Iguane Impavide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1</v>
      </c>
      <c r="X19" s="47" t="n">
        <f aca="false">IF($J19+$L19=0,,$L19)</f>
        <v>55</v>
      </c>
      <c r="Y19" s="47" t="n">
        <f aca="false">IF($J19+$L19=0,,$J19)</f>
        <v>67</v>
      </c>
      <c r="Z19" s="47" t="n">
        <f aca="false">IF($J19+$L19=0,,$L19-$J19)</f>
        <v>-12</v>
      </c>
      <c r="AA19" s="47" t="str">
        <f aca="false">IF($J19+$L19=0,"(Vincente)",IF($J19&gt;$L19,$B19,$D19))</f>
        <v>Lontre Loquaci</v>
      </c>
      <c r="AB19" s="47" t="str">
        <f aca="false">IF($J19+$L19=0,"(Perdente)",IF($J19&lt;$L19,$B19,$D19))</f>
        <v>Iguane Impavide</v>
      </c>
    </row>
    <row r="20" customFormat="false" ht="15.75" hidden="false" customHeight="true" outlineLevel="0" collapsed="false">
      <c r="A20" s="64"/>
      <c r="B20" s="48" t="str">
        <f aca="false">IF(I20="","",HYPERLINK(VLOOKUP(I20,areaCampiSquadre,3,FALSE()),VLOOKUP(I20,areaCampiSquadre,2,FALSE())))</f>
        <v>PalaElefanti, Via dello Sport 5, Elefantiopoli EI</v>
      </c>
      <c r="C20" s="48"/>
      <c r="D20" s="48"/>
      <c r="E20" s="48"/>
      <c r="F20" s="48"/>
      <c r="G20" s="48"/>
      <c r="H20" s="48"/>
      <c r="I20" s="43" t="s">
        <v>98</v>
      </c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61" t="s">
        <v>362</v>
      </c>
      <c r="B22" s="62" t="str">
        <f aca="false">"GIORNATA "&amp;ROMAN(VALUE(LEFT(A22,LEN(A22)-1)))&amp;" - GIRONE "&amp;RIGHT(A22,1)</f>
        <v>GIORNATA II - GIRONE D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</row>
    <row r="23" customFormat="false" ht="12.75" hidden="false" customHeight="true" outlineLevel="0" collapsed="false">
      <c r="A23" s="63" t="s">
        <v>334</v>
      </c>
      <c r="B23" s="63" t="s">
        <v>317</v>
      </c>
      <c r="C23" s="63"/>
      <c r="D23" s="63" t="s">
        <v>324</v>
      </c>
      <c r="E23" s="63"/>
      <c r="F23" s="63" t="s">
        <v>335</v>
      </c>
      <c r="G23" s="63" t="s">
        <v>336</v>
      </c>
      <c r="H23" s="63" t="s">
        <v>337</v>
      </c>
      <c r="I23" s="63"/>
      <c r="J23" s="63" t="s">
        <v>338</v>
      </c>
      <c r="K23" s="63"/>
      <c r="L23" s="63"/>
    </row>
    <row r="24" customFormat="false" ht="24" hidden="false" customHeight="true" outlineLevel="0" collapsed="false">
      <c r="A24" s="64" t="n">
        <f aca="false">MAX(A$10:A23)+1</f>
        <v>89</v>
      </c>
      <c r="B24" s="42" t="str">
        <f aca="false">IF(C24="","",IFERROR(LEFT(VLOOKUP(C24,areaNomiSquadre,2,FALSE()),FIND("-",VLOOKUP(C24,areaNomiSquadre,2,FALSE()))-1),""))</f>
        <v>Nutrie Nervose</v>
      </c>
      <c r="C24" s="43" t="s">
        <v>111</v>
      </c>
      <c r="D24" s="42" t="str">
        <f aca="false">IF(E24="","",IFERROR(LEFT(VLOOKUP(E24,areaNomiSquadre,2,FALSE()),FIND("-",VLOOKUP(E24,areaNomiSquadre,2,FALSE()))-1),""))</f>
        <v>Elefanti Esuberanti</v>
      </c>
      <c r="E24" s="43" t="s">
        <v>98</v>
      </c>
      <c r="F24" s="44" t="n">
        <v>46334.3958333333</v>
      </c>
      <c r="G24" s="44"/>
      <c r="H24" s="44"/>
      <c r="I24" s="44"/>
      <c r="J24" s="45" t="n">
        <v>46</v>
      </c>
      <c r="K24" s="46" t="s">
        <v>339</v>
      </c>
      <c r="L24" s="45" t="n">
        <v>67</v>
      </c>
      <c r="M24" s="47" t="str">
        <f aca="false">IF($B24="","(Squadra A)",$B24)</f>
        <v>Nutrie Nervose</v>
      </c>
      <c r="N24" s="47" t="n">
        <f aca="false">IF($J24+$L24=0,,IF($J24&gt;$L24,1,0))</f>
        <v>0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1</v>
      </c>
      <c r="Q24" s="47" t="n">
        <f aca="false">IF($J24+$L24=0,,$J24)</f>
        <v>46</v>
      </c>
      <c r="R24" s="47" t="n">
        <f aca="false">IF($J24+$L24=0,,$L24)</f>
        <v>67</v>
      </c>
      <c r="S24" s="47" t="n">
        <f aca="false">IF($J24+$L24=0,,$J24-$L24)</f>
        <v>-21</v>
      </c>
      <c r="T24" s="47" t="str">
        <f aca="false">IF($D24="","(Squadra B)",$D24)</f>
        <v>Elefanti Esuberanti</v>
      </c>
      <c r="U24" s="47" t="n">
        <f aca="false">IF($J24+$L24=0,,IF($L24&gt;$J24,1,0))</f>
        <v>1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0</v>
      </c>
      <c r="X24" s="47" t="n">
        <f aca="false">IF($J24+$L24=0,,$L24)</f>
        <v>67</v>
      </c>
      <c r="Y24" s="47" t="n">
        <f aca="false">IF($J24+$L24=0,,$J24)</f>
        <v>46</v>
      </c>
      <c r="Z24" s="47" t="n">
        <f aca="false">IF($J24+$L24=0,,$L24-$J24)</f>
        <v>21</v>
      </c>
      <c r="AA24" s="47" t="str">
        <f aca="false">IF($J24+$L24=0,"(Vincente)",IF($J24&gt;$L24,$B24,$D24))</f>
        <v>Elefanti Esuberanti</v>
      </c>
      <c r="AB24" s="47" t="str">
        <f aca="false">IF($J24+$L24=0,"(Perdente)",IF($J24&lt;$L24,$B24,$D24))</f>
        <v>Nutrie Nervose</v>
      </c>
    </row>
    <row r="25" customFormat="false" ht="15.75" hidden="false" customHeight="true" outlineLevel="0" collapsed="false">
      <c r="A25" s="64"/>
      <c r="B25" s="48" t="str">
        <f aca="false">IF(I25="","",HYPERLINK(VLOOKUP(I25,areaCampiSquadre,3,FALSE()),VLOOKUP(I25,areaCampiSquadre,2,FALSE())))</f>
        <v>PalaFenicotteri, Via dello Sport 6, Fenicotteriopoli FI</v>
      </c>
      <c r="C25" s="48"/>
      <c r="D25" s="48"/>
      <c r="E25" s="48"/>
      <c r="F25" s="48"/>
      <c r="G25" s="48"/>
      <c r="H25" s="48"/>
      <c r="I25" s="43" t="s">
        <v>101</v>
      </c>
      <c r="J25" s="45"/>
      <c r="K25" s="45"/>
      <c r="L25" s="45"/>
    </row>
    <row r="26" customFormat="false" ht="12.75" hidden="false" customHeight="true" outlineLevel="0" collapsed="false">
      <c r="A26" s="63" t="s">
        <v>334</v>
      </c>
      <c r="B26" s="63" t="s">
        <v>317</v>
      </c>
      <c r="C26" s="63"/>
      <c r="D26" s="63" t="s">
        <v>324</v>
      </c>
      <c r="E26" s="63"/>
      <c r="F26" s="63" t="s">
        <v>335</v>
      </c>
      <c r="G26" s="63" t="s">
        <v>336</v>
      </c>
      <c r="H26" s="63" t="s">
        <v>337</v>
      </c>
      <c r="I26" s="63"/>
      <c r="J26" s="63" t="s">
        <v>338</v>
      </c>
      <c r="K26" s="63"/>
      <c r="L26" s="63"/>
    </row>
    <row r="27" customFormat="false" ht="24" hidden="false" customHeight="true" outlineLevel="0" collapsed="false">
      <c r="A27" s="64" t="n">
        <f aca="false">MAX(A$10:A26)+1</f>
        <v>90</v>
      </c>
      <c r="B27" s="42" t="str">
        <f aca="false">IF(C27="","",IFERROR(LEFT(VLOOKUP(C27,areaNomiSquadre,2,FALSE()),FIND("-",VLOOKUP(C27,areaNomiSquadre,2,FALSE()))-1),""))</f>
        <v>Otarie Ottimiste</v>
      </c>
      <c r="C27" s="43" t="s">
        <v>113</v>
      </c>
      <c r="D27" s="42" t="str">
        <f aca="false">IF(E27="","",IFERROR(LEFT(VLOOKUP(E27,areaNomiSquadre,2,FALSE()),FIND("-",VLOOKUP(E27,areaNomiSquadre,2,FALSE()))-1),""))</f>
        <v>Manguste Mordaci</v>
      </c>
      <c r="E27" s="43" t="s">
        <v>109</v>
      </c>
      <c r="F27" s="44" t="n">
        <v>46334.4791666667</v>
      </c>
      <c r="G27" s="44"/>
      <c r="H27" s="44"/>
      <c r="I27" s="44"/>
      <c r="J27" s="45" t="n">
        <v>50</v>
      </c>
      <c r="K27" s="46" t="s">
        <v>339</v>
      </c>
      <c r="L27" s="45" t="n">
        <v>57</v>
      </c>
      <c r="M27" s="47" t="str">
        <f aca="false">IF($B27="","(Squadra A)",$B27)</f>
        <v>Otarie Ottimiste</v>
      </c>
      <c r="N27" s="47" t="n">
        <f aca="false">IF($J27+$L27=0,,IF($J27&gt;$L27,1,0))</f>
        <v>0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1</v>
      </c>
      <c r="Q27" s="47" t="n">
        <f aca="false">IF($J27+$L27=0,,$J27)</f>
        <v>50</v>
      </c>
      <c r="R27" s="47" t="n">
        <f aca="false">IF($J27+$L27=0,,$L27)</f>
        <v>57</v>
      </c>
      <c r="S27" s="47" t="n">
        <f aca="false">IF($J27+$L27=0,,$J27-$L27)</f>
        <v>-7</v>
      </c>
      <c r="T27" s="47" t="str">
        <f aca="false">IF($D27="","(Squadra B)",$D27)</f>
        <v>Manguste Mordaci</v>
      </c>
      <c r="U27" s="47" t="n">
        <f aca="false">IF($J27+$L27=0,,IF($L27&gt;$J27,1,0))</f>
        <v>1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0</v>
      </c>
      <c r="X27" s="47" t="n">
        <f aca="false">IF($J27+$L27=0,,$L27)</f>
        <v>57</v>
      </c>
      <c r="Y27" s="47" t="n">
        <f aca="false">IF($J27+$L27=0,,$J27)</f>
        <v>50</v>
      </c>
      <c r="Z27" s="47" t="n">
        <f aca="false">IF($J27+$L27=0,,$L27-$J27)</f>
        <v>7</v>
      </c>
      <c r="AA27" s="47" t="str">
        <f aca="false">IF($J27+$L27=0,"(Vincente)",IF($J27&gt;$L27,$B27,$D27))</f>
        <v>Manguste Mordaci</v>
      </c>
      <c r="AB27" s="47" t="str">
        <f aca="false">IF($J27+$L27=0,"(Perdente)",IF($J27&lt;$L27,$B27,$D27))</f>
        <v>Otarie Ottimiste</v>
      </c>
    </row>
    <row r="28" customFormat="false" ht="15.75" hidden="false" customHeight="true" outlineLevel="0" collapsed="false">
      <c r="A28" s="64"/>
      <c r="B28" s="48" t="str">
        <f aca="false">IF(I28="","",HYPERLINK(VLOOKUP(I28,areaCampiSquadre,3,FALSE()),VLOOKUP(I28,areaCampiSquadre,2,FALSE())))</f>
        <v>PalaFenicotteri, Via dello Sport 6, Fenicotteriopoli FI</v>
      </c>
      <c r="C28" s="48"/>
      <c r="D28" s="48"/>
      <c r="E28" s="48"/>
      <c r="F28" s="48"/>
      <c r="G28" s="48"/>
      <c r="H28" s="48"/>
      <c r="I28" s="43" t="s">
        <v>101</v>
      </c>
      <c r="J28" s="45"/>
      <c r="K28" s="45"/>
      <c r="L28" s="45"/>
    </row>
    <row r="29" customFormat="false" ht="12.75" hidden="false" customHeight="true" outlineLevel="0" collapsed="false">
      <c r="A29" s="63" t="s">
        <v>334</v>
      </c>
      <c r="B29" s="63" t="s">
        <v>317</v>
      </c>
      <c r="C29" s="63"/>
      <c r="D29" s="63" t="s">
        <v>324</v>
      </c>
      <c r="E29" s="63"/>
      <c r="F29" s="63" t="s">
        <v>335</v>
      </c>
      <c r="G29" s="63" t="s">
        <v>336</v>
      </c>
      <c r="H29" s="63" t="s">
        <v>337</v>
      </c>
      <c r="I29" s="63"/>
      <c r="J29" s="63" t="s">
        <v>338</v>
      </c>
      <c r="K29" s="63"/>
      <c r="L29" s="63"/>
    </row>
    <row r="30" customFormat="false" ht="24" hidden="false" customHeight="true" outlineLevel="0" collapsed="false">
      <c r="A30" s="64" t="n">
        <f aca="false">MAX(A$10:A29)+1</f>
        <v>91</v>
      </c>
      <c r="B30" s="42" t="str">
        <f aca="false">IF(C30="","",IFERROR(LEFT(VLOOKUP(C30,areaNomiSquadre,2,FALSE()),FIND("-",VLOOKUP(C30,areaNomiSquadre,2,FALSE()))-1),""))</f>
        <v>Lontre Loquaci</v>
      </c>
      <c r="C30" s="43" t="s">
        <v>107</v>
      </c>
      <c r="D30" s="42" t="str">
        <f aca="false">IF(E30="","",IFERROR(LEFT(VLOOKUP(E30,areaNomiSquadre,2,FALSE()),FIND("-",VLOOKUP(E30,areaNomiSquadre,2,FALSE()))-1),""))</f>
        <v>Fenicotteri Focosi</v>
      </c>
      <c r="E30" s="43" t="s">
        <v>101</v>
      </c>
      <c r="F30" s="44" t="n">
        <v>46334.625</v>
      </c>
      <c r="G30" s="44"/>
      <c r="H30" s="44"/>
      <c r="I30" s="44"/>
      <c r="J30" s="45" t="n">
        <v>65</v>
      </c>
      <c r="K30" s="46" t="s">
        <v>339</v>
      </c>
      <c r="L30" s="45" t="n">
        <v>49</v>
      </c>
      <c r="M30" s="47" t="str">
        <f aca="false">IF($B30="","(Squadra A)",$B30)</f>
        <v>Lontre Loquaci</v>
      </c>
      <c r="N30" s="47" t="n">
        <f aca="false">IF($J30+$L30=0,,IF($J30&gt;$L30,1,0))</f>
        <v>1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47" t="n">
        <f aca="false">IF($J30+$L30=0,,$J30)</f>
        <v>65</v>
      </c>
      <c r="R30" s="47" t="n">
        <f aca="false">IF($J30+$L30=0,,$L30)</f>
        <v>49</v>
      </c>
      <c r="S30" s="47" t="n">
        <f aca="false">IF($J30+$L30=0,,$J30-$L30)</f>
        <v>16</v>
      </c>
      <c r="T30" s="47" t="str">
        <f aca="false">IF($D30="","(Squadra B)",$D30)</f>
        <v>Fenicotteri Focosi</v>
      </c>
      <c r="U30" s="47" t="n">
        <f aca="false">IF($J30+$L30=0,,IF($L30&gt;$J30,1,0))</f>
        <v>0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1</v>
      </c>
      <c r="X30" s="47" t="n">
        <f aca="false">IF($J30+$L30=0,,$L30)</f>
        <v>49</v>
      </c>
      <c r="Y30" s="47" t="n">
        <f aca="false">IF($J30+$L30=0,,$J30)</f>
        <v>65</v>
      </c>
      <c r="Z30" s="47" t="n">
        <f aca="false">IF($J30+$L30=0,,$L30-$J30)</f>
        <v>-16</v>
      </c>
      <c r="AA30" s="47" t="str">
        <f aca="false">IF($J30+$L30=0,"(Vincente)",IF($J30&gt;$L30,$B30,$D30))</f>
        <v>Lontre Loquaci</v>
      </c>
      <c r="AB30" s="47" t="str">
        <f aca="false">IF($J30+$L30=0,"(Perdente)",IF($J30&lt;$L30,$B30,$D30))</f>
        <v>Fenicotteri Focosi</v>
      </c>
    </row>
    <row r="31" customFormat="false" ht="15.75" hidden="false" customHeight="true" outlineLevel="0" collapsed="false">
      <c r="A31" s="64"/>
      <c r="B31" s="48" t="str">
        <f aca="false">IF(I31="","",HYPERLINK(VLOOKUP(I31,areaCampiSquadre,3,FALSE()),VLOOKUP(I31,areaCampiSquadre,2,FALSE())))</f>
        <v>PalaFenicotteri, Via dello Sport 6, Fenicotteriopoli FI</v>
      </c>
      <c r="C31" s="48"/>
      <c r="D31" s="48"/>
      <c r="E31" s="48"/>
      <c r="F31" s="48"/>
      <c r="G31" s="48"/>
      <c r="H31" s="48"/>
      <c r="I31" s="43" t="s">
        <v>101</v>
      </c>
      <c r="J31" s="45"/>
      <c r="K31" s="45"/>
      <c r="L31" s="45"/>
    </row>
    <row r="32" customFormat="false" ht="12.75" hidden="false" customHeight="true" outlineLevel="0" collapsed="false">
      <c r="A32" s="63" t="s">
        <v>334</v>
      </c>
      <c r="B32" s="63" t="s">
        <v>317</v>
      </c>
      <c r="C32" s="63"/>
      <c r="D32" s="63" t="s">
        <v>324</v>
      </c>
      <c r="E32" s="63"/>
      <c r="F32" s="63" t="s">
        <v>335</v>
      </c>
      <c r="G32" s="63" t="s">
        <v>336</v>
      </c>
      <c r="H32" s="63" t="s">
        <v>337</v>
      </c>
      <c r="I32" s="63"/>
      <c r="J32" s="63" t="s">
        <v>338</v>
      </c>
      <c r="K32" s="63"/>
      <c r="L32" s="63"/>
    </row>
    <row r="33" customFormat="false" ht="24" hidden="false" customHeight="true" outlineLevel="0" collapsed="false">
      <c r="A33" s="64" t="n">
        <f aca="false">MAX(A$10:A32)+1</f>
        <v>92</v>
      </c>
      <c r="B33" s="42" t="str">
        <f aca="false">IF(C33="","",IFERROR(LEFT(VLOOKUP(C33,areaNomiSquadre,2,FALSE()),FIND("-",VLOOKUP(C33,areaNomiSquadre,2,FALSE()))-1),""))</f>
        <v>Ghepardi Guizzanti</v>
      </c>
      <c r="C33" s="43" t="s">
        <v>103</v>
      </c>
      <c r="D33" s="42" t="str">
        <f aca="false">IF(E33="","",IFERROR(LEFT(VLOOKUP(E33,areaNomiSquadre,2,FALSE()),FIND("-",VLOOKUP(E33,areaNomiSquadre,2,FALSE()))-1),""))</f>
        <v>Iguane Impavide</v>
      </c>
      <c r="E33" s="43" t="s">
        <v>105</v>
      </c>
      <c r="F33" s="44" t="n">
        <v>46334.7083333333</v>
      </c>
      <c r="G33" s="44"/>
      <c r="H33" s="44"/>
      <c r="I33" s="44"/>
      <c r="J33" s="45" t="n">
        <v>35</v>
      </c>
      <c r="K33" s="46" t="s">
        <v>339</v>
      </c>
      <c r="L33" s="45" t="n">
        <v>70</v>
      </c>
      <c r="M33" s="47" t="str">
        <f aca="false">IF($B33="","(Squadra A)",$B33)</f>
        <v>Ghepardi Guizzanti</v>
      </c>
      <c r="N33" s="47" t="n">
        <f aca="false">IF($J33+$L33=0,,IF($J33&gt;$L33,1,0))</f>
        <v>0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1</v>
      </c>
      <c r="Q33" s="47" t="n">
        <f aca="false">IF($J33+$L33=0,,$J33)</f>
        <v>35</v>
      </c>
      <c r="R33" s="47" t="n">
        <f aca="false">IF($J33+$L33=0,,$L33)</f>
        <v>70</v>
      </c>
      <c r="S33" s="47" t="n">
        <f aca="false">IF($J33+$L33=0,,$J33-$L33)</f>
        <v>-35</v>
      </c>
      <c r="T33" s="47" t="str">
        <f aca="false">IF($D33="","(Squadra B)",$D33)</f>
        <v>Iguane Impavide</v>
      </c>
      <c r="U33" s="47" t="n">
        <f aca="false">IF($J33+$L33=0,,IF($L33&gt;$J33,1,0))</f>
        <v>1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0</v>
      </c>
      <c r="X33" s="47" t="n">
        <f aca="false">IF($J33+$L33=0,,$L33)</f>
        <v>70</v>
      </c>
      <c r="Y33" s="47" t="n">
        <f aca="false">IF($J33+$L33=0,,$J33)</f>
        <v>35</v>
      </c>
      <c r="Z33" s="47" t="n">
        <f aca="false">IF($J33+$L33=0,,$L33-$J33)</f>
        <v>35</v>
      </c>
      <c r="AA33" s="47" t="str">
        <f aca="false">IF($J33+$L33=0,"(Vincente)",IF($J33&gt;$L33,$B33,$D33))</f>
        <v>Iguane Impavide</v>
      </c>
      <c r="AB33" s="47" t="str">
        <f aca="false">IF($J33+$L33=0,"(Perdente)",IF($J33&lt;$L33,$B33,$D33))</f>
        <v>Ghepardi Guizzanti</v>
      </c>
    </row>
    <row r="34" customFormat="false" ht="15.75" hidden="false" customHeight="true" outlineLevel="0" collapsed="false">
      <c r="A34" s="64"/>
      <c r="B34" s="48" t="str">
        <f aca="false">IF(I34="","",HYPERLINK(VLOOKUP(I34,areaCampiSquadre,3,FALSE()),VLOOKUP(I34,areaCampiSquadre,2,FALSE())))</f>
        <v>PalaFenicotteri, Via dello Sport 6, Fenicotteriopoli FI</v>
      </c>
      <c r="C34" s="48"/>
      <c r="D34" s="48"/>
      <c r="E34" s="48"/>
      <c r="F34" s="48"/>
      <c r="G34" s="48"/>
      <c r="H34" s="48"/>
      <c r="I34" s="43" t="s">
        <v>101</v>
      </c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61" t="s">
        <v>363</v>
      </c>
      <c r="B36" s="62" t="str">
        <f aca="false">"GIORNATA "&amp;ROMAN(VALUE(LEFT(A36,LEN(A36)-1)))&amp;" - GIRONE "&amp;RIGHT(A36,1)</f>
        <v>GIORNATA III - GIRONE D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</row>
    <row r="37" customFormat="false" ht="12.75" hidden="false" customHeight="true" outlineLevel="0" collapsed="false">
      <c r="A37" s="63" t="s">
        <v>334</v>
      </c>
      <c r="B37" s="63" t="s">
        <v>317</v>
      </c>
      <c r="C37" s="63"/>
      <c r="D37" s="63" t="s">
        <v>324</v>
      </c>
      <c r="E37" s="63"/>
      <c r="F37" s="63" t="s">
        <v>335</v>
      </c>
      <c r="G37" s="63" t="s">
        <v>336</v>
      </c>
      <c r="H37" s="63" t="s">
        <v>337</v>
      </c>
      <c r="I37" s="63"/>
      <c r="J37" s="63" t="s">
        <v>338</v>
      </c>
      <c r="K37" s="63"/>
      <c r="L37" s="63"/>
    </row>
    <row r="38" customFormat="false" ht="24" hidden="false" customHeight="true" outlineLevel="0" collapsed="false">
      <c r="A38" s="64" t="n">
        <f aca="false">MAX(A$10:A37)+1</f>
        <v>93</v>
      </c>
      <c r="B38" s="42" t="str">
        <f aca="false">IF(C38="","",IFERROR(LEFT(VLOOKUP(C38,areaNomiSquadre,2,FALSE()),FIND("-",VLOOKUP(C38,areaNomiSquadre,2,FALSE()))-1),""))</f>
        <v>Elefanti Esuberanti</v>
      </c>
      <c r="C38" s="43" t="s">
        <v>98</v>
      </c>
      <c r="D38" s="42" t="str">
        <f aca="false">IF(E38="","",IFERROR(LEFT(VLOOKUP(E38,areaNomiSquadre,2,FALSE()),FIND("-",VLOOKUP(E38,areaNomiSquadre,2,FALSE()))-1),""))</f>
        <v>Manguste Mordaci</v>
      </c>
      <c r="E38" s="43" t="s">
        <v>109</v>
      </c>
      <c r="F38" s="44" t="n">
        <v>46355.3958333333</v>
      </c>
      <c r="G38" s="44"/>
      <c r="H38" s="44"/>
      <c r="I38" s="44"/>
      <c r="J38" s="45" t="n">
        <v>64</v>
      </c>
      <c r="K38" s="46" t="s">
        <v>339</v>
      </c>
      <c r="L38" s="45" t="n">
        <v>56</v>
      </c>
      <c r="M38" s="47" t="str">
        <f aca="false">IF($B38="","(Squadra A)",$B38)</f>
        <v>Elefanti Esuberanti</v>
      </c>
      <c r="N38" s="47" t="n">
        <f aca="false">IF($J38+$L38=0,,IF($J38&gt;$L38,1,0))</f>
        <v>1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64</v>
      </c>
      <c r="R38" s="47" t="n">
        <f aca="false">IF($J38+$L38=0,,$L38)</f>
        <v>56</v>
      </c>
      <c r="S38" s="47" t="n">
        <f aca="false">IF($J38+$L38=0,,$J38-$L38)</f>
        <v>8</v>
      </c>
      <c r="T38" s="47" t="str">
        <f aca="false">IF($D38="","(Squadra B)",$D38)</f>
        <v>Manguste Mordaci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1</v>
      </c>
      <c r="X38" s="47" t="n">
        <f aca="false">IF($J38+$L38=0,,$L38)</f>
        <v>56</v>
      </c>
      <c r="Y38" s="47" t="n">
        <f aca="false">IF($J38+$L38=0,,$J38)</f>
        <v>64</v>
      </c>
      <c r="Z38" s="47" t="n">
        <f aca="false">IF($J38+$L38=0,,$L38-$J38)</f>
        <v>-8</v>
      </c>
      <c r="AA38" s="47" t="str">
        <f aca="false">IF($J38+$L38=0,"(Vincente)",IF($J38&gt;$L38,$B38,$D38))</f>
        <v>Elefanti Esuberanti</v>
      </c>
      <c r="AB38" s="47" t="str">
        <f aca="false">IF($J38+$L38=0,"(Perdente)",IF($J38&lt;$L38,$B38,$D38))</f>
        <v>Manguste Mordaci</v>
      </c>
    </row>
    <row r="39" customFormat="false" ht="15.75" hidden="false" customHeight="true" outlineLevel="0" collapsed="false">
      <c r="A39" s="64"/>
      <c r="B39" s="48" t="str">
        <f aca="false">IF(I39="","",HYPERLINK(VLOOKUP(I39,areaCampiSquadre,3,FALSE()),VLOOKUP(I39,areaCampiSquadre,2,FALSE())))</f>
        <v>PalaGhepardi, Via dello Sport 7, Ghepardiopoli GI</v>
      </c>
      <c r="C39" s="48"/>
      <c r="D39" s="48"/>
      <c r="E39" s="48"/>
      <c r="F39" s="48"/>
      <c r="G39" s="48"/>
      <c r="H39" s="48"/>
      <c r="I39" s="43" t="s">
        <v>103</v>
      </c>
      <c r="J39" s="45"/>
      <c r="K39" s="45"/>
      <c r="L39" s="45"/>
    </row>
    <row r="40" customFormat="false" ht="12.75" hidden="false" customHeight="true" outlineLevel="0" collapsed="false">
      <c r="A40" s="63" t="s">
        <v>334</v>
      </c>
      <c r="B40" s="63" t="s">
        <v>317</v>
      </c>
      <c r="C40" s="63"/>
      <c r="D40" s="63" t="s">
        <v>324</v>
      </c>
      <c r="E40" s="63"/>
      <c r="F40" s="63" t="s">
        <v>335</v>
      </c>
      <c r="G40" s="63" t="s">
        <v>336</v>
      </c>
      <c r="H40" s="63" t="s">
        <v>337</v>
      </c>
      <c r="I40" s="63"/>
      <c r="J40" s="63" t="s">
        <v>338</v>
      </c>
      <c r="K40" s="63"/>
      <c r="L40" s="63"/>
    </row>
    <row r="41" customFormat="false" ht="24" hidden="false" customHeight="true" outlineLevel="0" collapsed="false">
      <c r="A41" s="64" t="n">
        <f aca="false">MAX(A$10:A40)+1</f>
        <v>94</v>
      </c>
      <c r="B41" s="42" t="str">
        <f aca="false">IF(C41="","",IFERROR(LEFT(VLOOKUP(C41,areaNomiSquadre,2,FALSE()),FIND("-",VLOOKUP(C41,areaNomiSquadre,2,FALSE()))-1),""))</f>
        <v>Lontre Loquaci</v>
      </c>
      <c r="C41" s="43" t="s">
        <v>107</v>
      </c>
      <c r="D41" s="42" t="str">
        <f aca="false">IF(E41="","",IFERROR(LEFT(VLOOKUP(E41,areaNomiSquadre,2,FALSE()),FIND("-",VLOOKUP(E41,areaNomiSquadre,2,FALSE()))-1),""))</f>
        <v>Nutrie Nervose</v>
      </c>
      <c r="E41" s="43" t="s">
        <v>111</v>
      </c>
      <c r="F41" s="44" t="n">
        <v>46355.4791666667</v>
      </c>
      <c r="G41" s="44"/>
      <c r="H41" s="44"/>
      <c r="I41" s="44"/>
      <c r="J41" s="45" t="n">
        <v>78</v>
      </c>
      <c r="K41" s="46" t="s">
        <v>339</v>
      </c>
      <c r="L41" s="45" t="n">
        <v>51</v>
      </c>
      <c r="M41" s="47" t="str">
        <f aca="false">IF($B41="","(Squadra A)",$B41)</f>
        <v>Lontre Loquaci</v>
      </c>
      <c r="N41" s="47" t="n">
        <f aca="false">IF($J41+$L41=0,,IF($J41&gt;$L41,1,0))</f>
        <v>1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0</v>
      </c>
      <c r="Q41" s="47" t="n">
        <f aca="false">IF($J41+$L41=0,,$J41)</f>
        <v>78</v>
      </c>
      <c r="R41" s="47" t="n">
        <f aca="false">IF($J41+$L41=0,,$L41)</f>
        <v>51</v>
      </c>
      <c r="S41" s="47" t="n">
        <f aca="false">IF($J41+$L41=0,,$J41-$L41)</f>
        <v>27</v>
      </c>
      <c r="T41" s="47" t="str">
        <f aca="false">IF($D41="","(Squadra B)",$D41)</f>
        <v>Nutrie Nervose</v>
      </c>
      <c r="U41" s="47" t="n">
        <f aca="false">IF($J41+$L41=0,,IF($L41&gt;$J41,1,0))</f>
        <v>0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1</v>
      </c>
      <c r="X41" s="47" t="n">
        <f aca="false">IF($J41+$L41=0,,$L41)</f>
        <v>51</v>
      </c>
      <c r="Y41" s="47" t="n">
        <f aca="false">IF($J41+$L41=0,,$J41)</f>
        <v>78</v>
      </c>
      <c r="Z41" s="47" t="n">
        <f aca="false">IF($J41+$L41=0,,$L41-$J41)</f>
        <v>-27</v>
      </c>
      <c r="AA41" s="47" t="str">
        <f aca="false">IF($J41+$L41=0,"(Vincente)",IF($J41&gt;$L41,$B41,$D41))</f>
        <v>Lontre Loquaci</v>
      </c>
      <c r="AB41" s="47" t="str">
        <f aca="false">IF($J41+$L41=0,"(Perdente)",IF($J41&lt;$L41,$B41,$D41))</f>
        <v>Nutrie Nervose</v>
      </c>
    </row>
    <row r="42" customFormat="false" ht="15.75" hidden="false" customHeight="true" outlineLevel="0" collapsed="false">
      <c r="A42" s="64"/>
      <c r="B42" s="48" t="str">
        <f aca="false">IF(I42="","",HYPERLINK(VLOOKUP(I42,areaCampiSquadre,3,FALSE()),VLOOKUP(I42,areaCampiSquadre,2,FALSE())))</f>
        <v>PalaGhepardi, Via dello Sport 7, Ghepardiopoli GI</v>
      </c>
      <c r="C42" s="48"/>
      <c r="D42" s="48"/>
      <c r="E42" s="48"/>
      <c r="F42" s="48"/>
      <c r="G42" s="48"/>
      <c r="H42" s="48"/>
      <c r="I42" s="43" t="s">
        <v>103</v>
      </c>
      <c r="J42" s="45"/>
      <c r="K42" s="45"/>
      <c r="L42" s="45"/>
    </row>
    <row r="43" customFormat="false" ht="12.75" hidden="false" customHeight="true" outlineLevel="0" collapsed="false">
      <c r="A43" s="63" t="s">
        <v>334</v>
      </c>
      <c r="B43" s="63" t="s">
        <v>317</v>
      </c>
      <c r="C43" s="63"/>
      <c r="D43" s="63" t="s">
        <v>324</v>
      </c>
      <c r="E43" s="63"/>
      <c r="F43" s="63" t="s">
        <v>335</v>
      </c>
      <c r="G43" s="63" t="s">
        <v>336</v>
      </c>
      <c r="H43" s="63" t="s">
        <v>337</v>
      </c>
      <c r="I43" s="63"/>
      <c r="J43" s="63" t="s">
        <v>338</v>
      </c>
      <c r="K43" s="63"/>
      <c r="L43" s="63"/>
    </row>
    <row r="44" customFormat="false" ht="24" hidden="false" customHeight="true" outlineLevel="0" collapsed="false">
      <c r="A44" s="64" t="n">
        <f aca="false">MAX(A$10:A43)+1</f>
        <v>95</v>
      </c>
      <c r="B44" s="42" t="str">
        <f aca="false">IF(C44="","",IFERROR(LEFT(VLOOKUP(C44,areaNomiSquadre,2,FALSE()),FIND("-",VLOOKUP(C44,areaNomiSquadre,2,FALSE()))-1),""))</f>
        <v>Otarie Ottimiste</v>
      </c>
      <c r="C44" s="43" t="s">
        <v>113</v>
      </c>
      <c r="D44" s="42" t="str">
        <f aca="false">IF(E44="","",IFERROR(LEFT(VLOOKUP(E44,areaNomiSquadre,2,FALSE()),FIND("-",VLOOKUP(E44,areaNomiSquadre,2,FALSE()))-1),""))</f>
        <v>Iguane Impavide</v>
      </c>
      <c r="E44" s="43" t="s">
        <v>105</v>
      </c>
      <c r="F44" s="44" t="n">
        <v>46355.625</v>
      </c>
      <c r="G44" s="44"/>
      <c r="H44" s="44"/>
      <c r="I44" s="44"/>
      <c r="J44" s="45" t="n">
        <v>49</v>
      </c>
      <c r="K44" s="46" t="s">
        <v>339</v>
      </c>
      <c r="L44" s="45" t="n">
        <v>86</v>
      </c>
      <c r="M44" s="47" t="str">
        <f aca="false">IF($B44="","(Squadra A)",$B44)</f>
        <v>Otarie Ottimiste</v>
      </c>
      <c r="N44" s="47" t="n">
        <f aca="false">IF($J44+$L44=0,,IF($J44&gt;$L44,1,0))</f>
        <v>0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1</v>
      </c>
      <c r="Q44" s="47" t="n">
        <f aca="false">IF($J44+$L44=0,,$J44)</f>
        <v>49</v>
      </c>
      <c r="R44" s="47" t="n">
        <f aca="false">IF($J44+$L44=0,,$L44)</f>
        <v>86</v>
      </c>
      <c r="S44" s="47" t="n">
        <f aca="false">IF($J44+$L44=0,,$J44-$L44)</f>
        <v>-37</v>
      </c>
      <c r="T44" s="47" t="str">
        <f aca="false">IF($D44="","(Squadra B)",$D44)</f>
        <v>Iguane Impavide</v>
      </c>
      <c r="U44" s="47" t="n">
        <f aca="false">IF($J44+$L44=0,,IF($L44&gt;$J44,1,0))</f>
        <v>1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0</v>
      </c>
      <c r="X44" s="47" t="n">
        <f aca="false">IF($J44+$L44=0,,$L44)</f>
        <v>86</v>
      </c>
      <c r="Y44" s="47" t="n">
        <f aca="false">IF($J44+$L44=0,,$J44)</f>
        <v>49</v>
      </c>
      <c r="Z44" s="47" t="n">
        <f aca="false">IF($J44+$L44=0,,$L44-$J44)</f>
        <v>37</v>
      </c>
      <c r="AA44" s="47" t="str">
        <f aca="false">IF($J44+$L44=0,"(Vincente)",IF($J44&gt;$L44,$B44,$D44))</f>
        <v>Iguane Impavide</v>
      </c>
      <c r="AB44" s="47" t="str">
        <f aca="false">IF($J44+$L44=0,"(Perdente)",IF($J44&lt;$L44,$B44,$D44))</f>
        <v>Otarie Ottimiste</v>
      </c>
    </row>
    <row r="45" customFormat="false" ht="15.75" hidden="false" customHeight="true" outlineLevel="0" collapsed="false">
      <c r="A45" s="64"/>
      <c r="B45" s="48" t="str">
        <f aca="false">IF(I45="","",HYPERLINK(VLOOKUP(I45,areaCampiSquadre,3,FALSE()),VLOOKUP(I45,areaCampiSquadre,2,FALSE())))</f>
        <v>PalaGhepardi, Via dello Sport 7, Ghepardiopoli GI</v>
      </c>
      <c r="C45" s="48"/>
      <c r="D45" s="48"/>
      <c r="E45" s="48"/>
      <c r="F45" s="48"/>
      <c r="G45" s="48"/>
      <c r="H45" s="48"/>
      <c r="I45" s="43" t="s">
        <v>103</v>
      </c>
      <c r="J45" s="45"/>
      <c r="K45" s="45"/>
      <c r="L45" s="45"/>
    </row>
    <row r="46" customFormat="false" ht="12.75" hidden="false" customHeight="true" outlineLevel="0" collapsed="false">
      <c r="A46" s="63" t="s">
        <v>334</v>
      </c>
      <c r="B46" s="63" t="s">
        <v>317</v>
      </c>
      <c r="C46" s="63"/>
      <c r="D46" s="63" t="s">
        <v>324</v>
      </c>
      <c r="E46" s="63"/>
      <c r="F46" s="63" t="s">
        <v>335</v>
      </c>
      <c r="G46" s="63" t="s">
        <v>336</v>
      </c>
      <c r="H46" s="63" t="s">
        <v>337</v>
      </c>
      <c r="I46" s="63"/>
      <c r="J46" s="63" t="s">
        <v>338</v>
      </c>
      <c r="K46" s="63"/>
      <c r="L46" s="63"/>
    </row>
    <row r="47" customFormat="false" ht="24" hidden="false" customHeight="true" outlineLevel="0" collapsed="false">
      <c r="A47" s="64" t="n">
        <f aca="false">MAX(A$10:A46)+1</f>
        <v>96</v>
      </c>
      <c r="B47" s="42" t="str">
        <f aca="false">IF(C47="","",IFERROR(LEFT(VLOOKUP(C47,areaNomiSquadre,2,FALSE()),FIND("-",VLOOKUP(C47,areaNomiSquadre,2,FALSE()))-1),""))</f>
        <v>Ghepardi Guizzanti</v>
      </c>
      <c r="C47" s="43" t="s">
        <v>103</v>
      </c>
      <c r="D47" s="42" t="str">
        <f aca="false">IF(E47="","",IFERROR(LEFT(VLOOKUP(E47,areaNomiSquadre,2,FALSE()),FIND("-",VLOOKUP(E47,areaNomiSquadre,2,FALSE()))-1),""))</f>
        <v>Fenicotteri Focosi</v>
      </c>
      <c r="E47" s="43" t="s">
        <v>101</v>
      </c>
      <c r="F47" s="44" t="n">
        <v>46355.7083333333</v>
      </c>
      <c r="G47" s="44"/>
      <c r="H47" s="44"/>
      <c r="I47" s="44"/>
      <c r="J47" s="45" t="n">
        <v>48</v>
      </c>
      <c r="K47" s="46" t="s">
        <v>339</v>
      </c>
      <c r="L47" s="45" t="n">
        <v>77</v>
      </c>
      <c r="M47" s="47" t="str">
        <f aca="false">IF($B47="","(Squadra A)",$B47)</f>
        <v>Ghepardi Guizzanti</v>
      </c>
      <c r="N47" s="47" t="n">
        <f aca="false">IF($J47+$L47=0,,IF($J47&gt;$L47,1,0))</f>
        <v>0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1</v>
      </c>
      <c r="Q47" s="47" t="n">
        <f aca="false">IF($J47+$L47=0,,$J47)</f>
        <v>48</v>
      </c>
      <c r="R47" s="47" t="n">
        <f aca="false">IF($J47+$L47=0,,$L47)</f>
        <v>77</v>
      </c>
      <c r="S47" s="47" t="n">
        <f aca="false">IF($J47+$L47=0,,$J47-$L47)</f>
        <v>-29</v>
      </c>
      <c r="T47" s="47" t="str">
        <f aca="false">IF($D47="","(Squadra B)",$D47)</f>
        <v>Fenicotteri Focosi</v>
      </c>
      <c r="U47" s="47" t="n">
        <f aca="false">IF($J47+$L47=0,,IF($L47&gt;$J47,1,0))</f>
        <v>1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0</v>
      </c>
      <c r="X47" s="47" t="n">
        <f aca="false">IF($J47+$L47=0,,$L47)</f>
        <v>77</v>
      </c>
      <c r="Y47" s="47" t="n">
        <f aca="false">IF($J47+$L47=0,,$J47)</f>
        <v>48</v>
      </c>
      <c r="Z47" s="47" t="n">
        <f aca="false">IF($J47+$L47=0,,$L47-$J47)</f>
        <v>29</v>
      </c>
      <c r="AA47" s="47" t="str">
        <f aca="false">IF($J47+$L47=0,"(Vincente)",IF($J47&gt;$L47,$B47,$D47))</f>
        <v>Fenicotteri Focosi</v>
      </c>
      <c r="AB47" s="47" t="str">
        <f aca="false">IF($J47+$L47=0,"(Perdente)",IF($J47&lt;$L47,$B47,$D47))</f>
        <v>Ghepardi Guizzanti</v>
      </c>
    </row>
    <row r="48" customFormat="false" ht="15.75" hidden="false" customHeight="true" outlineLevel="0" collapsed="false">
      <c r="A48" s="64"/>
      <c r="B48" s="48" t="str">
        <f aca="false">IF(I48="","",HYPERLINK(VLOOKUP(I48,areaCampiSquadre,3,FALSE()),VLOOKUP(I48,areaCampiSquadre,2,FALSE())))</f>
        <v>PalaGhepardi, Via dello Sport 7, Ghepardiopoli GI</v>
      </c>
      <c r="C48" s="48"/>
      <c r="D48" s="48"/>
      <c r="E48" s="48"/>
      <c r="F48" s="48"/>
      <c r="G48" s="48"/>
      <c r="H48" s="48"/>
      <c r="I48" s="43" t="s">
        <v>103</v>
      </c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61" t="s">
        <v>364</v>
      </c>
      <c r="B50" s="62" t="str">
        <f aca="false">"GIORNATA "&amp;ROMAN(VALUE(LEFT(A50,LEN(A50)-1)))&amp;" - GIRONE "&amp;RIGHT(A50,1)</f>
        <v>GIORNATA IV - GIRONE D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</row>
    <row r="51" customFormat="false" ht="12.75" hidden="false" customHeight="true" outlineLevel="0" collapsed="false">
      <c r="A51" s="63" t="s">
        <v>334</v>
      </c>
      <c r="B51" s="63" t="s">
        <v>317</v>
      </c>
      <c r="C51" s="63"/>
      <c r="D51" s="63" t="s">
        <v>324</v>
      </c>
      <c r="E51" s="63"/>
      <c r="F51" s="63" t="s">
        <v>335</v>
      </c>
      <c r="G51" s="63" t="s">
        <v>336</v>
      </c>
      <c r="H51" s="63" t="s">
        <v>337</v>
      </c>
      <c r="I51" s="63"/>
      <c r="J51" s="63" t="s">
        <v>338</v>
      </c>
      <c r="K51" s="63"/>
      <c r="L51" s="63"/>
    </row>
    <row r="52" customFormat="false" ht="24" hidden="false" customHeight="true" outlineLevel="0" collapsed="false">
      <c r="A52" s="64" t="n">
        <f aca="false">MAX(A$10:A51)+1</f>
        <v>97</v>
      </c>
      <c r="B52" s="42" t="str">
        <f aca="false">IF(C52="","",IFERROR(LEFT(VLOOKUP(C52,areaNomiSquadre,2,FALSE()),FIND("-",VLOOKUP(C52,areaNomiSquadre,2,FALSE()))-1),""))</f>
        <v>Lontre Loquaci</v>
      </c>
      <c r="C52" s="43" t="s">
        <v>107</v>
      </c>
      <c r="D52" s="42" t="str">
        <f aca="false">IF(E52="","",IFERROR(LEFT(VLOOKUP(E52,areaNomiSquadre,2,FALSE()),FIND("-",VLOOKUP(E52,areaNomiSquadre,2,FALSE()))-1),""))</f>
        <v>Elefanti Esuberanti</v>
      </c>
      <c r="E52" s="43" t="s">
        <v>98</v>
      </c>
      <c r="F52" s="44" t="n">
        <v>46369.3958333333</v>
      </c>
      <c r="G52" s="44"/>
      <c r="H52" s="44"/>
      <c r="I52" s="44"/>
      <c r="J52" s="45" t="n">
        <v>65</v>
      </c>
      <c r="K52" s="46" t="s">
        <v>339</v>
      </c>
      <c r="L52" s="45" t="n">
        <v>68</v>
      </c>
      <c r="M52" s="47" t="str">
        <f aca="false">IF($B52="","(Squadra A)",$B52)</f>
        <v>Lontre Loquaci</v>
      </c>
      <c r="N52" s="47" t="n">
        <f aca="false">IF($J52+$L52=0,,IF($J52&gt;$L52,1,0))</f>
        <v>0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1</v>
      </c>
      <c r="Q52" s="47" t="n">
        <f aca="false">IF($J52+$L52=0,,$J52)</f>
        <v>65</v>
      </c>
      <c r="R52" s="47" t="n">
        <f aca="false">IF($J52+$L52=0,,$L52)</f>
        <v>68</v>
      </c>
      <c r="S52" s="47" t="n">
        <f aca="false">IF($J52+$L52=0,,$J52-$L52)</f>
        <v>-3</v>
      </c>
      <c r="T52" s="47" t="str">
        <f aca="false">IF($D52="","(Squadra B)",$D52)</f>
        <v>Elefanti Esuberanti</v>
      </c>
      <c r="U52" s="47" t="n">
        <f aca="false">IF($J52+$L52=0,,IF($L52&gt;$J52,1,0))</f>
        <v>1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0</v>
      </c>
      <c r="X52" s="47" t="n">
        <f aca="false">IF($J52+$L52=0,,$L52)</f>
        <v>68</v>
      </c>
      <c r="Y52" s="47" t="n">
        <f aca="false">IF($J52+$L52=0,,$J52)</f>
        <v>65</v>
      </c>
      <c r="Z52" s="47" t="n">
        <f aca="false">IF($J52+$L52=0,,$L52-$J52)</f>
        <v>3</v>
      </c>
      <c r="AA52" s="47" t="str">
        <f aca="false">IF($J52+$L52=0,"(Vincente)",IF($J52&gt;$L52,$B52,$D52))</f>
        <v>Elefanti Esuberanti</v>
      </c>
      <c r="AB52" s="47" t="str">
        <f aca="false">IF($J52+$L52=0,"(Perdente)",IF($J52&lt;$L52,$B52,$D52))</f>
        <v>Lontre Loquaci</v>
      </c>
    </row>
    <row r="53" customFormat="false" ht="15.75" hidden="false" customHeight="true" outlineLevel="0" collapsed="false">
      <c r="A53" s="64"/>
      <c r="B53" s="48" t="str">
        <f aca="false">IF(I53="","",HYPERLINK(VLOOKUP(I53,areaCampiSquadre,3,FALSE()),VLOOKUP(I53,areaCampiSquadre,2,FALSE())))</f>
        <v>PalaIguane, Via dello Sport 8, Iguaneopoli IE</v>
      </c>
      <c r="C53" s="48"/>
      <c r="D53" s="48"/>
      <c r="E53" s="48"/>
      <c r="F53" s="48"/>
      <c r="G53" s="48"/>
      <c r="H53" s="48"/>
      <c r="I53" s="43" t="s">
        <v>105</v>
      </c>
      <c r="J53" s="45"/>
      <c r="K53" s="45"/>
      <c r="L53" s="45"/>
    </row>
    <row r="54" customFormat="false" ht="12.75" hidden="false" customHeight="true" outlineLevel="0" collapsed="false">
      <c r="A54" s="63" t="s">
        <v>334</v>
      </c>
      <c r="B54" s="63" t="s">
        <v>317</v>
      </c>
      <c r="C54" s="63"/>
      <c r="D54" s="63" t="s">
        <v>324</v>
      </c>
      <c r="E54" s="63"/>
      <c r="F54" s="63" t="s">
        <v>335</v>
      </c>
      <c r="G54" s="63" t="s">
        <v>336</v>
      </c>
      <c r="H54" s="63" t="s">
        <v>337</v>
      </c>
      <c r="I54" s="63"/>
      <c r="J54" s="63" t="s">
        <v>338</v>
      </c>
      <c r="K54" s="63"/>
      <c r="L54" s="63"/>
    </row>
    <row r="55" customFormat="false" ht="24" hidden="false" customHeight="true" outlineLevel="0" collapsed="false">
      <c r="A55" s="64" t="n">
        <f aca="false">MAX(A$10:A54)+1</f>
        <v>98</v>
      </c>
      <c r="B55" s="42" t="str">
        <f aca="false">IF(C55="","",IFERROR(LEFT(VLOOKUP(C55,areaNomiSquadre,2,FALSE()),FIND("-",VLOOKUP(C55,areaNomiSquadre,2,FALSE()))-1),""))</f>
        <v>Manguste Mordaci</v>
      </c>
      <c r="C55" s="43" t="s">
        <v>109</v>
      </c>
      <c r="D55" s="42" t="str">
        <f aca="false">IF(E55="","",IFERROR(LEFT(VLOOKUP(E55,areaNomiSquadre,2,FALSE()),FIND("-",VLOOKUP(E55,areaNomiSquadre,2,FALSE()))-1),""))</f>
        <v>Iguane Impavide</v>
      </c>
      <c r="E55" s="43" t="s">
        <v>105</v>
      </c>
      <c r="F55" s="44" t="n">
        <v>46369.4791666667</v>
      </c>
      <c r="G55" s="44"/>
      <c r="H55" s="44"/>
      <c r="I55" s="44"/>
      <c r="J55" s="45" t="n">
        <v>42</v>
      </c>
      <c r="K55" s="46" t="s">
        <v>339</v>
      </c>
      <c r="L55" s="45" t="n">
        <v>61</v>
      </c>
      <c r="M55" s="47" t="str">
        <f aca="false">IF($B55="","(Squadra A)",$B55)</f>
        <v>Manguste Mordaci</v>
      </c>
      <c r="N55" s="47" t="n">
        <f aca="false">IF($J55+$L55=0,,IF($J55&gt;$L55,1,0))</f>
        <v>0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1</v>
      </c>
      <c r="Q55" s="47" t="n">
        <f aca="false">IF($J55+$L55=0,,$J55)</f>
        <v>42</v>
      </c>
      <c r="R55" s="47" t="n">
        <f aca="false">IF($J55+$L55=0,,$L55)</f>
        <v>61</v>
      </c>
      <c r="S55" s="47" t="n">
        <f aca="false">IF($J55+$L55=0,,$J55-$L55)</f>
        <v>-19</v>
      </c>
      <c r="T55" s="47" t="str">
        <f aca="false">IF($D55="","(Squadra B)",$D55)</f>
        <v>Iguane Impavide</v>
      </c>
      <c r="U55" s="47" t="n">
        <f aca="false">IF($J55+$L55=0,,IF($L55&gt;$J55,1,0))</f>
        <v>1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0</v>
      </c>
      <c r="X55" s="47" t="n">
        <f aca="false">IF($J55+$L55=0,,$L55)</f>
        <v>61</v>
      </c>
      <c r="Y55" s="47" t="n">
        <f aca="false">IF($J55+$L55=0,,$J55)</f>
        <v>42</v>
      </c>
      <c r="Z55" s="47" t="n">
        <f aca="false">IF($J55+$L55=0,,$L55-$J55)</f>
        <v>19</v>
      </c>
      <c r="AA55" s="47" t="str">
        <f aca="false">IF($J55+$L55=0,"(Vincente)",IF($J55&gt;$L55,$B55,$D55))</f>
        <v>Iguane Impavide</v>
      </c>
      <c r="AB55" s="47" t="str">
        <f aca="false">IF($J55+$L55=0,"(Perdente)",IF($J55&lt;$L55,$B55,$D55))</f>
        <v>Manguste Mordaci</v>
      </c>
    </row>
    <row r="56" customFormat="false" ht="15.75" hidden="false" customHeight="true" outlineLevel="0" collapsed="false">
      <c r="A56" s="64"/>
      <c r="B56" s="48" t="str">
        <f aca="false">IF(I56="","",HYPERLINK(VLOOKUP(I56,areaCampiSquadre,3,FALSE()),VLOOKUP(I56,areaCampiSquadre,2,FALSE())))</f>
        <v>PalaIguane, Via dello Sport 8, Iguaneopoli IE</v>
      </c>
      <c r="C56" s="48"/>
      <c r="D56" s="48"/>
      <c r="E56" s="48"/>
      <c r="F56" s="48"/>
      <c r="G56" s="48"/>
      <c r="H56" s="48"/>
      <c r="I56" s="43" t="s">
        <v>105</v>
      </c>
      <c r="J56" s="45"/>
      <c r="K56" s="45"/>
      <c r="L56" s="45"/>
    </row>
    <row r="57" customFormat="false" ht="12.75" hidden="false" customHeight="true" outlineLevel="0" collapsed="false">
      <c r="A57" s="63" t="s">
        <v>334</v>
      </c>
      <c r="B57" s="63" t="s">
        <v>317</v>
      </c>
      <c r="C57" s="63"/>
      <c r="D57" s="63" t="s">
        <v>324</v>
      </c>
      <c r="E57" s="63"/>
      <c r="F57" s="63" t="s">
        <v>335</v>
      </c>
      <c r="G57" s="63" t="s">
        <v>336</v>
      </c>
      <c r="H57" s="63" t="s">
        <v>337</v>
      </c>
      <c r="I57" s="63"/>
      <c r="J57" s="63" t="s">
        <v>338</v>
      </c>
      <c r="K57" s="63"/>
      <c r="L57" s="63"/>
    </row>
    <row r="58" customFormat="false" ht="24" hidden="false" customHeight="true" outlineLevel="0" collapsed="false">
      <c r="A58" s="64" t="n">
        <f aca="false">MAX(A$10:A57)+1</f>
        <v>99</v>
      </c>
      <c r="B58" s="42" t="str">
        <f aca="false">IF(C58="","",IFERROR(LEFT(VLOOKUP(C58,areaNomiSquadre,2,FALSE()),FIND("-",VLOOKUP(C58,areaNomiSquadre,2,FALSE()))-1),""))</f>
        <v>Ghepardi Guizzanti</v>
      </c>
      <c r="C58" s="43" t="s">
        <v>103</v>
      </c>
      <c r="D58" s="42" t="str">
        <f aca="false">IF(E58="","",IFERROR(LEFT(VLOOKUP(E58,areaNomiSquadre,2,FALSE()),FIND("-",VLOOKUP(E58,areaNomiSquadre,2,FALSE()))-1),""))</f>
        <v>Nutrie Nervose</v>
      </c>
      <c r="E58" s="43" t="s">
        <v>111</v>
      </c>
      <c r="F58" s="44" t="n">
        <v>46369.625</v>
      </c>
      <c r="G58" s="44"/>
      <c r="H58" s="44"/>
      <c r="I58" s="44"/>
      <c r="J58" s="45" t="n">
        <v>69</v>
      </c>
      <c r="K58" s="46" t="s">
        <v>339</v>
      </c>
      <c r="L58" s="45" t="n">
        <v>61</v>
      </c>
      <c r="M58" s="47" t="str">
        <f aca="false">IF($B58="","(Squadra A)",$B58)</f>
        <v>Ghepardi Guizzanti</v>
      </c>
      <c r="N58" s="47" t="n">
        <f aca="false">IF($J58+$L58=0,,IF($J58&gt;$L58,1,0))</f>
        <v>1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0</v>
      </c>
      <c r="Q58" s="47" t="n">
        <f aca="false">IF($J58+$L58=0,,$J58)</f>
        <v>69</v>
      </c>
      <c r="R58" s="47" t="n">
        <f aca="false">IF($J58+$L58=0,,$L58)</f>
        <v>61</v>
      </c>
      <c r="S58" s="47" t="n">
        <f aca="false">IF($J58+$L58=0,,$J58-$L58)</f>
        <v>8</v>
      </c>
      <c r="T58" s="47" t="str">
        <f aca="false">IF($D58="","(Squadra B)",$D58)</f>
        <v>Nutrie Nervose</v>
      </c>
      <c r="U58" s="47" t="n">
        <f aca="false">IF($J58+$L58=0,,IF($L58&gt;$J58,1,0))</f>
        <v>0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1</v>
      </c>
      <c r="X58" s="47" t="n">
        <f aca="false">IF($J58+$L58=0,,$L58)</f>
        <v>61</v>
      </c>
      <c r="Y58" s="47" t="n">
        <f aca="false">IF($J58+$L58=0,,$J58)</f>
        <v>69</v>
      </c>
      <c r="Z58" s="47" t="n">
        <f aca="false">IF($J58+$L58=0,,$L58-$J58)</f>
        <v>-8</v>
      </c>
      <c r="AA58" s="47" t="str">
        <f aca="false">IF($J58+$L58=0,"(Vincente)",IF($J58&gt;$L58,$B58,$D58))</f>
        <v>Ghepardi Guizzanti</v>
      </c>
      <c r="AB58" s="47" t="str">
        <f aca="false">IF($J58+$L58=0,"(Perdente)",IF($J58&lt;$L58,$B58,$D58))</f>
        <v>Nutrie Nervose</v>
      </c>
    </row>
    <row r="59" customFormat="false" ht="15.75" hidden="false" customHeight="true" outlineLevel="0" collapsed="false">
      <c r="A59" s="64"/>
      <c r="B59" s="48" t="str">
        <f aca="false">IF(I59="","",HYPERLINK(VLOOKUP(I59,areaCampiSquadre,3,FALSE()),VLOOKUP(I59,areaCampiSquadre,2,FALSE())))</f>
        <v>PalaIguane, Via dello Sport 8, Iguaneopoli IE</v>
      </c>
      <c r="C59" s="48"/>
      <c r="D59" s="48"/>
      <c r="E59" s="48"/>
      <c r="F59" s="48"/>
      <c r="G59" s="48"/>
      <c r="H59" s="48"/>
      <c r="I59" s="43" t="s">
        <v>105</v>
      </c>
      <c r="J59" s="45"/>
      <c r="K59" s="45"/>
      <c r="L59" s="45"/>
    </row>
    <row r="60" customFormat="false" ht="12.75" hidden="false" customHeight="true" outlineLevel="0" collapsed="false">
      <c r="A60" s="63" t="s">
        <v>334</v>
      </c>
      <c r="B60" s="63" t="s">
        <v>317</v>
      </c>
      <c r="C60" s="63"/>
      <c r="D60" s="63" t="s">
        <v>324</v>
      </c>
      <c r="E60" s="63"/>
      <c r="F60" s="63" t="s">
        <v>335</v>
      </c>
      <c r="G60" s="63" t="s">
        <v>336</v>
      </c>
      <c r="H60" s="63" t="s">
        <v>337</v>
      </c>
      <c r="I60" s="63"/>
      <c r="J60" s="63" t="s">
        <v>338</v>
      </c>
      <c r="K60" s="63"/>
      <c r="L60" s="63"/>
    </row>
    <row r="61" customFormat="false" ht="24" hidden="false" customHeight="true" outlineLevel="0" collapsed="false">
      <c r="A61" s="64" t="n">
        <f aca="false">MAX(A$10:A60)+1</f>
        <v>100</v>
      </c>
      <c r="B61" s="42" t="str">
        <f aca="false">IF(C61="","",IFERROR(LEFT(VLOOKUP(C61,areaNomiSquadre,2,FALSE()),FIND("-",VLOOKUP(C61,areaNomiSquadre,2,FALSE()))-1),""))</f>
        <v>Otarie Ottimiste</v>
      </c>
      <c r="C61" s="43" t="s">
        <v>113</v>
      </c>
      <c r="D61" s="42" t="str">
        <f aca="false">IF(E61="","",IFERROR(LEFT(VLOOKUP(E61,areaNomiSquadre,2,FALSE()),FIND("-",VLOOKUP(E61,areaNomiSquadre,2,FALSE()))-1),""))</f>
        <v>Fenicotteri Focosi</v>
      </c>
      <c r="E61" s="43" t="s">
        <v>101</v>
      </c>
      <c r="F61" s="44" t="n">
        <v>46369.7083333333</v>
      </c>
      <c r="G61" s="44"/>
      <c r="H61" s="44"/>
      <c r="I61" s="44"/>
      <c r="J61" s="45" t="n">
        <v>44</v>
      </c>
      <c r="K61" s="46" t="s">
        <v>339</v>
      </c>
      <c r="L61" s="45" t="n">
        <v>71</v>
      </c>
      <c r="M61" s="47" t="str">
        <f aca="false">IF($B61="","(Squadra A)",$B61)</f>
        <v>Otarie Ottimiste</v>
      </c>
      <c r="N61" s="47" t="n">
        <f aca="false">IF($J61+$L61=0,,IF($J61&gt;$L61,1,0))</f>
        <v>0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1</v>
      </c>
      <c r="Q61" s="47" t="n">
        <f aca="false">IF($J61+$L61=0,,$J61)</f>
        <v>44</v>
      </c>
      <c r="R61" s="47" t="n">
        <f aca="false">IF($J61+$L61=0,,$L61)</f>
        <v>71</v>
      </c>
      <c r="S61" s="47" t="n">
        <f aca="false">IF($J61+$L61=0,,$J61-$L61)</f>
        <v>-27</v>
      </c>
      <c r="T61" s="47" t="str">
        <f aca="false">IF($D61="","(Squadra B)",$D61)</f>
        <v>Fenicotteri Focosi</v>
      </c>
      <c r="U61" s="47" t="n">
        <f aca="false">IF($J61+$L61=0,,IF($L61&gt;$J61,1,0))</f>
        <v>1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0</v>
      </c>
      <c r="X61" s="47" t="n">
        <f aca="false">IF($J61+$L61=0,,$L61)</f>
        <v>71</v>
      </c>
      <c r="Y61" s="47" t="n">
        <f aca="false">IF($J61+$L61=0,,$J61)</f>
        <v>44</v>
      </c>
      <c r="Z61" s="47" t="n">
        <f aca="false">IF($J61+$L61=0,,$L61-$J61)</f>
        <v>27</v>
      </c>
      <c r="AA61" s="47" t="str">
        <f aca="false">IF($J61+$L61=0,"(Vincente)",IF($J61&gt;$L61,$B61,$D61))</f>
        <v>Fenicotteri Focosi</v>
      </c>
      <c r="AB61" s="47" t="str">
        <f aca="false">IF($J61+$L61=0,"(Perdente)",IF($J61&lt;$L61,$B61,$D61))</f>
        <v>Otarie Ottimiste</v>
      </c>
    </row>
    <row r="62" customFormat="false" ht="15.75" hidden="false" customHeight="true" outlineLevel="0" collapsed="false">
      <c r="A62" s="64"/>
      <c r="B62" s="48" t="str">
        <f aca="false">IF(I62="","",HYPERLINK(VLOOKUP(I62,areaCampiSquadre,3,FALSE()),VLOOKUP(I62,areaCampiSquadre,2,FALSE())))</f>
        <v>PalaIguane, Via dello Sport 8, Iguaneopoli IE</v>
      </c>
      <c r="C62" s="48"/>
      <c r="D62" s="48"/>
      <c r="E62" s="48"/>
      <c r="F62" s="48"/>
      <c r="G62" s="48"/>
      <c r="H62" s="48"/>
      <c r="I62" s="43" t="s">
        <v>105</v>
      </c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61" t="s">
        <v>365</v>
      </c>
      <c r="B64" s="62" t="str">
        <f aca="false">"GIORNATA "&amp;ROMAN(VALUE(LEFT(A64,LEN(A64)-1)))&amp;" - GIRONE "&amp;RIGHT(A64,1)</f>
        <v>GIORNATA V - GIRONE D</v>
      </c>
      <c r="C64" s="62"/>
      <c r="D64" s="62"/>
      <c r="E64" s="62"/>
      <c r="F64" s="62"/>
      <c r="G64" s="62"/>
      <c r="H64" s="62"/>
      <c r="I64" s="62"/>
      <c r="J64" s="62"/>
      <c r="K64" s="62"/>
      <c r="L64" s="62"/>
    </row>
    <row r="65" customFormat="false" ht="12.75" hidden="false" customHeight="true" outlineLevel="0" collapsed="false">
      <c r="A65" s="63" t="s">
        <v>334</v>
      </c>
      <c r="B65" s="63" t="s">
        <v>317</v>
      </c>
      <c r="C65" s="63"/>
      <c r="D65" s="63" t="s">
        <v>324</v>
      </c>
      <c r="E65" s="63"/>
      <c r="F65" s="63" t="s">
        <v>335</v>
      </c>
      <c r="G65" s="63" t="s">
        <v>336</v>
      </c>
      <c r="H65" s="63" t="s">
        <v>337</v>
      </c>
      <c r="I65" s="63"/>
      <c r="J65" s="63" t="s">
        <v>338</v>
      </c>
      <c r="K65" s="63"/>
      <c r="L65" s="63"/>
    </row>
    <row r="66" customFormat="false" ht="24" hidden="false" customHeight="true" outlineLevel="0" collapsed="false">
      <c r="A66" s="64" t="n">
        <f aca="false">MAX(A$10:A65)+1</f>
        <v>101</v>
      </c>
      <c r="B66" s="42" t="str">
        <f aca="false">IF(C66="","",IFERROR(LEFT(VLOOKUP(C66,areaNomiSquadre,2,FALSE()),FIND("-",VLOOKUP(C66,areaNomiSquadre,2,FALSE()))-1),""))</f>
        <v>Elefanti Esuberanti</v>
      </c>
      <c r="C66" s="43" t="s">
        <v>98</v>
      </c>
      <c r="D66" s="42" t="str">
        <f aca="false">IF(E66="","",IFERROR(LEFT(VLOOKUP(E66,areaNomiSquadre,2,FALSE()),FIND("-",VLOOKUP(E66,areaNomiSquadre,2,FALSE()))-1),""))</f>
        <v>Iguane Impavide</v>
      </c>
      <c r="E66" s="43" t="s">
        <v>105</v>
      </c>
      <c r="F66" s="44" t="n">
        <v>46411.3958333333</v>
      </c>
      <c r="G66" s="44"/>
      <c r="H66" s="44"/>
      <c r="I66" s="44"/>
      <c r="J66" s="45" t="n">
        <v>70</v>
      </c>
      <c r="K66" s="46" t="s">
        <v>339</v>
      </c>
      <c r="L66" s="45" t="n">
        <v>67</v>
      </c>
      <c r="M66" s="47" t="str">
        <f aca="false">IF($B66="","(Squadra A)",$B66)</f>
        <v>Elefanti Esuberanti</v>
      </c>
      <c r="N66" s="47" t="n">
        <f aca="false">IF($J66+$L66=0,,IF($J66&gt;$L66,1,0))</f>
        <v>1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0</v>
      </c>
      <c r="Q66" s="47" t="n">
        <f aca="false">IF($J66+$L66=0,,$J66)</f>
        <v>70</v>
      </c>
      <c r="R66" s="47" t="n">
        <f aca="false">IF($J66+$L66=0,,$L66)</f>
        <v>67</v>
      </c>
      <c r="S66" s="47" t="n">
        <f aca="false">IF($J66+$L66=0,,$J66-$L66)</f>
        <v>3</v>
      </c>
      <c r="T66" s="47" t="str">
        <f aca="false">IF($D66="","(Squadra B)",$D66)</f>
        <v>Iguane Impavide</v>
      </c>
      <c r="U66" s="47" t="n">
        <f aca="false">IF($J66+$L66=0,,IF($L66&gt;$J66,1,0))</f>
        <v>0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1</v>
      </c>
      <c r="X66" s="47" t="n">
        <f aca="false">IF($J66+$L66=0,,$L66)</f>
        <v>67</v>
      </c>
      <c r="Y66" s="47" t="n">
        <f aca="false">IF($J66+$L66=0,,$J66)</f>
        <v>70</v>
      </c>
      <c r="Z66" s="47" t="n">
        <f aca="false">IF($J66+$L66=0,,$L66-$J66)</f>
        <v>-3</v>
      </c>
      <c r="AA66" s="47" t="str">
        <f aca="false">IF($J66+$L66=0,"(Vincente)",IF($J66&gt;$L66,$B66,$D66))</f>
        <v>Elefanti Esuberanti</v>
      </c>
      <c r="AB66" s="47" t="str">
        <f aca="false">IF($J66+$L66=0,"(Perdente)",IF($J66&lt;$L66,$B66,$D66))</f>
        <v>Iguane Impavide</v>
      </c>
    </row>
    <row r="67" customFormat="false" ht="15.75" hidden="false" customHeight="true" outlineLevel="0" collapsed="false">
      <c r="A67" s="64"/>
      <c r="B67" s="48" t="str">
        <f aca="false">IF(I67="","",HYPERLINK(VLOOKUP(I67,areaCampiSquadre,3,FALSE()),VLOOKUP(I67,areaCampiSquadre,2,FALSE())))</f>
        <v>PalaLontre, Via dello Sport 9, Lontreopoli LE</v>
      </c>
      <c r="C67" s="48"/>
      <c r="D67" s="48"/>
      <c r="E67" s="48"/>
      <c r="F67" s="48"/>
      <c r="G67" s="48"/>
      <c r="H67" s="48"/>
      <c r="I67" s="43" t="s">
        <v>107</v>
      </c>
      <c r="J67" s="45"/>
      <c r="K67" s="45"/>
      <c r="L67" s="45"/>
    </row>
    <row r="68" customFormat="false" ht="12.75" hidden="false" customHeight="true" outlineLevel="0" collapsed="false">
      <c r="A68" s="63" t="s">
        <v>334</v>
      </c>
      <c r="B68" s="63" t="s">
        <v>317</v>
      </c>
      <c r="C68" s="63"/>
      <c r="D68" s="63" t="s">
        <v>324</v>
      </c>
      <c r="E68" s="63"/>
      <c r="F68" s="63" t="s">
        <v>335</v>
      </c>
      <c r="G68" s="63" t="s">
        <v>336</v>
      </c>
      <c r="H68" s="63" t="s">
        <v>337</v>
      </c>
      <c r="I68" s="63"/>
      <c r="J68" s="63" t="s">
        <v>338</v>
      </c>
      <c r="K68" s="63"/>
      <c r="L68" s="63"/>
    </row>
    <row r="69" customFormat="false" ht="24" hidden="false" customHeight="true" outlineLevel="0" collapsed="false">
      <c r="A69" s="64" t="n">
        <f aca="false">MAX(A$10:A68)+1</f>
        <v>102</v>
      </c>
      <c r="B69" s="42" t="str">
        <f aca="false">IF(C69="","",IFERROR(LEFT(VLOOKUP(C69,areaNomiSquadre,2,FALSE()),FIND("-",VLOOKUP(C69,areaNomiSquadre,2,FALSE()))-1),""))</f>
        <v>Ghepardi Guizzanti</v>
      </c>
      <c r="C69" s="43" t="s">
        <v>103</v>
      </c>
      <c r="D69" s="42" t="str">
        <f aca="false">IF(E69="","",IFERROR(LEFT(VLOOKUP(E69,areaNomiSquadre,2,FALSE()),FIND("-",VLOOKUP(E69,areaNomiSquadre,2,FALSE()))-1),""))</f>
        <v>Lontre Loquaci</v>
      </c>
      <c r="E69" s="43" t="s">
        <v>107</v>
      </c>
      <c r="F69" s="44" t="n">
        <v>46411.4791666667</v>
      </c>
      <c r="G69" s="44"/>
      <c r="H69" s="44"/>
      <c r="I69" s="44"/>
      <c r="J69" s="45" t="n">
        <v>40</v>
      </c>
      <c r="K69" s="46" t="s">
        <v>339</v>
      </c>
      <c r="L69" s="45" t="n">
        <v>78</v>
      </c>
      <c r="M69" s="47" t="str">
        <f aca="false">IF($B69="","(Squadra A)",$B69)</f>
        <v>Ghepardi Guizzanti</v>
      </c>
      <c r="N69" s="47" t="n">
        <f aca="false">IF($J69+$L69=0,,IF($J69&gt;$L69,1,0))</f>
        <v>0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1</v>
      </c>
      <c r="Q69" s="47" t="n">
        <f aca="false">IF($J69+$L69=0,,$J69)</f>
        <v>40</v>
      </c>
      <c r="R69" s="47" t="n">
        <f aca="false">IF($J69+$L69=0,,$L69)</f>
        <v>78</v>
      </c>
      <c r="S69" s="47" t="n">
        <f aca="false">IF($J69+$L69=0,,$J69-$L69)</f>
        <v>-38</v>
      </c>
      <c r="T69" s="47" t="str">
        <f aca="false">IF($D69="","(Squadra B)",$D69)</f>
        <v>Lontre Loquaci</v>
      </c>
      <c r="U69" s="47" t="n">
        <f aca="false">IF($J69+$L69=0,,IF($L69&gt;$J69,1,0))</f>
        <v>1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0</v>
      </c>
      <c r="X69" s="47" t="n">
        <f aca="false">IF($J69+$L69=0,,$L69)</f>
        <v>78</v>
      </c>
      <c r="Y69" s="47" t="n">
        <f aca="false">IF($J69+$L69=0,,$J69)</f>
        <v>40</v>
      </c>
      <c r="Z69" s="47" t="n">
        <f aca="false">IF($J69+$L69=0,,$L69-$J69)</f>
        <v>38</v>
      </c>
      <c r="AA69" s="47" t="str">
        <f aca="false">IF($J69+$L69=0,"(Vincente)",IF($J69&gt;$L69,$B69,$D69))</f>
        <v>Lontre Loquaci</v>
      </c>
      <c r="AB69" s="47" t="str">
        <f aca="false">IF($J69+$L69=0,"(Perdente)",IF($J69&lt;$L69,$B69,$D69))</f>
        <v>Ghepardi Guizzanti</v>
      </c>
    </row>
    <row r="70" customFormat="false" ht="15.75" hidden="false" customHeight="true" outlineLevel="0" collapsed="false">
      <c r="A70" s="64"/>
      <c r="B70" s="48" t="str">
        <f aca="false">IF(I70="","",HYPERLINK(VLOOKUP(I70,areaCampiSquadre,3,FALSE()),VLOOKUP(I70,areaCampiSquadre,2,FALSE())))</f>
        <v>PalaLontre, Via dello Sport 9, Lontreopoli LE</v>
      </c>
      <c r="C70" s="48"/>
      <c r="D70" s="48"/>
      <c r="E70" s="48"/>
      <c r="F70" s="48"/>
      <c r="G70" s="48"/>
      <c r="H70" s="48"/>
      <c r="I70" s="43" t="s">
        <v>107</v>
      </c>
      <c r="J70" s="45"/>
      <c r="K70" s="45"/>
      <c r="L70" s="45"/>
    </row>
    <row r="71" customFormat="false" ht="12.75" hidden="false" customHeight="true" outlineLevel="0" collapsed="false">
      <c r="A71" s="63" t="s">
        <v>334</v>
      </c>
      <c r="B71" s="63" t="s">
        <v>317</v>
      </c>
      <c r="C71" s="63"/>
      <c r="D71" s="63" t="s">
        <v>324</v>
      </c>
      <c r="E71" s="63"/>
      <c r="F71" s="63" t="s">
        <v>335</v>
      </c>
      <c r="G71" s="63" t="s">
        <v>336</v>
      </c>
      <c r="H71" s="63" t="s">
        <v>337</v>
      </c>
      <c r="I71" s="63"/>
      <c r="J71" s="63" t="s">
        <v>338</v>
      </c>
      <c r="K71" s="63"/>
      <c r="L71" s="63"/>
    </row>
    <row r="72" customFormat="false" ht="24" hidden="false" customHeight="true" outlineLevel="0" collapsed="false">
      <c r="A72" s="64" t="n">
        <f aca="false">MAX(A$10:A71)+1</f>
        <v>103</v>
      </c>
      <c r="B72" s="42" t="str">
        <f aca="false">IF(C72="","",IFERROR(LEFT(VLOOKUP(C72,areaNomiSquadre,2,FALSE()),FIND("-",VLOOKUP(C72,areaNomiSquadre,2,FALSE()))-1),""))</f>
        <v>Manguste Mordaci</v>
      </c>
      <c r="C72" s="43" t="s">
        <v>109</v>
      </c>
      <c r="D72" s="42" t="str">
        <f aca="false">IF(E72="","",IFERROR(LEFT(VLOOKUP(E72,areaNomiSquadre,2,FALSE()),FIND("-",VLOOKUP(E72,areaNomiSquadre,2,FALSE()))-1),""))</f>
        <v>Fenicotteri Focosi</v>
      </c>
      <c r="E72" s="43" t="s">
        <v>101</v>
      </c>
      <c r="F72" s="44" t="n">
        <v>46411.625</v>
      </c>
      <c r="G72" s="44"/>
      <c r="H72" s="44"/>
      <c r="I72" s="44"/>
      <c r="J72" s="45" t="n">
        <v>61</v>
      </c>
      <c r="K72" s="46" t="s">
        <v>339</v>
      </c>
      <c r="L72" s="45" t="n">
        <v>70</v>
      </c>
      <c r="M72" s="47" t="str">
        <f aca="false">IF($B72="","(Squadra A)",$B72)</f>
        <v>Manguste Mordaci</v>
      </c>
      <c r="N72" s="47" t="n">
        <f aca="false">IF($J72+$L72=0,,IF($J72&gt;$L72,1,0))</f>
        <v>0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1</v>
      </c>
      <c r="Q72" s="47" t="n">
        <f aca="false">IF($J72+$L72=0,,$J72)</f>
        <v>61</v>
      </c>
      <c r="R72" s="47" t="n">
        <f aca="false">IF($J72+$L72=0,,$L72)</f>
        <v>70</v>
      </c>
      <c r="S72" s="47" t="n">
        <f aca="false">IF($J72+$L72=0,,$J72-$L72)</f>
        <v>-9</v>
      </c>
      <c r="T72" s="47" t="str">
        <f aca="false">IF($D72="","(Squadra B)",$D72)</f>
        <v>Fenicotteri Focosi</v>
      </c>
      <c r="U72" s="47" t="n">
        <f aca="false">IF($J72+$L72=0,,IF($L72&gt;$J72,1,0))</f>
        <v>1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0</v>
      </c>
      <c r="X72" s="47" t="n">
        <f aca="false">IF($J72+$L72=0,,$L72)</f>
        <v>70</v>
      </c>
      <c r="Y72" s="47" t="n">
        <f aca="false">IF($J72+$L72=0,,$J72)</f>
        <v>61</v>
      </c>
      <c r="Z72" s="47" t="n">
        <f aca="false">IF($J72+$L72=0,,$L72-$J72)</f>
        <v>9</v>
      </c>
      <c r="AA72" s="47" t="str">
        <f aca="false">IF($J72+$L72=0,"(Vincente)",IF($J72&gt;$L72,$B72,$D72))</f>
        <v>Fenicotteri Focosi</v>
      </c>
      <c r="AB72" s="47" t="str">
        <f aca="false">IF($J72+$L72=0,"(Perdente)",IF($J72&lt;$L72,$B72,$D72))</f>
        <v>Manguste Mordaci</v>
      </c>
    </row>
    <row r="73" customFormat="false" ht="15.75" hidden="false" customHeight="true" outlineLevel="0" collapsed="false">
      <c r="A73" s="64"/>
      <c r="B73" s="48" t="str">
        <f aca="false">IF(I73="","",HYPERLINK(VLOOKUP(I73,areaCampiSquadre,3,FALSE()),VLOOKUP(I73,areaCampiSquadre,2,FALSE())))</f>
        <v>PalaLontre, Via dello Sport 9, Lontreopoli LE</v>
      </c>
      <c r="C73" s="48"/>
      <c r="D73" s="48"/>
      <c r="E73" s="48"/>
      <c r="F73" s="48"/>
      <c r="G73" s="48"/>
      <c r="H73" s="48"/>
      <c r="I73" s="43" t="s">
        <v>107</v>
      </c>
      <c r="J73" s="45"/>
      <c r="K73" s="45"/>
      <c r="L73" s="45"/>
    </row>
    <row r="74" customFormat="false" ht="12.75" hidden="false" customHeight="true" outlineLevel="0" collapsed="false">
      <c r="A74" s="63" t="s">
        <v>334</v>
      </c>
      <c r="B74" s="63" t="s">
        <v>317</v>
      </c>
      <c r="C74" s="63"/>
      <c r="D74" s="63" t="s">
        <v>324</v>
      </c>
      <c r="E74" s="63"/>
      <c r="F74" s="63" t="s">
        <v>335</v>
      </c>
      <c r="G74" s="63" t="s">
        <v>336</v>
      </c>
      <c r="H74" s="63" t="s">
        <v>337</v>
      </c>
      <c r="I74" s="63"/>
      <c r="J74" s="63" t="s">
        <v>338</v>
      </c>
      <c r="K74" s="63"/>
      <c r="L74" s="63"/>
    </row>
    <row r="75" customFormat="false" ht="24" hidden="false" customHeight="true" outlineLevel="0" collapsed="false">
      <c r="A75" s="64" t="n">
        <f aca="false">MAX(A$10:A74)+1</f>
        <v>104</v>
      </c>
      <c r="B75" s="42" t="str">
        <f aca="false">IF(C75="","",IFERROR(LEFT(VLOOKUP(C75,areaNomiSquadre,2,FALSE()),FIND("-",VLOOKUP(C75,areaNomiSquadre,2,FALSE()))-1),""))</f>
        <v>Otarie Ottimiste</v>
      </c>
      <c r="C75" s="43" t="s">
        <v>113</v>
      </c>
      <c r="D75" s="42" t="str">
        <f aca="false">IF(E75="","",IFERROR(LEFT(VLOOKUP(E75,areaNomiSquadre,2,FALSE()),FIND("-",VLOOKUP(E75,areaNomiSquadre,2,FALSE()))-1),""))</f>
        <v>Nutrie Nervose</v>
      </c>
      <c r="E75" s="43" t="s">
        <v>111</v>
      </c>
      <c r="F75" s="44" t="n">
        <v>46411.7083333333</v>
      </c>
      <c r="G75" s="44"/>
      <c r="H75" s="44"/>
      <c r="I75" s="44"/>
      <c r="J75" s="45" t="n">
        <v>54</v>
      </c>
      <c r="K75" s="46" t="s">
        <v>339</v>
      </c>
      <c r="L75" s="45" t="n">
        <v>61</v>
      </c>
      <c r="M75" s="47" t="str">
        <f aca="false">IF($B75="","(Squadra A)",$B75)</f>
        <v>Otarie Ottimiste</v>
      </c>
      <c r="N75" s="47" t="n">
        <f aca="false">IF($J75+$L75=0,,IF($J75&gt;$L75,1,0))</f>
        <v>0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1</v>
      </c>
      <c r="Q75" s="47" t="n">
        <f aca="false">IF($J75+$L75=0,,$J75)</f>
        <v>54</v>
      </c>
      <c r="R75" s="47" t="n">
        <f aca="false">IF($J75+$L75=0,,$L75)</f>
        <v>61</v>
      </c>
      <c r="S75" s="47" t="n">
        <f aca="false">IF($J75+$L75=0,,$J75-$L75)</f>
        <v>-7</v>
      </c>
      <c r="T75" s="47" t="str">
        <f aca="false">IF($D75="","(Squadra B)",$D75)</f>
        <v>Nutrie Nervose</v>
      </c>
      <c r="U75" s="47" t="n">
        <f aca="false">IF($J75+$L75=0,,IF($L75&gt;$J75,1,0))</f>
        <v>1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0</v>
      </c>
      <c r="X75" s="47" t="n">
        <f aca="false">IF($J75+$L75=0,,$L75)</f>
        <v>61</v>
      </c>
      <c r="Y75" s="47" t="n">
        <f aca="false">IF($J75+$L75=0,,$J75)</f>
        <v>54</v>
      </c>
      <c r="Z75" s="47" t="n">
        <f aca="false">IF($J75+$L75=0,,$L75-$J75)</f>
        <v>7</v>
      </c>
      <c r="AA75" s="47" t="str">
        <f aca="false">IF($J75+$L75=0,"(Vincente)",IF($J75&gt;$L75,$B75,$D75))</f>
        <v>Nutrie Nervose</v>
      </c>
      <c r="AB75" s="47" t="str">
        <f aca="false">IF($J75+$L75=0,"(Perdente)",IF($J75&lt;$L75,$B75,$D75))</f>
        <v>Otarie Ottimiste</v>
      </c>
    </row>
    <row r="76" customFormat="false" ht="15.75" hidden="false" customHeight="true" outlineLevel="0" collapsed="false">
      <c r="A76" s="64"/>
      <c r="B76" s="48" t="str">
        <f aca="false">IF(I76="","",HYPERLINK(VLOOKUP(I76,areaCampiSquadre,3,FALSE()),VLOOKUP(I76,areaCampiSquadre,2,FALSE())))</f>
        <v>PalaLontre, Via dello Sport 9, Lontreopoli LE</v>
      </c>
      <c r="C76" s="48"/>
      <c r="D76" s="48"/>
      <c r="E76" s="48"/>
      <c r="F76" s="48"/>
      <c r="G76" s="48"/>
      <c r="H76" s="48"/>
      <c r="I76" s="43" t="s">
        <v>107</v>
      </c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61" t="s">
        <v>366</v>
      </c>
      <c r="B78" s="62" t="str">
        <f aca="false">"GIORNATA "&amp;ROMAN(VALUE(LEFT(A78,LEN(A78)-1)))&amp;" - GIRONE "&amp;RIGHT(A78,1)</f>
        <v>GIORNATA VI - GIRONE D</v>
      </c>
      <c r="C78" s="62"/>
      <c r="D78" s="62"/>
      <c r="E78" s="62"/>
      <c r="F78" s="62"/>
      <c r="G78" s="62"/>
      <c r="H78" s="62"/>
      <c r="I78" s="62"/>
      <c r="J78" s="62"/>
      <c r="K78" s="62"/>
      <c r="L78" s="62"/>
    </row>
    <row r="79" customFormat="false" ht="12.75" hidden="false" customHeight="true" outlineLevel="0" collapsed="false">
      <c r="A79" s="63" t="s">
        <v>334</v>
      </c>
      <c r="B79" s="63" t="s">
        <v>317</v>
      </c>
      <c r="C79" s="63"/>
      <c r="D79" s="63" t="s">
        <v>324</v>
      </c>
      <c r="E79" s="63"/>
      <c r="F79" s="63" t="s">
        <v>335</v>
      </c>
      <c r="G79" s="63" t="s">
        <v>336</v>
      </c>
      <c r="H79" s="63" t="s">
        <v>337</v>
      </c>
      <c r="I79" s="63"/>
      <c r="J79" s="63" t="s">
        <v>338</v>
      </c>
      <c r="K79" s="63"/>
      <c r="L79" s="63"/>
    </row>
    <row r="80" customFormat="false" ht="24" hidden="false" customHeight="true" outlineLevel="0" collapsed="false">
      <c r="A80" s="64" t="n">
        <f aca="false">MAX(A$10:A79)+1</f>
        <v>105</v>
      </c>
      <c r="B80" s="42" t="str">
        <f aca="false">IF(C80="","",IFERROR(LEFT(VLOOKUP(C80,areaNomiSquadre,2,FALSE()),FIND("-",VLOOKUP(C80,areaNomiSquadre,2,FALSE()))-1),""))</f>
        <v>Ghepardi Guizzanti</v>
      </c>
      <c r="C80" s="43" t="s">
        <v>103</v>
      </c>
      <c r="D80" s="42" t="str">
        <f aca="false">IF(E80="","",IFERROR(LEFT(VLOOKUP(E80,areaNomiSquadre,2,FALSE()),FIND("-",VLOOKUP(E80,areaNomiSquadre,2,FALSE()))-1),""))</f>
        <v>Elefanti Esuberanti</v>
      </c>
      <c r="E80" s="43" t="s">
        <v>98</v>
      </c>
      <c r="F80" s="44" t="n">
        <v>46432.3958333333</v>
      </c>
      <c r="G80" s="44"/>
      <c r="H80" s="44"/>
      <c r="I80" s="44"/>
      <c r="J80" s="45" t="n">
        <v>35</v>
      </c>
      <c r="K80" s="46" t="s">
        <v>339</v>
      </c>
      <c r="L80" s="45" t="n">
        <v>61</v>
      </c>
      <c r="M80" s="47" t="str">
        <f aca="false">IF($B80="","(Squadra A)",$B80)</f>
        <v>Ghepardi Guizzanti</v>
      </c>
      <c r="N80" s="47" t="n">
        <f aca="false">IF($J80+$L80=0,,IF($J80&gt;$L80,1,0))</f>
        <v>0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1</v>
      </c>
      <c r="Q80" s="47" t="n">
        <f aca="false">IF($J80+$L80=0,,$J80)</f>
        <v>35</v>
      </c>
      <c r="R80" s="47" t="n">
        <f aca="false">IF($J80+$L80=0,,$L80)</f>
        <v>61</v>
      </c>
      <c r="S80" s="47" t="n">
        <f aca="false">IF($J80+$L80=0,,$J80-$L80)</f>
        <v>-26</v>
      </c>
      <c r="T80" s="47" t="str">
        <f aca="false">IF($D80="","(Squadra B)",$D80)</f>
        <v>Elefanti Esuberanti</v>
      </c>
      <c r="U80" s="47" t="n">
        <f aca="false">IF($J80+$L80=0,,IF($L80&gt;$J80,1,0))</f>
        <v>1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0</v>
      </c>
      <c r="X80" s="47" t="n">
        <f aca="false">IF($J80+$L80=0,,$L80)</f>
        <v>61</v>
      </c>
      <c r="Y80" s="47" t="n">
        <f aca="false">IF($J80+$L80=0,,$J80)</f>
        <v>35</v>
      </c>
      <c r="Z80" s="47" t="n">
        <f aca="false">IF($J80+$L80=0,,$L80-$J80)</f>
        <v>26</v>
      </c>
      <c r="AA80" s="47" t="str">
        <f aca="false">IF($J80+$L80=0,"(Vincente)",IF($J80&gt;$L80,$B80,$D80))</f>
        <v>Elefanti Esuberanti</v>
      </c>
      <c r="AB80" s="47" t="str">
        <f aca="false">IF($J80+$L80=0,"(Perdente)",IF($J80&lt;$L80,$B80,$D80))</f>
        <v>Ghepardi Guizzanti</v>
      </c>
    </row>
    <row r="81" customFormat="false" ht="15.75" hidden="false" customHeight="true" outlineLevel="0" collapsed="false">
      <c r="A81" s="64"/>
      <c r="B81" s="48" t="str">
        <f aca="false">IF(I81="","",HYPERLINK(VLOOKUP(I81,areaCampiSquadre,3,FALSE()),VLOOKUP(I81,areaCampiSquadre,2,FALSE())))</f>
        <v>PalaManguste, Via dello Sport 10, Mangusteopoli ME</v>
      </c>
      <c r="C81" s="48"/>
      <c r="D81" s="48"/>
      <c r="E81" s="48"/>
      <c r="F81" s="48"/>
      <c r="G81" s="48"/>
      <c r="H81" s="48"/>
      <c r="I81" s="43" t="s">
        <v>109</v>
      </c>
      <c r="J81" s="45"/>
      <c r="K81" s="45"/>
      <c r="L81" s="45"/>
    </row>
    <row r="82" customFormat="false" ht="12.75" hidden="false" customHeight="true" outlineLevel="0" collapsed="false">
      <c r="A82" s="63" t="s">
        <v>334</v>
      </c>
      <c r="B82" s="63" t="s">
        <v>317</v>
      </c>
      <c r="C82" s="63"/>
      <c r="D82" s="63" t="s">
        <v>324</v>
      </c>
      <c r="E82" s="63"/>
      <c r="F82" s="63" t="s">
        <v>335</v>
      </c>
      <c r="G82" s="63" t="s">
        <v>336</v>
      </c>
      <c r="H82" s="63" t="s">
        <v>337</v>
      </c>
      <c r="I82" s="63"/>
      <c r="J82" s="63" t="s">
        <v>338</v>
      </c>
      <c r="K82" s="63"/>
      <c r="L82" s="63"/>
    </row>
    <row r="83" customFormat="false" ht="24" hidden="false" customHeight="true" outlineLevel="0" collapsed="false">
      <c r="A83" s="64" t="n">
        <f aca="false">MAX(A$10:A82)+1</f>
        <v>106</v>
      </c>
      <c r="B83" s="42" t="str">
        <f aca="false">IF(C83="","",IFERROR(LEFT(VLOOKUP(C83,areaNomiSquadre,2,FALSE()),FIND("-",VLOOKUP(C83,areaNomiSquadre,2,FALSE()))-1),""))</f>
        <v>Iguane Impavide</v>
      </c>
      <c r="C83" s="43" t="s">
        <v>105</v>
      </c>
      <c r="D83" s="42" t="str">
        <f aca="false">IF(E83="","",IFERROR(LEFT(VLOOKUP(E83,areaNomiSquadre,2,FALSE()),FIND("-",VLOOKUP(E83,areaNomiSquadre,2,FALSE()))-1),""))</f>
        <v>Fenicotteri Focosi</v>
      </c>
      <c r="E83" s="43" t="s">
        <v>101</v>
      </c>
      <c r="F83" s="44" t="n">
        <v>46432.4791666667</v>
      </c>
      <c r="G83" s="44"/>
      <c r="H83" s="44"/>
      <c r="I83" s="44"/>
      <c r="J83" s="45" t="n">
        <v>72</v>
      </c>
      <c r="K83" s="46" t="s">
        <v>339</v>
      </c>
      <c r="L83" s="45" t="n">
        <v>48</v>
      </c>
      <c r="M83" s="47" t="str">
        <f aca="false">IF($B83="","(Squadra A)",$B83)</f>
        <v>Iguane Impavide</v>
      </c>
      <c r="N83" s="47" t="n">
        <f aca="false">IF($J83+$L83=0,,IF($J83&gt;$L83,1,0))</f>
        <v>1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0</v>
      </c>
      <c r="Q83" s="47" t="n">
        <f aca="false">IF($J83+$L83=0,,$J83)</f>
        <v>72</v>
      </c>
      <c r="R83" s="47" t="n">
        <f aca="false">IF($J83+$L83=0,,$L83)</f>
        <v>48</v>
      </c>
      <c r="S83" s="47" t="n">
        <f aca="false">IF($J83+$L83=0,,$J83-$L83)</f>
        <v>24</v>
      </c>
      <c r="T83" s="47" t="str">
        <f aca="false">IF($D83="","(Squadra B)",$D83)</f>
        <v>Fenicotteri Focosi</v>
      </c>
      <c r="U83" s="47" t="n">
        <f aca="false">IF($J83+$L83=0,,IF($L83&gt;$J83,1,0))</f>
        <v>0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1</v>
      </c>
      <c r="X83" s="47" t="n">
        <f aca="false">IF($J83+$L83=0,,$L83)</f>
        <v>48</v>
      </c>
      <c r="Y83" s="47" t="n">
        <f aca="false">IF($J83+$L83=0,,$J83)</f>
        <v>72</v>
      </c>
      <c r="Z83" s="47" t="n">
        <f aca="false">IF($J83+$L83=0,,$L83-$J83)</f>
        <v>-24</v>
      </c>
      <c r="AA83" s="47" t="str">
        <f aca="false">IF($J83+$L83=0,"(Vincente)",IF($J83&gt;$L83,$B83,$D83))</f>
        <v>Iguane Impavide</v>
      </c>
      <c r="AB83" s="47" t="str">
        <f aca="false">IF($J83+$L83=0,"(Perdente)",IF($J83&lt;$L83,$B83,$D83))</f>
        <v>Fenicotteri Focosi</v>
      </c>
    </row>
    <row r="84" customFormat="false" ht="15.75" hidden="false" customHeight="true" outlineLevel="0" collapsed="false">
      <c r="A84" s="64"/>
      <c r="B84" s="48" t="str">
        <f aca="false">IF(I84="","",HYPERLINK(VLOOKUP(I84,areaCampiSquadre,3,FALSE()),VLOOKUP(I84,areaCampiSquadre,2,FALSE())))</f>
        <v>PalaManguste, Via dello Sport 10, Mangusteopoli ME</v>
      </c>
      <c r="C84" s="48"/>
      <c r="D84" s="48"/>
      <c r="E84" s="48"/>
      <c r="F84" s="48"/>
      <c r="G84" s="48"/>
      <c r="H84" s="48"/>
      <c r="I84" s="43" t="s">
        <v>109</v>
      </c>
      <c r="J84" s="45"/>
      <c r="K84" s="45"/>
      <c r="L84" s="45"/>
    </row>
    <row r="85" customFormat="false" ht="12.75" hidden="false" customHeight="true" outlineLevel="0" collapsed="false">
      <c r="A85" s="63" t="s">
        <v>334</v>
      </c>
      <c r="B85" s="63" t="s">
        <v>317</v>
      </c>
      <c r="C85" s="63"/>
      <c r="D85" s="63" t="s">
        <v>324</v>
      </c>
      <c r="E85" s="63"/>
      <c r="F85" s="63" t="s">
        <v>335</v>
      </c>
      <c r="G85" s="63" t="s">
        <v>336</v>
      </c>
      <c r="H85" s="63" t="s">
        <v>337</v>
      </c>
      <c r="I85" s="63"/>
      <c r="J85" s="63" t="s">
        <v>338</v>
      </c>
      <c r="K85" s="63"/>
      <c r="L85" s="63"/>
    </row>
    <row r="86" customFormat="false" ht="24" hidden="false" customHeight="true" outlineLevel="0" collapsed="false">
      <c r="A86" s="64" t="n">
        <f aca="false">MAX(A$10:A85)+1</f>
        <v>107</v>
      </c>
      <c r="B86" s="42" t="str">
        <f aca="false">IF(C86="","",IFERROR(LEFT(VLOOKUP(C86,areaNomiSquadre,2,FALSE()),FIND("-",VLOOKUP(C86,areaNomiSquadre,2,FALSE()))-1),""))</f>
        <v>Otarie Ottimiste</v>
      </c>
      <c r="C86" s="43" t="s">
        <v>113</v>
      </c>
      <c r="D86" s="42" t="str">
        <f aca="false">IF(E86="","",IFERROR(LEFT(VLOOKUP(E86,areaNomiSquadre,2,FALSE()),FIND("-",VLOOKUP(E86,areaNomiSquadre,2,FALSE()))-1),""))</f>
        <v>Lontre Loquaci</v>
      </c>
      <c r="E86" s="43" t="s">
        <v>107</v>
      </c>
      <c r="F86" s="44" t="n">
        <v>46432.625</v>
      </c>
      <c r="G86" s="44"/>
      <c r="H86" s="44"/>
      <c r="I86" s="44"/>
      <c r="J86" s="45" t="n">
        <v>63</v>
      </c>
      <c r="K86" s="46" t="s">
        <v>339</v>
      </c>
      <c r="L86" s="45" t="n">
        <v>69</v>
      </c>
      <c r="M86" s="47" t="str">
        <f aca="false">IF($B86="","(Squadra A)",$B86)</f>
        <v>Otarie Ottimiste</v>
      </c>
      <c r="N86" s="47" t="n">
        <f aca="false">IF($J86+$L86=0,,IF($J86&gt;$L86,1,0))</f>
        <v>0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1</v>
      </c>
      <c r="Q86" s="47" t="n">
        <f aca="false">IF($J86+$L86=0,,$J86)</f>
        <v>63</v>
      </c>
      <c r="R86" s="47" t="n">
        <f aca="false">IF($J86+$L86=0,,$L86)</f>
        <v>69</v>
      </c>
      <c r="S86" s="47" t="n">
        <f aca="false">IF($J86+$L86=0,,$J86-$L86)</f>
        <v>-6</v>
      </c>
      <c r="T86" s="47" t="str">
        <f aca="false">IF($D86="","(Squadra B)",$D86)</f>
        <v>Lontre Loquaci</v>
      </c>
      <c r="U86" s="47" t="n">
        <f aca="false">IF($J86+$L86=0,,IF($L86&gt;$J86,1,0))</f>
        <v>1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0</v>
      </c>
      <c r="X86" s="47" t="n">
        <f aca="false">IF($J86+$L86=0,,$L86)</f>
        <v>69</v>
      </c>
      <c r="Y86" s="47" t="n">
        <f aca="false">IF($J86+$L86=0,,$J86)</f>
        <v>63</v>
      </c>
      <c r="Z86" s="47" t="n">
        <f aca="false">IF($J86+$L86=0,,$L86-$J86)</f>
        <v>6</v>
      </c>
      <c r="AA86" s="47" t="str">
        <f aca="false">IF($J86+$L86=0,"(Vincente)",IF($J86&gt;$L86,$B86,$D86))</f>
        <v>Lontre Loquaci</v>
      </c>
      <c r="AB86" s="47" t="str">
        <f aca="false">IF($J86+$L86=0,"(Perdente)",IF($J86&lt;$L86,$B86,$D86))</f>
        <v>Otarie Ottimiste</v>
      </c>
    </row>
    <row r="87" customFormat="false" ht="15.75" hidden="false" customHeight="true" outlineLevel="0" collapsed="false">
      <c r="A87" s="64"/>
      <c r="B87" s="48" t="str">
        <f aca="false">IF(I87="","",HYPERLINK(VLOOKUP(I87,areaCampiSquadre,3,FALSE()),VLOOKUP(I87,areaCampiSquadre,2,FALSE())))</f>
        <v>PalaManguste, Via dello Sport 10, Mangusteopoli ME</v>
      </c>
      <c r="C87" s="48"/>
      <c r="D87" s="48"/>
      <c r="E87" s="48"/>
      <c r="F87" s="48"/>
      <c r="G87" s="48"/>
      <c r="H87" s="48"/>
      <c r="I87" s="43" t="s">
        <v>109</v>
      </c>
      <c r="J87" s="45"/>
      <c r="K87" s="45"/>
      <c r="L87" s="45"/>
    </row>
    <row r="88" customFormat="false" ht="12.75" hidden="false" customHeight="true" outlineLevel="0" collapsed="false">
      <c r="A88" s="63" t="s">
        <v>334</v>
      </c>
      <c r="B88" s="63" t="s">
        <v>317</v>
      </c>
      <c r="C88" s="63"/>
      <c r="D88" s="63" t="s">
        <v>324</v>
      </c>
      <c r="E88" s="63"/>
      <c r="F88" s="63" t="s">
        <v>335</v>
      </c>
      <c r="G88" s="63" t="s">
        <v>336</v>
      </c>
      <c r="H88" s="63" t="s">
        <v>337</v>
      </c>
      <c r="I88" s="63"/>
      <c r="J88" s="63" t="s">
        <v>338</v>
      </c>
      <c r="K88" s="63"/>
      <c r="L88" s="63"/>
    </row>
    <row r="89" customFormat="false" ht="24" hidden="false" customHeight="true" outlineLevel="0" collapsed="false">
      <c r="A89" s="64" t="n">
        <f aca="false">MAX(A$10:A88)+1</f>
        <v>108</v>
      </c>
      <c r="B89" s="42" t="str">
        <f aca="false">IF(C89="","",IFERROR(LEFT(VLOOKUP(C89,areaNomiSquadre,2,FALSE()),FIND("-",VLOOKUP(C89,areaNomiSquadre,2,FALSE()))-1),""))</f>
        <v>Manguste Mordaci</v>
      </c>
      <c r="C89" s="43" t="s">
        <v>109</v>
      </c>
      <c r="D89" s="42" t="str">
        <f aca="false">IF(E89="","",IFERROR(LEFT(VLOOKUP(E89,areaNomiSquadre,2,FALSE()),FIND("-",VLOOKUP(E89,areaNomiSquadre,2,FALSE()))-1),""))</f>
        <v>Nutrie Nervose</v>
      </c>
      <c r="E89" s="43" t="s">
        <v>111</v>
      </c>
      <c r="F89" s="44" t="n">
        <v>46432.7083333333</v>
      </c>
      <c r="G89" s="44"/>
      <c r="H89" s="44"/>
      <c r="I89" s="44"/>
      <c r="J89" s="45" t="n">
        <v>73</v>
      </c>
      <c r="K89" s="46" t="s">
        <v>339</v>
      </c>
      <c r="L89" s="45" t="n">
        <v>51</v>
      </c>
      <c r="M89" s="47" t="str">
        <f aca="false">IF($B89="","(Squadra A)",$B89)</f>
        <v>Manguste Mordaci</v>
      </c>
      <c r="N89" s="47" t="n">
        <f aca="false">IF($J89+$L89=0,,IF($J89&gt;$L89,1,0))</f>
        <v>1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0</v>
      </c>
      <c r="Q89" s="47" t="n">
        <f aca="false">IF($J89+$L89=0,,$J89)</f>
        <v>73</v>
      </c>
      <c r="R89" s="47" t="n">
        <f aca="false">IF($J89+$L89=0,,$L89)</f>
        <v>51</v>
      </c>
      <c r="S89" s="47" t="n">
        <f aca="false">IF($J89+$L89=0,,$J89-$L89)</f>
        <v>22</v>
      </c>
      <c r="T89" s="47" t="str">
        <f aca="false">IF($D89="","(Squadra B)",$D89)</f>
        <v>Nutrie Nervose</v>
      </c>
      <c r="U89" s="47" t="n">
        <f aca="false">IF($J89+$L89=0,,IF($L89&gt;$J89,1,0))</f>
        <v>0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1</v>
      </c>
      <c r="X89" s="47" t="n">
        <f aca="false">IF($J89+$L89=0,,$L89)</f>
        <v>51</v>
      </c>
      <c r="Y89" s="47" t="n">
        <f aca="false">IF($J89+$L89=0,,$J89)</f>
        <v>73</v>
      </c>
      <c r="Z89" s="47" t="n">
        <f aca="false">IF($J89+$L89=0,,$L89-$J89)</f>
        <v>-22</v>
      </c>
      <c r="AA89" s="47" t="str">
        <f aca="false">IF($J89+$L89=0,"(Vincente)",IF($J89&gt;$L89,$B89,$D89))</f>
        <v>Manguste Mordaci</v>
      </c>
      <c r="AB89" s="47" t="str">
        <f aca="false">IF($J89+$L89=0,"(Perdente)",IF($J89&lt;$L89,$B89,$D89))</f>
        <v>Nutrie Nervose</v>
      </c>
    </row>
    <row r="90" customFormat="false" ht="15.75" hidden="false" customHeight="true" outlineLevel="0" collapsed="false">
      <c r="A90" s="64"/>
      <c r="B90" s="48" t="str">
        <f aca="false">IF(I90="","",HYPERLINK(VLOOKUP(I90,areaCampiSquadre,3,FALSE()),VLOOKUP(I90,areaCampiSquadre,2,FALSE())))</f>
        <v>PalaManguste, Via dello Sport 10, Mangusteopoli ME</v>
      </c>
      <c r="C90" s="48"/>
      <c r="D90" s="48"/>
      <c r="E90" s="48"/>
      <c r="F90" s="48"/>
      <c r="G90" s="48"/>
      <c r="H90" s="48"/>
      <c r="I90" s="43" t="s">
        <v>109</v>
      </c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61" t="s">
        <v>367</v>
      </c>
      <c r="B92" s="62" t="str">
        <f aca="false">"GIORNATA "&amp;ROMAN(VALUE(LEFT(A92,LEN(A92)-1)))&amp;" - GIRONE "&amp;RIGHT(A92,1)</f>
        <v>GIORNATA VII - GIRONE D</v>
      </c>
      <c r="C92" s="62"/>
      <c r="D92" s="62"/>
      <c r="E92" s="62"/>
      <c r="F92" s="62"/>
      <c r="G92" s="62"/>
      <c r="H92" s="62"/>
      <c r="I92" s="62"/>
      <c r="J92" s="62"/>
      <c r="K92" s="62"/>
      <c r="L92" s="62"/>
    </row>
    <row r="93" customFormat="false" ht="12.75" hidden="false" customHeight="true" outlineLevel="0" collapsed="false">
      <c r="A93" s="63" t="s">
        <v>334</v>
      </c>
      <c r="B93" s="63" t="s">
        <v>317</v>
      </c>
      <c r="C93" s="63"/>
      <c r="D93" s="63" t="s">
        <v>324</v>
      </c>
      <c r="E93" s="63"/>
      <c r="F93" s="63" t="s">
        <v>335</v>
      </c>
      <c r="G93" s="63" t="s">
        <v>336</v>
      </c>
      <c r="H93" s="63" t="s">
        <v>337</v>
      </c>
      <c r="I93" s="63"/>
      <c r="J93" s="63" t="s">
        <v>338</v>
      </c>
      <c r="K93" s="63"/>
      <c r="L93" s="63"/>
    </row>
    <row r="94" customFormat="false" ht="24" hidden="false" customHeight="true" outlineLevel="0" collapsed="false">
      <c r="A94" s="64" t="n">
        <f aca="false">MAX(A$10:A93)+1</f>
        <v>109</v>
      </c>
      <c r="B94" s="42" t="str">
        <f aca="false">IF(C94="","",IFERROR(LEFT(VLOOKUP(C94,areaNomiSquadre,2,FALSE()),FIND("-",VLOOKUP(C94,areaNomiSquadre,2,FALSE()))-1),""))</f>
        <v>Elefanti Esuberanti</v>
      </c>
      <c r="C94" s="43" t="s">
        <v>98</v>
      </c>
      <c r="D94" s="42" t="str">
        <f aca="false">IF(E94="","",IFERROR(LEFT(VLOOKUP(E94,areaNomiSquadre,2,FALSE()),FIND("-",VLOOKUP(E94,areaNomiSquadre,2,FALSE()))-1),""))</f>
        <v>Fenicotteri Focosi</v>
      </c>
      <c r="E94" s="43" t="s">
        <v>101</v>
      </c>
      <c r="F94" s="44" t="n">
        <v>46453.3958333333</v>
      </c>
      <c r="G94" s="44"/>
      <c r="H94" s="44"/>
      <c r="I94" s="44"/>
      <c r="J94" s="45" t="n">
        <v>85</v>
      </c>
      <c r="K94" s="46" t="s">
        <v>339</v>
      </c>
      <c r="L94" s="45" t="n">
        <v>56</v>
      </c>
      <c r="M94" s="47" t="str">
        <f aca="false">IF($B94="","(Squadra A)",$B94)</f>
        <v>Elefanti Esuberanti</v>
      </c>
      <c r="N94" s="47" t="n">
        <f aca="false">IF($J94+$L94=0,,IF($J94&gt;$L94,1,0))</f>
        <v>1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0</v>
      </c>
      <c r="Q94" s="47" t="n">
        <f aca="false">IF($J94+$L94=0,,$J94)</f>
        <v>85</v>
      </c>
      <c r="R94" s="47" t="n">
        <f aca="false">IF($J94+$L94=0,,$L94)</f>
        <v>56</v>
      </c>
      <c r="S94" s="47" t="n">
        <f aca="false">IF($J94+$L94=0,,$J94-$L94)</f>
        <v>29</v>
      </c>
      <c r="T94" s="47" t="str">
        <f aca="false">IF($D94="","(Squadra B)",$D94)</f>
        <v>Fenicotteri Focosi</v>
      </c>
      <c r="U94" s="47" t="n">
        <f aca="false">IF($J94+$L94=0,,IF($L94&gt;$J94,1,0))</f>
        <v>0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1</v>
      </c>
      <c r="X94" s="47" t="n">
        <f aca="false">IF($J94+$L94=0,,$L94)</f>
        <v>56</v>
      </c>
      <c r="Y94" s="47" t="n">
        <f aca="false">IF($J94+$L94=0,,$J94)</f>
        <v>85</v>
      </c>
      <c r="Z94" s="47" t="n">
        <f aca="false">IF($J94+$L94=0,,$L94-$J94)</f>
        <v>-29</v>
      </c>
      <c r="AA94" s="47" t="str">
        <f aca="false">IF($J94+$L94=0,"(Vincente)",IF($J94&gt;$L94,$B94,$D94))</f>
        <v>Elefanti Esuberanti</v>
      </c>
      <c r="AB94" s="47" t="str">
        <f aca="false">IF($J94+$L94=0,"(Perdente)",IF($J94&lt;$L94,$B94,$D94))</f>
        <v>Fenicotteri Focosi</v>
      </c>
    </row>
    <row r="95" customFormat="false" ht="15.75" hidden="false" customHeight="true" outlineLevel="0" collapsed="false">
      <c r="A95" s="64"/>
      <c r="B95" s="48" t="str">
        <f aca="false">IF(I95="","",HYPERLINK(VLOOKUP(I95,areaCampiSquadre,3,FALSE()),VLOOKUP(I95,areaCampiSquadre,2,FALSE())))</f>
        <v>PalaNutrie, Via dello Sport 11, Nutrieopoli NE</v>
      </c>
      <c r="C95" s="48"/>
      <c r="D95" s="48"/>
      <c r="E95" s="48"/>
      <c r="F95" s="48"/>
      <c r="G95" s="48"/>
      <c r="H95" s="48"/>
      <c r="I95" s="43" t="s">
        <v>111</v>
      </c>
      <c r="J95" s="45"/>
      <c r="K95" s="45"/>
      <c r="L95" s="45"/>
    </row>
    <row r="96" customFormat="false" ht="12.75" hidden="false" customHeight="true" outlineLevel="0" collapsed="false">
      <c r="A96" s="63" t="s">
        <v>334</v>
      </c>
      <c r="B96" s="63" t="s">
        <v>317</v>
      </c>
      <c r="C96" s="63"/>
      <c r="D96" s="63" t="s">
        <v>324</v>
      </c>
      <c r="E96" s="63"/>
      <c r="F96" s="63" t="s">
        <v>335</v>
      </c>
      <c r="G96" s="63" t="s">
        <v>336</v>
      </c>
      <c r="H96" s="63" t="s">
        <v>337</v>
      </c>
      <c r="I96" s="63"/>
      <c r="J96" s="63" t="s">
        <v>338</v>
      </c>
      <c r="K96" s="63"/>
      <c r="L96" s="63"/>
    </row>
    <row r="97" customFormat="false" ht="24" hidden="false" customHeight="true" outlineLevel="0" collapsed="false">
      <c r="A97" s="64" t="n">
        <f aca="false">MAX(A$10:A96)+1</f>
        <v>110</v>
      </c>
      <c r="B97" s="42" t="str">
        <f aca="false">IF(C97="","",IFERROR(LEFT(VLOOKUP(C97,areaNomiSquadre,2,FALSE()),FIND("-",VLOOKUP(C97,areaNomiSquadre,2,FALSE()))-1),""))</f>
        <v>Otarie Ottimiste</v>
      </c>
      <c r="C97" s="43" t="s">
        <v>113</v>
      </c>
      <c r="D97" s="42" t="str">
        <f aca="false">IF(E97="","",IFERROR(LEFT(VLOOKUP(E97,areaNomiSquadre,2,FALSE()),FIND("-",VLOOKUP(E97,areaNomiSquadre,2,FALSE()))-1),""))</f>
        <v>Ghepardi Guizzanti</v>
      </c>
      <c r="E97" s="43" t="s">
        <v>103</v>
      </c>
      <c r="F97" s="44" t="n">
        <v>46453.4791666667</v>
      </c>
      <c r="G97" s="44"/>
      <c r="H97" s="44"/>
      <c r="I97" s="44"/>
      <c r="J97" s="45" t="n">
        <v>67</v>
      </c>
      <c r="K97" s="46" t="s">
        <v>339</v>
      </c>
      <c r="L97" s="45" t="n">
        <v>55</v>
      </c>
      <c r="M97" s="47" t="str">
        <f aca="false">IF($B97="","(Squadra A)",$B97)</f>
        <v>Otarie Ottimiste</v>
      </c>
      <c r="N97" s="47" t="n">
        <f aca="false">IF($J97+$L97=0,,IF($J97&gt;$L97,1,0))</f>
        <v>1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67</v>
      </c>
      <c r="R97" s="47" t="n">
        <f aca="false">IF($J97+$L97=0,,$L97)</f>
        <v>55</v>
      </c>
      <c r="S97" s="47" t="n">
        <f aca="false">IF($J97+$L97=0,,$J97-$L97)</f>
        <v>12</v>
      </c>
      <c r="T97" s="47" t="str">
        <f aca="false">IF($D97="","(Squadra B)",$D97)</f>
        <v>Ghepardi Guizzanti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1</v>
      </c>
      <c r="X97" s="47" t="n">
        <f aca="false">IF($J97+$L97=0,,$L97)</f>
        <v>55</v>
      </c>
      <c r="Y97" s="47" t="n">
        <f aca="false">IF($J97+$L97=0,,$J97)</f>
        <v>67</v>
      </c>
      <c r="Z97" s="47" t="n">
        <f aca="false">IF($J97+$L97=0,,$L97-$J97)</f>
        <v>-12</v>
      </c>
      <c r="AA97" s="47" t="str">
        <f aca="false">IF($J97+$L97=0,"(Vincente)",IF($J97&gt;$L97,$B97,$D97))</f>
        <v>Otarie Ottimiste</v>
      </c>
      <c r="AB97" s="47" t="str">
        <f aca="false">IF($J97+$L97=0,"(Perdente)",IF($J97&lt;$L97,$B97,$D97))</f>
        <v>Ghepardi Guizzanti</v>
      </c>
    </row>
    <row r="98" customFormat="false" ht="15.75" hidden="false" customHeight="true" outlineLevel="0" collapsed="false">
      <c r="A98" s="64"/>
      <c r="B98" s="48" t="str">
        <f aca="false">IF(I98="","",HYPERLINK(VLOOKUP(I98,areaCampiSquadre,3,FALSE()),VLOOKUP(I98,areaCampiSquadre,2,FALSE())))</f>
        <v>PalaNutrie, Via dello Sport 11, Nutrieopoli NE</v>
      </c>
      <c r="C98" s="48"/>
      <c r="D98" s="48"/>
      <c r="E98" s="48"/>
      <c r="F98" s="48"/>
      <c r="G98" s="48"/>
      <c r="H98" s="48"/>
      <c r="I98" s="43" t="s">
        <v>111</v>
      </c>
      <c r="J98" s="45"/>
      <c r="K98" s="45"/>
      <c r="L98" s="45"/>
    </row>
    <row r="99" customFormat="false" ht="12.75" hidden="false" customHeight="true" outlineLevel="0" collapsed="false">
      <c r="A99" s="63" t="s">
        <v>334</v>
      </c>
      <c r="B99" s="63" t="s">
        <v>317</v>
      </c>
      <c r="C99" s="63"/>
      <c r="D99" s="63" t="s">
        <v>324</v>
      </c>
      <c r="E99" s="63"/>
      <c r="F99" s="63" t="s">
        <v>335</v>
      </c>
      <c r="G99" s="63" t="s">
        <v>336</v>
      </c>
      <c r="H99" s="63" t="s">
        <v>337</v>
      </c>
      <c r="I99" s="63"/>
      <c r="J99" s="63" t="s">
        <v>338</v>
      </c>
      <c r="K99" s="63"/>
      <c r="L99" s="63"/>
    </row>
    <row r="100" customFormat="false" ht="24" hidden="false" customHeight="true" outlineLevel="0" collapsed="false">
      <c r="A100" s="64" t="n">
        <f aca="false">MAX(A$10:A99)+1</f>
        <v>111</v>
      </c>
      <c r="B100" s="42" t="str">
        <f aca="false">IF(C100="","",IFERROR(LEFT(VLOOKUP(C100,areaNomiSquadre,2,FALSE()),FIND("-",VLOOKUP(C100,areaNomiSquadre,2,FALSE()))-1),""))</f>
        <v>Iguane Impavide</v>
      </c>
      <c r="C100" s="43" t="s">
        <v>105</v>
      </c>
      <c r="D100" s="42" t="str">
        <f aca="false">IF(E100="","",IFERROR(LEFT(VLOOKUP(E100,areaNomiSquadre,2,FALSE()),FIND("-",VLOOKUP(E100,areaNomiSquadre,2,FALSE()))-1),""))</f>
        <v>Nutrie Nervose</v>
      </c>
      <c r="E100" s="43" t="s">
        <v>111</v>
      </c>
      <c r="F100" s="44" t="n">
        <v>46453.625</v>
      </c>
      <c r="G100" s="44"/>
      <c r="H100" s="44"/>
      <c r="I100" s="44"/>
      <c r="J100" s="45" t="n">
        <v>64</v>
      </c>
      <c r="K100" s="46" t="s">
        <v>339</v>
      </c>
      <c r="L100" s="45" t="n">
        <v>39</v>
      </c>
      <c r="M100" s="47" t="str">
        <f aca="false">IF($B100="","(Squadra A)",$B100)</f>
        <v>Iguane Impavide</v>
      </c>
      <c r="N100" s="47" t="n">
        <f aca="false">IF($J100+$L100=0,,IF($J100&gt;$L100,1,0))</f>
        <v>1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0</v>
      </c>
      <c r="Q100" s="47" t="n">
        <f aca="false">IF($J100+$L100=0,,$J100)</f>
        <v>64</v>
      </c>
      <c r="R100" s="47" t="n">
        <f aca="false">IF($J100+$L100=0,,$L100)</f>
        <v>39</v>
      </c>
      <c r="S100" s="47" t="n">
        <f aca="false">IF($J100+$L100=0,,$J100-$L100)</f>
        <v>25</v>
      </c>
      <c r="T100" s="47" t="str">
        <f aca="false">IF($D100="","(Squadra B)",$D100)</f>
        <v>Nutrie Nervose</v>
      </c>
      <c r="U100" s="47" t="n">
        <f aca="false">IF($J100+$L100=0,,IF($L100&gt;$J100,1,0))</f>
        <v>0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1</v>
      </c>
      <c r="X100" s="47" t="n">
        <f aca="false">IF($J100+$L100=0,,$L100)</f>
        <v>39</v>
      </c>
      <c r="Y100" s="47" t="n">
        <f aca="false">IF($J100+$L100=0,,$J100)</f>
        <v>64</v>
      </c>
      <c r="Z100" s="47" t="n">
        <f aca="false">IF($J100+$L100=0,,$L100-$J100)</f>
        <v>-25</v>
      </c>
      <c r="AA100" s="47" t="str">
        <f aca="false">IF($J100+$L100=0,"(Vincente)",IF($J100&gt;$L100,$B100,$D100))</f>
        <v>Iguane Impavide</v>
      </c>
      <c r="AB100" s="47" t="str">
        <f aca="false">IF($J100+$L100=0,"(Perdente)",IF($J100&lt;$L100,$B100,$D100))</f>
        <v>Nutrie Nervose</v>
      </c>
    </row>
    <row r="101" customFormat="false" ht="15.75" hidden="false" customHeight="true" outlineLevel="0" collapsed="false">
      <c r="A101" s="64"/>
      <c r="B101" s="48" t="str">
        <f aca="false">IF(I101="","",HYPERLINK(VLOOKUP(I101,areaCampiSquadre,3,FALSE()),VLOOKUP(I101,areaCampiSquadre,2,FALSE())))</f>
        <v>PalaNutrie, Via dello Sport 11, Nutrieopoli NE</v>
      </c>
      <c r="C101" s="48"/>
      <c r="D101" s="48"/>
      <c r="E101" s="48"/>
      <c r="F101" s="48"/>
      <c r="G101" s="48"/>
      <c r="H101" s="48"/>
      <c r="I101" s="43" t="s">
        <v>111</v>
      </c>
      <c r="J101" s="45"/>
      <c r="K101" s="45"/>
      <c r="L101" s="45"/>
    </row>
    <row r="102" customFormat="false" ht="12.75" hidden="false" customHeight="true" outlineLevel="0" collapsed="false">
      <c r="A102" s="63" t="s">
        <v>334</v>
      </c>
      <c r="B102" s="63" t="s">
        <v>317</v>
      </c>
      <c r="C102" s="63"/>
      <c r="D102" s="63" t="s">
        <v>324</v>
      </c>
      <c r="E102" s="63"/>
      <c r="F102" s="63" t="s">
        <v>335</v>
      </c>
      <c r="G102" s="63" t="s">
        <v>336</v>
      </c>
      <c r="H102" s="63" t="s">
        <v>337</v>
      </c>
      <c r="I102" s="63"/>
      <c r="J102" s="63" t="s">
        <v>338</v>
      </c>
      <c r="K102" s="63"/>
      <c r="L102" s="63"/>
    </row>
    <row r="103" customFormat="false" ht="24" hidden="false" customHeight="true" outlineLevel="0" collapsed="false">
      <c r="A103" s="64" t="n">
        <f aca="false">MAX(A$10:A102)+1</f>
        <v>112</v>
      </c>
      <c r="B103" s="42" t="str">
        <f aca="false">IF(C103="","",IFERROR(LEFT(VLOOKUP(C103,areaNomiSquadre,2,FALSE()),FIND("-",VLOOKUP(C103,areaNomiSquadre,2,FALSE()))-1),""))</f>
        <v>Manguste Mordaci</v>
      </c>
      <c r="C103" s="43" t="s">
        <v>109</v>
      </c>
      <c r="D103" s="42" t="str">
        <f aca="false">IF(E103="","",IFERROR(LEFT(VLOOKUP(E103,areaNomiSquadre,2,FALSE()),FIND("-",VLOOKUP(E103,areaNomiSquadre,2,FALSE()))-1),""))</f>
        <v>Lontre Loquaci</v>
      </c>
      <c r="E103" s="43" t="s">
        <v>107</v>
      </c>
      <c r="F103" s="44" t="n">
        <v>46453.7083333333</v>
      </c>
      <c r="G103" s="44"/>
      <c r="H103" s="44"/>
      <c r="I103" s="44"/>
      <c r="J103" s="45" t="n">
        <v>51</v>
      </c>
      <c r="K103" s="46" t="s">
        <v>339</v>
      </c>
      <c r="L103" s="45" t="n">
        <v>67</v>
      </c>
      <c r="M103" s="47" t="str">
        <f aca="false">IF($B103="","(Squadra A)",$B103)</f>
        <v>Manguste Mordaci</v>
      </c>
      <c r="N103" s="47" t="n">
        <f aca="false">IF($J103+$L103=0,,IF($J103&gt;$L103,1,0))</f>
        <v>0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1</v>
      </c>
      <c r="Q103" s="47" t="n">
        <f aca="false">IF($J103+$L103=0,,$J103)</f>
        <v>51</v>
      </c>
      <c r="R103" s="47" t="n">
        <f aca="false">IF($J103+$L103=0,,$L103)</f>
        <v>67</v>
      </c>
      <c r="S103" s="47" t="n">
        <f aca="false">IF($J103+$L103=0,,$J103-$L103)</f>
        <v>-16</v>
      </c>
      <c r="T103" s="47" t="str">
        <f aca="false">IF($D103="","(Squadra B)",$D103)</f>
        <v>Lontre Loquaci</v>
      </c>
      <c r="U103" s="47" t="n">
        <f aca="false">IF($J103+$L103=0,,IF($L103&gt;$J103,1,0))</f>
        <v>1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0</v>
      </c>
      <c r="X103" s="47" t="n">
        <f aca="false">IF($J103+$L103=0,,$L103)</f>
        <v>67</v>
      </c>
      <c r="Y103" s="47" t="n">
        <f aca="false">IF($J103+$L103=0,,$J103)</f>
        <v>51</v>
      </c>
      <c r="Z103" s="47" t="n">
        <f aca="false">IF($J103+$L103=0,,$L103-$J103)</f>
        <v>16</v>
      </c>
      <c r="AA103" s="47" t="str">
        <f aca="false">IF($J103+$L103=0,"(Vincente)",IF($J103&gt;$L103,$B103,$D103))</f>
        <v>Lontre Loquaci</v>
      </c>
      <c r="AB103" s="47" t="str">
        <f aca="false">IF($J103+$L103=0,"(Perdente)",IF($J103&lt;$L103,$B103,$D103))</f>
        <v>Manguste Mordaci</v>
      </c>
    </row>
    <row r="104" customFormat="false" ht="15.75" hidden="false" customHeight="true" outlineLevel="0" collapsed="false">
      <c r="A104" s="64"/>
      <c r="B104" s="48" t="str">
        <f aca="false">IF(I104="","",HYPERLINK(VLOOKUP(I104,areaCampiSquadre,3,FALSE()),VLOOKUP(I104,areaCampiSquadre,2,FALSE())))</f>
        <v>PalaNutrie, Via dello Sport 11, Nutrieopoli NE</v>
      </c>
      <c r="C104" s="48"/>
      <c r="D104" s="48"/>
      <c r="E104" s="48"/>
      <c r="F104" s="48"/>
      <c r="G104" s="48"/>
      <c r="H104" s="48"/>
      <c r="I104" s="43" t="s">
        <v>111</v>
      </c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346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3C98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>Campionato Baskin Demo - ESEMPIO COMPILATO 64 Squadre</v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65" t="str">
        <f aca="false">"GIRONE E - Stagione "&amp;constStagionaCampionato</f>
        <v>GIRONE E - Stagione 2026/2027</v>
      </c>
      <c r="B3" s="65"/>
      <c r="C3" s="65"/>
      <c r="D3" s="65"/>
    </row>
    <row r="6" customFormat="false" ht="15" hidden="false" customHeight="false" outlineLevel="0" collapsed="false">
      <c r="M6" s="37" t="s">
        <v>317</v>
      </c>
      <c r="N6" s="37" t="s">
        <v>318</v>
      </c>
      <c r="O6" s="37" t="s">
        <v>319</v>
      </c>
      <c r="P6" s="37" t="s">
        <v>320</v>
      </c>
      <c r="Q6" s="37" t="s">
        <v>321</v>
      </c>
      <c r="R6" s="37" t="s">
        <v>322</v>
      </c>
      <c r="S6" s="37" t="s">
        <v>323</v>
      </c>
      <c r="T6" s="37" t="s">
        <v>324</v>
      </c>
      <c r="U6" s="37" t="s">
        <v>325</v>
      </c>
      <c r="V6" s="37" t="s">
        <v>326</v>
      </c>
      <c r="W6" s="37" t="s">
        <v>327</v>
      </c>
      <c r="X6" s="37" t="s">
        <v>328</v>
      </c>
      <c r="Y6" s="37" t="s">
        <v>329</v>
      </c>
      <c r="Z6" s="37" t="s">
        <v>330</v>
      </c>
      <c r="AA6" s="37" t="s">
        <v>331</v>
      </c>
      <c r="AB6" s="37" t="s">
        <v>332</v>
      </c>
    </row>
    <row r="8" customFormat="false" ht="19.5" hidden="false" customHeight="true" outlineLevel="0" collapsed="false">
      <c r="A8" s="66" t="s">
        <v>368</v>
      </c>
      <c r="B8" s="67" t="str">
        <f aca="false">"GIORNATA "&amp;ROMAN(VALUE(LEFT(A8,LEN(A8)-1)))&amp;" - GIRONE "&amp;RIGHT(A8,1)</f>
        <v>GIORNATA I - GIRONE E</v>
      </c>
      <c r="C8" s="67"/>
      <c r="D8" s="67"/>
      <c r="E8" s="67"/>
      <c r="F8" s="67"/>
      <c r="G8" s="67"/>
      <c r="H8" s="67"/>
      <c r="I8" s="67"/>
      <c r="J8" s="67"/>
      <c r="K8" s="67"/>
      <c r="L8" s="67"/>
    </row>
    <row r="9" customFormat="false" ht="12.75" hidden="false" customHeight="true" outlineLevel="0" collapsed="false">
      <c r="A9" s="68" t="s">
        <v>334</v>
      </c>
      <c r="B9" s="68" t="s">
        <v>317</v>
      </c>
      <c r="C9" s="68"/>
      <c r="D9" s="68" t="s">
        <v>324</v>
      </c>
      <c r="E9" s="68"/>
      <c r="F9" s="68" t="s">
        <v>335</v>
      </c>
      <c r="G9" s="68" t="s">
        <v>336</v>
      </c>
      <c r="H9" s="68" t="s">
        <v>337</v>
      </c>
      <c r="I9" s="68"/>
      <c r="J9" s="68" t="s">
        <v>338</v>
      </c>
      <c r="K9" s="68"/>
      <c r="L9" s="68"/>
    </row>
    <row r="10" customFormat="false" ht="24" hidden="false" customHeight="true" outlineLevel="0" collapsed="false">
      <c r="A10" s="69" t="n">
        <v>113</v>
      </c>
      <c r="B10" s="42" t="str">
        <f aca="false">IF(C10="","",IFERROR(LEFT(VLOOKUP(C10,areaNomiSquadre,2,FALSE()),FIND("-",VLOOKUP(C10,areaNomiSquadre,2,FALSE()))-1),""))</f>
        <v>Pipistrelli Pensierosi</v>
      </c>
      <c r="C10" s="43" t="s">
        <v>115</v>
      </c>
      <c r="D10" s="42" t="str">
        <f aca="false">IF(E10="","",IFERROR(LEFT(VLOOKUP(E10,areaNomiSquadre,2,FALSE()),FIND("-",VLOOKUP(E10,areaNomiSquadre,2,FALSE()))-1),""))</f>
        <v>Zibetti Zuccherini</v>
      </c>
      <c r="E10" s="43" t="s">
        <v>130</v>
      </c>
      <c r="F10" s="44" t="n">
        <v>46313.3958333333</v>
      </c>
      <c r="G10" s="44"/>
      <c r="H10" s="44"/>
      <c r="I10" s="44"/>
      <c r="J10" s="45" t="n">
        <v>56</v>
      </c>
      <c r="K10" s="46" t="s">
        <v>339</v>
      </c>
      <c r="L10" s="45" t="n">
        <v>81</v>
      </c>
      <c r="M10" s="47" t="str">
        <f aca="false">IF($B10="","(Squadra A)",$B10)</f>
        <v>Pipistrelli Pensierosi</v>
      </c>
      <c r="N10" s="47" t="n">
        <f aca="false">IF($J10+$L10=0,,IF($J10&gt;$L10,1,0))</f>
        <v>0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1</v>
      </c>
      <c r="Q10" s="47" t="n">
        <f aca="false">IF($J10+$L10=0,,$J10)</f>
        <v>56</v>
      </c>
      <c r="R10" s="47" t="n">
        <f aca="false">IF($J10+$L10=0,,$L10)</f>
        <v>81</v>
      </c>
      <c r="S10" s="47" t="n">
        <f aca="false">IF($J10+$L10=0,,$J10-$L10)</f>
        <v>-25</v>
      </c>
      <c r="T10" s="47" t="str">
        <f aca="false">IF($D10="","(Squadra B)",$D10)</f>
        <v>Zibetti Zuccherini</v>
      </c>
      <c r="U10" s="47" t="n">
        <f aca="false">IF($J10+$L10=0,,IF($L10&gt;$J10,1,0))</f>
        <v>1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0</v>
      </c>
      <c r="X10" s="47" t="n">
        <f aca="false">IF($J10+$L10=0,,$L10)</f>
        <v>81</v>
      </c>
      <c r="Y10" s="47" t="n">
        <f aca="false">IF($J10+$L10=0,,$J10)</f>
        <v>56</v>
      </c>
      <c r="Z10" s="47" t="n">
        <f aca="false">IF($J10+$L10=0,,$L10-$J10)</f>
        <v>25</v>
      </c>
      <c r="AA10" s="47" t="str">
        <f aca="false">IF($J10+$L10=0,"(Vincente)",IF($J10&gt;$L10,$B10,$D10))</f>
        <v>Zibetti Zuccherini</v>
      </c>
      <c r="AB10" s="47" t="str">
        <f aca="false">IF($J10+$L10=0,"(Perdente)",IF($J10&lt;$L10,$B10,$D10))</f>
        <v>Pipistrelli Pensierosi</v>
      </c>
    </row>
    <row r="11" customFormat="false" ht="15.75" hidden="false" customHeight="true" outlineLevel="0" collapsed="false">
      <c r="A11" s="69"/>
      <c r="B11" s="48" t="str">
        <f aca="false">IF(I11="","",HYPERLINK(VLOOKUP(I11,areaCampiSquadre,3,FALSE()),VLOOKUP(I11,areaCampiSquadre,2,FALSE())))</f>
        <v>PalaPipistrelli, Via dello Sport 13, Pipistrelliopoli PI</v>
      </c>
      <c r="C11" s="48"/>
      <c r="D11" s="48"/>
      <c r="E11" s="48"/>
      <c r="F11" s="48"/>
      <c r="G11" s="48"/>
      <c r="H11" s="48"/>
      <c r="I11" s="43" t="s">
        <v>115</v>
      </c>
      <c r="J11" s="45"/>
      <c r="K11" s="45"/>
      <c r="L11" s="45"/>
    </row>
    <row r="12" customFormat="false" ht="12.75" hidden="false" customHeight="true" outlineLevel="0" collapsed="false">
      <c r="A12" s="68" t="s">
        <v>334</v>
      </c>
      <c r="B12" s="68" t="s">
        <v>317</v>
      </c>
      <c r="C12" s="68"/>
      <c r="D12" s="68" t="s">
        <v>324</v>
      </c>
      <c r="E12" s="68"/>
      <c r="F12" s="68" t="s">
        <v>335</v>
      </c>
      <c r="G12" s="68" t="s">
        <v>336</v>
      </c>
      <c r="H12" s="68" t="s">
        <v>337</v>
      </c>
      <c r="I12" s="68"/>
      <c r="J12" s="68" t="s">
        <v>338</v>
      </c>
      <c r="K12" s="68"/>
      <c r="L12" s="68"/>
    </row>
    <row r="13" customFormat="false" ht="24" hidden="false" customHeight="true" outlineLevel="0" collapsed="false">
      <c r="A13" s="69" t="n">
        <f aca="false">MAX(A$10:A12)+1</f>
        <v>114</v>
      </c>
      <c r="B13" s="42" t="str">
        <f aca="false">IF(C13="","",IFERROR(LEFT(VLOOKUP(C13,areaNomiSquadre,2,FALSE()),FIND("-",VLOOKUP(C13,areaNomiSquadre,2,FALSE()))-1),""))</f>
        <v>Volpi Vorticose</v>
      </c>
      <c r="C13" s="43" t="s">
        <v>128</v>
      </c>
      <c r="D13" s="42" t="str">
        <f aca="false">IF(E13="","",IFERROR(LEFT(VLOOKUP(E13,areaNomiSquadre,2,FALSE()),FIND("-",VLOOKUP(E13,areaNomiSquadre,2,FALSE()))-1),""))</f>
        <v>Quetzal Quotidiani</v>
      </c>
      <c r="E13" s="43" t="s">
        <v>118</v>
      </c>
      <c r="F13" s="44" t="n">
        <v>46313.4791666667</v>
      </c>
      <c r="G13" s="44"/>
      <c r="H13" s="44"/>
      <c r="I13" s="44"/>
      <c r="J13" s="45" t="n">
        <v>55</v>
      </c>
      <c r="K13" s="46" t="s">
        <v>339</v>
      </c>
      <c r="L13" s="45" t="n">
        <v>52</v>
      </c>
      <c r="M13" s="47" t="str">
        <f aca="false">IF($B13="","(Squadra A)",$B13)</f>
        <v>Volpi Vorticose</v>
      </c>
      <c r="N13" s="47" t="n">
        <f aca="false">IF($J13+$L13=0,,IF($J13&gt;$L13,1,0))</f>
        <v>1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47" t="n">
        <f aca="false">IF($J13+$L13=0,,$J13)</f>
        <v>55</v>
      </c>
      <c r="R13" s="47" t="n">
        <f aca="false">IF($J13+$L13=0,,$L13)</f>
        <v>52</v>
      </c>
      <c r="S13" s="47" t="n">
        <f aca="false">IF($J13+$L13=0,,$J13-$L13)</f>
        <v>3</v>
      </c>
      <c r="T13" s="47" t="str">
        <f aca="false">IF($D13="","(Squadra B)",$D13)</f>
        <v>Quetzal Quotidiani</v>
      </c>
      <c r="U13" s="47" t="n">
        <f aca="false">IF($J13+$L13=0,,IF($L13&gt;$J13,1,0))</f>
        <v>0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1</v>
      </c>
      <c r="X13" s="47" t="n">
        <f aca="false">IF($J13+$L13=0,,$L13)</f>
        <v>52</v>
      </c>
      <c r="Y13" s="47" t="n">
        <f aca="false">IF($J13+$L13=0,,$J13)</f>
        <v>55</v>
      </c>
      <c r="Z13" s="47" t="n">
        <f aca="false">IF($J13+$L13=0,,$L13-$J13)</f>
        <v>-3</v>
      </c>
      <c r="AA13" s="47" t="str">
        <f aca="false">IF($J13+$L13=0,"(Vincente)",IF($J13&gt;$L13,$B13,$D13))</f>
        <v>Volpi Vorticose</v>
      </c>
      <c r="AB13" s="47" t="str">
        <f aca="false">IF($J13+$L13=0,"(Perdente)",IF($J13&lt;$L13,$B13,$D13))</f>
        <v>Quetzal Quotidiani</v>
      </c>
    </row>
    <row r="14" customFormat="false" ht="15.75" hidden="false" customHeight="true" outlineLevel="0" collapsed="false">
      <c r="A14" s="69"/>
      <c r="B14" s="48" t="str">
        <f aca="false">IF(I14="","",HYPERLINK(VLOOKUP(I14,areaCampiSquadre,3,FALSE()),VLOOKUP(I14,areaCampiSquadre,2,FALSE())))</f>
        <v>PalaPipistrelli, Via dello Sport 13, Pipistrelliopoli PI</v>
      </c>
      <c r="C14" s="48"/>
      <c r="D14" s="48"/>
      <c r="E14" s="48"/>
      <c r="F14" s="48"/>
      <c r="G14" s="48"/>
      <c r="H14" s="48"/>
      <c r="I14" s="43" t="s">
        <v>115</v>
      </c>
      <c r="J14" s="45"/>
      <c r="K14" s="45"/>
      <c r="L14" s="45"/>
    </row>
    <row r="15" customFormat="false" ht="12.75" hidden="false" customHeight="true" outlineLevel="0" collapsed="false">
      <c r="A15" s="68" t="s">
        <v>334</v>
      </c>
      <c r="B15" s="68" t="s">
        <v>317</v>
      </c>
      <c r="C15" s="68"/>
      <c r="D15" s="68" t="s">
        <v>324</v>
      </c>
      <c r="E15" s="68"/>
      <c r="F15" s="68" t="s">
        <v>335</v>
      </c>
      <c r="G15" s="68" t="s">
        <v>336</v>
      </c>
      <c r="H15" s="68" t="s">
        <v>337</v>
      </c>
      <c r="I15" s="68"/>
      <c r="J15" s="68" t="s">
        <v>338</v>
      </c>
      <c r="K15" s="68"/>
      <c r="L15" s="68"/>
    </row>
    <row r="16" customFormat="false" ht="24" hidden="false" customHeight="true" outlineLevel="0" collapsed="false">
      <c r="A16" s="69" t="n">
        <f aca="false">MAX(A$10:A15)+1</f>
        <v>115</v>
      </c>
      <c r="B16" s="42" t="str">
        <f aca="false">IF(C16="","",IFERROR(LEFT(VLOOKUP(C16,areaNomiSquadre,2,FALSE()),FIND("-",VLOOKUP(C16,areaNomiSquadre,2,FALSE()))-1),""))</f>
        <v>Ricci Rissosi</v>
      </c>
      <c r="C16" s="43" t="s">
        <v>120</v>
      </c>
      <c r="D16" s="42" t="str">
        <f aca="false">IF(E16="","",IFERROR(LEFT(VLOOKUP(E16,areaNomiSquadre,2,FALSE()),FIND("-",VLOOKUP(E16,areaNomiSquadre,2,FALSE()))-1),""))</f>
        <v>Uistiti Ubiqui</v>
      </c>
      <c r="E16" s="43" t="s">
        <v>126</v>
      </c>
      <c r="F16" s="44" t="n">
        <v>46313.625</v>
      </c>
      <c r="G16" s="44"/>
      <c r="H16" s="44"/>
      <c r="I16" s="44"/>
      <c r="J16" s="45" t="n">
        <v>74</v>
      </c>
      <c r="K16" s="46" t="s">
        <v>339</v>
      </c>
      <c r="L16" s="45" t="n">
        <v>51</v>
      </c>
      <c r="M16" s="47" t="str">
        <f aca="false">IF($B16="","(Squadra A)",$B16)</f>
        <v>Ricci Rissosi</v>
      </c>
      <c r="N16" s="47" t="n">
        <f aca="false">IF($J16+$L16=0,,IF($J16&gt;$L16,1,0))</f>
        <v>1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47" t="n">
        <f aca="false">IF($J16+$L16=0,,$J16)</f>
        <v>74</v>
      </c>
      <c r="R16" s="47" t="n">
        <f aca="false">IF($J16+$L16=0,,$L16)</f>
        <v>51</v>
      </c>
      <c r="S16" s="47" t="n">
        <f aca="false">IF($J16+$L16=0,,$J16-$L16)</f>
        <v>23</v>
      </c>
      <c r="T16" s="47" t="str">
        <f aca="false">IF($D16="","(Squadra B)",$D16)</f>
        <v>Uistiti Ubiqui</v>
      </c>
      <c r="U16" s="47" t="n">
        <f aca="false">IF($J16+$L16=0,,IF($L16&gt;$J16,1,0))</f>
        <v>0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1</v>
      </c>
      <c r="X16" s="47" t="n">
        <f aca="false">IF($J16+$L16=0,,$L16)</f>
        <v>51</v>
      </c>
      <c r="Y16" s="47" t="n">
        <f aca="false">IF($J16+$L16=0,,$J16)</f>
        <v>74</v>
      </c>
      <c r="Z16" s="47" t="n">
        <f aca="false">IF($J16+$L16=0,,$L16-$J16)</f>
        <v>-23</v>
      </c>
      <c r="AA16" s="47" t="str">
        <f aca="false">IF($J16+$L16=0,"(Vincente)",IF($J16&gt;$L16,$B16,$D16))</f>
        <v>Ricci Rissosi</v>
      </c>
      <c r="AB16" s="47" t="str">
        <f aca="false">IF($J16+$L16=0,"(Perdente)",IF($J16&lt;$L16,$B16,$D16))</f>
        <v>Uistiti Ubiqui</v>
      </c>
    </row>
    <row r="17" customFormat="false" ht="15.75" hidden="false" customHeight="true" outlineLevel="0" collapsed="false">
      <c r="A17" s="69"/>
      <c r="B17" s="48" t="str">
        <f aca="false">IF(I17="","",HYPERLINK(VLOOKUP(I17,areaCampiSquadre,3,FALSE()),VLOOKUP(I17,areaCampiSquadre,2,FALSE())))</f>
        <v>PalaPipistrelli, Via dello Sport 13, Pipistrelliopoli PI</v>
      </c>
      <c r="C17" s="48"/>
      <c r="D17" s="48"/>
      <c r="E17" s="48"/>
      <c r="F17" s="48"/>
      <c r="G17" s="48"/>
      <c r="H17" s="48"/>
      <c r="I17" s="43" t="s">
        <v>115</v>
      </c>
      <c r="J17" s="45"/>
      <c r="K17" s="45"/>
      <c r="L17" s="45"/>
    </row>
    <row r="18" customFormat="false" ht="12.75" hidden="false" customHeight="true" outlineLevel="0" collapsed="false">
      <c r="A18" s="68" t="s">
        <v>334</v>
      </c>
      <c r="B18" s="68" t="s">
        <v>317</v>
      </c>
      <c r="C18" s="68"/>
      <c r="D18" s="68" t="s">
        <v>324</v>
      </c>
      <c r="E18" s="68"/>
      <c r="F18" s="68" t="s">
        <v>335</v>
      </c>
      <c r="G18" s="68" t="s">
        <v>336</v>
      </c>
      <c r="H18" s="68" t="s">
        <v>337</v>
      </c>
      <c r="I18" s="68"/>
      <c r="J18" s="68" t="s">
        <v>338</v>
      </c>
      <c r="K18" s="68"/>
      <c r="L18" s="68"/>
    </row>
    <row r="19" customFormat="false" ht="24" hidden="false" customHeight="true" outlineLevel="0" collapsed="false">
      <c r="A19" s="69" t="n">
        <f aca="false">MAX(A$10:A18)+1</f>
        <v>116</v>
      </c>
      <c r="B19" s="42" t="str">
        <f aca="false">IF(C19="","",IFERROR(LEFT(VLOOKUP(C19,areaNomiSquadre,2,FALSE()),FIND("-",VLOOKUP(C19,areaNomiSquadre,2,FALSE()))-1),""))</f>
        <v>Tassi Turbolenti</v>
      </c>
      <c r="C19" s="43" t="s">
        <v>124</v>
      </c>
      <c r="D19" s="42" t="str">
        <f aca="false">IF(E19="","",IFERROR(LEFT(VLOOKUP(E19,areaNomiSquadre,2,FALSE()),FIND("-",VLOOKUP(E19,areaNomiSquadre,2,FALSE()))-1),""))</f>
        <v>Scoiattoli Scattanti</v>
      </c>
      <c r="E19" s="43" t="s">
        <v>122</v>
      </c>
      <c r="F19" s="44" t="n">
        <v>46313.7083333333</v>
      </c>
      <c r="G19" s="44"/>
      <c r="H19" s="44"/>
      <c r="I19" s="44"/>
      <c r="J19" s="45" t="n">
        <v>89</v>
      </c>
      <c r="K19" s="46" t="s">
        <v>339</v>
      </c>
      <c r="L19" s="45" t="n">
        <v>55</v>
      </c>
      <c r="M19" s="47" t="str">
        <f aca="false">IF($B19="","(Squadra A)",$B19)</f>
        <v>Tassi Turbolenti</v>
      </c>
      <c r="N19" s="47" t="n">
        <f aca="false">IF($J19+$L19=0,,IF($J19&gt;$L19,1,0))</f>
        <v>1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89</v>
      </c>
      <c r="R19" s="47" t="n">
        <f aca="false">IF($J19+$L19=0,,$L19)</f>
        <v>55</v>
      </c>
      <c r="S19" s="47" t="n">
        <f aca="false">IF($J19+$L19=0,,$J19-$L19)</f>
        <v>34</v>
      </c>
      <c r="T19" s="47" t="str">
        <f aca="false">IF($D19="","(Squadra B)",$D19)</f>
        <v>Scoiattoli Scattanti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1</v>
      </c>
      <c r="X19" s="47" t="n">
        <f aca="false">IF($J19+$L19=0,,$L19)</f>
        <v>55</v>
      </c>
      <c r="Y19" s="47" t="n">
        <f aca="false">IF($J19+$L19=0,,$J19)</f>
        <v>89</v>
      </c>
      <c r="Z19" s="47" t="n">
        <f aca="false">IF($J19+$L19=0,,$L19-$J19)</f>
        <v>-34</v>
      </c>
      <c r="AA19" s="47" t="str">
        <f aca="false">IF($J19+$L19=0,"(Vincente)",IF($J19&gt;$L19,$B19,$D19))</f>
        <v>Tassi Turbolenti</v>
      </c>
      <c r="AB19" s="47" t="str">
        <f aca="false">IF($J19+$L19=0,"(Perdente)",IF($J19&lt;$L19,$B19,$D19))</f>
        <v>Scoiattoli Scattanti</v>
      </c>
    </row>
    <row r="20" customFormat="false" ht="15.75" hidden="false" customHeight="true" outlineLevel="0" collapsed="false">
      <c r="A20" s="69"/>
      <c r="B20" s="48" t="str">
        <f aca="false">IF(I20="","",HYPERLINK(VLOOKUP(I20,areaCampiSquadre,3,FALSE()),VLOOKUP(I20,areaCampiSquadre,2,FALSE())))</f>
        <v>PalaPipistrelli, Via dello Sport 13, Pipistrelliopoli PI</v>
      </c>
      <c r="C20" s="48"/>
      <c r="D20" s="48"/>
      <c r="E20" s="48"/>
      <c r="F20" s="48"/>
      <c r="G20" s="48"/>
      <c r="H20" s="48"/>
      <c r="I20" s="43" t="s">
        <v>115</v>
      </c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66" t="s">
        <v>369</v>
      </c>
      <c r="B22" s="67" t="str">
        <f aca="false">"GIORNATA "&amp;ROMAN(VALUE(LEFT(A22,LEN(A22)-1)))&amp;" - GIRONE "&amp;RIGHT(A22,1)</f>
        <v>GIORNATA II - GIRONE E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customFormat="false" ht="12.75" hidden="false" customHeight="true" outlineLevel="0" collapsed="false">
      <c r="A23" s="68" t="s">
        <v>334</v>
      </c>
      <c r="B23" s="68" t="s">
        <v>317</v>
      </c>
      <c r="C23" s="68"/>
      <c r="D23" s="68" t="s">
        <v>324</v>
      </c>
      <c r="E23" s="68"/>
      <c r="F23" s="68" t="s">
        <v>335</v>
      </c>
      <c r="G23" s="68" t="s">
        <v>336</v>
      </c>
      <c r="H23" s="68" t="s">
        <v>337</v>
      </c>
      <c r="I23" s="68"/>
      <c r="J23" s="68" t="s">
        <v>338</v>
      </c>
      <c r="K23" s="68"/>
      <c r="L23" s="68"/>
    </row>
    <row r="24" customFormat="false" ht="24" hidden="false" customHeight="true" outlineLevel="0" collapsed="false">
      <c r="A24" s="69" t="n">
        <f aca="false">MAX(A$10:A23)+1</f>
        <v>117</v>
      </c>
      <c r="B24" s="42" t="str">
        <f aca="false">IF(C24="","",IFERROR(LEFT(VLOOKUP(C24,areaNomiSquadre,2,FALSE()),FIND("-",VLOOKUP(C24,areaNomiSquadre,2,FALSE()))-1),""))</f>
        <v>Volpi Vorticose</v>
      </c>
      <c r="C24" s="43" t="s">
        <v>128</v>
      </c>
      <c r="D24" s="42" t="str">
        <f aca="false">IF(E24="","",IFERROR(LEFT(VLOOKUP(E24,areaNomiSquadre,2,FALSE()),FIND("-",VLOOKUP(E24,areaNomiSquadre,2,FALSE()))-1),""))</f>
        <v>Pipistrelli Pensierosi</v>
      </c>
      <c r="E24" s="43" t="s">
        <v>115</v>
      </c>
      <c r="F24" s="44" t="n">
        <v>46334.3958333333</v>
      </c>
      <c r="G24" s="44"/>
      <c r="H24" s="44"/>
      <c r="I24" s="44"/>
      <c r="J24" s="45" t="n">
        <v>69</v>
      </c>
      <c r="K24" s="46" t="s">
        <v>339</v>
      </c>
      <c r="L24" s="45" t="n">
        <v>57</v>
      </c>
      <c r="M24" s="47" t="str">
        <f aca="false">IF($B24="","(Squadra A)",$B24)</f>
        <v>Volpi Vorticose</v>
      </c>
      <c r="N24" s="47" t="n">
        <f aca="false">IF($J24+$L24=0,,IF($J24&gt;$L24,1,0))</f>
        <v>1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0</v>
      </c>
      <c r="Q24" s="47" t="n">
        <f aca="false">IF($J24+$L24=0,,$J24)</f>
        <v>69</v>
      </c>
      <c r="R24" s="47" t="n">
        <f aca="false">IF($J24+$L24=0,,$L24)</f>
        <v>57</v>
      </c>
      <c r="S24" s="47" t="n">
        <f aca="false">IF($J24+$L24=0,,$J24-$L24)</f>
        <v>12</v>
      </c>
      <c r="T24" s="47" t="str">
        <f aca="false">IF($D24="","(Squadra B)",$D24)</f>
        <v>Pipistrelli Pensierosi</v>
      </c>
      <c r="U24" s="47" t="n">
        <f aca="false">IF($J24+$L24=0,,IF($L24&gt;$J24,1,0))</f>
        <v>0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1</v>
      </c>
      <c r="X24" s="47" t="n">
        <f aca="false">IF($J24+$L24=0,,$L24)</f>
        <v>57</v>
      </c>
      <c r="Y24" s="47" t="n">
        <f aca="false">IF($J24+$L24=0,,$J24)</f>
        <v>69</v>
      </c>
      <c r="Z24" s="47" t="n">
        <f aca="false">IF($J24+$L24=0,,$L24-$J24)</f>
        <v>-12</v>
      </c>
      <c r="AA24" s="47" t="str">
        <f aca="false">IF($J24+$L24=0,"(Vincente)",IF($J24&gt;$L24,$B24,$D24))</f>
        <v>Volpi Vorticose</v>
      </c>
      <c r="AB24" s="47" t="str">
        <f aca="false">IF($J24+$L24=0,"(Perdente)",IF($J24&lt;$L24,$B24,$D24))</f>
        <v>Pipistrelli Pensierosi</v>
      </c>
    </row>
    <row r="25" customFormat="false" ht="15.75" hidden="false" customHeight="true" outlineLevel="0" collapsed="false">
      <c r="A25" s="69"/>
      <c r="B25" s="48" t="str">
        <f aca="false">IF(I25="","",HYPERLINK(VLOOKUP(I25,areaCampiSquadre,3,FALSE()),VLOOKUP(I25,areaCampiSquadre,2,FALSE())))</f>
        <v>PalaQuetzal, Via dello Sport 14, Quetzalopoli QL</v>
      </c>
      <c r="C25" s="48"/>
      <c r="D25" s="48"/>
      <c r="E25" s="48"/>
      <c r="F25" s="48"/>
      <c r="G25" s="48"/>
      <c r="H25" s="48"/>
      <c r="I25" s="43" t="s">
        <v>118</v>
      </c>
      <c r="J25" s="45"/>
      <c r="K25" s="45"/>
      <c r="L25" s="45"/>
    </row>
    <row r="26" customFormat="false" ht="12.75" hidden="false" customHeight="true" outlineLevel="0" collapsed="false">
      <c r="A26" s="68" t="s">
        <v>334</v>
      </c>
      <c r="B26" s="68" t="s">
        <v>317</v>
      </c>
      <c r="C26" s="68"/>
      <c r="D26" s="68" t="s">
        <v>324</v>
      </c>
      <c r="E26" s="68"/>
      <c r="F26" s="68" t="s">
        <v>335</v>
      </c>
      <c r="G26" s="68" t="s">
        <v>336</v>
      </c>
      <c r="H26" s="68" t="s">
        <v>337</v>
      </c>
      <c r="I26" s="68"/>
      <c r="J26" s="68" t="s">
        <v>338</v>
      </c>
      <c r="K26" s="68"/>
      <c r="L26" s="68"/>
    </row>
    <row r="27" customFormat="false" ht="24" hidden="false" customHeight="true" outlineLevel="0" collapsed="false">
      <c r="A27" s="69" t="n">
        <f aca="false">MAX(A$10:A26)+1</f>
        <v>118</v>
      </c>
      <c r="B27" s="42" t="str">
        <f aca="false">IF(C27="","",IFERROR(LEFT(VLOOKUP(C27,areaNomiSquadre,2,FALSE()),FIND("-",VLOOKUP(C27,areaNomiSquadre,2,FALSE()))-1),""))</f>
        <v>Zibetti Zuccherini</v>
      </c>
      <c r="C27" s="43" t="s">
        <v>130</v>
      </c>
      <c r="D27" s="42" t="str">
        <f aca="false">IF(E27="","",IFERROR(LEFT(VLOOKUP(E27,areaNomiSquadre,2,FALSE()),FIND("-",VLOOKUP(E27,areaNomiSquadre,2,FALSE()))-1),""))</f>
        <v>Uistiti Ubiqui</v>
      </c>
      <c r="E27" s="43" t="s">
        <v>126</v>
      </c>
      <c r="F27" s="44" t="n">
        <v>46334.4791666667</v>
      </c>
      <c r="G27" s="44"/>
      <c r="H27" s="44"/>
      <c r="I27" s="44"/>
      <c r="J27" s="45" t="n">
        <v>67</v>
      </c>
      <c r="K27" s="46" t="s">
        <v>339</v>
      </c>
      <c r="L27" s="45" t="n">
        <v>53</v>
      </c>
      <c r="M27" s="47" t="str">
        <f aca="false">IF($B27="","(Squadra A)",$B27)</f>
        <v>Zibetti Zuccherini</v>
      </c>
      <c r="N27" s="47" t="n">
        <f aca="false">IF($J27+$L27=0,,IF($J27&gt;$L27,1,0))</f>
        <v>1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47" t="n">
        <f aca="false">IF($J27+$L27=0,,$J27)</f>
        <v>67</v>
      </c>
      <c r="R27" s="47" t="n">
        <f aca="false">IF($J27+$L27=0,,$L27)</f>
        <v>53</v>
      </c>
      <c r="S27" s="47" t="n">
        <f aca="false">IF($J27+$L27=0,,$J27-$L27)</f>
        <v>14</v>
      </c>
      <c r="T27" s="47" t="str">
        <f aca="false">IF($D27="","(Squadra B)",$D27)</f>
        <v>Uistiti Ubiqui</v>
      </c>
      <c r="U27" s="47" t="n">
        <f aca="false">IF($J27+$L27=0,,IF($L27&gt;$J27,1,0))</f>
        <v>0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1</v>
      </c>
      <c r="X27" s="47" t="n">
        <f aca="false">IF($J27+$L27=0,,$L27)</f>
        <v>53</v>
      </c>
      <c r="Y27" s="47" t="n">
        <f aca="false">IF($J27+$L27=0,,$J27)</f>
        <v>67</v>
      </c>
      <c r="Z27" s="47" t="n">
        <f aca="false">IF($J27+$L27=0,,$L27-$J27)</f>
        <v>-14</v>
      </c>
      <c r="AA27" s="47" t="str">
        <f aca="false">IF($J27+$L27=0,"(Vincente)",IF($J27&gt;$L27,$B27,$D27))</f>
        <v>Zibetti Zuccherini</v>
      </c>
      <c r="AB27" s="47" t="str">
        <f aca="false">IF($J27+$L27=0,"(Perdente)",IF($J27&lt;$L27,$B27,$D27))</f>
        <v>Uistiti Ubiqui</v>
      </c>
    </row>
    <row r="28" customFormat="false" ht="15.75" hidden="false" customHeight="true" outlineLevel="0" collapsed="false">
      <c r="A28" s="69"/>
      <c r="B28" s="48" t="str">
        <f aca="false">IF(I28="","",HYPERLINK(VLOOKUP(I28,areaCampiSquadre,3,FALSE()),VLOOKUP(I28,areaCampiSquadre,2,FALSE())))</f>
        <v>PalaQuetzal, Via dello Sport 14, Quetzalopoli QL</v>
      </c>
      <c r="C28" s="48"/>
      <c r="D28" s="48"/>
      <c r="E28" s="48"/>
      <c r="F28" s="48"/>
      <c r="G28" s="48"/>
      <c r="H28" s="48"/>
      <c r="I28" s="43" t="s">
        <v>118</v>
      </c>
      <c r="J28" s="45"/>
      <c r="K28" s="45"/>
      <c r="L28" s="45"/>
    </row>
    <row r="29" customFormat="false" ht="12.75" hidden="false" customHeight="true" outlineLevel="0" collapsed="false">
      <c r="A29" s="68" t="s">
        <v>334</v>
      </c>
      <c r="B29" s="68" t="s">
        <v>317</v>
      </c>
      <c r="C29" s="68"/>
      <c r="D29" s="68" t="s">
        <v>324</v>
      </c>
      <c r="E29" s="68"/>
      <c r="F29" s="68" t="s">
        <v>335</v>
      </c>
      <c r="G29" s="68" t="s">
        <v>336</v>
      </c>
      <c r="H29" s="68" t="s">
        <v>337</v>
      </c>
      <c r="I29" s="68"/>
      <c r="J29" s="68" t="s">
        <v>338</v>
      </c>
      <c r="K29" s="68"/>
      <c r="L29" s="68"/>
    </row>
    <row r="30" customFormat="false" ht="24" hidden="false" customHeight="true" outlineLevel="0" collapsed="false">
      <c r="A30" s="69" t="n">
        <f aca="false">MAX(A$10:A29)+1</f>
        <v>119</v>
      </c>
      <c r="B30" s="42" t="str">
        <f aca="false">IF(C30="","",IFERROR(LEFT(VLOOKUP(C30,areaNomiSquadre,2,FALSE()),FIND("-",VLOOKUP(C30,areaNomiSquadre,2,FALSE()))-1),""))</f>
        <v>Tassi Turbolenti</v>
      </c>
      <c r="C30" s="43" t="s">
        <v>124</v>
      </c>
      <c r="D30" s="42" t="str">
        <f aca="false">IF(E30="","",IFERROR(LEFT(VLOOKUP(E30,areaNomiSquadre,2,FALSE()),FIND("-",VLOOKUP(E30,areaNomiSquadre,2,FALSE()))-1),""))</f>
        <v>Quetzal Quotidiani</v>
      </c>
      <c r="E30" s="43" t="s">
        <v>118</v>
      </c>
      <c r="F30" s="44" t="n">
        <v>46334.625</v>
      </c>
      <c r="G30" s="44"/>
      <c r="H30" s="44"/>
      <c r="I30" s="44"/>
      <c r="J30" s="45" t="n">
        <v>68</v>
      </c>
      <c r="K30" s="46" t="s">
        <v>339</v>
      </c>
      <c r="L30" s="45" t="n">
        <v>60</v>
      </c>
      <c r="M30" s="47" t="str">
        <f aca="false">IF($B30="","(Squadra A)",$B30)</f>
        <v>Tassi Turbolenti</v>
      </c>
      <c r="N30" s="47" t="n">
        <f aca="false">IF($J30+$L30=0,,IF($J30&gt;$L30,1,0))</f>
        <v>1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47" t="n">
        <f aca="false">IF($J30+$L30=0,,$J30)</f>
        <v>68</v>
      </c>
      <c r="R30" s="47" t="n">
        <f aca="false">IF($J30+$L30=0,,$L30)</f>
        <v>60</v>
      </c>
      <c r="S30" s="47" t="n">
        <f aca="false">IF($J30+$L30=0,,$J30-$L30)</f>
        <v>8</v>
      </c>
      <c r="T30" s="47" t="str">
        <f aca="false">IF($D30="","(Squadra B)",$D30)</f>
        <v>Quetzal Quotidiani</v>
      </c>
      <c r="U30" s="47" t="n">
        <f aca="false">IF($J30+$L30=0,,IF($L30&gt;$J30,1,0))</f>
        <v>0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1</v>
      </c>
      <c r="X30" s="47" t="n">
        <f aca="false">IF($J30+$L30=0,,$L30)</f>
        <v>60</v>
      </c>
      <c r="Y30" s="47" t="n">
        <f aca="false">IF($J30+$L30=0,,$J30)</f>
        <v>68</v>
      </c>
      <c r="Z30" s="47" t="n">
        <f aca="false">IF($J30+$L30=0,,$L30-$J30)</f>
        <v>-8</v>
      </c>
      <c r="AA30" s="47" t="str">
        <f aca="false">IF($J30+$L30=0,"(Vincente)",IF($J30&gt;$L30,$B30,$D30))</f>
        <v>Tassi Turbolenti</v>
      </c>
      <c r="AB30" s="47" t="str">
        <f aca="false">IF($J30+$L30=0,"(Perdente)",IF($J30&lt;$L30,$B30,$D30))</f>
        <v>Quetzal Quotidiani</v>
      </c>
    </row>
    <row r="31" customFormat="false" ht="15.75" hidden="false" customHeight="true" outlineLevel="0" collapsed="false">
      <c r="A31" s="69"/>
      <c r="B31" s="48" t="str">
        <f aca="false">IF(I31="","",HYPERLINK(VLOOKUP(I31,areaCampiSquadre,3,FALSE()),VLOOKUP(I31,areaCampiSquadre,2,FALSE())))</f>
        <v>PalaQuetzal, Via dello Sport 14, Quetzalopoli QL</v>
      </c>
      <c r="C31" s="48"/>
      <c r="D31" s="48"/>
      <c r="E31" s="48"/>
      <c r="F31" s="48"/>
      <c r="G31" s="48"/>
      <c r="H31" s="48"/>
      <c r="I31" s="43" t="s">
        <v>118</v>
      </c>
      <c r="J31" s="45"/>
      <c r="K31" s="45"/>
      <c r="L31" s="45"/>
    </row>
    <row r="32" customFormat="false" ht="12.75" hidden="false" customHeight="true" outlineLevel="0" collapsed="false">
      <c r="A32" s="68" t="s">
        <v>334</v>
      </c>
      <c r="B32" s="68" t="s">
        <v>317</v>
      </c>
      <c r="C32" s="68"/>
      <c r="D32" s="68" t="s">
        <v>324</v>
      </c>
      <c r="E32" s="68"/>
      <c r="F32" s="68" t="s">
        <v>335</v>
      </c>
      <c r="G32" s="68" t="s">
        <v>336</v>
      </c>
      <c r="H32" s="68" t="s">
        <v>337</v>
      </c>
      <c r="I32" s="68"/>
      <c r="J32" s="68" t="s">
        <v>338</v>
      </c>
      <c r="K32" s="68"/>
      <c r="L32" s="68"/>
    </row>
    <row r="33" customFormat="false" ht="24" hidden="false" customHeight="true" outlineLevel="0" collapsed="false">
      <c r="A33" s="69" t="n">
        <f aca="false">MAX(A$10:A32)+1</f>
        <v>120</v>
      </c>
      <c r="B33" s="42" t="str">
        <f aca="false">IF(C33="","",IFERROR(LEFT(VLOOKUP(C33,areaNomiSquadre,2,FALSE()),FIND("-",VLOOKUP(C33,areaNomiSquadre,2,FALSE()))-1),""))</f>
        <v>Ricci Rissosi</v>
      </c>
      <c r="C33" s="43" t="s">
        <v>120</v>
      </c>
      <c r="D33" s="42" t="str">
        <f aca="false">IF(E33="","",IFERROR(LEFT(VLOOKUP(E33,areaNomiSquadre,2,FALSE()),FIND("-",VLOOKUP(E33,areaNomiSquadre,2,FALSE()))-1),""))</f>
        <v>Scoiattoli Scattanti</v>
      </c>
      <c r="E33" s="43" t="s">
        <v>122</v>
      </c>
      <c r="F33" s="44" t="n">
        <v>46334.7083333333</v>
      </c>
      <c r="G33" s="44"/>
      <c r="H33" s="44"/>
      <c r="I33" s="44"/>
      <c r="J33" s="45" t="n">
        <v>62</v>
      </c>
      <c r="K33" s="46" t="s">
        <v>339</v>
      </c>
      <c r="L33" s="45" t="n">
        <v>78</v>
      </c>
      <c r="M33" s="47" t="str">
        <f aca="false">IF($B33="","(Squadra A)",$B33)</f>
        <v>Ricci Rissosi</v>
      </c>
      <c r="N33" s="47" t="n">
        <f aca="false">IF($J33+$L33=0,,IF($J33&gt;$L33,1,0))</f>
        <v>0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1</v>
      </c>
      <c r="Q33" s="47" t="n">
        <f aca="false">IF($J33+$L33=0,,$J33)</f>
        <v>62</v>
      </c>
      <c r="R33" s="47" t="n">
        <f aca="false">IF($J33+$L33=0,,$L33)</f>
        <v>78</v>
      </c>
      <c r="S33" s="47" t="n">
        <f aca="false">IF($J33+$L33=0,,$J33-$L33)</f>
        <v>-16</v>
      </c>
      <c r="T33" s="47" t="str">
        <f aca="false">IF($D33="","(Squadra B)",$D33)</f>
        <v>Scoiattoli Scattanti</v>
      </c>
      <c r="U33" s="47" t="n">
        <f aca="false">IF($J33+$L33=0,,IF($L33&gt;$J33,1,0))</f>
        <v>1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0</v>
      </c>
      <c r="X33" s="47" t="n">
        <f aca="false">IF($J33+$L33=0,,$L33)</f>
        <v>78</v>
      </c>
      <c r="Y33" s="47" t="n">
        <f aca="false">IF($J33+$L33=0,,$J33)</f>
        <v>62</v>
      </c>
      <c r="Z33" s="47" t="n">
        <f aca="false">IF($J33+$L33=0,,$L33-$J33)</f>
        <v>16</v>
      </c>
      <c r="AA33" s="47" t="str">
        <f aca="false">IF($J33+$L33=0,"(Vincente)",IF($J33&gt;$L33,$B33,$D33))</f>
        <v>Scoiattoli Scattanti</v>
      </c>
      <c r="AB33" s="47" t="str">
        <f aca="false">IF($J33+$L33=0,"(Perdente)",IF($J33&lt;$L33,$B33,$D33))</f>
        <v>Ricci Rissosi</v>
      </c>
    </row>
    <row r="34" customFormat="false" ht="15.75" hidden="false" customHeight="true" outlineLevel="0" collapsed="false">
      <c r="A34" s="69"/>
      <c r="B34" s="48" t="str">
        <f aca="false">IF(I34="","",HYPERLINK(VLOOKUP(I34,areaCampiSquadre,3,FALSE()),VLOOKUP(I34,areaCampiSquadre,2,FALSE())))</f>
        <v>PalaQuetzal, Via dello Sport 14, Quetzalopoli QL</v>
      </c>
      <c r="C34" s="48"/>
      <c r="D34" s="48"/>
      <c r="E34" s="48"/>
      <c r="F34" s="48"/>
      <c r="G34" s="48"/>
      <c r="H34" s="48"/>
      <c r="I34" s="43" t="s">
        <v>118</v>
      </c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66" t="s">
        <v>370</v>
      </c>
      <c r="B36" s="67" t="str">
        <f aca="false">"GIORNATA "&amp;ROMAN(VALUE(LEFT(A36,LEN(A36)-1)))&amp;" - GIRONE "&amp;RIGHT(A36,1)</f>
        <v>GIORNATA III - GIRONE E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customFormat="false" ht="12.75" hidden="false" customHeight="true" outlineLevel="0" collapsed="false">
      <c r="A37" s="68" t="s">
        <v>334</v>
      </c>
      <c r="B37" s="68" t="s">
        <v>317</v>
      </c>
      <c r="C37" s="68"/>
      <c r="D37" s="68" t="s">
        <v>324</v>
      </c>
      <c r="E37" s="68"/>
      <c r="F37" s="68" t="s">
        <v>335</v>
      </c>
      <c r="G37" s="68" t="s">
        <v>336</v>
      </c>
      <c r="H37" s="68" t="s">
        <v>337</v>
      </c>
      <c r="I37" s="68"/>
      <c r="J37" s="68" t="s">
        <v>338</v>
      </c>
      <c r="K37" s="68"/>
      <c r="L37" s="68"/>
    </row>
    <row r="38" customFormat="false" ht="24" hidden="false" customHeight="true" outlineLevel="0" collapsed="false">
      <c r="A38" s="69" t="n">
        <f aca="false">MAX(A$10:A37)+1</f>
        <v>121</v>
      </c>
      <c r="B38" s="42" t="str">
        <f aca="false">IF(C38="","",IFERROR(LEFT(VLOOKUP(C38,areaNomiSquadre,2,FALSE()),FIND("-",VLOOKUP(C38,areaNomiSquadre,2,FALSE()))-1),""))</f>
        <v>Pipistrelli Pensierosi</v>
      </c>
      <c r="C38" s="43" t="s">
        <v>115</v>
      </c>
      <c r="D38" s="42" t="str">
        <f aca="false">IF(E38="","",IFERROR(LEFT(VLOOKUP(E38,areaNomiSquadre,2,FALSE()),FIND("-",VLOOKUP(E38,areaNomiSquadre,2,FALSE()))-1),""))</f>
        <v>Uistiti Ubiqui</v>
      </c>
      <c r="E38" s="43" t="s">
        <v>126</v>
      </c>
      <c r="F38" s="44" t="n">
        <v>46355.3958333333</v>
      </c>
      <c r="G38" s="44"/>
      <c r="H38" s="44"/>
      <c r="I38" s="44"/>
      <c r="J38" s="45" t="n">
        <v>71</v>
      </c>
      <c r="K38" s="46" t="s">
        <v>339</v>
      </c>
      <c r="L38" s="45" t="n">
        <v>52</v>
      </c>
      <c r="M38" s="47" t="str">
        <f aca="false">IF($B38="","(Squadra A)",$B38)</f>
        <v>Pipistrelli Pensierosi</v>
      </c>
      <c r="N38" s="47" t="n">
        <f aca="false">IF($J38+$L38=0,,IF($J38&gt;$L38,1,0))</f>
        <v>1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71</v>
      </c>
      <c r="R38" s="47" t="n">
        <f aca="false">IF($J38+$L38=0,,$L38)</f>
        <v>52</v>
      </c>
      <c r="S38" s="47" t="n">
        <f aca="false">IF($J38+$L38=0,,$J38-$L38)</f>
        <v>19</v>
      </c>
      <c r="T38" s="47" t="str">
        <f aca="false">IF($D38="","(Squadra B)",$D38)</f>
        <v>Uistiti Ubiqui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1</v>
      </c>
      <c r="X38" s="47" t="n">
        <f aca="false">IF($J38+$L38=0,,$L38)</f>
        <v>52</v>
      </c>
      <c r="Y38" s="47" t="n">
        <f aca="false">IF($J38+$L38=0,,$J38)</f>
        <v>71</v>
      </c>
      <c r="Z38" s="47" t="n">
        <f aca="false">IF($J38+$L38=0,,$L38-$J38)</f>
        <v>-19</v>
      </c>
      <c r="AA38" s="47" t="str">
        <f aca="false">IF($J38+$L38=0,"(Vincente)",IF($J38&gt;$L38,$B38,$D38))</f>
        <v>Pipistrelli Pensierosi</v>
      </c>
      <c r="AB38" s="47" t="str">
        <f aca="false">IF($J38+$L38=0,"(Perdente)",IF($J38&lt;$L38,$B38,$D38))</f>
        <v>Uistiti Ubiqui</v>
      </c>
    </row>
    <row r="39" customFormat="false" ht="15.75" hidden="false" customHeight="true" outlineLevel="0" collapsed="false">
      <c r="A39" s="69"/>
      <c r="B39" s="48" t="str">
        <f aca="false">IF(I39="","",HYPERLINK(VLOOKUP(I39,areaCampiSquadre,3,FALSE()),VLOOKUP(I39,areaCampiSquadre,2,FALSE())))</f>
        <v>PalaRicci, Via dello Sport 15, Ricciopoli RI</v>
      </c>
      <c r="C39" s="48"/>
      <c r="D39" s="48"/>
      <c r="E39" s="48"/>
      <c r="F39" s="48"/>
      <c r="G39" s="48"/>
      <c r="H39" s="48"/>
      <c r="I39" s="43" t="s">
        <v>120</v>
      </c>
      <c r="J39" s="45"/>
      <c r="K39" s="45"/>
      <c r="L39" s="45"/>
    </row>
    <row r="40" customFormat="false" ht="12.75" hidden="false" customHeight="true" outlineLevel="0" collapsed="false">
      <c r="A40" s="68" t="s">
        <v>334</v>
      </c>
      <c r="B40" s="68" t="s">
        <v>317</v>
      </c>
      <c r="C40" s="68"/>
      <c r="D40" s="68" t="s">
        <v>324</v>
      </c>
      <c r="E40" s="68"/>
      <c r="F40" s="68" t="s">
        <v>335</v>
      </c>
      <c r="G40" s="68" t="s">
        <v>336</v>
      </c>
      <c r="H40" s="68" t="s">
        <v>337</v>
      </c>
      <c r="I40" s="68"/>
      <c r="J40" s="68" t="s">
        <v>338</v>
      </c>
      <c r="K40" s="68"/>
      <c r="L40" s="68"/>
    </row>
    <row r="41" customFormat="false" ht="24" hidden="false" customHeight="true" outlineLevel="0" collapsed="false">
      <c r="A41" s="69" t="n">
        <f aca="false">MAX(A$10:A40)+1</f>
        <v>122</v>
      </c>
      <c r="B41" s="42" t="str">
        <f aca="false">IF(C41="","",IFERROR(LEFT(VLOOKUP(C41,areaNomiSquadre,2,FALSE()),FIND("-",VLOOKUP(C41,areaNomiSquadre,2,FALSE()))-1),""))</f>
        <v>Tassi Turbolenti</v>
      </c>
      <c r="C41" s="43" t="s">
        <v>124</v>
      </c>
      <c r="D41" s="42" t="str">
        <f aca="false">IF(E41="","",IFERROR(LEFT(VLOOKUP(E41,areaNomiSquadre,2,FALSE()),FIND("-",VLOOKUP(E41,areaNomiSquadre,2,FALSE()))-1),""))</f>
        <v>Volpi Vorticose</v>
      </c>
      <c r="E41" s="43" t="s">
        <v>128</v>
      </c>
      <c r="F41" s="44" t="n">
        <v>46355.4791666667</v>
      </c>
      <c r="G41" s="44"/>
      <c r="H41" s="44"/>
      <c r="I41" s="44"/>
      <c r="J41" s="45" t="n">
        <v>71</v>
      </c>
      <c r="K41" s="46" t="s">
        <v>339</v>
      </c>
      <c r="L41" s="45" t="n">
        <v>56</v>
      </c>
      <c r="M41" s="47" t="str">
        <f aca="false">IF($B41="","(Squadra A)",$B41)</f>
        <v>Tassi Turbolenti</v>
      </c>
      <c r="N41" s="47" t="n">
        <f aca="false">IF($J41+$L41=0,,IF($J41&gt;$L41,1,0))</f>
        <v>1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0</v>
      </c>
      <c r="Q41" s="47" t="n">
        <f aca="false">IF($J41+$L41=0,,$J41)</f>
        <v>71</v>
      </c>
      <c r="R41" s="47" t="n">
        <f aca="false">IF($J41+$L41=0,,$L41)</f>
        <v>56</v>
      </c>
      <c r="S41" s="47" t="n">
        <f aca="false">IF($J41+$L41=0,,$J41-$L41)</f>
        <v>15</v>
      </c>
      <c r="T41" s="47" t="str">
        <f aca="false">IF($D41="","(Squadra B)",$D41)</f>
        <v>Volpi Vorticose</v>
      </c>
      <c r="U41" s="47" t="n">
        <f aca="false">IF($J41+$L41=0,,IF($L41&gt;$J41,1,0))</f>
        <v>0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1</v>
      </c>
      <c r="X41" s="47" t="n">
        <f aca="false">IF($J41+$L41=0,,$L41)</f>
        <v>56</v>
      </c>
      <c r="Y41" s="47" t="n">
        <f aca="false">IF($J41+$L41=0,,$J41)</f>
        <v>71</v>
      </c>
      <c r="Z41" s="47" t="n">
        <f aca="false">IF($J41+$L41=0,,$L41-$J41)</f>
        <v>-15</v>
      </c>
      <c r="AA41" s="47" t="str">
        <f aca="false">IF($J41+$L41=0,"(Vincente)",IF($J41&gt;$L41,$B41,$D41))</f>
        <v>Tassi Turbolenti</v>
      </c>
      <c r="AB41" s="47" t="str">
        <f aca="false">IF($J41+$L41=0,"(Perdente)",IF($J41&lt;$L41,$B41,$D41))</f>
        <v>Volpi Vorticose</v>
      </c>
    </row>
    <row r="42" customFormat="false" ht="15.75" hidden="false" customHeight="true" outlineLevel="0" collapsed="false">
      <c r="A42" s="69"/>
      <c r="B42" s="48" t="str">
        <f aca="false">IF(I42="","",HYPERLINK(VLOOKUP(I42,areaCampiSquadre,3,FALSE()),VLOOKUP(I42,areaCampiSquadre,2,FALSE())))</f>
        <v>PalaRicci, Via dello Sport 15, Ricciopoli RI</v>
      </c>
      <c r="C42" s="48"/>
      <c r="D42" s="48"/>
      <c r="E42" s="48"/>
      <c r="F42" s="48"/>
      <c r="G42" s="48"/>
      <c r="H42" s="48"/>
      <c r="I42" s="43" t="s">
        <v>120</v>
      </c>
      <c r="J42" s="45"/>
      <c r="K42" s="45"/>
      <c r="L42" s="45"/>
    </row>
    <row r="43" customFormat="false" ht="12.75" hidden="false" customHeight="true" outlineLevel="0" collapsed="false">
      <c r="A43" s="68" t="s">
        <v>334</v>
      </c>
      <c r="B43" s="68" t="s">
        <v>317</v>
      </c>
      <c r="C43" s="68"/>
      <c r="D43" s="68" t="s">
        <v>324</v>
      </c>
      <c r="E43" s="68"/>
      <c r="F43" s="68" t="s">
        <v>335</v>
      </c>
      <c r="G43" s="68" t="s">
        <v>336</v>
      </c>
      <c r="H43" s="68" t="s">
        <v>337</v>
      </c>
      <c r="I43" s="68"/>
      <c r="J43" s="68" t="s">
        <v>338</v>
      </c>
      <c r="K43" s="68"/>
      <c r="L43" s="68"/>
    </row>
    <row r="44" customFormat="false" ht="24" hidden="false" customHeight="true" outlineLevel="0" collapsed="false">
      <c r="A44" s="69" t="n">
        <f aca="false">MAX(A$10:A43)+1</f>
        <v>123</v>
      </c>
      <c r="B44" s="42" t="str">
        <f aca="false">IF(C44="","",IFERROR(LEFT(VLOOKUP(C44,areaNomiSquadre,2,FALSE()),FIND("-",VLOOKUP(C44,areaNomiSquadre,2,FALSE()))-1),""))</f>
        <v>Zibetti Zuccherini</v>
      </c>
      <c r="C44" s="43" t="s">
        <v>130</v>
      </c>
      <c r="D44" s="42" t="str">
        <f aca="false">IF(E44="","",IFERROR(LEFT(VLOOKUP(E44,areaNomiSquadre,2,FALSE()),FIND("-",VLOOKUP(E44,areaNomiSquadre,2,FALSE()))-1),""))</f>
        <v>Scoiattoli Scattanti</v>
      </c>
      <c r="E44" s="43" t="s">
        <v>122</v>
      </c>
      <c r="F44" s="44" t="n">
        <v>46355.625</v>
      </c>
      <c r="G44" s="44"/>
      <c r="H44" s="44"/>
      <c r="I44" s="44"/>
      <c r="J44" s="45" t="n">
        <v>69</v>
      </c>
      <c r="K44" s="46" t="s">
        <v>339</v>
      </c>
      <c r="L44" s="45" t="n">
        <v>75</v>
      </c>
      <c r="M44" s="47" t="str">
        <f aca="false">IF($B44="","(Squadra A)",$B44)</f>
        <v>Zibetti Zuccherini</v>
      </c>
      <c r="N44" s="47" t="n">
        <f aca="false">IF($J44+$L44=0,,IF($J44&gt;$L44,1,0))</f>
        <v>0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1</v>
      </c>
      <c r="Q44" s="47" t="n">
        <f aca="false">IF($J44+$L44=0,,$J44)</f>
        <v>69</v>
      </c>
      <c r="R44" s="47" t="n">
        <f aca="false">IF($J44+$L44=0,,$L44)</f>
        <v>75</v>
      </c>
      <c r="S44" s="47" t="n">
        <f aca="false">IF($J44+$L44=0,,$J44-$L44)</f>
        <v>-6</v>
      </c>
      <c r="T44" s="47" t="str">
        <f aca="false">IF($D44="","(Squadra B)",$D44)</f>
        <v>Scoiattoli Scattanti</v>
      </c>
      <c r="U44" s="47" t="n">
        <f aca="false">IF($J44+$L44=0,,IF($L44&gt;$J44,1,0))</f>
        <v>1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0</v>
      </c>
      <c r="X44" s="47" t="n">
        <f aca="false">IF($J44+$L44=0,,$L44)</f>
        <v>75</v>
      </c>
      <c r="Y44" s="47" t="n">
        <f aca="false">IF($J44+$L44=0,,$J44)</f>
        <v>69</v>
      </c>
      <c r="Z44" s="47" t="n">
        <f aca="false">IF($J44+$L44=0,,$L44-$J44)</f>
        <v>6</v>
      </c>
      <c r="AA44" s="47" t="str">
        <f aca="false">IF($J44+$L44=0,"(Vincente)",IF($J44&gt;$L44,$B44,$D44))</f>
        <v>Scoiattoli Scattanti</v>
      </c>
      <c r="AB44" s="47" t="str">
        <f aca="false">IF($J44+$L44=0,"(Perdente)",IF($J44&lt;$L44,$B44,$D44))</f>
        <v>Zibetti Zuccherini</v>
      </c>
    </row>
    <row r="45" customFormat="false" ht="15.75" hidden="false" customHeight="true" outlineLevel="0" collapsed="false">
      <c r="A45" s="69"/>
      <c r="B45" s="48" t="str">
        <f aca="false">IF(I45="","",HYPERLINK(VLOOKUP(I45,areaCampiSquadre,3,FALSE()),VLOOKUP(I45,areaCampiSquadre,2,FALSE())))</f>
        <v>PalaRicci, Via dello Sport 15, Ricciopoli RI</v>
      </c>
      <c r="C45" s="48"/>
      <c r="D45" s="48"/>
      <c r="E45" s="48"/>
      <c r="F45" s="48"/>
      <c r="G45" s="48"/>
      <c r="H45" s="48"/>
      <c r="I45" s="43" t="s">
        <v>120</v>
      </c>
      <c r="J45" s="45"/>
      <c r="K45" s="45"/>
      <c r="L45" s="45"/>
    </row>
    <row r="46" customFormat="false" ht="12.75" hidden="false" customHeight="true" outlineLevel="0" collapsed="false">
      <c r="A46" s="68" t="s">
        <v>334</v>
      </c>
      <c r="B46" s="68" t="s">
        <v>317</v>
      </c>
      <c r="C46" s="68"/>
      <c r="D46" s="68" t="s">
        <v>324</v>
      </c>
      <c r="E46" s="68"/>
      <c r="F46" s="68" t="s">
        <v>335</v>
      </c>
      <c r="G46" s="68" t="s">
        <v>336</v>
      </c>
      <c r="H46" s="68" t="s">
        <v>337</v>
      </c>
      <c r="I46" s="68"/>
      <c r="J46" s="68" t="s">
        <v>338</v>
      </c>
      <c r="K46" s="68"/>
      <c r="L46" s="68"/>
    </row>
    <row r="47" customFormat="false" ht="24" hidden="false" customHeight="true" outlineLevel="0" collapsed="false">
      <c r="A47" s="69" t="n">
        <f aca="false">MAX(A$10:A46)+1</f>
        <v>124</v>
      </c>
      <c r="B47" s="42" t="str">
        <f aca="false">IF(C47="","",IFERROR(LEFT(VLOOKUP(C47,areaNomiSquadre,2,FALSE()),FIND("-",VLOOKUP(C47,areaNomiSquadre,2,FALSE()))-1),""))</f>
        <v>Ricci Rissosi</v>
      </c>
      <c r="C47" s="43" t="s">
        <v>120</v>
      </c>
      <c r="D47" s="42" t="str">
        <f aca="false">IF(E47="","",IFERROR(LEFT(VLOOKUP(E47,areaNomiSquadre,2,FALSE()),FIND("-",VLOOKUP(E47,areaNomiSquadre,2,FALSE()))-1),""))</f>
        <v>Quetzal Quotidiani</v>
      </c>
      <c r="E47" s="43" t="s">
        <v>118</v>
      </c>
      <c r="F47" s="44" t="n">
        <v>46355.7083333333</v>
      </c>
      <c r="G47" s="44"/>
      <c r="H47" s="44"/>
      <c r="I47" s="44"/>
      <c r="J47" s="45" t="n">
        <v>59</v>
      </c>
      <c r="K47" s="46" t="s">
        <v>339</v>
      </c>
      <c r="L47" s="45" t="n">
        <v>81</v>
      </c>
      <c r="M47" s="47" t="str">
        <f aca="false">IF($B47="","(Squadra A)",$B47)</f>
        <v>Ricci Rissosi</v>
      </c>
      <c r="N47" s="47" t="n">
        <f aca="false">IF($J47+$L47=0,,IF($J47&gt;$L47,1,0))</f>
        <v>0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1</v>
      </c>
      <c r="Q47" s="47" t="n">
        <f aca="false">IF($J47+$L47=0,,$J47)</f>
        <v>59</v>
      </c>
      <c r="R47" s="47" t="n">
        <f aca="false">IF($J47+$L47=0,,$L47)</f>
        <v>81</v>
      </c>
      <c r="S47" s="47" t="n">
        <f aca="false">IF($J47+$L47=0,,$J47-$L47)</f>
        <v>-22</v>
      </c>
      <c r="T47" s="47" t="str">
        <f aca="false">IF($D47="","(Squadra B)",$D47)</f>
        <v>Quetzal Quotidiani</v>
      </c>
      <c r="U47" s="47" t="n">
        <f aca="false">IF($J47+$L47=0,,IF($L47&gt;$J47,1,0))</f>
        <v>1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0</v>
      </c>
      <c r="X47" s="47" t="n">
        <f aca="false">IF($J47+$L47=0,,$L47)</f>
        <v>81</v>
      </c>
      <c r="Y47" s="47" t="n">
        <f aca="false">IF($J47+$L47=0,,$J47)</f>
        <v>59</v>
      </c>
      <c r="Z47" s="47" t="n">
        <f aca="false">IF($J47+$L47=0,,$L47-$J47)</f>
        <v>22</v>
      </c>
      <c r="AA47" s="47" t="str">
        <f aca="false">IF($J47+$L47=0,"(Vincente)",IF($J47&gt;$L47,$B47,$D47))</f>
        <v>Quetzal Quotidiani</v>
      </c>
      <c r="AB47" s="47" t="str">
        <f aca="false">IF($J47+$L47=0,"(Perdente)",IF($J47&lt;$L47,$B47,$D47))</f>
        <v>Ricci Rissosi</v>
      </c>
    </row>
    <row r="48" customFormat="false" ht="15.75" hidden="false" customHeight="true" outlineLevel="0" collapsed="false">
      <c r="A48" s="69"/>
      <c r="B48" s="48" t="str">
        <f aca="false">IF(I48="","",HYPERLINK(VLOOKUP(I48,areaCampiSquadre,3,FALSE()),VLOOKUP(I48,areaCampiSquadre,2,FALSE())))</f>
        <v>PalaRicci, Via dello Sport 15, Ricciopoli RI</v>
      </c>
      <c r="C48" s="48"/>
      <c r="D48" s="48"/>
      <c r="E48" s="48"/>
      <c r="F48" s="48"/>
      <c r="G48" s="48"/>
      <c r="H48" s="48"/>
      <c r="I48" s="43" t="s">
        <v>120</v>
      </c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66" t="s">
        <v>371</v>
      </c>
      <c r="B50" s="67" t="str">
        <f aca="false">"GIORNATA "&amp;ROMAN(VALUE(LEFT(A50,LEN(A50)-1)))&amp;" - GIRONE "&amp;RIGHT(A50,1)</f>
        <v>GIORNATA IV - GIRONE E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</row>
    <row r="51" customFormat="false" ht="12.75" hidden="false" customHeight="true" outlineLevel="0" collapsed="false">
      <c r="A51" s="68" t="s">
        <v>334</v>
      </c>
      <c r="B51" s="68" t="s">
        <v>317</v>
      </c>
      <c r="C51" s="68"/>
      <c r="D51" s="68" t="s">
        <v>324</v>
      </c>
      <c r="E51" s="68"/>
      <c r="F51" s="68" t="s">
        <v>335</v>
      </c>
      <c r="G51" s="68" t="s">
        <v>336</v>
      </c>
      <c r="H51" s="68" t="s">
        <v>337</v>
      </c>
      <c r="I51" s="68"/>
      <c r="J51" s="68" t="s">
        <v>338</v>
      </c>
      <c r="K51" s="68"/>
      <c r="L51" s="68"/>
    </row>
    <row r="52" customFormat="false" ht="24" hidden="false" customHeight="true" outlineLevel="0" collapsed="false">
      <c r="A52" s="69" t="n">
        <f aca="false">MAX(A$10:A51)+1</f>
        <v>125</v>
      </c>
      <c r="B52" s="42" t="str">
        <f aca="false">IF(C52="","",IFERROR(LEFT(VLOOKUP(C52,areaNomiSquadre,2,FALSE()),FIND("-",VLOOKUP(C52,areaNomiSquadre,2,FALSE()))-1),""))</f>
        <v>Tassi Turbolenti</v>
      </c>
      <c r="C52" s="43" t="s">
        <v>124</v>
      </c>
      <c r="D52" s="42" t="str">
        <f aca="false">IF(E52="","",IFERROR(LEFT(VLOOKUP(E52,areaNomiSquadre,2,FALSE()),FIND("-",VLOOKUP(E52,areaNomiSquadre,2,FALSE()))-1),""))</f>
        <v>Pipistrelli Pensierosi</v>
      </c>
      <c r="E52" s="43" t="s">
        <v>115</v>
      </c>
      <c r="F52" s="44" t="n">
        <v>46369.3958333333</v>
      </c>
      <c r="G52" s="44"/>
      <c r="H52" s="44"/>
      <c r="I52" s="44"/>
      <c r="J52" s="45" t="n">
        <v>62</v>
      </c>
      <c r="K52" s="46" t="s">
        <v>339</v>
      </c>
      <c r="L52" s="45" t="n">
        <v>54</v>
      </c>
      <c r="M52" s="47" t="str">
        <f aca="false">IF($B52="","(Squadra A)",$B52)</f>
        <v>Tassi Turbolenti</v>
      </c>
      <c r="N52" s="47" t="n">
        <f aca="false">IF($J52+$L52=0,,IF($J52&gt;$L52,1,0))</f>
        <v>1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0</v>
      </c>
      <c r="Q52" s="47" t="n">
        <f aca="false">IF($J52+$L52=0,,$J52)</f>
        <v>62</v>
      </c>
      <c r="R52" s="47" t="n">
        <f aca="false">IF($J52+$L52=0,,$L52)</f>
        <v>54</v>
      </c>
      <c r="S52" s="47" t="n">
        <f aca="false">IF($J52+$L52=0,,$J52-$L52)</f>
        <v>8</v>
      </c>
      <c r="T52" s="47" t="str">
        <f aca="false">IF($D52="","(Squadra B)",$D52)</f>
        <v>Pipistrelli Pensierosi</v>
      </c>
      <c r="U52" s="47" t="n">
        <f aca="false">IF($J52+$L52=0,,IF($L52&gt;$J52,1,0))</f>
        <v>0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1</v>
      </c>
      <c r="X52" s="47" t="n">
        <f aca="false">IF($J52+$L52=0,,$L52)</f>
        <v>54</v>
      </c>
      <c r="Y52" s="47" t="n">
        <f aca="false">IF($J52+$L52=0,,$J52)</f>
        <v>62</v>
      </c>
      <c r="Z52" s="47" t="n">
        <f aca="false">IF($J52+$L52=0,,$L52-$J52)</f>
        <v>-8</v>
      </c>
      <c r="AA52" s="47" t="str">
        <f aca="false">IF($J52+$L52=0,"(Vincente)",IF($J52&gt;$L52,$B52,$D52))</f>
        <v>Tassi Turbolenti</v>
      </c>
      <c r="AB52" s="47" t="str">
        <f aca="false">IF($J52+$L52=0,"(Perdente)",IF($J52&lt;$L52,$B52,$D52))</f>
        <v>Pipistrelli Pensierosi</v>
      </c>
    </row>
    <row r="53" customFormat="false" ht="15.75" hidden="false" customHeight="true" outlineLevel="0" collapsed="false">
      <c r="A53" s="69"/>
      <c r="B53" s="48" t="str">
        <f aca="false">IF(I53="","",HYPERLINK(VLOOKUP(I53,areaCampiSquadre,3,FALSE()),VLOOKUP(I53,areaCampiSquadre,2,FALSE())))</f>
        <v>PalaScoiattoli, Via dello Sport 16, Scoiattoliopoli SI</v>
      </c>
      <c r="C53" s="48"/>
      <c r="D53" s="48"/>
      <c r="E53" s="48"/>
      <c r="F53" s="48"/>
      <c r="G53" s="48"/>
      <c r="H53" s="48"/>
      <c r="I53" s="43" t="s">
        <v>122</v>
      </c>
      <c r="J53" s="45"/>
      <c r="K53" s="45"/>
      <c r="L53" s="45"/>
    </row>
    <row r="54" customFormat="false" ht="12.75" hidden="false" customHeight="true" outlineLevel="0" collapsed="false">
      <c r="A54" s="68" t="s">
        <v>334</v>
      </c>
      <c r="B54" s="68" t="s">
        <v>317</v>
      </c>
      <c r="C54" s="68"/>
      <c r="D54" s="68" t="s">
        <v>324</v>
      </c>
      <c r="E54" s="68"/>
      <c r="F54" s="68" t="s">
        <v>335</v>
      </c>
      <c r="G54" s="68" t="s">
        <v>336</v>
      </c>
      <c r="H54" s="68" t="s">
        <v>337</v>
      </c>
      <c r="I54" s="68"/>
      <c r="J54" s="68" t="s">
        <v>338</v>
      </c>
      <c r="K54" s="68"/>
      <c r="L54" s="68"/>
    </row>
    <row r="55" customFormat="false" ht="24" hidden="false" customHeight="true" outlineLevel="0" collapsed="false">
      <c r="A55" s="69" t="n">
        <f aca="false">MAX(A$10:A54)+1</f>
        <v>126</v>
      </c>
      <c r="B55" s="42" t="str">
        <f aca="false">IF(C55="","",IFERROR(LEFT(VLOOKUP(C55,areaNomiSquadre,2,FALSE()),FIND("-",VLOOKUP(C55,areaNomiSquadre,2,FALSE()))-1),""))</f>
        <v>Uistiti Ubiqui</v>
      </c>
      <c r="C55" s="43" t="s">
        <v>126</v>
      </c>
      <c r="D55" s="42" t="str">
        <f aca="false">IF(E55="","",IFERROR(LEFT(VLOOKUP(E55,areaNomiSquadre,2,FALSE()),FIND("-",VLOOKUP(E55,areaNomiSquadre,2,FALSE()))-1),""))</f>
        <v>Scoiattoli Scattanti</v>
      </c>
      <c r="E55" s="43" t="s">
        <v>122</v>
      </c>
      <c r="F55" s="44" t="n">
        <v>46369.4791666667</v>
      </c>
      <c r="G55" s="44"/>
      <c r="H55" s="44"/>
      <c r="I55" s="44"/>
      <c r="J55" s="45" t="n">
        <v>45</v>
      </c>
      <c r="K55" s="46" t="s">
        <v>339</v>
      </c>
      <c r="L55" s="45" t="n">
        <v>66</v>
      </c>
      <c r="M55" s="47" t="str">
        <f aca="false">IF($B55="","(Squadra A)",$B55)</f>
        <v>Uistiti Ubiqui</v>
      </c>
      <c r="N55" s="47" t="n">
        <f aca="false">IF($J55+$L55=0,,IF($J55&gt;$L55,1,0))</f>
        <v>0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1</v>
      </c>
      <c r="Q55" s="47" t="n">
        <f aca="false">IF($J55+$L55=0,,$J55)</f>
        <v>45</v>
      </c>
      <c r="R55" s="47" t="n">
        <f aca="false">IF($J55+$L55=0,,$L55)</f>
        <v>66</v>
      </c>
      <c r="S55" s="47" t="n">
        <f aca="false">IF($J55+$L55=0,,$J55-$L55)</f>
        <v>-21</v>
      </c>
      <c r="T55" s="47" t="str">
        <f aca="false">IF($D55="","(Squadra B)",$D55)</f>
        <v>Scoiattoli Scattanti</v>
      </c>
      <c r="U55" s="47" t="n">
        <f aca="false">IF($J55+$L55=0,,IF($L55&gt;$J55,1,0))</f>
        <v>1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0</v>
      </c>
      <c r="X55" s="47" t="n">
        <f aca="false">IF($J55+$L55=0,,$L55)</f>
        <v>66</v>
      </c>
      <c r="Y55" s="47" t="n">
        <f aca="false">IF($J55+$L55=0,,$J55)</f>
        <v>45</v>
      </c>
      <c r="Z55" s="47" t="n">
        <f aca="false">IF($J55+$L55=0,,$L55-$J55)</f>
        <v>21</v>
      </c>
      <c r="AA55" s="47" t="str">
        <f aca="false">IF($J55+$L55=0,"(Vincente)",IF($J55&gt;$L55,$B55,$D55))</f>
        <v>Scoiattoli Scattanti</v>
      </c>
      <c r="AB55" s="47" t="str">
        <f aca="false">IF($J55+$L55=0,"(Perdente)",IF($J55&lt;$L55,$B55,$D55))</f>
        <v>Uistiti Ubiqui</v>
      </c>
    </row>
    <row r="56" customFormat="false" ht="15.75" hidden="false" customHeight="true" outlineLevel="0" collapsed="false">
      <c r="A56" s="69"/>
      <c r="B56" s="48" t="str">
        <f aca="false">IF(I56="","",HYPERLINK(VLOOKUP(I56,areaCampiSquadre,3,FALSE()),VLOOKUP(I56,areaCampiSquadre,2,FALSE())))</f>
        <v>PalaScoiattoli, Via dello Sport 16, Scoiattoliopoli SI</v>
      </c>
      <c r="C56" s="48"/>
      <c r="D56" s="48"/>
      <c r="E56" s="48"/>
      <c r="F56" s="48"/>
      <c r="G56" s="48"/>
      <c r="H56" s="48"/>
      <c r="I56" s="43" t="s">
        <v>122</v>
      </c>
      <c r="J56" s="45"/>
      <c r="K56" s="45"/>
      <c r="L56" s="45"/>
    </row>
    <row r="57" customFormat="false" ht="12.75" hidden="false" customHeight="true" outlineLevel="0" collapsed="false">
      <c r="A57" s="68" t="s">
        <v>334</v>
      </c>
      <c r="B57" s="68" t="s">
        <v>317</v>
      </c>
      <c r="C57" s="68"/>
      <c r="D57" s="68" t="s">
        <v>324</v>
      </c>
      <c r="E57" s="68"/>
      <c r="F57" s="68" t="s">
        <v>335</v>
      </c>
      <c r="G57" s="68" t="s">
        <v>336</v>
      </c>
      <c r="H57" s="68" t="s">
        <v>337</v>
      </c>
      <c r="I57" s="68"/>
      <c r="J57" s="68" t="s">
        <v>338</v>
      </c>
      <c r="K57" s="68"/>
      <c r="L57" s="68"/>
    </row>
    <row r="58" customFormat="false" ht="24" hidden="false" customHeight="true" outlineLevel="0" collapsed="false">
      <c r="A58" s="69" t="n">
        <f aca="false">MAX(A$10:A57)+1</f>
        <v>127</v>
      </c>
      <c r="B58" s="42" t="str">
        <f aca="false">IF(C58="","",IFERROR(LEFT(VLOOKUP(C58,areaNomiSquadre,2,FALSE()),FIND("-",VLOOKUP(C58,areaNomiSquadre,2,FALSE()))-1),""))</f>
        <v>Ricci Rissosi</v>
      </c>
      <c r="C58" s="43" t="s">
        <v>120</v>
      </c>
      <c r="D58" s="42" t="str">
        <f aca="false">IF(E58="","",IFERROR(LEFT(VLOOKUP(E58,areaNomiSquadre,2,FALSE()),FIND("-",VLOOKUP(E58,areaNomiSquadre,2,FALSE()))-1),""))</f>
        <v>Volpi Vorticose</v>
      </c>
      <c r="E58" s="43" t="s">
        <v>128</v>
      </c>
      <c r="F58" s="44" t="n">
        <v>46369.625</v>
      </c>
      <c r="G58" s="44"/>
      <c r="H58" s="44"/>
      <c r="I58" s="44"/>
      <c r="J58" s="45" t="n">
        <v>34</v>
      </c>
      <c r="K58" s="46" t="s">
        <v>339</v>
      </c>
      <c r="L58" s="45" t="n">
        <v>69</v>
      </c>
      <c r="M58" s="47" t="str">
        <f aca="false">IF($B58="","(Squadra A)",$B58)</f>
        <v>Ricci Rissosi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1</v>
      </c>
      <c r="Q58" s="47" t="n">
        <f aca="false">IF($J58+$L58=0,,$J58)</f>
        <v>34</v>
      </c>
      <c r="R58" s="47" t="n">
        <f aca="false">IF($J58+$L58=0,,$L58)</f>
        <v>69</v>
      </c>
      <c r="S58" s="47" t="n">
        <f aca="false">IF($J58+$L58=0,,$J58-$L58)</f>
        <v>-35</v>
      </c>
      <c r="T58" s="47" t="str">
        <f aca="false">IF($D58="","(Squadra B)",$D58)</f>
        <v>Volpi Vorticose</v>
      </c>
      <c r="U58" s="47" t="n">
        <f aca="false">IF($J58+$L58=0,,IF($L58&gt;$J58,1,0))</f>
        <v>1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69</v>
      </c>
      <c r="Y58" s="47" t="n">
        <f aca="false">IF($J58+$L58=0,,$J58)</f>
        <v>34</v>
      </c>
      <c r="Z58" s="47" t="n">
        <f aca="false">IF($J58+$L58=0,,$L58-$J58)</f>
        <v>35</v>
      </c>
      <c r="AA58" s="47" t="str">
        <f aca="false">IF($J58+$L58=0,"(Vincente)",IF($J58&gt;$L58,$B58,$D58))</f>
        <v>Volpi Vorticose</v>
      </c>
      <c r="AB58" s="47" t="str">
        <f aca="false">IF($J58+$L58=0,"(Perdente)",IF($J58&lt;$L58,$B58,$D58))</f>
        <v>Ricci Rissosi</v>
      </c>
    </row>
    <row r="59" customFormat="false" ht="15.75" hidden="false" customHeight="true" outlineLevel="0" collapsed="false">
      <c r="A59" s="69"/>
      <c r="B59" s="48" t="str">
        <f aca="false">IF(I59="","",HYPERLINK(VLOOKUP(I59,areaCampiSquadre,3,FALSE()),VLOOKUP(I59,areaCampiSquadre,2,FALSE())))</f>
        <v>PalaScoiattoli, Via dello Sport 16, Scoiattoliopoli SI</v>
      </c>
      <c r="C59" s="48"/>
      <c r="D59" s="48"/>
      <c r="E59" s="48"/>
      <c r="F59" s="48"/>
      <c r="G59" s="48"/>
      <c r="H59" s="48"/>
      <c r="I59" s="43" t="s">
        <v>122</v>
      </c>
      <c r="J59" s="45"/>
      <c r="K59" s="45"/>
      <c r="L59" s="45"/>
    </row>
    <row r="60" customFormat="false" ht="12.75" hidden="false" customHeight="true" outlineLevel="0" collapsed="false">
      <c r="A60" s="68" t="s">
        <v>334</v>
      </c>
      <c r="B60" s="68" t="s">
        <v>317</v>
      </c>
      <c r="C60" s="68"/>
      <c r="D60" s="68" t="s">
        <v>324</v>
      </c>
      <c r="E60" s="68"/>
      <c r="F60" s="68" t="s">
        <v>335</v>
      </c>
      <c r="G60" s="68" t="s">
        <v>336</v>
      </c>
      <c r="H60" s="68" t="s">
        <v>337</v>
      </c>
      <c r="I60" s="68"/>
      <c r="J60" s="68" t="s">
        <v>338</v>
      </c>
      <c r="K60" s="68"/>
      <c r="L60" s="68"/>
    </row>
    <row r="61" customFormat="false" ht="24" hidden="false" customHeight="true" outlineLevel="0" collapsed="false">
      <c r="A61" s="69" t="n">
        <f aca="false">MAX(A$10:A60)+1</f>
        <v>128</v>
      </c>
      <c r="B61" s="42" t="str">
        <f aca="false">IF(C61="","",IFERROR(LEFT(VLOOKUP(C61,areaNomiSquadre,2,FALSE()),FIND("-",VLOOKUP(C61,areaNomiSquadre,2,FALSE()))-1),""))</f>
        <v>Zibetti Zuccherini</v>
      </c>
      <c r="C61" s="43" t="s">
        <v>130</v>
      </c>
      <c r="D61" s="42" t="str">
        <f aca="false">IF(E61="","",IFERROR(LEFT(VLOOKUP(E61,areaNomiSquadre,2,FALSE()),FIND("-",VLOOKUP(E61,areaNomiSquadre,2,FALSE()))-1),""))</f>
        <v>Quetzal Quotidiani</v>
      </c>
      <c r="E61" s="43" t="s">
        <v>118</v>
      </c>
      <c r="F61" s="44" t="n">
        <v>46369.7083333333</v>
      </c>
      <c r="G61" s="44"/>
      <c r="H61" s="44"/>
      <c r="I61" s="44"/>
      <c r="J61" s="45" t="n">
        <v>78</v>
      </c>
      <c r="K61" s="46" t="s">
        <v>339</v>
      </c>
      <c r="L61" s="45" t="n">
        <v>50</v>
      </c>
      <c r="M61" s="47" t="str">
        <f aca="false">IF($B61="","(Squadra A)",$B61)</f>
        <v>Zibetti Zuccherini</v>
      </c>
      <c r="N61" s="47" t="n">
        <f aca="false">IF($J61+$L61=0,,IF($J61&gt;$L61,1,0))</f>
        <v>1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78</v>
      </c>
      <c r="R61" s="47" t="n">
        <f aca="false">IF($J61+$L61=0,,$L61)</f>
        <v>50</v>
      </c>
      <c r="S61" s="47" t="n">
        <f aca="false">IF($J61+$L61=0,,$J61-$L61)</f>
        <v>28</v>
      </c>
      <c r="T61" s="47" t="str">
        <f aca="false">IF($D61="","(Squadra B)",$D61)</f>
        <v>Quetzal Quotidiani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1</v>
      </c>
      <c r="X61" s="47" t="n">
        <f aca="false">IF($J61+$L61=0,,$L61)</f>
        <v>50</v>
      </c>
      <c r="Y61" s="47" t="n">
        <f aca="false">IF($J61+$L61=0,,$J61)</f>
        <v>78</v>
      </c>
      <c r="Z61" s="47" t="n">
        <f aca="false">IF($J61+$L61=0,,$L61-$J61)</f>
        <v>-28</v>
      </c>
      <c r="AA61" s="47" t="str">
        <f aca="false">IF($J61+$L61=0,"(Vincente)",IF($J61&gt;$L61,$B61,$D61))</f>
        <v>Zibetti Zuccherini</v>
      </c>
      <c r="AB61" s="47" t="str">
        <f aca="false">IF($J61+$L61=0,"(Perdente)",IF($J61&lt;$L61,$B61,$D61))</f>
        <v>Quetzal Quotidiani</v>
      </c>
    </row>
    <row r="62" customFormat="false" ht="15.75" hidden="false" customHeight="true" outlineLevel="0" collapsed="false">
      <c r="A62" s="69"/>
      <c r="B62" s="48" t="str">
        <f aca="false">IF(I62="","",HYPERLINK(VLOOKUP(I62,areaCampiSquadre,3,FALSE()),VLOOKUP(I62,areaCampiSquadre,2,FALSE())))</f>
        <v>PalaScoiattoli, Via dello Sport 16, Scoiattoliopoli SI</v>
      </c>
      <c r="C62" s="48"/>
      <c r="D62" s="48"/>
      <c r="E62" s="48"/>
      <c r="F62" s="48"/>
      <c r="G62" s="48"/>
      <c r="H62" s="48"/>
      <c r="I62" s="43" t="s">
        <v>122</v>
      </c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66" t="s">
        <v>372</v>
      </c>
      <c r="B64" s="67" t="str">
        <f aca="false">"GIORNATA "&amp;ROMAN(VALUE(LEFT(A64,LEN(A64)-1)))&amp;" - GIRONE "&amp;RIGHT(A64,1)</f>
        <v>GIORNATA V - GIRONE E</v>
      </c>
      <c r="C64" s="67"/>
      <c r="D64" s="67"/>
      <c r="E64" s="67"/>
      <c r="F64" s="67"/>
      <c r="G64" s="67"/>
      <c r="H64" s="67"/>
      <c r="I64" s="67"/>
      <c r="J64" s="67"/>
      <c r="K64" s="67"/>
      <c r="L64" s="67"/>
    </row>
    <row r="65" customFormat="false" ht="12.75" hidden="false" customHeight="true" outlineLevel="0" collapsed="false">
      <c r="A65" s="68" t="s">
        <v>334</v>
      </c>
      <c r="B65" s="68" t="s">
        <v>317</v>
      </c>
      <c r="C65" s="68"/>
      <c r="D65" s="68" t="s">
        <v>324</v>
      </c>
      <c r="E65" s="68"/>
      <c r="F65" s="68" t="s">
        <v>335</v>
      </c>
      <c r="G65" s="68" t="s">
        <v>336</v>
      </c>
      <c r="H65" s="68" t="s">
        <v>337</v>
      </c>
      <c r="I65" s="68"/>
      <c r="J65" s="68" t="s">
        <v>338</v>
      </c>
      <c r="K65" s="68"/>
      <c r="L65" s="68"/>
    </row>
    <row r="66" customFormat="false" ht="24" hidden="false" customHeight="true" outlineLevel="0" collapsed="false">
      <c r="A66" s="69" t="n">
        <f aca="false">MAX(A$10:A65)+1</f>
        <v>129</v>
      </c>
      <c r="B66" s="42" t="str">
        <f aca="false">IF(C66="","",IFERROR(LEFT(VLOOKUP(C66,areaNomiSquadre,2,FALSE()),FIND("-",VLOOKUP(C66,areaNomiSquadre,2,FALSE()))-1),""))</f>
        <v>Pipistrelli Pensierosi</v>
      </c>
      <c r="C66" s="43" t="s">
        <v>115</v>
      </c>
      <c r="D66" s="42" t="str">
        <f aca="false">IF(E66="","",IFERROR(LEFT(VLOOKUP(E66,areaNomiSquadre,2,FALSE()),FIND("-",VLOOKUP(E66,areaNomiSquadre,2,FALSE()))-1),""))</f>
        <v>Scoiattoli Scattanti</v>
      </c>
      <c r="E66" s="43" t="s">
        <v>122</v>
      </c>
      <c r="F66" s="44" t="n">
        <v>46411.3958333333</v>
      </c>
      <c r="G66" s="44"/>
      <c r="H66" s="44"/>
      <c r="I66" s="44"/>
      <c r="J66" s="45" t="n">
        <v>46</v>
      </c>
      <c r="K66" s="46" t="s">
        <v>339</v>
      </c>
      <c r="L66" s="45" t="n">
        <v>71</v>
      </c>
      <c r="M66" s="47" t="str">
        <f aca="false">IF($B66="","(Squadra A)",$B66)</f>
        <v>Pipistrelli Pensierosi</v>
      </c>
      <c r="N66" s="47" t="n">
        <f aca="false">IF($J66+$L66=0,,IF($J66&gt;$L66,1,0))</f>
        <v>0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1</v>
      </c>
      <c r="Q66" s="47" t="n">
        <f aca="false">IF($J66+$L66=0,,$J66)</f>
        <v>46</v>
      </c>
      <c r="R66" s="47" t="n">
        <f aca="false">IF($J66+$L66=0,,$L66)</f>
        <v>71</v>
      </c>
      <c r="S66" s="47" t="n">
        <f aca="false">IF($J66+$L66=0,,$J66-$L66)</f>
        <v>-25</v>
      </c>
      <c r="T66" s="47" t="str">
        <f aca="false">IF($D66="","(Squadra B)",$D66)</f>
        <v>Scoiattoli Scattanti</v>
      </c>
      <c r="U66" s="47" t="n">
        <f aca="false">IF($J66+$L66=0,,IF($L66&gt;$J66,1,0))</f>
        <v>1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0</v>
      </c>
      <c r="X66" s="47" t="n">
        <f aca="false">IF($J66+$L66=0,,$L66)</f>
        <v>71</v>
      </c>
      <c r="Y66" s="47" t="n">
        <f aca="false">IF($J66+$L66=0,,$J66)</f>
        <v>46</v>
      </c>
      <c r="Z66" s="47" t="n">
        <f aca="false">IF($J66+$L66=0,,$L66-$J66)</f>
        <v>25</v>
      </c>
      <c r="AA66" s="47" t="str">
        <f aca="false">IF($J66+$L66=0,"(Vincente)",IF($J66&gt;$L66,$B66,$D66))</f>
        <v>Scoiattoli Scattanti</v>
      </c>
      <c r="AB66" s="47" t="str">
        <f aca="false">IF($J66+$L66=0,"(Perdente)",IF($J66&lt;$L66,$B66,$D66))</f>
        <v>Pipistrelli Pensierosi</v>
      </c>
    </row>
    <row r="67" customFormat="false" ht="15.75" hidden="false" customHeight="true" outlineLevel="0" collapsed="false">
      <c r="A67" s="69"/>
      <c r="B67" s="48" t="str">
        <f aca="false">IF(I67="","",HYPERLINK(VLOOKUP(I67,areaCampiSquadre,3,FALSE()),VLOOKUP(I67,areaCampiSquadre,2,FALSE())))</f>
        <v>PalaTassi, Via dello Sport 17, Tassiopoli TI</v>
      </c>
      <c r="C67" s="48"/>
      <c r="D67" s="48"/>
      <c r="E67" s="48"/>
      <c r="F67" s="48"/>
      <c r="G67" s="48"/>
      <c r="H67" s="48"/>
      <c r="I67" s="43" t="s">
        <v>124</v>
      </c>
      <c r="J67" s="45"/>
      <c r="K67" s="45"/>
      <c r="L67" s="45"/>
    </row>
    <row r="68" customFormat="false" ht="12.75" hidden="false" customHeight="true" outlineLevel="0" collapsed="false">
      <c r="A68" s="68" t="s">
        <v>334</v>
      </c>
      <c r="B68" s="68" t="s">
        <v>317</v>
      </c>
      <c r="C68" s="68"/>
      <c r="D68" s="68" t="s">
        <v>324</v>
      </c>
      <c r="E68" s="68"/>
      <c r="F68" s="68" t="s">
        <v>335</v>
      </c>
      <c r="G68" s="68" t="s">
        <v>336</v>
      </c>
      <c r="H68" s="68" t="s">
        <v>337</v>
      </c>
      <c r="I68" s="68"/>
      <c r="J68" s="68" t="s">
        <v>338</v>
      </c>
      <c r="K68" s="68"/>
      <c r="L68" s="68"/>
    </row>
    <row r="69" customFormat="false" ht="24" hidden="false" customHeight="true" outlineLevel="0" collapsed="false">
      <c r="A69" s="69" t="n">
        <f aca="false">MAX(A$10:A68)+1</f>
        <v>130</v>
      </c>
      <c r="B69" s="42" t="str">
        <f aca="false">IF(C69="","",IFERROR(LEFT(VLOOKUP(C69,areaNomiSquadre,2,FALSE()),FIND("-",VLOOKUP(C69,areaNomiSquadre,2,FALSE()))-1),""))</f>
        <v>Ricci Rissosi</v>
      </c>
      <c r="C69" s="43" t="s">
        <v>120</v>
      </c>
      <c r="D69" s="42" t="str">
        <f aca="false">IF(E69="","",IFERROR(LEFT(VLOOKUP(E69,areaNomiSquadre,2,FALSE()),FIND("-",VLOOKUP(E69,areaNomiSquadre,2,FALSE()))-1),""))</f>
        <v>Tassi Turbolenti</v>
      </c>
      <c r="E69" s="43" t="s">
        <v>124</v>
      </c>
      <c r="F69" s="44" t="n">
        <v>46411.4791666667</v>
      </c>
      <c r="G69" s="44"/>
      <c r="H69" s="44"/>
      <c r="I69" s="44"/>
      <c r="J69" s="45" t="n">
        <v>61</v>
      </c>
      <c r="K69" s="46" t="s">
        <v>339</v>
      </c>
      <c r="L69" s="45" t="n">
        <v>72</v>
      </c>
      <c r="M69" s="47" t="str">
        <f aca="false">IF($B69="","(Squadra A)",$B69)</f>
        <v>Ricci Rissosi</v>
      </c>
      <c r="N69" s="47" t="n">
        <f aca="false">IF($J69+$L69=0,,IF($J69&gt;$L69,1,0))</f>
        <v>0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1</v>
      </c>
      <c r="Q69" s="47" t="n">
        <f aca="false">IF($J69+$L69=0,,$J69)</f>
        <v>61</v>
      </c>
      <c r="R69" s="47" t="n">
        <f aca="false">IF($J69+$L69=0,,$L69)</f>
        <v>72</v>
      </c>
      <c r="S69" s="47" t="n">
        <f aca="false">IF($J69+$L69=0,,$J69-$L69)</f>
        <v>-11</v>
      </c>
      <c r="T69" s="47" t="str">
        <f aca="false">IF($D69="","(Squadra B)",$D69)</f>
        <v>Tassi Turbolenti</v>
      </c>
      <c r="U69" s="47" t="n">
        <f aca="false">IF($J69+$L69=0,,IF($L69&gt;$J69,1,0))</f>
        <v>1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0</v>
      </c>
      <c r="X69" s="47" t="n">
        <f aca="false">IF($J69+$L69=0,,$L69)</f>
        <v>72</v>
      </c>
      <c r="Y69" s="47" t="n">
        <f aca="false">IF($J69+$L69=0,,$J69)</f>
        <v>61</v>
      </c>
      <c r="Z69" s="47" t="n">
        <f aca="false">IF($J69+$L69=0,,$L69-$J69)</f>
        <v>11</v>
      </c>
      <c r="AA69" s="47" t="str">
        <f aca="false">IF($J69+$L69=0,"(Vincente)",IF($J69&gt;$L69,$B69,$D69))</f>
        <v>Tassi Turbolenti</v>
      </c>
      <c r="AB69" s="47" t="str">
        <f aca="false">IF($J69+$L69=0,"(Perdente)",IF($J69&lt;$L69,$B69,$D69))</f>
        <v>Ricci Rissosi</v>
      </c>
    </row>
    <row r="70" customFormat="false" ht="15.75" hidden="false" customHeight="true" outlineLevel="0" collapsed="false">
      <c r="A70" s="69"/>
      <c r="B70" s="48" t="str">
        <f aca="false">IF(I70="","",HYPERLINK(VLOOKUP(I70,areaCampiSquadre,3,FALSE()),VLOOKUP(I70,areaCampiSquadre,2,FALSE())))</f>
        <v>PalaTassi, Via dello Sport 17, Tassiopoli TI</v>
      </c>
      <c r="C70" s="48"/>
      <c r="D70" s="48"/>
      <c r="E70" s="48"/>
      <c r="F70" s="48"/>
      <c r="G70" s="48"/>
      <c r="H70" s="48"/>
      <c r="I70" s="43" t="s">
        <v>124</v>
      </c>
      <c r="J70" s="45"/>
      <c r="K70" s="45"/>
      <c r="L70" s="45"/>
    </row>
    <row r="71" customFormat="false" ht="12.75" hidden="false" customHeight="true" outlineLevel="0" collapsed="false">
      <c r="A71" s="68" t="s">
        <v>334</v>
      </c>
      <c r="B71" s="68" t="s">
        <v>317</v>
      </c>
      <c r="C71" s="68"/>
      <c r="D71" s="68" t="s">
        <v>324</v>
      </c>
      <c r="E71" s="68"/>
      <c r="F71" s="68" t="s">
        <v>335</v>
      </c>
      <c r="G71" s="68" t="s">
        <v>336</v>
      </c>
      <c r="H71" s="68" t="s">
        <v>337</v>
      </c>
      <c r="I71" s="68"/>
      <c r="J71" s="68" t="s">
        <v>338</v>
      </c>
      <c r="K71" s="68"/>
      <c r="L71" s="68"/>
    </row>
    <row r="72" customFormat="false" ht="24" hidden="false" customHeight="true" outlineLevel="0" collapsed="false">
      <c r="A72" s="69" t="n">
        <f aca="false">MAX(A$10:A71)+1</f>
        <v>131</v>
      </c>
      <c r="B72" s="42" t="str">
        <f aca="false">IF(C72="","",IFERROR(LEFT(VLOOKUP(C72,areaNomiSquadre,2,FALSE()),FIND("-",VLOOKUP(C72,areaNomiSquadre,2,FALSE()))-1),""))</f>
        <v>Uistiti Ubiqui</v>
      </c>
      <c r="C72" s="43" t="s">
        <v>126</v>
      </c>
      <c r="D72" s="42" t="str">
        <f aca="false">IF(E72="","",IFERROR(LEFT(VLOOKUP(E72,areaNomiSquadre,2,FALSE()),FIND("-",VLOOKUP(E72,areaNomiSquadre,2,FALSE()))-1),""))</f>
        <v>Quetzal Quotidiani</v>
      </c>
      <c r="E72" s="43" t="s">
        <v>118</v>
      </c>
      <c r="F72" s="44" t="n">
        <v>46411.625</v>
      </c>
      <c r="G72" s="44"/>
      <c r="H72" s="44"/>
      <c r="I72" s="44"/>
      <c r="J72" s="45" t="n">
        <v>43</v>
      </c>
      <c r="K72" s="46" t="s">
        <v>339</v>
      </c>
      <c r="L72" s="45" t="n">
        <v>83</v>
      </c>
      <c r="M72" s="47" t="str">
        <f aca="false">IF($B72="","(Squadra A)",$B72)</f>
        <v>Uistiti Ubiqui</v>
      </c>
      <c r="N72" s="47" t="n">
        <f aca="false">IF($J72+$L72=0,,IF($J72&gt;$L72,1,0))</f>
        <v>0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1</v>
      </c>
      <c r="Q72" s="47" t="n">
        <f aca="false">IF($J72+$L72=0,,$J72)</f>
        <v>43</v>
      </c>
      <c r="R72" s="47" t="n">
        <f aca="false">IF($J72+$L72=0,,$L72)</f>
        <v>83</v>
      </c>
      <c r="S72" s="47" t="n">
        <f aca="false">IF($J72+$L72=0,,$J72-$L72)</f>
        <v>-40</v>
      </c>
      <c r="T72" s="47" t="str">
        <f aca="false">IF($D72="","(Squadra B)",$D72)</f>
        <v>Quetzal Quotidiani</v>
      </c>
      <c r="U72" s="47" t="n">
        <f aca="false">IF($J72+$L72=0,,IF($L72&gt;$J72,1,0))</f>
        <v>1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0</v>
      </c>
      <c r="X72" s="47" t="n">
        <f aca="false">IF($J72+$L72=0,,$L72)</f>
        <v>83</v>
      </c>
      <c r="Y72" s="47" t="n">
        <f aca="false">IF($J72+$L72=0,,$J72)</f>
        <v>43</v>
      </c>
      <c r="Z72" s="47" t="n">
        <f aca="false">IF($J72+$L72=0,,$L72-$J72)</f>
        <v>40</v>
      </c>
      <c r="AA72" s="47" t="str">
        <f aca="false">IF($J72+$L72=0,"(Vincente)",IF($J72&gt;$L72,$B72,$D72))</f>
        <v>Quetzal Quotidiani</v>
      </c>
      <c r="AB72" s="47" t="str">
        <f aca="false">IF($J72+$L72=0,"(Perdente)",IF($J72&lt;$L72,$B72,$D72))</f>
        <v>Uistiti Ubiqui</v>
      </c>
    </row>
    <row r="73" customFormat="false" ht="15.75" hidden="false" customHeight="true" outlineLevel="0" collapsed="false">
      <c r="A73" s="69"/>
      <c r="B73" s="48" t="str">
        <f aca="false">IF(I73="","",HYPERLINK(VLOOKUP(I73,areaCampiSquadre,3,FALSE()),VLOOKUP(I73,areaCampiSquadre,2,FALSE())))</f>
        <v>PalaTassi, Via dello Sport 17, Tassiopoli TI</v>
      </c>
      <c r="C73" s="48"/>
      <c r="D73" s="48"/>
      <c r="E73" s="48"/>
      <c r="F73" s="48"/>
      <c r="G73" s="48"/>
      <c r="H73" s="48"/>
      <c r="I73" s="43" t="s">
        <v>124</v>
      </c>
      <c r="J73" s="45"/>
      <c r="K73" s="45"/>
      <c r="L73" s="45"/>
    </row>
    <row r="74" customFormat="false" ht="12.75" hidden="false" customHeight="true" outlineLevel="0" collapsed="false">
      <c r="A74" s="68" t="s">
        <v>334</v>
      </c>
      <c r="B74" s="68" t="s">
        <v>317</v>
      </c>
      <c r="C74" s="68"/>
      <c r="D74" s="68" t="s">
        <v>324</v>
      </c>
      <c r="E74" s="68"/>
      <c r="F74" s="68" t="s">
        <v>335</v>
      </c>
      <c r="G74" s="68" t="s">
        <v>336</v>
      </c>
      <c r="H74" s="68" t="s">
        <v>337</v>
      </c>
      <c r="I74" s="68"/>
      <c r="J74" s="68" t="s">
        <v>338</v>
      </c>
      <c r="K74" s="68"/>
      <c r="L74" s="68"/>
    </row>
    <row r="75" customFormat="false" ht="24" hidden="false" customHeight="true" outlineLevel="0" collapsed="false">
      <c r="A75" s="69" t="n">
        <f aca="false">MAX(A$10:A74)+1</f>
        <v>132</v>
      </c>
      <c r="B75" s="42" t="str">
        <f aca="false">IF(C75="","",IFERROR(LEFT(VLOOKUP(C75,areaNomiSquadre,2,FALSE()),FIND("-",VLOOKUP(C75,areaNomiSquadre,2,FALSE()))-1),""))</f>
        <v>Zibetti Zuccherini</v>
      </c>
      <c r="C75" s="43" t="s">
        <v>130</v>
      </c>
      <c r="D75" s="42" t="str">
        <f aca="false">IF(E75="","",IFERROR(LEFT(VLOOKUP(E75,areaNomiSquadre,2,FALSE()),FIND("-",VLOOKUP(E75,areaNomiSquadre,2,FALSE()))-1),""))</f>
        <v>Volpi Vorticose</v>
      </c>
      <c r="E75" s="43" t="s">
        <v>128</v>
      </c>
      <c r="F75" s="44" t="n">
        <v>46411.7083333333</v>
      </c>
      <c r="G75" s="44"/>
      <c r="H75" s="44"/>
      <c r="I75" s="44"/>
      <c r="J75" s="45" t="n">
        <v>85</v>
      </c>
      <c r="K75" s="46" t="s">
        <v>339</v>
      </c>
      <c r="L75" s="45" t="n">
        <v>64</v>
      </c>
      <c r="M75" s="47" t="str">
        <f aca="false">IF($B75="","(Squadra A)",$B75)</f>
        <v>Zibetti Zuccherini</v>
      </c>
      <c r="N75" s="47" t="n">
        <f aca="false">IF($J75+$L75=0,,IF($J75&gt;$L75,1,0))</f>
        <v>1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0</v>
      </c>
      <c r="Q75" s="47" t="n">
        <f aca="false">IF($J75+$L75=0,,$J75)</f>
        <v>85</v>
      </c>
      <c r="R75" s="47" t="n">
        <f aca="false">IF($J75+$L75=0,,$L75)</f>
        <v>64</v>
      </c>
      <c r="S75" s="47" t="n">
        <f aca="false">IF($J75+$L75=0,,$J75-$L75)</f>
        <v>21</v>
      </c>
      <c r="T75" s="47" t="str">
        <f aca="false">IF($D75="","(Squadra B)",$D75)</f>
        <v>Volpi Vorticose</v>
      </c>
      <c r="U75" s="47" t="n">
        <f aca="false">IF($J75+$L75=0,,IF($L75&gt;$J75,1,0))</f>
        <v>0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1</v>
      </c>
      <c r="X75" s="47" t="n">
        <f aca="false">IF($J75+$L75=0,,$L75)</f>
        <v>64</v>
      </c>
      <c r="Y75" s="47" t="n">
        <f aca="false">IF($J75+$L75=0,,$J75)</f>
        <v>85</v>
      </c>
      <c r="Z75" s="47" t="n">
        <f aca="false">IF($J75+$L75=0,,$L75-$J75)</f>
        <v>-21</v>
      </c>
      <c r="AA75" s="47" t="str">
        <f aca="false">IF($J75+$L75=0,"(Vincente)",IF($J75&gt;$L75,$B75,$D75))</f>
        <v>Zibetti Zuccherini</v>
      </c>
      <c r="AB75" s="47" t="str">
        <f aca="false">IF($J75+$L75=0,"(Perdente)",IF($J75&lt;$L75,$B75,$D75))</f>
        <v>Volpi Vorticose</v>
      </c>
    </row>
    <row r="76" customFormat="false" ht="15.75" hidden="false" customHeight="true" outlineLevel="0" collapsed="false">
      <c r="A76" s="69"/>
      <c r="B76" s="48" t="str">
        <f aca="false">IF(I76="","",HYPERLINK(VLOOKUP(I76,areaCampiSquadre,3,FALSE()),VLOOKUP(I76,areaCampiSquadre,2,FALSE())))</f>
        <v>PalaTassi, Via dello Sport 17, Tassiopoli TI</v>
      </c>
      <c r="C76" s="48"/>
      <c r="D76" s="48"/>
      <c r="E76" s="48"/>
      <c r="F76" s="48"/>
      <c r="G76" s="48"/>
      <c r="H76" s="48"/>
      <c r="I76" s="43" t="s">
        <v>124</v>
      </c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66" t="s">
        <v>373</v>
      </c>
      <c r="B78" s="67" t="str">
        <f aca="false">"GIORNATA "&amp;ROMAN(VALUE(LEFT(A78,LEN(A78)-1)))&amp;" - GIRONE "&amp;RIGHT(A78,1)</f>
        <v>GIORNATA VI - GIRONE E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customFormat="false" ht="12.75" hidden="false" customHeight="true" outlineLevel="0" collapsed="false">
      <c r="A79" s="68" t="s">
        <v>334</v>
      </c>
      <c r="B79" s="68" t="s">
        <v>317</v>
      </c>
      <c r="C79" s="68"/>
      <c r="D79" s="68" t="s">
        <v>324</v>
      </c>
      <c r="E79" s="68"/>
      <c r="F79" s="68" t="s">
        <v>335</v>
      </c>
      <c r="G79" s="68" t="s">
        <v>336</v>
      </c>
      <c r="H79" s="68" t="s">
        <v>337</v>
      </c>
      <c r="I79" s="68"/>
      <c r="J79" s="68" t="s">
        <v>338</v>
      </c>
      <c r="K79" s="68"/>
      <c r="L79" s="68"/>
    </row>
    <row r="80" customFormat="false" ht="24" hidden="false" customHeight="true" outlineLevel="0" collapsed="false">
      <c r="A80" s="69" t="n">
        <f aca="false">MAX(A$10:A79)+1</f>
        <v>133</v>
      </c>
      <c r="B80" s="42" t="str">
        <f aca="false">IF(C80="","",IFERROR(LEFT(VLOOKUP(C80,areaNomiSquadre,2,FALSE()),FIND("-",VLOOKUP(C80,areaNomiSquadre,2,FALSE()))-1),""))</f>
        <v>Ricci Rissosi</v>
      </c>
      <c r="C80" s="43" t="s">
        <v>120</v>
      </c>
      <c r="D80" s="42" t="str">
        <f aca="false">IF(E80="","",IFERROR(LEFT(VLOOKUP(E80,areaNomiSquadre,2,FALSE()),FIND("-",VLOOKUP(E80,areaNomiSquadre,2,FALSE()))-1),""))</f>
        <v>Pipistrelli Pensierosi</v>
      </c>
      <c r="E80" s="43" t="s">
        <v>115</v>
      </c>
      <c r="F80" s="44" t="n">
        <v>46432.3958333333</v>
      </c>
      <c r="G80" s="44"/>
      <c r="H80" s="44"/>
      <c r="I80" s="44"/>
      <c r="J80" s="45" t="n">
        <v>62</v>
      </c>
      <c r="K80" s="46" t="s">
        <v>339</v>
      </c>
      <c r="L80" s="45" t="n">
        <v>80</v>
      </c>
      <c r="M80" s="47" t="str">
        <f aca="false">IF($B80="","(Squadra A)",$B80)</f>
        <v>Ricci Rissosi</v>
      </c>
      <c r="N80" s="47" t="n">
        <f aca="false">IF($J80+$L80=0,,IF($J80&gt;$L80,1,0))</f>
        <v>0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1</v>
      </c>
      <c r="Q80" s="47" t="n">
        <f aca="false">IF($J80+$L80=0,,$J80)</f>
        <v>62</v>
      </c>
      <c r="R80" s="47" t="n">
        <f aca="false">IF($J80+$L80=0,,$L80)</f>
        <v>80</v>
      </c>
      <c r="S80" s="47" t="n">
        <f aca="false">IF($J80+$L80=0,,$J80-$L80)</f>
        <v>-18</v>
      </c>
      <c r="T80" s="47" t="str">
        <f aca="false">IF($D80="","(Squadra B)",$D80)</f>
        <v>Pipistrelli Pensierosi</v>
      </c>
      <c r="U80" s="47" t="n">
        <f aca="false">IF($J80+$L80=0,,IF($L80&gt;$J80,1,0))</f>
        <v>1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0</v>
      </c>
      <c r="X80" s="47" t="n">
        <f aca="false">IF($J80+$L80=0,,$L80)</f>
        <v>80</v>
      </c>
      <c r="Y80" s="47" t="n">
        <f aca="false">IF($J80+$L80=0,,$J80)</f>
        <v>62</v>
      </c>
      <c r="Z80" s="47" t="n">
        <f aca="false">IF($J80+$L80=0,,$L80-$J80)</f>
        <v>18</v>
      </c>
      <c r="AA80" s="47" t="str">
        <f aca="false">IF($J80+$L80=0,"(Vincente)",IF($J80&gt;$L80,$B80,$D80))</f>
        <v>Pipistrelli Pensierosi</v>
      </c>
      <c r="AB80" s="47" t="str">
        <f aca="false">IF($J80+$L80=0,"(Perdente)",IF($J80&lt;$L80,$B80,$D80))</f>
        <v>Ricci Rissosi</v>
      </c>
    </row>
    <row r="81" customFormat="false" ht="15.75" hidden="false" customHeight="true" outlineLevel="0" collapsed="false">
      <c r="A81" s="69"/>
      <c r="B81" s="48" t="str">
        <f aca="false">IF(I81="","",HYPERLINK(VLOOKUP(I81,areaCampiSquadre,3,FALSE()),VLOOKUP(I81,areaCampiSquadre,2,FALSE())))</f>
        <v>PalaUistiti, Via dello Sport 18, Uistitiopoli UI</v>
      </c>
      <c r="C81" s="48"/>
      <c r="D81" s="48"/>
      <c r="E81" s="48"/>
      <c r="F81" s="48"/>
      <c r="G81" s="48"/>
      <c r="H81" s="48"/>
      <c r="I81" s="43" t="s">
        <v>126</v>
      </c>
      <c r="J81" s="45"/>
      <c r="K81" s="45"/>
      <c r="L81" s="45"/>
    </row>
    <row r="82" customFormat="false" ht="12.75" hidden="false" customHeight="true" outlineLevel="0" collapsed="false">
      <c r="A82" s="68" t="s">
        <v>334</v>
      </c>
      <c r="B82" s="68" t="s">
        <v>317</v>
      </c>
      <c r="C82" s="68"/>
      <c r="D82" s="68" t="s">
        <v>324</v>
      </c>
      <c r="E82" s="68"/>
      <c r="F82" s="68" t="s">
        <v>335</v>
      </c>
      <c r="G82" s="68" t="s">
        <v>336</v>
      </c>
      <c r="H82" s="68" t="s">
        <v>337</v>
      </c>
      <c r="I82" s="68"/>
      <c r="J82" s="68" t="s">
        <v>338</v>
      </c>
      <c r="K82" s="68"/>
      <c r="L82" s="68"/>
    </row>
    <row r="83" customFormat="false" ht="24" hidden="false" customHeight="true" outlineLevel="0" collapsed="false">
      <c r="A83" s="69" t="n">
        <f aca="false">MAX(A$10:A82)+1</f>
        <v>134</v>
      </c>
      <c r="B83" s="42" t="str">
        <f aca="false">IF(C83="","",IFERROR(LEFT(VLOOKUP(C83,areaNomiSquadre,2,FALSE()),FIND("-",VLOOKUP(C83,areaNomiSquadre,2,FALSE()))-1),""))</f>
        <v>Scoiattoli Scattanti</v>
      </c>
      <c r="C83" s="43" t="s">
        <v>122</v>
      </c>
      <c r="D83" s="42" t="str">
        <f aca="false">IF(E83="","",IFERROR(LEFT(VLOOKUP(E83,areaNomiSquadre,2,FALSE()),FIND("-",VLOOKUP(E83,areaNomiSquadre,2,FALSE()))-1),""))</f>
        <v>Quetzal Quotidiani</v>
      </c>
      <c r="E83" s="43" t="s">
        <v>118</v>
      </c>
      <c r="F83" s="44" t="n">
        <v>46432.4791666667</v>
      </c>
      <c r="G83" s="44"/>
      <c r="H83" s="44"/>
      <c r="I83" s="44"/>
      <c r="J83" s="45" t="n">
        <v>72</v>
      </c>
      <c r="K83" s="46" t="s">
        <v>339</v>
      </c>
      <c r="L83" s="45" t="n">
        <v>68</v>
      </c>
      <c r="M83" s="47" t="str">
        <f aca="false">IF($B83="","(Squadra A)",$B83)</f>
        <v>Scoiattoli Scattanti</v>
      </c>
      <c r="N83" s="47" t="n">
        <f aca="false">IF($J83+$L83=0,,IF($J83&gt;$L83,1,0))</f>
        <v>1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0</v>
      </c>
      <c r="Q83" s="47" t="n">
        <f aca="false">IF($J83+$L83=0,,$J83)</f>
        <v>72</v>
      </c>
      <c r="R83" s="47" t="n">
        <f aca="false">IF($J83+$L83=0,,$L83)</f>
        <v>68</v>
      </c>
      <c r="S83" s="47" t="n">
        <f aca="false">IF($J83+$L83=0,,$J83-$L83)</f>
        <v>4</v>
      </c>
      <c r="T83" s="47" t="str">
        <f aca="false">IF($D83="","(Squadra B)",$D83)</f>
        <v>Quetzal Quotidiani</v>
      </c>
      <c r="U83" s="47" t="n">
        <f aca="false">IF($J83+$L83=0,,IF($L83&gt;$J83,1,0))</f>
        <v>0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1</v>
      </c>
      <c r="X83" s="47" t="n">
        <f aca="false">IF($J83+$L83=0,,$L83)</f>
        <v>68</v>
      </c>
      <c r="Y83" s="47" t="n">
        <f aca="false">IF($J83+$L83=0,,$J83)</f>
        <v>72</v>
      </c>
      <c r="Z83" s="47" t="n">
        <f aca="false">IF($J83+$L83=0,,$L83-$J83)</f>
        <v>-4</v>
      </c>
      <c r="AA83" s="47" t="str">
        <f aca="false">IF($J83+$L83=0,"(Vincente)",IF($J83&gt;$L83,$B83,$D83))</f>
        <v>Scoiattoli Scattanti</v>
      </c>
      <c r="AB83" s="47" t="str">
        <f aca="false">IF($J83+$L83=0,"(Perdente)",IF($J83&lt;$L83,$B83,$D83))</f>
        <v>Quetzal Quotidiani</v>
      </c>
    </row>
    <row r="84" customFormat="false" ht="15.75" hidden="false" customHeight="true" outlineLevel="0" collapsed="false">
      <c r="A84" s="69"/>
      <c r="B84" s="48" t="str">
        <f aca="false">IF(I84="","",HYPERLINK(VLOOKUP(I84,areaCampiSquadre,3,FALSE()),VLOOKUP(I84,areaCampiSquadre,2,FALSE())))</f>
        <v>PalaUistiti, Via dello Sport 18, Uistitiopoli UI</v>
      </c>
      <c r="C84" s="48"/>
      <c r="D84" s="48"/>
      <c r="E84" s="48"/>
      <c r="F84" s="48"/>
      <c r="G84" s="48"/>
      <c r="H84" s="48"/>
      <c r="I84" s="43" t="s">
        <v>126</v>
      </c>
      <c r="J84" s="45"/>
      <c r="K84" s="45"/>
      <c r="L84" s="45"/>
    </row>
    <row r="85" customFormat="false" ht="12.75" hidden="false" customHeight="true" outlineLevel="0" collapsed="false">
      <c r="A85" s="68" t="s">
        <v>334</v>
      </c>
      <c r="B85" s="68" t="s">
        <v>317</v>
      </c>
      <c r="C85" s="68"/>
      <c r="D85" s="68" t="s">
        <v>324</v>
      </c>
      <c r="E85" s="68"/>
      <c r="F85" s="68" t="s">
        <v>335</v>
      </c>
      <c r="G85" s="68" t="s">
        <v>336</v>
      </c>
      <c r="H85" s="68" t="s">
        <v>337</v>
      </c>
      <c r="I85" s="68"/>
      <c r="J85" s="68" t="s">
        <v>338</v>
      </c>
      <c r="K85" s="68"/>
      <c r="L85" s="68"/>
    </row>
    <row r="86" customFormat="false" ht="24" hidden="false" customHeight="true" outlineLevel="0" collapsed="false">
      <c r="A86" s="69" t="n">
        <f aca="false">MAX(A$10:A85)+1</f>
        <v>135</v>
      </c>
      <c r="B86" s="42" t="str">
        <f aca="false">IF(C86="","",IFERROR(LEFT(VLOOKUP(C86,areaNomiSquadre,2,FALSE()),FIND("-",VLOOKUP(C86,areaNomiSquadre,2,FALSE()))-1),""))</f>
        <v>Zibetti Zuccherini</v>
      </c>
      <c r="C86" s="43" t="s">
        <v>130</v>
      </c>
      <c r="D86" s="42" t="str">
        <f aca="false">IF(E86="","",IFERROR(LEFT(VLOOKUP(E86,areaNomiSquadre,2,FALSE()),FIND("-",VLOOKUP(E86,areaNomiSquadre,2,FALSE()))-1),""))</f>
        <v>Tassi Turbolenti</v>
      </c>
      <c r="E86" s="43" t="s">
        <v>124</v>
      </c>
      <c r="F86" s="44" t="n">
        <v>46432.625</v>
      </c>
      <c r="G86" s="44"/>
      <c r="H86" s="44"/>
      <c r="I86" s="44"/>
      <c r="J86" s="45" t="n">
        <v>62</v>
      </c>
      <c r="K86" s="46" t="s">
        <v>339</v>
      </c>
      <c r="L86" s="45" t="n">
        <v>47</v>
      </c>
      <c r="M86" s="47" t="str">
        <f aca="false">IF($B86="","(Squadra A)",$B86)</f>
        <v>Zibetti Zuccherini</v>
      </c>
      <c r="N86" s="47" t="n">
        <f aca="false">IF($J86+$L86=0,,IF($J86&gt;$L86,1,0))</f>
        <v>1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0</v>
      </c>
      <c r="Q86" s="47" t="n">
        <f aca="false">IF($J86+$L86=0,,$J86)</f>
        <v>62</v>
      </c>
      <c r="R86" s="47" t="n">
        <f aca="false">IF($J86+$L86=0,,$L86)</f>
        <v>47</v>
      </c>
      <c r="S86" s="47" t="n">
        <f aca="false">IF($J86+$L86=0,,$J86-$L86)</f>
        <v>15</v>
      </c>
      <c r="T86" s="47" t="str">
        <f aca="false">IF($D86="","(Squadra B)",$D86)</f>
        <v>Tassi Turbolenti</v>
      </c>
      <c r="U86" s="47" t="n">
        <f aca="false">IF($J86+$L86=0,,IF($L86&gt;$J86,1,0))</f>
        <v>0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1</v>
      </c>
      <c r="X86" s="47" t="n">
        <f aca="false">IF($J86+$L86=0,,$L86)</f>
        <v>47</v>
      </c>
      <c r="Y86" s="47" t="n">
        <f aca="false">IF($J86+$L86=0,,$J86)</f>
        <v>62</v>
      </c>
      <c r="Z86" s="47" t="n">
        <f aca="false">IF($J86+$L86=0,,$L86-$J86)</f>
        <v>-15</v>
      </c>
      <c r="AA86" s="47" t="str">
        <f aca="false">IF($J86+$L86=0,"(Vincente)",IF($J86&gt;$L86,$B86,$D86))</f>
        <v>Zibetti Zuccherini</v>
      </c>
      <c r="AB86" s="47" t="str">
        <f aca="false">IF($J86+$L86=0,"(Perdente)",IF($J86&lt;$L86,$B86,$D86))</f>
        <v>Tassi Turbolenti</v>
      </c>
    </row>
    <row r="87" customFormat="false" ht="15.75" hidden="false" customHeight="true" outlineLevel="0" collapsed="false">
      <c r="A87" s="69"/>
      <c r="B87" s="48" t="str">
        <f aca="false">IF(I87="","",HYPERLINK(VLOOKUP(I87,areaCampiSquadre,3,FALSE()),VLOOKUP(I87,areaCampiSquadre,2,FALSE())))</f>
        <v>PalaUistiti, Via dello Sport 18, Uistitiopoli UI</v>
      </c>
      <c r="C87" s="48"/>
      <c r="D87" s="48"/>
      <c r="E87" s="48"/>
      <c r="F87" s="48"/>
      <c r="G87" s="48"/>
      <c r="H87" s="48"/>
      <c r="I87" s="43" t="s">
        <v>126</v>
      </c>
      <c r="J87" s="45"/>
      <c r="K87" s="45"/>
      <c r="L87" s="45"/>
    </row>
    <row r="88" customFormat="false" ht="12.75" hidden="false" customHeight="true" outlineLevel="0" collapsed="false">
      <c r="A88" s="68" t="s">
        <v>334</v>
      </c>
      <c r="B88" s="68" t="s">
        <v>317</v>
      </c>
      <c r="C88" s="68"/>
      <c r="D88" s="68" t="s">
        <v>324</v>
      </c>
      <c r="E88" s="68"/>
      <c r="F88" s="68" t="s">
        <v>335</v>
      </c>
      <c r="G88" s="68" t="s">
        <v>336</v>
      </c>
      <c r="H88" s="68" t="s">
        <v>337</v>
      </c>
      <c r="I88" s="68"/>
      <c r="J88" s="68" t="s">
        <v>338</v>
      </c>
      <c r="K88" s="68"/>
      <c r="L88" s="68"/>
    </row>
    <row r="89" customFormat="false" ht="24" hidden="false" customHeight="true" outlineLevel="0" collapsed="false">
      <c r="A89" s="69" t="n">
        <f aca="false">MAX(A$10:A88)+1</f>
        <v>136</v>
      </c>
      <c r="B89" s="42" t="str">
        <f aca="false">IF(C89="","",IFERROR(LEFT(VLOOKUP(C89,areaNomiSquadre,2,FALSE()),FIND("-",VLOOKUP(C89,areaNomiSquadre,2,FALSE()))-1),""))</f>
        <v>Uistiti Ubiqui</v>
      </c>
      <c r="C89" s="43" t="s">
        <v>126</v>
      </c>
      <c r="D89" s="42" t="str">
        <f aca="false">IF(E89="","",IFERROR(LEFT(VLOOKUP(E89,areaNomiSquadre,2,FALSE()),FIND("-",VLOOKUP(E89,areaNomiSquadre,2,FALSE()))-1),""))</f>
        <v>Volpi Vorticose</v>
      </c>
      <c r="E89" s="43" t="s">
        <v>128</v>
      </c>
      <c r="F89" s="44" t="n">
        <v>46432.7083333333</v>
      </c>
      <c r="G89" s="44"/>
      <c r="H89" s="44"/>
      <c r="I89" s="44"/>
      <c r="J89" s="45" t="n">
        <v>41</v>
      </c>
      <c r="K89" s="46" t="s">
        <v>339</v>
      </c>
      <c r="L89" s="45" t="n">
        <v>85</v>
      </c>
      <c r="M89" s="47" t="str">
        <f aca="false">IF($B89="","(Squadra A)",$B89)</f>
        <v>Uistiti Ubiqui</v>
      </c>
      <c r="N89" s="47" t="n">
        <f aca="false">IF($J89+$L89=0,,IF($J89&gt;$L89,1,0))</f>
        <v>0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1</v>
      </c>
      <c r="Q89" s="47" t="n">
        <f aca="false">IF($J89+$L89=0,,$J89)</f>
        <v>41</v>
      </c>
      <c r="R89" s="47" t="n">
        <f aca="false">IF($J89+$L89=0,,$L89)</f>
        <v>85</v>
      </c>
      <c r="S89" s="47" t="n">
        <f aca="false">IF($J89+$L89=0,,$J89-$L89)</f>
        <v>-44</v>
      </c>
      <c r="T89" s="47" t="str">
        <f aca="false">IF($D89="","(Squadra B)",$D89)</f>
        <v>Volpi Vorticose</v>
      </c>
      <c r="U89" s="47" t="n">
        <f aca="false">IF($J89+$L89=0,,IF($L89&gt;$J89,1,0))</f>
        <v>1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0</v>
      </c>
      <c r="X89" s="47" t="n">
        <f aca="false">IF($J89+$L89=0,,$L89)</f>
        <v>85</v>
      </c>
      <c r="Y89" s="47" t="n">
        <f aca="false">IF($J89+$L89=0,,$J89)</f>
        <v>41</v>
      </c>
      <c r="Z89" s="47" t="n">
        <f aca="false">IF($J89+$L89=0,,$L89-$J89)</f>
        <v>44</v>
      </c>
      <c r="AA89" s="47" t="str">
        <f aca="false">IF($J89+$L89=0,"(Vincente)",IF($J89&gt;$L89,$B89,$D89))</f>
        <v>Volpi Vorticose</v>
      </c>
      <c r="AB89" s="47" t="str">
        <f aca="false">IF($J89+$L89=0,"(Perdente)",IF($J89&lt;$L89,$B89,$D89))</f>
        <v>Uistiti Ubiqui</v>
      </c>
    </row>
    <row r="90" customFormat="false" ht="15.75" hidden="false" customHeight="true" outlineLevel="0" collapsed="false">
      <c r="A90" s="69"/>
      <c r="B90" s="48" t="str">
        <f aca="false">IF(I90="","",HYPERLINK(VLOOKUP(I90,areaCampiSquadre,3,FALSE()),VLOOKUP(I90,areaCampiSquadre,2,FALSE())))</f>
        <v>PalaUistiti, Via dello Sport 18, Uistitiopoli UI</v>
      </c>
      <c r="C90" s="48"/>
      <c r="D90" s="48"/>
      <c r="E90" s="48"/>
      <c r="F90" s="48"/>
      <c r="G90" s="48"/>
      <c r="H90" s="48"/>
      <c r="I90" s="43" t="s">
        <v>126</v>
      </c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66" t="s">
        <v>374</v>
      </c>
      <c r="B92" s="67" t="str">
        <f aca="false">"GIORNATA "&amp;ROMAN(VALUE(LEFT(A92,LEN(A92)-1)))&amp;" - GIRONE "&amp;RIGHT(A92,1)</f>
        <v>GIORNATA VII - GIRONE E</v>
      </c>
      <c r="C92" s="67"/>
      <c r="D92" s="67"/>
      <c r="E92" s="67"/>
      <c r="F92" s="67"/>
      <c r="G92" s="67"/>
      <c r="H92" s="67"/>
      <c r="I92" s="67"/>
      <c r="J92" s="67"/>
      <c r="K92" s="67"/>
      <c r="L92" s="67"/>
    </row>
    <row r="93" customFormat="false" ht="12.75" hidden="false" customHeight="true" outlineLevel="0" collapsed="false">
      <c r="A93" s="68" t="s">
        <v>334</v>
      </c>
      <c r="B93" s="68" t="s">
        <v>317</v>
      </c>
      <c r="C93" s="68"/>
      <c r="D93" s="68" t="s">
        <v>324</v>
      </c>
      <c r="E93" s="68"/>
      <c r="F93" s="68" t="s">
        <v>335</v>
      </c>
      <c r="G93" s="68" t="s">
        <v>336</v>
      </c>
      <c r="H93" s="68" t="s">
        <v>337</v>
      </c>
      <c r="I93" s="68"/>
      <c r="J93" s="68" t="s">
        <v>338</v>
      </c>
      <c r="K93" s="68"/>
      <c r="L93" s="68"/>
    </row>
    <row r="94" customFormat="false" ht="24" hidden="false" customHeight="true" outlineLevel="0" collapsed="false">
      <c r="A94" s="69" t="n">
        <f aca="false">MAX(A$10:A93)+1</f>
        <v>137</v>
      </c>
      <c r="B94" s="42" t="str">
        <f aca="false">IF(C94="","",IFERROR(LEFT(VLOOKUP(C94,areaNomiSquadre,2,FALSE()),FIND("-",VLOOKUP(C94,areaNomiSquadre,2,FALSE()))-1),""))</f>
        <v>Pipistrelli Pensierosi</v>
      </c>
      <c r="C94" s="43" t="s">
        <v>115</v>
      </c>
      <c r="D94" s="42" t="str">
        <f aca="false">IF(E94="","",IFERROR(LEFT(VLOOKUP(E94,areaNomiSquadre,2,FALSE()),FIND("-",VLOOKUP(E94,areaNomiSquadre,2,FALSE()))-1),""))</f>
        <v>Quetzal Quotidiani</v>
      </c>
      <c r="E94" s="43" t="s">
        <v>118</v>
      </c>
      <c r="F94" s="44" t="n">
        <v>46453.3958333333</v>
      </c>
      <c r="G94" s="44"/>
      <c r="H94" s="44"/>
      <c r="I94" s="44"/>
      <c r="J94" s="45" t="n">
        <v>60</v>
      </c>
      <c r="K94" s="46" t="s">
        <v>339</v>
      </c>
      <c r="L94" s="45" t="n">
        <v>65</v>
      </c>
      <c r="M94" s="47" t="str">
        <f aca="false">IF($B94="","(Squadra A)",$B94)</f>
        <v>Pipistrelli Pensierosi</v>
      </c>
      <c r="N94" s="47" t="n">
        <f aca="false">IF($J94+$L94=0,,IF($J94&gt;$L94,1,0))</f>
        <v>0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1</v>
      </c>
      <c r="Q94" s="47" t="n">
        <f aca="false">IF($J94+$L94=0,,$J94)</f>
        <v>60</v>
      </c>
      <c r="R94" s="47" t="n">
        <f aca="false">IF($J94+$L94=0,,$L94)</f>
        <v>65</v>
      </c>
      <c r="S94" s="47" t="n">
        <f aca="false">IF($J94+$L94=0,,$J94-$L94)</f>
        <v>-5</v>
      </c>
      <c r="T94" s="47" t="str">
        <f aca="false">IF($D94="","(Squadra B)",$D94)</f>
        <v>Quetzal Quotidiani</v>
      </c>
      <c r="U94" s="47" t="n">
        <f aca="false">IF($J94+$L94=0,,IF($L94&gt;$J94,1,0))</f>
        <v>1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0</v>
      </c>
      <c r="X94" s="47" t="n">
        <f aca="false">IF($J94+$L94=0,,$L94)</f>
        <v>65</v>
      </c>
      <c r="Y94" s="47" t="n">
        <f aca="false">IF($J94+$L94=0,,$J94)</f>
        <v>60</v>
      </c>
      <c r="Z94" s="47" t="n">
        <f aca="false">IF($J94+$L94=0,,$L94-$J94)</f>
        <v>5</v>
      </c>
      <c r="AA94" s="47" t="str">
        <f aca="false">IF($J94+$L94=0,"(Vincente)",IF($J94&gt;$L94,$B94,$D94))</f>
        <v>Quetzal Quotidiani</v>
      </c>
      <c r="AB94" s="47" t="str">
        <f aca="false">IF($J94+$L94=0,"(Perdente)",IF($J94&lt;$L94,$B94,$D94))</f>
        <v>Pipistrelli Pensierosi</v>
      </c>
    </row>
    <row r="95" customFormat="false" ht="15.75" hidden="false" customHeight="true" outlineLevel="0" collapsed="false">
      <c r="A95" s="69"/>
      <c r="B95" s="48" t="str">
        <f aca="false">IF(I95="","",HYPERLINK(VLOOKUP(I95,areaCampiSquadre,3,FALSE()),VLOOKUP(I95,areaCampiSquadre,2,FALSE())))</f>
        <v>PalaVolpi, Via dello Sport 19, Volpiopoli VI</v>
      </c>
      <c r="C95" s="48"/>
      <c r="D95" s="48"/>
      <c r="E95" s="48"/>
      <c r="F95" s="48"/>
      <c r="G95" s="48"/>
      <c r="H95" s="48"/>
      <c r="I95" s="43" t="s">
        <v>128</v>
      </c>
      <c r="J95" s="45"/>
      <c r="K95" s="45"/>
      <c r="L95" s="45"/>
    </row>
    <row r="96" customFormat="false" ht="12.75" hidden="false" customHeight="true" outlineLevel="0" collapsed="false">
      <c r="A96" s="68" t="s">
        <v>334</v>
      </c>
      <c r="B96" s="68" t="s">
        <v>317</v>
      </c>
      <c r="C96" s="68"/>
      <c r="D96" s="68" t="s">
        <v>324</v>
      </c>
      <c r="E96" s="68"/>
      <c r="F96" s="68" t="s">
        <v>335</v>
      </c>
      <c r="G96" s="68" t="s">
        <v>336</v>
      </c>
      <c r="H96" s="68" t="s">
        <v>337</v>
      </c>
      <c r="I96" s="68"/>
      <c r="J96" s="68" t="s">
        <v>338</v>
      </c>
      <c r="K96" s="68"/>
      <c r="L96" s="68"/>
    </row>
    <row r="97" customFormat="false" ht="24" hidden="false" customHeight="true" outlineLevel="0" collapsed="false">
      <c r="A97" s="69" t="n">
        <f aca="false">MAX(A$10:A96)+1</f>
        <v>138</v>
      </c>
      <c r="B97" s="42" t="str">
        <f aca="false">IF(C97="","",IFERROR(LEFT(VLOOKUP(C97,areaNomiSquadre,2,FALSE()),FIND("-",VLOOKUP(C97,areaNomiSquadre,2,FALSE()))-1),""))</f>
        <v>Zibetti Zuccherini</v>
      </c>
      <c r="C97" s="43" t="s">
        <v>130</v>
      </c>
      <c r="D97" s="42" t="str">
        <f aca="false">IF(E97="","",IFERROR(LEFT(VLOOKUP(E97,areaNomiSquadre,2,FALSE()),FIND("-",VLOOKUP(E97,areaNomiSquadre,2,FALSE()))-1),""))</f>
        <v>Ricci Rissosi</v>
      </c>
      <c r="E97" s="43" t="s">
        <v>120</v>
      </c>
      <c r="F97" s="44" t="n">
        <v>46453.4791666667</v>
      </c>
      <c r="G97" s="44"/>
      <c r="H97" s="44"/>
      <c r="I97" s="44"/>
      <c r="J97" s="45" t="n">
        <v>66</v>
      </c>
      <c r="K97" s="46" t="s">
        <v>339</v>
      </c>
      <c r="L97" s="45" t="n">
        <v>57</v>
      </c>
      <c r="M97" s="47" t="str">
        <f aca="false">IF($B97="","(Squadra A)",$B97)</f>
        <v>Zibetti Zuccherini</v>
      </c>
      <c r="N97" s="47" t="n">
        <f aca="false">IF($J97+$L97=0,,IF($J97&gt;$L97,1,0))</f>
        <v>1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66</v>
      </c>
      <c r="R97" s="47" t="n">
        <f aca="false">IF($J97+$L97=0,,$L97)</f>
        <v>57</v>
      </c>
      <c r="S97" s="47" t="n">
        <f aca="false">IF($J97+$L97=0,,$J97-$L97)</f>
        <v>9</v>
      </c>
      <c r="T97" s="47" t="str">
        <f aca="false">IF($D97="","(Squadra B)",$D97)</f>
        <v>Ricci Rissosi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1</v>
      </c>
      <c r="X97" s="47" t="n">
        <f aca="false">IF($J97+$L97=0,,$L97)</f>
        <v>57</v>
      </c>
      <c r="Y97" s="47" t="n">
        <f aca="false">IF($J97+$L97=0,,$J97)</f>
        <v>66</v>
      </c>
      <c r="Z97" s="47" t="n">
        <f aca="false">IF($J97+$L97=0,,$L97-$J97)</f>
        <v>-9</v>
      </c>
      <c r="AA97" s="47" t="str">
        <f aca="false">IF($J97+$L97=0,"(Vincente)",IF($J97&gt;$L97,$B97,$D97))</f>
        <v>Zibetti Zuccherini</v>
      </c>
      <c r="AB97" s="47" t="str">
        <f aca="false">IF($J97+$L97=0,"(Perdente)",IF($J97&lt;$L97,$B97,$D97))</f>
        <v>Ricci Rissosi</v>
      </c>
    </row>
    <row r="98" customFormat="false" ht="15.75" hidden="false" customHeight="true" outlineLevel="0" collapsed="false">
      <c r="A98" s="69"/>
      <c r="B98" s="48" t="str">
        <f aca="false">IF(I98="","",HYPERLINK(VLOOKUP(I98,areaCampiSquadre,3,FALSE()),VLOOKUP(I98,areaCampiSquadre,2,FALSE())))</f>
        <v>PalaVolpi, Via dello Sport 19, Volpiopoli VI</v>
      </c>
      <c r="C98" s="48"/>
      <c r="D98" s="48"/>
      <c r="E98" s="48"/>
      <c r="F98" s="48"/>
      <c r="G98" s="48"/>
      <c r="H98" s="48"/>
      <c r="I98" s="43" t="s">
        <v>128</v>
      </c>
      <c r="J98" s="45"/>
      <c r="K98" s="45"/>
      <c r="L98" s="45"/>
    </row>
    <row r="99" customFormat="false" ht="12.75" hidden="false" customHeight="true" outlineLevel="0" collapsed="false">
      <c r="A99" s="68" t="s">
        <v>334</v>
      </c>
      <c r="B99" s="68" t="s">
        <v>317</v>
      </c>
      <c r="C99" s="68"/>
      <c r="D99" s="68" t="s">
        <v>324</v>
      </c>
      <c r="E99" s="68"/>
      <c r="F99" s="68" t="s">
        <v>335</v>
      </c>
      <c r="G99" s="68" t="s">
        <v>336</v>
      </c>
      <c r="H99" s="68" t="s">
        <v>337</v>
      </c>
      <c r="I99" s="68"/>
      <c r="J99" s="68" t="s">
        <v>338</v>
      </c>
      <c r="K99" s="68"/>
      <c r="L99" s="68"/>
    </row>
    <row r="100" customFormat="false" ht="24" hidden="false" customHeight="true" outlineLevel="0" collapsed="false">
      <c r="A100" s="69" t="n">
        <f aca="false">MAX(A$10:A99)+1</f>
        <v>139</v>
      </c>
      <c r="B100" s="42" t="str">
        <f aca="false">IF(C100="","",IFERROR(LEFT(VLOOKUP(C100,areaNomiSquadre,2,FALSE()),FIND("-",VLOOKUP(C100,areaNomiSquadre,2,FALSE()))-1),""))</f>
        <v>Scoiattoli Scattanti</v>
      </c>
      <c r="C100" s="43" t="s">
        <v>122</v>
      </c>
      <c r="D100" s="42" t="str">
        <f aca="false">IF(E100="","",IFERROR(LEFT(VLOOKUP(E100,areaNomiSquadre,2,FALSE()),FIND("-",VLOOKUP(E100,areaNomiSquadre,2,FALSE()))-1),""))</f>
        <v>Volpi Vorticose</v>
      </c>
      <c r="E100" s="43" t="s">
        <v>128</v>
      </c>
      <c r="F100" s="44" t="n">
        <v>46453.625</v>
      </c>
      <c r="G100" s="44"/>
      <c r="H100" s="44"/>
      <c r="I100" s="44"/>
      <c r="J100" s="45" t="n">
        <v>68</v>
      </c>
      <c r="K100" s="46" t="s">
        <v>339</v>
      </c>
      <c r="L100" s="45" t="n">
        <v>51</v>
      </c>
      <c r="M100" s="47" t="str">
        <f aca="false">IF($B100="","(Squadra A)",$B100)</f>
        <v>Scoiattoli Scattanti</v>
      </c>
      <c r="N100" s="47" t="n">
        <f aca="false">IF($J100+$L100=0,,IF($J100&gt;$L100,1,0))</f>
        <v>1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0</v>
      </c>
      <c r="Q100" s="47" t="n">
        <f aca="false">IF($J100+$L100=0,,$J100)</f>
        <v>68</v>
      </c>
      <c r="R100" s="47" t="n">
        <f aca="false">IF($J100+$L100=0,,$L100)</f>
        <v>51</v>
      </c>
      <c r="S100" s="47" t="n">
        <f aca="false">IF($J100+$L100=0,,$J100-$L100)</f>
        <v>17</v>
      </c>
      <c r="T100" s="47" t="str">
        <f aca="false">IF($D100="","(Squadra B)",$D100)</f>
        <v>Volpi Vorticose</v>
      </c>
      <c r="U100" s="47" t="n">
        <f aca="false">IF($J100+$L100=0,,IF($L100&gt;$J100,1,0))</f>
        <v>0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1</v>
      </c>
      <c r="X100" s="47" t="n">
        <f aca="false">IF($J100+$L100=0,,$L100)</f>
        <v>51</v>
      </c>
      <c r="Y100" s="47" t="n">
        <f aca="false">IF($J100+$L100=0,,$J100)</f>
        <v>68</v>
      </c>
      <c r="Z100" s="47" t="n">
        <f aca="false">IF($J100+$L100=0,,$L100-$J100)</f>
        <v>-17</v>
      </c>
      <c r="AA100" s="47" t="str">
        <f aca="false">IF($J100+$L100=0,"(Vincente)",IF($J100&gt;$L100,$B100,$D100))</f>
        <v>Scoiattoli Scattanti</v>
      </c>
      <c r="AB100" s="47" t="str">
        <f aca="false">IF($J100+$L100=0,"(Perdente)",IF($J100&lt;$L100,$B100,$D100))</f>
        <v>Volpi Vorticose</v>
      </c>
    </row>
    <row r="101" customFormat="false" ht="15.75" hidden="false" customHeight="true" outlineLevel="0" collapsed="false">
      <c r="A101" s="69"/>
      <c r="B101" s="48" t="str">
        <f aca="false">IF(I101="","",HYPERLINK(VLOOKUP(I101,areaCampiSquadre,3,FALSE()),VLOOKUP(I101,areaCampiSquadre,2,FALSE())))</f>
        <v>PalaVolpi, Via dello Sport 19, Volpiopoli VI</v>
      </c>
      <c r="C101" s="48"/>
      <c r="D101" s="48"/>
      <c r="E101" s="48"/>
      <c r="F101" s="48"/>
      <c r="G101" s="48"/>
      <c r="H101" s="48"/>
      <c r="I101" s="43" t="s">
        <v>128</v>
      </c>
      <c r="J101" s="45"/>
      <c r="K101" s="45"/>
      <c r="L101" s="45"/>
    </row>
    <row r="102" customFormat="false" ht="12.75" hidden="false" customHeight="true" outlineLevel="0" collapsed="false">
      <c r="A102" s="68" t="s">
        <v>334</v>
      </c>
      <c r="B102" s="68" t="s">
        <v>317</v>
      </c>
      <c r="C102" s="68"/>
      <c r="D102" s="68" t="s">
        <v>324</v>
      </c>
      <c r="E102" s="68"/>
      <c r="F102" s="68" t="s">
        <v>335</v>
      </c>
      <c r="G102" s="68" t="s">
        <v>336</v>
      </c>
      <c r="H102" s="68" t="s">
        <v>337</v>
      </c>
      <c r="I102" s="68"/>
      <c r="J102" s="68" t="s">
        <v>338</v>
      </c>
      <c r="K102" s="68"/>
      <c r="L102" s="68"/>
    </row>
    <row r="103" customFormat="false" ht="24" hidden="false" customHeight="true" outlineLevel="0" collapsed="false">
      <c r="A103" s="69" t="n">
        <f aca="false">MAX(A$10:A102)+1</f>
        <v>140</v>
      </c>
      <c r="B103" s="42" t="str">
        <f aca="false">IF(C103="","",IFERROR(LEFT(VLOOKUP(C103,areaNomiSquadre,2,FALSE()),FIND("-",VLOOKUP(C103,areaNomiSquadre,2,FALSE()))-1),""))</f>
        <v>Uistiti Ubiqui</v>
      </c>
      <c r="C103" s="43" t="s">
        <v>126</v>
      </c>
      <c r="D103" s="42" t="str">
        <f aca="false">IF(E103="","",IFERROR(LEFT(VLOOKUP(E103,areaNomiSquadre,2,FALSE()),FIND("-",VLOOKUP(E103,areaNomiSquadre,2,FALSE()))-1),""))</f>
        <v>Tassi Turbolenti</v>
      </c>
      <c r="E103" s="43" t="s">
        <v>124</v>
      </c>
      <c r="F103" s="44" t="n">
        <v>46453.7083333333</v>
      </c>
      <c r="G103" s="44"/>
      <c r="H103" s="44"/>
      <c r="I103" s="44"/>
      <c r="J103" s="45" t="n">
        <v>37</v>
      </c>
      <c r="K103" s="46" t="s">
        <v>339</v>
      </c>
      <c r="L103" s="45" t="n">
        <v>69</v>
      </c>
      <c r="M103" s="47" t="str">
        <f aca="false">IF($B103="","(Squadra A)",$B103)</f>
        <v>Uistiti Ubiqui</v>
      </c>
      <c r="N103" s="47" t="n">
        <f aca="false">IF($J103+$L103=0,,IF($J103&gt;$L103,1,0))</f>
        <v>0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1</v>
      </c>
      <c r="Q103" s="47" t="n">
        <f aca="false">IF($J103+$L103=0,,$J103)</f>
        <v>37</v>
      </c>
      <c r="R103" s="47" t="n">
        <f aca="false">IF($J103+$L103=0,,$L103)</f>
        <v>69</v>
      </c>
      <c r="S103" s="47" t="n">
        <f aca="false">IF($J103+$L103=0,,$J103-$L103)</f>
        <v>-32</v>
      </c>
      <c r="T103" s="47" t="str">
        <f aca="false">IF($D103="","(Squadra B)",$D103)</f>
        <v>Tassi Turbolenti</v>
      </c>
      <c r="U103" s="47" t="n">
        <f aca="false">IF($J103+$L103=0,,IF($L103&gt;$J103,1,0))</f>
        <v>1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0</v>
      </c>
      <c r="X103" s="47" t="n">
        <f aca="false">IF($J103+$L103=0,,$L103)</f>
        <v>69</v>
      </c>
      <c r="Y103" s="47" t="n">
        <f aca="false">IF($J103+$L103=0,,$J103)</f>
        <v>37</v>
      </c>
      <c r="Z103" s="47" t="n">
        <f aca="false">IF($J103+$L103=0,,$L103-$J103)</f>
        <v>32</v>
      </c>
      <c r="AA103" s="47" t="str">
        <f aca="false">IF($J103+$L103=0,"(Vincente)",IF($J103&gt;$L103,$B103,$D103))</f>
        <v>Tassi Turbolenti</v>
      </c>
      <c r="AB103" s="47" t="str">
        <f aca="false">IF($J103+$L103=0,"(Perdente)",IF($J103&lt;$L103,$B103,$D103))</f>
        <v>Uistiti Ubiqui</v>
      </c>
    </row>
    <row r="104" customFormat="false" ht="15.75" hidden="false" customHeight="true" outlineLevel="0" collapsed="false">
      <c r="A104" s="69"/>
      <c r="B104" s="48" t="str">
        <f aca="false">IF(I104="","",HYPERLINK(VLOOKUP(I104,areaCampiSquadre,3,FALSE()),VLOOKUP(I104,areaCampiSquadre,2,FALSE())))</f>
        <v>PalaVolpi, Via dello Sport 19, Volpiopoli VI</v>
      </c>
      <c r="C104" s="48"/>
      <c r="D104" s="48"/>
      <c r="E104" s="48"/>
      <c r="F104" s="48"/>
      <c r="G104" s="48"/>
      <c r="H104" s="48"/>
      <c r="I104" s="43" t="s">
        <v>128</v>
      </c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346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827A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>Campionato Baskin Demo - ESEMPIO COMPILATO 64 Squadre</v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70" t="str">
        <f aca="false">"GIRONE F - Stagione "&amp;constStagionaCampionato</f>
        <v>GIRONE F - Stagione 2026/2027</v>
      </c>
      <c r="B3" s="70"/>
      <c r="C3" s="70"/>
      <c r="D3" s="70"/>
    </row>
    <row r="6" customFormat="false" ht="15" hidden="false" customHeight="false" outlineLevel="0" collapsed="false">
      <c r="M6" s="37" t="s">
        <v>317</v>
      </c>
      <c r="N6" s="37" t="s">
        <v>318</v>
      </c>
      <c r="O6" s="37" t="s">
        <v>319</v>
      </c>
      <c r="P6" s="37" t="s">
        <v>320</v>
      </c>
      <c r="Q6" s="37" t="s">
        <v>321</v>
      </c>
      <c r="R6" s="37" t="s">
        <v>322</v>
      </c>
      <c r="S6" s="37" t="s">
        <v>323</v>
      </c>
      <c r="T6" s="37" t="s">
        <v>324</v>
      </c>
      <c r="U6" s="37" t="s">
        <v>325</v>
      </c>
      <c r="V6" s="37" t="s">
        <v>326</v>
      </c>
      <c r="W6" s="37" t="s">
        <v>327</v>
      </c>
      <c r="X6" s="37" t="s">
        <v>328</v>
      </c>
      <c r="Y6" s="37" t="s">
        <v>329</v>
      </c>
      <c r="Z6" s="37" t="s">
        <v>330</v>
      </c>
      <c r="AA6" s="37" t="s">
        <v>331</v>
      </c>
      <c r="AB6" s="37" t="s">
        <v>332</v>
      </c>
    </row>
    <row r="8" customFormat="false" ht="19.5" hidden="false" customHeight="true" outlineLevel="0" collapsed="false">
      <c r="A8" s="71" t="s">
        <v>375</v>
      </c>
      <c r="B8" s="72" t="str">
        <f aca="false">"GIORNATA "&amp;ROMAN(VALUE(LEFT(A8,LEN(A8)-1)))&amp;" - GIRONE "&amp;RIGHT(A8,1)</f>
        <v>GIORNATA I - GIRONE F</v>
      </c>
      <c r="C8" s="72"/>
      <c r="D8" s="72"/>
      <c r="E8" s="72"/>
      <c r="F8" s="72"/>
      <c r="G8" s="72"/>
      <c r="H8" s="72"/>
      <c r="I8" s="72"/>
      <c r="J8" s="72"/>
      <c r="K8" s="72"/>
      <c r="L8" s="72"/>
    </row>
    <row r="9" customFormat="false" ht="12.75" hidden="false" customHeight="true" outlineLevel="0" collapsed="false">
      <c r="A9" s="73" t="s">
        <v>334</v>
      </c>
      <c r="B9" s="73" t="s">
        <v>317</v>
      </c>
      <c r="C9" s="73"/>
      <c r="D9" s="73" t="s">
        <v>324</v>
      </c>
      <c r="E9" s="73"/>
      <c r="F9" s="73" t="s">
        <v>335</v>
      </c>
      <c r="G9" s="73" t="s">
        <v>336</v>
      </c>
      <c r="H9" s="73" t="s">
        <v>337</v>
      </c>
      <c r="I9" s="73"/>
      <c r="J9" s="73" t="s">
        <v>338</v>
      </c>
      <c r="K9" s="73"/>
      <c r="L9" s="73"/>
    </row>
    <row r="10" customFormat="false" ht="24" hidden="false" customHeight="true" outlineLevel="0" collapsed="false">
      <c r="A10" s="74" t="n">
        <v>141</v>
      </c>
      <c r="B10" s="42" t="str">
        <f aca="false">IF(C10="","",IFERROR(LEFT(VLOOKUP(C10,areaNomiSquadre,2,FALSE()),FIND("-",VLOOKUP(C10,areaNomiSquadre,2,FALSE()))-1),""))</f>
        <v>Antilopi Ardite</v>
      </c>
      <c r="C10" s="43" t="s">
        <v>132</v>
      </c>
      <c r="D10" s="42" t="str">
        <f aca="false">IF(E10="","",IFERROR(LEFT(VLOOKUP(E10,areaNomiSquadre,2,FALSE()),FIND("-",VLOOKUP(E10,areaNomiSquadre,2,FALSE()))-1),""))</f>
        <v>Iene Ilari</v>
      </c>
      <c r="E10" s="43" t="s">
        <v>147</v>
      </c>
      <c r="F10" s="44" t="n">
        <v>46313.3958333333</v>
      </c>
      <c r="G10" s="44"/>
      <c r="H10" s="44"/>
      <c r="I10" s="44"/>
      <c r="J10" s="45" t="n">
        <v>57</v>
      </c>
      <c r="K10" s="46" t="s">
        <v>339</v>
      </c>
      <c r="L10" s="45" t="n">
        <v>66</v>
      </c>
      <c r="M10" s="47" t="str">
        <f aca="false">IF($B10="","(Squadra A)",$B10)</f>
        <v>Antilopi Ardite</v>
      </c>
      <c r="N10" s="47" t="n">
        <f aca="false">IF($J10+$L10=0,,IF($J10&gt;$L10,1,0))</f>
        <v>0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1</v>
      </c>
      <c r="Q10" s="47" t="n">
        <f aca="false">IF($J10+$L10=0,,$J10)</f>
        <v>57</v>
      </c>
      <c r="R10" s="47" t="n">
        <f aca="false">IF($J10+$L10=0,,$L10)</f>
        <v>66</v>
      </c>
      <c r="S10" s="47" t="n">
        <f aca="false">IF($J10+$L10=0,,$J10-$L10)</f>
        <v>-9</v>
      </c>
      <c r="T10" s="47" t="str">
        <f aca="false">IF($D10="","(Squadra B)",$D10)</f>
        <v>Iene Ilari</v>
      </c>
      <c r="U10" s="47" t="n">
        <f aca="false">IF($J10+$L10=0,,IF($L10&gt;$J10,1,0))</f>
        <v>1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0</v>
      </c>
      <c r="X10" s="47" t="n">
        <f aca="false">IF($J10+$L10=0,,$L10)</f>
        <v>66</v>
      </c>
      <c r="Y10" s="47" t="n">
        <f aca="false">IF($J10+$L10=0,,$J10)</f>
        <v>57</v>
      </c>
      <c r="Z10" s="47" t="n">
        <f aca="false">IF($J10+$L10=0,,$L10-$J10)</f>
        <v>9</v>
      </c>
      <c r="AA10" s="47" t="str">
        <f aca="false">IF($J10+$L10=0,"(Vincente)",IF($J10&gt;$L10,$B10,$D10))</f>
        <v>Iene Ilari</v>
      </c>
      <c r="AB10" s="47" t="str">
        <f aca="false">IF($J10+$L10=0,"(Perdente)",IF($J10&lt;$L10,$B10,$D10))</f>
        <v>Antilopi Ardite</v>
      </c>
    </row>
    <row r="11" customFormat="false" ht="15.75" hidden="false" customHeight="true" outlineLevel="0" collapsed="false">
      <c r="A11" s="74"/>
      <c r="B11" s="48" t="str">
        <f aca="false">IF(I11="","",HYPERLINK(VLOOKUP(I11,areaCampiSquadre,3,FALSE()),VLOOKUP(I11,areaCampiSquadre,2,FALSE())))</f>
        <v>PalaAntilopi, Via dello Sport 1, Antilopiopoli AI</v>
      </c>
      <c r="C11" s="48"/>
      <c r="D11" s="48"/>
      <c r="E11" s="48"/>
      <c r="F11" s="48"/>
      <c r="G11" s="48"/>
      <c r="H11" s="48"/>
      <c r="I11" s="43" t="s">
        <v>132</v>
      </c>
      <c r="J11" s="45"/>
      <c r="K11" s="45"/>
      <c r="L11" s="45"/>
    </row>
    <row r="12" customFormat="false" ht="12.75" hidden="false" customHeight="true" outlineLevel="0" collapsed="false">
      <c r="A12" s="73" t="s">
        <v>334</v>
      </c>
      <c r="B12" s="73" t="s">
        <v>317</v>
      </c>
      <c r="C12" s="73"/>
      <c r="D12" s="73" t="s">
        <v>324</v>
      </c>
      <c r="E12" s="73"/>
      <c r="F12" s="73" t="s">
        <v>335</v>
      </c>
      <c r="G12" s="73" t="s">
        <v>336</v>
      </c>
      <c r="H12" s="73" t="s">
        <v>337</v>
      </c>
      <c r="I12" s="73"/>
      <c r="J12" s="73" t="s">
        <v>338</v>
      </c>
      <c r="K12" s="73"/>
      <c r="L12" s="73"/>
    </row>
    <row r="13" customFormat="false" ht="24" hidden="false" customHeight="true" outlineLevel="0" collapsed="false">
      <c r="A13" s="74" t="n">
        <f aca="false">MAX(A$10:A12)+1</f>
        <v>142</v>
      </c>
      <c r="B13" s="42" t="str">
        <f aca="false">IF(C13="","",IFERROR(LEFT(VLOOKUP(C13,areaNomiSquadre,2,FALSE()),FIND("-",VLOOKUP(C13,areaNomiSquadre,2,FALSE()))-1),""))</f>
        <v>Gufi Golosi</v>
      </c>
      <c r="C13" s="43" t="s">
        <v>145</v>
      </c>
      <c r="D13" s="42" t="str">
        <f aca="false">IF(E13="","",IFERROR(LEFT(VLOOKUP(E13,areaNomiSquadre,2,FALSE()),FIND("-",VLOOKUP(E13,areaNomiSquadre,2,FALSE()))-1),""))</f>
        <v>Balene Bizzarre</v>
      </c>
      <c r="E13" s="43" t="s">
        <v>135</v>
      </c>
      <c r="F13" s="44" t="n">
        <v>46313.4791666667</v>
      </c>
      <c r="G13" s="44"/>
      <c r="H13" s="44"/>
      <c r="I13" s="44"/>
      <c r="J13" s="45" t="n">
        <v>66</v>
      </c>
      <c r="K13" s="46" t="s">
        <v>339</v>
      </c>
      <c r="L13" s="45" t="n">
        <v>56</v>
      </c>
      <c r="M13" s="47" t="str">
        <f aca="false">IF($B13="","(Squadra A)",$B13)</f>
        <v>Gufi Golosi</v>
      </c>
      <c r="N13" s="47" t="n">
        <f aca="false">IF($J13+$L13=0,,IF($J13&gt;$L13,1,0))</f>
        <v>1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47" t="n">
        <f aca="false">IF($J13+$L13=0,,$J13)</f>
        <v>66</v>
      </c>
      <c r="R13" s="47" t="n">
        <f aca="false">IF($J13+$L13=0,,$L13)</f>
        <v>56</v>
      </c>
      <c r="S13" s="47" t="n">
        <f aca="false">IF($J13+$L13=0,,$J13-$L13)</f>
        <v>10</v>
      </c>
      <c r="T13" s="47" t="str">
        <f aca="false">IF($D13="","(Squadra B)",$D13)</f>
        <v>Balene Bizzarre</v>
      </c>
      <c r="U13" s="47" t="n">
        <f aca="false">IF($J13+$L13=0,,IF($L13&gt;$J13,1,0))</f>
        <v>0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1</v>
      </c>
      <c r="X13" s="47" t="n">
        <f aca="false">IF($J13+$L13=0,,$L13)</f>
        <v>56</v>
      </c>
      <c r="Y13" s="47" t="n">
        <f aca="false">IF($J13+$L13=0,,$J13)</f>
        <v>66</v>
      </c>
      <c r="Z13" s="47" t="n">
        <f aca="false">IF($J13+$L13=0,,$L13-$J13)</f>
        <v>-10</v>
      </c>
      <c r="AA13" s="47" t="str">
        <f aca="false">IF($J13+$L13=0,"(Vincente)",IF($J13&gt;$L13,$B13,$D13))</f>
        <v>Gufi Golosi</v>
      </c>
      <c r="AB13" s="47" t="str">
        <f aca="false">IF($J13+$L13=0,"(Perdente)",IF($J13&lt;$L13,$B13,$D13))</f>
        <v>Balene Bizzarre</v>
      </c>
    </row>
    <row r="14" customFormat="false" ht="15.75" hidden="false" customHeight="true" outlineLevel="0" collapsed="false">
      <c r="A14" s="74"/>
      <c r="B14" s="48" t="str">
        <f aca="false">IF(I14="","",HYPERLINK(VLOOKUP(I14,areaCampiSquadre,3,FALSE()),VLOOKUP(I14,areaCampiSquadre,2,FALSE())))</f>
        <v>PalaAntilopi, Via dello Sport 1, Antilopiopoli AI</v>
      </c>
      <c r="C14" s="48"/>
      <c r="D14" s="48"/>
      <c r="E14" s="48"/>
      <c r="F14" s="48"/>
      <c r="G14" s="48"/>
      <c r="H14" s="48"/>
      <c r="I14" s="43" t="s">
        <v>132</v>
      </c>
      <c r="J14" s="45"/>
      <c r="K14" s="45"/>
      <c r="L14" s="45"/>
    </row>
    <row r="15" customFormat="false" ht="12.75" hidden="false" customHeight="true" outlineLevel="0" collapsed="false">
      <c r="A15" s="73" t="s">
        <v>334</v>
      </c>
      <c r="B15" s="73" t="s">
        <v>317</v>
      </c>
      <c r="C15" s="73"/>
      <c r="D15" s="73" t="s">
        <v>324</v>
      </c>
      <c r="E15" s="73"/>
      <c r="F15" s="73" t="s">
        <v>335</v>
      </c>
      <c r="G15" s="73" t="s">
        <v>336</v>
      </c>
      <c r="H15" s="73" t="s">
        <v>337</v>
      </c>
      <c r="I15" s="73"/>
      <c r="J15" s="73" t="s">
        <v>338</v>
      </c>
      <c r="K15" s="73"/>
      <c r="L15" s="73"/>
    </row>
    <row r="16" customFormat="false" ht="24" hidden="false" customHeight="true" outlineLevel="0" collapsed="false">
      <c r="A16" s="74" t="n">
        <f aca="false">MAX(A$10:A15)+1</f>
        <v>143</v>
      </c>
      <c r="B16" s="42" t="str">
        <f aca="false">IF(C16="","",IFERROR(LEFT(VLOOKUP(C16,areaNomiSquadre,2,FALSE()),FIND("-",VLOOKUP(C16,areaNomiSquadre,2,FALSE()))-1),""))</f>
        <v>Camaleonti Caotici</v>
      </c>
      <c r="C16" s="43" t="s">
        <v>137</v>
      </c>
      <c r="D16" s="42" t="str">
        <f aca="false">IF(E16="","",IFERROR(LEFT(VLOOKUP(E16,areaNomiSquadre,2,FALSE()),FIND("-",VLOOKUP(E16,areaNomiSquadre,2,FALSE()))-1),""))</f>
        <v>Foche Frenetiche</v>
      </c>
      <c r="E16" s="43" t="s">
        <v>143</v>
      </c>
      <c r="F16" s="44" t="n">
        <v>46313.625</v>
      </c>
      <c r="G16" s="44"/>
      <c r="H16" s="44"/>
      <c r="I16" s="44"/>
      <c r="J16" s="45" t="n">
        <v>49</v>
      </c>
      <c r="K16" s="46" t="s">
        <v>339</v>
      </c>
      <c r="L16" s="45" t="n">
        <v>57</v>
      </c>
      <c r="M16" s="47" t="str">
        <f aca="false">IF($B16="","(Squadra A)",$B16)</f>
        <v>Camaleonti Caotici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1</v>
      </c>
      <c r="Q16" s="47" t="n">
        <f aca="false">IF($J16+$L16=0,,$J16)</f>
        <v>49</v>
      </c>
      <c r="R16" s="47" t="n">
        <f aca="false">IF($J16+$L16=0,,$L16)</f>
        <v>57</v>
      </c>
      <c r="S16" s="47" t="n">
        <f aca="false">IF($J16+$L16=0,,$J16-$L16)</f>
        <v>-8</v>
      </c>
      <c r="T16" s="47" t="str">
        <f aca="false">IF($D16="","(Squadra B)",$D16)</f>
        <v>Foche Frenetiche</v>
      </c>
      <c r="U16" s="47" t="n">
        <f aca="false">IF($J16+$L16=0,,IF($L16&gt;$J16,1,0))</f>
        <v>1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57</v>
      </c>
      <c r="Y16" s="47" t="n">
        <f aca="false">IF($J16+$L16=0,,$J16)</f>
        <v>49</v>
      </c>
      <c r="Z16" s="47" t="n">
        <f aca="false">IF($J16+$L16=0,,$L16-$J16)</f>
        <v>8</v>
      </c>
      <c r="AA16" s="47" t="str">
        <f aca="false">IF($J16+$L16=0,"(Vincente)",IF($J16&gt;$L16,$B16,$D16))</f>
        <v>Foche Frenetiche</v>
      </c>
      <c r="AB16" s="47" t="str">
        <f aca="false">IF($J16+$L16=0,"(Perdente)",IF($J16&lt;$L16,$B16,$D16))</f>
        <v>Camaleonti Caotici</v>
      </c>
    </row>
    <row r="17" customFormat="false" ht="15.75" hidden="false" customHeight="true" outlineLevel="0" collapsed="false">
      <c r="A17" s="74"/>
      <c r="B17" s="48" t="str">
        <f aca="false">IF(I17="","",HYPERLINK(VLOOKUP(I17,areaCampiSquadre,3,FALSE()),VLOOKUP(I17,areaCampiSquadre,2,FALSE())))</f>
        <v>PalaAntilopi, Via dello Sport 1, Antilopiopoli AI</v>
      </c>
      <c r="C17" s="48"/>
      <c r="D17" s="48"/>
      <c r="E17" s="48"/>
      <c r="F17" s="48"/>
      <c r="G17" s="48"/>
      <c r="H17" s="48"/>
      <c r="I17" s="43" t="s">
        <v>132</v>
      </c>
      <c r="J17" s="45"/>
      <c r="K17" s="45"/>
      <c r="L17" s="45"/>
    </row>
    <row r="18" customFormat="false" ht="12.75" hidden="false" customHeight="true" outlineLevel="0" collapsed="false">
      <c r="A18" s="73" t="s">
        <v>334</v>
      </c>
      <c r="B18" s="73" t="s">
        <v>317</v>
      </c>
      <c r="C18" s="73"/>
      <c r="D18" s="73" t="s">
        <v>324</v>
      </c>
      <c r="E18" s="73"/>
      <c r="F18" s="73" t="s">
        <v>335</v>
      </c>
      <c r="G18" s="73" t="s">
        <v>336</v>
      </c>
      <c r="H18" s="73" t="s">
        <v>337</v>
      </c>
      <c r="I18" s="73"/>
      <c r="J18" s="73" t="s">
        <v>338</v>
      </c>
      <c r="K18" s="73"/>
      <c r="L18" s="73"/>
    </row>
    <row r="19" customFormat="false" ht="24" hidden="false" customHeight="true" outlineLevel="0" collapsed="false">
      <c r="A19" s="74" t="n">
        <f aca="false">MAX(A$10:A18)+1</f>
        <v>144</v>
      </c>
      <c r="B19" s="42" t="str">
        <f aca="false">IF(C19="","",IFERROR(LEFT(VLOOKUP(C19,areaNomiSquadre,2,FALSE()),FIND("-",VLOOKUP(C19,areaNomiSquadre,2,FALSE()))-1),""))</f>
        <v>Emu Energici</v>
      </c>
      <c r="C19" s="43" t="s">
        <v>141</v>
      </c>
      <c r="D19" s="42" t="str">
        <f aca="false">IF(E19="","",IFERROR(LEFT(VLOOKUP(E19,areaNomiSquadre,2,FALSE()),FIND("-",VLOOKUP(E19,areaNomiSquadre,2,FALSE()))-1),""))</f>
        <v>Donnole Determinate</v>
      </c>
      <c r="E19" s="43" t="s">
        <v>139</v>
      </c>
      <c r="F19" s="44" t="n">
        <v>46313.7083333333</v>
      </c>
      <c r="G19" s="44"/>
      <c r="H19" s="44"/>
      <c r="I19" s="44"/>
      <c r="J19" s="45" t="n">
        <v>62</v>
      </c>
      <c r="K19" s="46" t="s">
        <v>339</v>
      </c>
      <c r="L19" s="45" t="n">
        <v>58</v>
      </c>
      <c r="M19" s="47" t="str">
        <f aca="false">IF($B19="","(Squadra A)",$B19)</f>
        <v>Emu Energici</v>
      </c>
      <c r="N19" s="47" t="n">
        <f aca="false">IF($J19+$L19=0,,IF($J19&gt;$L19,1,0))</f>
        <v>1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62</v>
      </c>
      <c r="R19" s="47" t="n">
        <f aca="false">IF($J19+$L19=0,,$L19)</f>
        <v>58</v>
      </c>
      <c r="S19" s="47" t="n">
        <f aca="false">IF($J19+$L19=0,,$J19-$L19)</f>
        <v>4</v>
      </c>
      <c r="T19" s="47" t="str">
        <f aca="false">IF($D19="","(Squadra B)",$D19)</f>
        <v>Donnole Determinate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1</v>
      </c>
      <c r="X19" s="47" t="n">
        <f aca="false">IF($J19+$L19=0,,$L19)</f>
        <v>58</v>
      </c>
      <c r="Y19" s="47" t="n">
        <f aca="false">IF($J19+$L19=0,,$J19)</f>
        <v>62</v>
      </c>
      <c r="Z19" s="47" t="n">
        <f aca="false">IF($J19+$L19=0,,$L19-$J19)</f>
        <v>-4</v>
      </c>
      <c r="AA19" s="47" t="str">
        <f aca="false">IF($J19+$L19=0,"(Vincente)",IF($J19&gt;$L19,$B19,$D19))</f>
        <v>Emu Energici</v>
      </c>
      <c r="AB19" s="47" t="str">
        <f aca="false">IF($J19+$L19=0,"(Perdente)",IF($J19&lt;$L19,$B19,$D19))</f>
        <v>Donnole Determinate</v>
      </c>
    </row>
    <row r="20" customFormat="false" ht="15.75" hidden="false" customHeight="true" outlineLevel="0" collapsed="false">
      <c r="A20" s="74"/>
      <c r="B20" s="48" t="str">
        <f aca="false">IF(I20="","",HYPERLINK(VLOOKUP(I20,areaCampiSquadre,3,FALSE()),VLOOKUP(I20,areaCampiSquadre,2,FALSE())))</f>
        <v>PalaAntilopi, Via dello Sport 1, Antilopiopoli AI</v>
      </c>
      <c r="C20" s="48"/>
      <c r="D20" s="48"/>
      <c r="E20" s="48"/>
      <c r="F20" s="48"/>
      <c r="G20" s="48"/>
      <c r="H20" s="48"/>
      <c r="I20" s="43" t="s">
        <v>132</v>
      </c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71" t="s">
        <v>376</v>
      </c>
      <c r="B22" s="72" t="str">
        <f aca="false">"GIORNATA "&amp;ROMAN(VALUE(LEFT(A22,LEN(A22)-1)))&amp;" - GIRONE "&amp;RIGHT(A22,1)</f>
        <v>GIORNATA II - GIRONE F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</row>
    <row r="23" customFormat="false" ht="12.75" hidden="false" customHeight="true" outlineLevel="0" collapsed="false">
      <c r="A23" s="73" t="s">
        <v>334</v>
      </c>
      <c r="B23" s="73" t="s">
        <v>317</v>
      </c>
      <c r="C23" s="73"/>
      <c r="D23" s="73" t="s">
        <v>324</v>
      </c>
      <c r="E23" s="73"/>
      <c r="F23" s="73" t="s">
        <v>335</v>
      </c>
      <c r="G23" s="73" t="s">
        <v>336</v>
      </c>
      <c r="H23" s="73" t="s">
        <v>337</v>
      </c>
      <c r="I23" s="73"/>
      <c r="J23" s="73" t="s">
        <v>338</v>
      </c>
      <c r="K23" s="73"/>
      <c r="L23" s="73"/>
    </row>
    <row r="24" customFormat="false" ht="24" hidden="false" customHeight="true" outlineLevel="0" collapsed="false">
      <c r="A24" s="74" t="n">
        <f aca="false">MAX(A$10:A23)+1</f>
        <v>145</v>
      </c>
      <c r="B24" s="42" t="str">
        <f aca="false">IF(C24="","",IFERROR(LEFT(VLOOKUP(C24,areaNomiSquadre,2,FALSE()),FIND("-",VLOOKUP(C24,areaNomiSquadre,2,FALSE()))-1),""))</f>
        <v>Gufi Golosi</v>
      </c>
      <c r="C24" s="43" t="s">
        <v>145</v>
      </c>
      <c r="D24" s="42" t="str">
        <f aca="false">IF(E24="","",IFERROR(LEFT(VLOOKUP(E24,areaNomiSquadre,2,FALSE()),FIND("-",VLOOKUP(E24,areaNomiSquadre,2,FALSE()))-1),""))</f>
        <v>Antilopi Ardite</v>
      </c>
      <c r="E24" s="43" t="s">
        <v>132</v>
      </c>
      <c r="F24" s="44" t="n">
        <v>46334.3958333333</v>
      </c>
      <c r="G24" s="44"/>
      <c r="H24" s="44"/>
      <c r="I24" s="44"/>
      <c r="J24" s="45" t="n">
        <v>62</v>
      </c>
      <c r="K24" s="46" t="s">
        <v>339</v>
      </c>
      <c r="L24" s="45" t="n">
        <v>58</v>
      </c>
      <c r="M24" s="47" t="str">
        <f aca="false">IF($B24="","(Squadra A)",$B24)</f>
        <v>Gufi Golosi</v>
      </c>
      <c r="N24" s="47" t="n">
        <f aca="false">IF($J24+$L24=0,,IF($J24&gt;$L24,1,0))</f>
        <v>1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0</v>
      </c>
      <c r="Q24" s="47" t="n">
        <f aca="false">IF($J24+$L24=0,,$J24)</f>
        <v>62</v>
      </c>
      <c r="R24" s="47" t="n">
        <f aca="false">IF($J24+$L24=0,,$L24)</f>
        <v>58</v>
      </c>
      <c r="S24" s="47" t="n">
        <f aca="false">IF($J24+$L24=0,,$J24-$L24)</f>
        <v>4</v>
      </c>
      <c r="T24" s="47" t="str">
        <f aca="false">IF($D24="","(Squadra B)",$D24)</f>
        <v>Antilopi Ardite</v>
      </c>
      <c r="U24" s="47" t="n">
        <f aca="false">IF($J24+$L24=0,,IF($L24&gt;$J24,1,0))</f>
        <v>0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1</v>
      </c>
      <c r="X24" s="47" t="n">
        <f aca="false">IF($J24+$L24=0,,$L24)</f>
        <v>58</v>
      </c>
      <c r="Y24" s="47" t="n">
        <f aca="false">IF($J24+$L24=0,,$J24)</f>
        <v>62</v>
      </c>
      <c r="Z24" s="47" t="n">
        <f aca="false">IF($J24+$L24=0,,$L24-$J24)</f>
        <v>-4</v>
      </c>
      <c r="AA24" s="47" t="str">
        <f aca="false">IF($J24+$L24=0,"(Vincente)",IF($J24&gt;$L24,$B24,$D24))</f>
        <v>Gufi Golosi</v>
      </c>
      <c r="AB24" s="47" t="str">
        <f aca="false">IF($J24+$L24=0,"(Perdente)",IF($J24&lt;$L24,$B24,$D24))</f>
        <v>Antilopi Ardite</v>
      </c>
    </row>
    <row r="25" customFormat="false" ht="15.75" hidden="false" customHeight="true" outlineLevel="0" collapsed="false">
      <c r="A25" s="74"/>
      <c r="B25" s="48" t="str">
        <f aca="false">IF(I25="","",HYPERLINK(VLOOKUP(I25,areaCampiSquadre,3,FALSE()),VLOOKUP(I25,areaCampiSquadre,2,FALSE())))</f>
        <v>PalaBalene, Via dello Sport 2, Baleneopoli BE</v>
      </c>
      <c r="C25" s="48"/>
      <c r="D25" s="48"/>
      <c r="E25" s="48"/>
      <c r="F25" s="48"/>
      <c r="G25" s="48"/>
      <c r="H25" s="48"/>
      <c r="I25" s="43" t="s">
        <v>135</v>
      </c>
      <c r="J25" s="45"/>
      <c r="K25" s="45"/>
      <c r="L25" s="45"/>
    </row>
    <row r="26" customFormat="false" ht="12.75" hidden="false" customHeight="true" outlineLevel="0" collapsed="false">
      <c r="A26" s="73" t="s">
        <v>334</v>
      </c>
      <c r="B26" s="73" t="s">
        <v>317</v>
      </c>
      <c r="C26" s="73"/>
      <c r="D26" s="73" t="s">
        <v>324</v>
      </c>
      <c r="E26" s="73"/>
      <c r="F26" s="73" t="s">
        <v>335</v>
      </c>
      <c r="G26" s="73" t="s">
        <v>336</v>
      </c>
      <c r="H26" s="73" t="s">
        <v>337</v>
      </c>
      <c r="I26" s="73"/>
      <c r="J26" s="73" t="s">
        <v>338</v>
      </c>
      <c r="K26" s="73"/>
      <c r="L26" s="73"/>
    </row>
    <row r="27" customFormat="false" ht="24" hidden="false" customHeight="true" outlineLevel="0" collapsed="false">
      <c r="A27" s="74" t="n">
        <f aca="false">MAX(A$10:A26)+1</f>
        <v>146</v>
      </c>
      <c r="B27" s="42" t="str">
        <f aca="false">IF(C27="","",IFERROR(LEFT(VLOOKUP(C27,areaNomiSquadre,2,FALSE()),FIND("-",VLOOKUP(C27,areaNomiSquadre,2,FALSE()))-1),""))</f>
        <v>Iene Ilari</v>
      </c>
      <c r="C27" s="43" t="s">
        <v>147</v>
      </c>
      <c r="D27" s="42" t="str">
        <f aca="false">IF(E27="","",IFERROR(LEFT(VLOOKUP(E27,areaNomiSquadre,2,FALSE()),FIND("-",VLOOKUP(E27,areaNomiSquadre,2,FALSE()))-1),""))</f>
        <v>Foche Frenetiche</v>
      </c>
      <c r="E27" s="43" t="s">
        <v>143</v>
      </c>
      <c r="F27" s="44" t="n">
        <v>46334.4791666667</v>
      </c>
      <c r="G27" s="44"/>
      <c r="H27" s="44"/>
      <c r="I27" s="44"/>
      <c r="J27" s="45" t="n">
        <v>83</v>
      </c>
      <c r="K27" s="46" t="s">
        <v>339</v>
      </c>
      <c r="L27" s="45" t="n">
        <v>51</v>
      </c>
      <c r="M27" s="47" t="str">
        <f aca="false">IF($B27="","(Squadra A)",$B27)</f>
        <v>Iene Ilari</v>
      </c>
      <c r="N27" s="47" t="n">
        <f aca="false">IF($J27+$L27=0,,IF($J27&gt;$L27,1,0))</f>
        <v>1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47" t="n">
        <f aca="false">IF($J27+$L27=0,,$J27)</f>
        <v>83</v>
      </c>
      <c r="R27" s="47" t="n">
        <f aca="false">IF($J27+$L27=0,,$L27)</f>
        <v>51</v>
      </c>
      <c r="S27" s="47" t="n">
        <f aca="false">IF($J27+$L27=0,,$J27-$L27)</f>
        <v>32</v>
      </c>
      <c r="T27" s="47" t="str">
        <f aca="false">IF($D27="","(Squadra B)",$D27)</f>
        <v>Foche Frenetiche</v>
      </c>
      <c r="U27" s="47" t="n">
        <f aca="false">IF($J27+$L27=0,,IF($L27&gt;$J27,1,0))</f>
        <v>0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1</v>
      </c>
      <c r="X27" s="47" t="n">
        <f aca="false">IF($J27+$L27=0,,$L27)</f>
        <v>51</v>
      </c>
      <c r="Y27" s="47" t="n">
        <f aca="false">IF($J27+$L27=0,,$J27)</f>
        <v>83</v>
      </c>
      <c r="Z27" s="47" t="n">
        <f aca="false">IF($J27+$L27=0,,$L27-$J27)</f>
        <v>-32</v>
      </c>
      <c r="AA27" s="47" t="str">
        <f aca="false">IF($J27+$L27=0,"(Vincente)",IF($J27&gt;$L27,$B27,$D27))</f>
        <v>Iene Ilari</v>
      </c>
      <c r="AB27" s="47" t="str">
        <f aca="false">IF($J27+$L27=0,"(Perdente)",IF($J27&lt;$L27,$B27,$D27))</f>
        <v>Foche Frenetiche</v>
      </c>
    </row>
    <row r="28" customFormat="false" ht="15.75" hidden="false" customHeight="true" outlineLevel="0" collapsed="false">
      <c r="A28" s="74"/>
      <c r="B28" s="48" t="str">
        <f aca="false">IF(I28="","",HYPERLINK(VLOOKUP(I28,areaCampiSquadre,3,FALSE()),VLOOKUP(I28,areaCampiSquadre,2,FALSE())))</f>
        <v>PalaBalene, Via dello Sport 2, Baleneopoli BE</v>
      </c>
      <c r="C28" s="48"/>
      <c r="D28" s="48"/>
      <c r="E28" s="48"/>
      <c r="F28" s="48"/>
      <c r="G28" s="48"/>
      <c r="H28" s="48"/>
      <c r="I28" s="43" t="s">
        <v>135</v>
      </c>
      <c r="J28" s="45"/>
      <c r="K28" s="45"/>
      <c r="L28" s="45"/>
    </row>
    <row r="29" customFormat="false" ht="12.75" hidden="false" customHeight="true" outlineLevel="0" collapsed="false">
      <c r="A29" s="73" t="s">
        <v>334</v>
      </c>
      <c r="B29" s="73" t="s">
        <v>317</v>
      </c>
      <c r="C29" s="73"/>
      <c r="D29" s="73" t="s">
        <v>324</v>
      </c>
      <c r="E29" s="73"/>
      <c r="F29" s="73" t="s">
        <v>335</v>
      </c>
      <c r="G29" s="73" t="s">
        <v>336</v>
      </c>
      <c r="H29" s="73" t="s">
        <v>337</v>
      </c>
      <c r="I29" s="73"/>
      <c r="J29" s="73" t="s">
        <v>338</v>
      </c>
      <c r="K29" s="73"/>
      <c r="L29" s="73"/>
    </row>
    <row r="30" customFormat="false" ht="24" hidden="false" customHeight="true" outlineLevel="0" collapsed="false">
      <c r="A30" s="74" t="n">
        <f aca="false">MAX(A$10:A29)+1</f>
        <v>147</v>
      </c>
      <c r="B30" s="42" t="str">
        <f aca="false">IF(C30="","",IFERROR(LEFT(VLOOKUP(C30,areaNomiSquadre,2,FALSE()),FIND("-",VLOOKUP(C30,areaNomiSquadre,2,FALSE()))-1),""))</f>
        <v>Emu Energici</v>
      </c>
      <c r="C30" s="43" t="s">
        <v>141</v>
      </c>
      <c r="D30" s="42" t="str">
        <f aca="false">IF(E30="","",IFERROR(LEFT(VLOOKUP(E30,areaNomiSquadre,2,FALSE()),FIND("-",VLOOKUP(E30,areaNomiSquadre,2,FALSE()))-1),""))</f>
        <v>Balene Bizzarre</v>
      </c>
      <c r="E30" s="43" t="s">
        <v>135</v>
      </c>
      <c r="F30" s="44" t="n">
        <v>46334.625</v>
      </c>
      <c r="G30" s="44"/>
      <c r="H30" s="44"/>
      <c r="I30" s="44"/>
      <c r="J30" s="45" t="n">
        <v>73</v>
      </c>
      <c r="K30" s="46" t="s">
        <v>339</v>
      </c>
      <c r="L30" s="45" t="n">
        <v>34</v>
      </c>
      <c r="M30" s="47" t="str">
        <f aca="false">IF($B30="","(Squadra A)",$B30)</f>
        <v>Emu Energici</v>
      </c>
      <c r="N30" s="47" t="n">
        <f aca="false">IF($J30+$L30=0,,IF($J30&gt;$L30,1,0))</f>
        <v>1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47" t="n">
        <f aca="false">IF($J30+$L30=0,,$J30)</f>
        <v>73</v>
      </c>
      <c r="R30" s="47" t="n">
        <f aca="false">IF($J30+$L30=0,,$L30)</f>
        <v>34</v>
      </c>
      <c r="S30" s="47" t="n">
        <f aca="false">IF($J30+$L30=0,,$J30-$L30)</f>
        <v>39</v>
      </c>
      <c r="T30" s="47" t="str">
        <f aca="false">IF($D30="","(Squadra B)",$D30)</f>
        <v>Balene Bizzarre</v>
      </c>
      <c r="U30" s="47" t="n">
        <f aca="false">IF($J30+$L30=0,,IF($L30&gt;$J30,1,0))</f>
        <v>0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1</v>
      </c>
      <c r="X30" s="47" t="n">
        <f aca="false">IF($J30+$L30=0,,$L30)</f>
        <v>34</v>
      </c>
      <c r="Y30" s="47" t="n">
        <f aca="false">IF($J30+$L30=0,,$J30)</f>
        <v>73</v>
      </c>
      <c r="Z30" s="47" t="n">
        <f aca="false">IF($J30+$L30=0,,$L30-$J30)</f>
        <v>-39</v>
      </c>
      <c r="AA30" s="47" t="str">
        <f aca="false">IF($J30+$L30=0,"(Vincente)",IF($J30&gt;$L30,$B30,$D30))</f>
        <v>Emu Energici</v>
      </c>
      <c r="AB30" s="47" t="str">
        <f aca="false">IF($J30+$L30=0,"(Perdente)",IF($J30&lt;$L30,$B30,$D30))</f>
        <v>Balene Bizzarre</v>
      </c>
    </row>
    <row r="31" customFormat="false" ht="15.75" hidden="false" customHeight="true" outlineLevel="0" collapsed="false">
      <c r="A31" s="74"/>
      <c r="B31" s="48" t="str">
        <f aca="false">IF(I31="","",HYPERLINK(VLOOKUP(I31,areaCampiSquadre,3,FALSE()),VLOOKUP(I31,areaCampiSquadre,2,FALSE())))</f>
        <v>PalaBalene, Via dello Sport 2, Baleneopoli BE</v>
      </c>
      <c r="C31" s="48"/>
      <c r="D31" s="48"/>
      <c r="E31" s="48"/>
      <c r="F31" s="48"/>
      <c r="G31" s="48"/>
      <c r="H31" s="48"/>
      <c r="I31" s="43" t="s">
        <v>135</v>
      </c>
      <c r="J31" s="45"/>
      <c r="K31" s="45"/>
      <c r="L31" s="45"/>
    </row>
    <row r="32" customFormat="false" ht="12.75" hidden="false" customHeight="true" outlineLevel="0" collapsed="false">
      <c r="A32" s="73" t="s">
        <v>334</v>
      </c>
      <c r="B32" s="73" t="s">
        <v>317</v>
      </c>
      <c r="C32" s="73"/>
      <c r="D32" s="73" t="s">
        <v>324</v>
      </c>
      <c r="E32" s="73"/>
      <c r="F32" s="73" t="s">
        <v>335</v>
      </c>
      <c r="G32" s="73" t="s">
        <v>336</v>
      </c>
      <c r="H32" s="73" t="s">
        <v>337</v>
      </c>
      <c r="I32" s="73"/>
      <c r="J32" s="73" t="s">
        <v>338</v>
      </c>
      <c r="K32" s="73"/>
      <c r="L32" s="73"/>
    </row>
    <row r="33" customFormat="false" ht="24" hidden="false" customHeight="true" outlineLevel="0" collapsed="false">
      <c r="A33" s="74" t="n">
        <f aca="false">MAX(A$10:A32)+1</f>
        <v>148</v>
      </c>
      <c r="B33" s="42" t="str">
        <f aca="false">IF(C33="","",IFERROR(LEFT(VLOOKUP(C33,areaNomiSquadre,2,FALSE()),FIND("-",VLOOKUP(C33,areaNomiSquadre,2,FALSE()))-1),""))</f>
        <v>Camaleonti Caotici</v>
      </c>
      <c r="C33" s="43" t="s">
        <v>137</v>
      </c>
      <c r="D33" s="42" t="str">
        <f aca="false">IF(E33="","",IFERROR(LEFT(VLOOKUP(E33,areaNomiSquadre,2,FALSE()),FIND("-",VLOOKUP(E33,areaNomiSquadre,2,FALSE()))-1),""))</f>
        <v>Donnole Determinate</v>
      </c>
      <c r="E33" s="43" t="s">
        <v>139</v>
      </c>
      <c r="F33" s="44" t="n">
        <v>46334.7083333333</v>
      </c>
      <c r="G33" s="44"/>
      <c r="H33" s="44"/>
      <c r="I33" s="44"/>
      <c r="J33" s="45" t="n">
        <v>53</v>
      </c>
      <c r="K33" s="46" t="s">
        <v>339</v>
      </c>
      <c r="L33" s="45" t="n">
        <v>66</v>
      </c>
      <c r="M33" s="47" t="str">
        <f aca="false">IF($B33="","(Squadra A)",$B33)</f>
        <v>Camaleonti Caotici</v>
      </c>
      <c r="N33" s="47" t="n">
        <f aca="false">IF($J33+$L33=0,,IF($J33&gt;$L33,1,0))</f>
        <v>0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1</v>
      </c>
      <c r="Q33" s="47" t="n">
        <f aca="false">IF($J33+$L33=0,,$J33)</f>
        <v>53</v>
      </c>
      <c r="R33" s="47" t="n">
        <f aca="false">IF($J33+$L33=0,,$L33)</f>
        <v>66</v>
      </c>
      <c r="S33" s="47" t="n">
        <f aca="false">IF($J33+$L33=0,,$J33-$L33)</f>
        <v>-13</v>
      </c>
      <c r="T33" s="47" t="str">
        <f aca="false">IF($D33="","(Squadra B)",$D33)</f>
        <v>Donnole Determinate</v>
      </c>
      <c r="U33" s="47" t="n">
        <f aca="false">IF($J33+$L33=0,,IF($L33&gt;$J33,1,0))</f>
        <v>1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0</v>
      </c>
      <c r="X33" s="47" t="n">
        <f aca="false">IF($J33+$L33=0,,$L33)</f>
        <v>66</v>
      </c>
      <c r="Y33" s="47" t="n">
        <f aca="false">IF($J33+$L33=0,,$J33)</f>
        <v>53</v>
      </c>
      <c r="Z33" s="47" t="n">
        <f aca="false">IF($J33+$L33=0,,$L33-$J33)</f>
        <v>13</v>
      </c>
      <c r="AA33" s="47" t="str">
        <f aca="false">IF($J33+$L33=0,"(Vincente)",IF($J33&gt;$L33,$B33,$D33))</f>
        <v>Donnole Determinate</v>
      </c>
      <c r="AB33" s="47" t="str">
        <f aca="false">IF($J33+$L33=0,"(Perdente)",IF($J33&lt;$L33,$B33,$D33))</f>
        <v>Camaleonti Caotici</v>
      </c>
    </row>
    <row r="34" customFormat="false" ht="15.75" hidden="false" customHeight="true" outlineLevel="0" collapsed="false">
      <c r="A34" s="74"/>
      <c r="B34" s="48" t="str">
        <f aca="false">IF(I34="","",HYPERLINK(VLOOKUP(I34,areaCampiSquadre,3,FALSE()),VLOOKUP(I34,areaCampiSquadre,2,FALSE())))</f>
        <v>PalaBalene, Via dello Sport 2, Baleneopoli BE</v>
      </c>
      <c r="C34" s="48"/>
      <c r="D34" s="48"/>
      <c r="E34" s="48"/>
      <c r="F34" s="48"/>
      <c r="G34" s="48"/>
      <c r="H34" s="48"/>
      <c r="I34" s="43" t="s">
        <v>135</v>
      </c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71" t="s">
        <v>377</v>
      </c>
      <c r="B36" s="72" t="str">
        <f aca="false">"GIORNATA "&amp;ROMAN(VALUE(LEFT(A36,LEN(A36)-1)))&amp;" - GIRONE "&amp;RIGHT(A36,1)</f>
        <v>GIORNATA III - GIRONE F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</row>
    <row r="37" customFormat="false" ht="12.75" hidden="false" customHeight="true" outlineLevel="0" collapsed="false">
      <c r="A37" s="73" t="s">
        <v>334</v>
      </c>
      <c r="B37" s="73" t="s">
        <v>317</v>
      </c>
      <c r="C37" s="73"/>
      <c r="D37" s="73" t="s">
        <v>324</v>
      </c>
      <c r="E37" s="73"/>
      <c r="F37" s="73" t="s">
        <v>335</v>
      </c>
      <c r="G37" s="73" t="s">
        <v>336</v>
      </c>
      <c r="H37" s="73" t="s">
        <v>337</v>
      </c>
      <c r="I37" s="73"/>
      <c r="J37" s="73" t="s">
        <v>338</v>
      </c>
      <c r="K37" s="73"/>
      <c r="L37" s="73"/>
    </row>
    <row r="38" customFormat="false" ht="24" hidden="false" customHeight="true" outlineLevel="0" collapsed="false">
      <c r="A38" s="74" t="n">
        <f aca="false">MAX(A$10:A37)+1</f>
        <v>149</v>
      </c>
      <c r="B38" s="42" t="str">
        <f aca="false">IF(C38="","",IFERROR(LEFT(VLOOKUP(C38,areaNomiSquadre,2,FALSE()),FIND("-",VLOOKUP(C38,areaNomiSquadre,2,FALSE()))-1),""))</f>
        <v>Antilopi Ardite</v>
      </c>
      <c r="C38" s="43" t="s">
        <v>132</v>
      </c>
      <c r="D38" s="42" t="str">
        <f aca="false">IF(E38="","",IFERROR(LEFT(VLOOKUP(E38,areaNomiSquadre,2,FALSE()),FIND("-",VLOOKUP(E38,areaNomiSquadre,2,FALSE()))-1),""))</f>
        <v>Foche Frenetiche</v>
      </c>
      <c r="E38" s="43" t="s">
        <v>143</v>
      </c>
      <c r="F38" s="44" t="n">
        <v>46355.3958333333</v>
      </c>
      <c r="G38" s="44"/>
      <c r="H38" s="44"/>
      <c r="I38" s="44"/>
      <c r="J38" s="45" t="n">
        <v>58</v>
      </c>
      <c r="K38" s="46" t="s">
        <v>339</v>
      </c>
      <c r="L38" s="45" t="n">
        <v>52</v>
      </c>
      <c r="M38" s="47" t="str">
        <f aca="false">IF($B38="","(Squadra A)",$B38)</f>
        <v>Antilopi Ardite</v>
      </c>
      <c r="N38" s="47" t="n">
        <f aca="false">IF($J38+$L38=0,,IF($J38&gt;$L38,1,0))</f>
        <v>1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58</v>
      </c>
      <c r="R38" s="47" t="n">
        <f aca="false">IF($J38+$L38=0,,$L38)</f>
        <v>52</v>
      </c>
      <c r="S38" s="47" t="n">
        <f aca="false">IF($J38+$L38=0,,$J38-$L38)</f>
        <v>6</v>
      </c>
      <c r="T38" s="47" t="str">
        <f aca="false">IF($D38="","(Squadra B)",$D38)</f>
        <v>Foche Frenetiche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1</v>
      </c>
      <c r="X38" s="47" t="n">
        <f aca="false">IF($J38+$L38=0,,$L38)</f>
        <v>52</v>
      </c>
      <c r="Y38" s="47" t="n">
        <f aca="false">IF($J38+$L38=0,,$J38)</f>
        <v>58</v>
      </c>
      <c r="Z38" s="47" t="n">
        <f aca="false">IF($J38+$L38=0,,$L38-$J38)</f>
        <v>-6</v>
      </c>
      <c r="AA38" s="47" t="str">
        <f aca="false">IF($J38+$L38=0,"(Vincente)",IF($J38&gt;$L38,$B38,$D38))</f>
        <v>Antilopi Ardite</v>
      </c>
      <c r="AB38" s="47" t="str">
        <f aca="false">IF($J38+$L38=0,"(Perdente)",IF($J38&lt;$L38,$B38,$D38))</f>
        <v>Foche Frenetiche</v>
      </c>
    </row>
    <row r="39" customFormat="false" ht="15.75" hidden="false" customHeight="true" outlineLevel="0" collapsed="false">
      <c r="A39" s="74"/>
      <c r="B39" s="48" t="str">
        <f aca="false">IF(I39="","",HYPERLINK(VLOOKUP(I39,areaCampiSquadre,3,FALSE()),VLOOKUP(I39,areaCampiSquadre,2,FALSE())))</f>
        <v>PalaCamaleonti, Via dello Sport 3, Camaleontiopoli CI</v>
      </c>
      <c r="C39" s="48"/>
      <c r="D39" s="48"/>
      <c r="E39" s="48"/>
      <c r="F39" s="48"/>
      <c r="G39" s="48"/>
      <c r="H39" s="48"/>
      <c r="I39" s="43" t="s">
        <v>137</v>
      </c>
      <c r="J39" s="45"/>
      <c r="K39" s="45"/>
      <c r="L39" s="45"/>
    </row>
    <row r="40" customFormat="false" ht="12.75" hidden="false" customHeight="true" outlineLevel="0" collapsed="false">
      <c r="A40" s="73" t="s">
        <v>334</v>
      </c>
      <c r="B40" s="73" t="s">
        <v>317</v>
      </c>
      <c r="C40" s="73"/>
      <c r="D40" s="73" t="s">
        <v>324</v>
      </c>
      <c r="E40" s="73"/>
      <c r="F40" s="73" t="s">
        <v>335</v>
      </c>
      <c r="G40" s="73" t="s">
        <v>336</v>
      </c>
      <c r="H40" s="73" t="s">
        <v>337</v>
      </c>
      <c r="I40" s="73"/>
      <c r="J40" s="73" t="s">
        <v>338</v>
      </c>
      <c r="K40" s="73"/>
      <c r="L40" s="73"/>
    </row>
    <row r="41" customFormat="false" ht="24" hidden="false" customHeight="true" outlineLevel="0" collapsed="false">
      <c r="A41" s="74" t="n">
        <f aca="false">MAX(A$10:A40)+1</f>
        <v>150</v>
      </c>
      <c r="B41" s="42" t="str">
        <f aca="false">IF(C41="","",IFERROR(LEFT(VLOOKUP(C41,areaNomiSquadre,2,FALSE()),FIND("-",VLOOKUP(C41,areaNomiSquadre,2,FALSE()))-1),""))</f>
        <v>Emu Energici</v>
      </c>
      <c r="C41" s="43" t="s">
        <v>141</v>
      </c>
      <c r="D41" s="42" t="str">
        <f aca="false">IF(E41="","",IFERROR(LEFT(VLOOKUP(E41,areaNomiSquadre,2,FALSE()),FIND("-",VLOOKUP(E41,areaNomiSquadre,2,FALSE()))-1),""))</f>
        <v>Gufi Golosi</v>
      </c>
      <c r="E41" s="43" t="s">
        <v>145</v>
      </c>
      <c r="F41" s="44" t="n">
        <v>46355.4791666667</v>
      </c>
      <c r="G41" s="44"/>
      <c r="H41" s="44"/>
      <c r="I41" s="44"/>
      <c r="J41" s="45" t="n">
        <v>54</v>
      </c>
      <c r="K41" s="46" t="s">
        <v>339</v>
      </c>
      <c r="L41" s="45" t="n">
        <v>55</v>
      </c>
      <c r="M41" s="47" t="str">
        <f aca="false">IF($B41="","(Squadra A)",$B41)</f>
        <v>Emu Energici</v>
      </c>
      <c r="N41" s="47" t="n">
        <f aca="false">IF($J41+$L41=0,,IF($J41&gt;$L41,1,0))</f>
        <v>0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1</v>
      </c>
      <c r="Q41" s="47" t="n">
        <f aca="false">IF($J41+$L41=0,,$J41)</f>
        <v>54</v>
      </c>
      <c r="R41" s="47" t="n">
        <f aca="false">IF($J41+$L41=0,,$L41)</f>
        <v>55</v>
      </c>
      <c r="S41" s="47" t="n">
        <f aca="false">IF($J41+$L41=0,,$J41-$L41)</f>
        <v>-1</v>
      </c>
      <c r="T41" s="47" t="str">
        <f aca="false">IF($D41="","(Squadra B)",$D41)</f>
        <v>Gufi Golosi</v>
      </c>
      <c r="U41" s="47" t="n">
        <f aca="false">IF($J41+$L41=0,,IF($L41&gt;$J41,1,0))</f>
        <v>1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0</v>
      </c>
      <c r="X41" s="47" t="n">
        <f aca="false">IF($J41+$L41=0,,$L41)</f>
        <v>55</v>
      </c>
      <c r="Y41" s="47" t="n">
        <f aca="false">IF($J41+$L41=0,,$J41)</f>
        <v>54</v>
      </c>
      <c r="Z41" s="47" t="n">
        <f aca="false">IF($J41+$L41=0,,$L41-$J41)</f>
        <v>1</v>
      </c>
      <c r="AA41" s="47" t="str">
        <f aca="false">IF($J41+$L41=0,"(Vincente)",IF($J41&gt;$L41,$B41,$D41))</f>
        <v>Gufi Golosi</v>
      </c>
      <c r="AB41" s="47" t="str">
        <f aca="false">IF($J41+$L41=0,"(Perdente)",IF($J41&lt;$L41,$B41,$D41))</f>
        <v>Emu Energici</v>
      </c>
    </row>
    <row r="42" customFormat="false" ht="15.75" hidden="false" customHeight="true" outlineLevel="0" collapsed="false">
      <c r="A42" s="74"/>
      <c r="B42" s="48" t="str">
        <f aca="false">IF(I42="","",HYPERLINK(VLOOKUP(I42,areaCampiSquadre,3,FALSE()),VLOOKUP(I42,areaCampiSquadre,2,FALSE())))</f>
        <v>PalaCamaleonti, Via dello Sport 3, Camaleontiopoli CI</v>
      </c>
      <c r="C42" s="48"/>
      <c r="D42" s="48"/>
      <c r="E42" s="48"/>
      <c r="F42" s="48"/>
      <c r="G42" s="48"/>
      <c r="H42" s="48"/>
      <c r="I42" s="43" t="s">
        <v>137</v>
      </c>
      <c r="J42" s="45"/>
      <c r="K42" s="45"/>
      <c r="L42" s="45"/>
    </row>
    <row r="43" customFormat="false" ht="12.75" hidden="false" customHeight="true" outlineLevel="0" collapsed="false">
      <c r="A43" s="73" t="s">
        <v>334</v>
      </c>
      <c r="B43" s="73" t="s">
        <v>317</v>
      </c>
      <c r="C43" s="73"/>
      <c r="D43" s="73" t="s">
        <v>324</v>
      </c>
      <c r="E43" s="73"/>
      <c r="F43" s="73" t="s">
        <v>335</v>
      </c>
      <c r="G43" s="73" t="s">
        <v>336</v>
      </c>
      <c r="H43" s="73" t="s">
        <v>337</v>
      </c>
      <c r="I43" s="73"/>
      <c r="J43" s="73" t="s">
        <v>338</v>
      </c>
      <c r="K43" s="73"/>
      <c r="L43" s="73"/>
    </row>
    <row r="44" customFormat="false" ht="24" hidden="false" customHeight="true" outlineLevel="0" collapsed="false">
      <c r="A44" s="74" t="n">
        <f aca="false">MAX(A$10:A43)+1</f>
        <v>151</v>
      </c>
      <c r="B44" s="42" t="str">
        <f aca="false">IF(C44="","",IFERROR(LEFT(VLOOKUP(C44,areaNomiSquadre,2,FALSE()),FIND("-",VLOOKUP(C44,areaNomiSquadre,2,FALSE()))-1),""))</f>
        <v>Iene Ilari</v>
      </c>
      <c r="C44" s="43" t="s">
        <v>147</v>
      </c>
      <c r="D44" s="42" t="str">
        <f aca="false">IF(E44="","",IFERROR(LEFT(VLOOKUP(E44,areaNomiSquadre,2,FALSE()),FIND("-",VLOOKUP(E44,areaNomiSquadre,2,FALSE()))-1),""))</f>
        <v>Donnole Determinate</v>
      </c>
      <c r="E44" s="43" t="s">
        <v>139</v>
      </c>
      <c r="F44" s="44" t="n">
        <v>46355.625</v>
      </c>
      <c r="G44" s="44"/>
      <c r="H44" s="44"/>
      <c r="I44" s="44"/>
      <c r="J44" s="45" t="n">
        <v>61</v>
      </c>
      <c r="K44" s="46" t="s">
        <v>339</v>
      </c>
      <c r="L44" s="45" t="n">
        <v>73</v>
      </c>
      <c r="M44" s="47" t="str">
        <f aca="false">IF($B44="","(Squadra A)",$B44)</f>
        <v>Iene Ilari</v>
      </c>
      <c r="N44" s="47" t="n">
        <f aca="false">IF($J44+$L44=0,,IF($J44&gt;$L44,1,0))</f>
        <v>0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1</v>
      </c>
      <c r="Q44" s="47" t="n">
        <f aca="false">IF($J44+$L44=0,,$J44)</f>
        <v>61</v>
      </c>
      <c r="R44" s="47" t="n">
        <f aca="false">IF($J44+$L44=0,,$L44)</f>
        <v>73</v>
      </c>
      <c r="S44" s="47" t="n">
        <f aca="false">IF($J44+$L44=0,,$J44-$L44)</f>
        <v>-12</v>
      </c>
      <c r="T44" s="47" t="str">
        <f aca="false">IF($D44="","(Squadra B)",$D44)</f>
        <v>Donnole Determinate</v>
      </c>
      <c r="U44" s="47" t="n">
        <f aca="false">IF($J44+$L44=0,,IF($L44&gt;$J44,1,0))</f>
        <v>1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0</v>
      </c>
      <c r="X44" s="47" t="n">
        <f aca="false">IF($J44+$L44=0,,$L44)</f>
        <v>73</v>
      </c>
      <c r="Y44" s="47" t="n">
        <f aca="false">IF($J44+$L44=0,,$J44)</f>
        <v>61</v>
      </c>
      <c r="Z44" s="47" t="n">
        <f aca="false">IF($J44+$L44=0,,$L44-$J44)</f>
        <v>12</v>
      </c>
      <c r="AA44" s="47" t="str">
        <f aca="false">IF($J44+$L44=0,"(Vincente)",IF($J44&gt;$L44,$B44,$D44))</f>
        <v>Donnole Determinate</v>
      </c>
      <c r="AB44" s="47" t="str">
        <f aca="false">IF($J44+$L44=0,"(Perdente)",IF($J44&lt;$L44,$B44,$D44))</f>
        <v>Iene Ilari</v>
      </c>
    </row>
    <row r="45" customFormat="false" ht="15.75" hidden="false" customHeight="true" outlineLevel="0" collapsed="false">
      <c r="A45" s="74"/>
      <c r="B45" s="48" t="str">
        <f aca="false">IF(I45="","",HYPERLINK(VLOOKUP(I45,areaCampiSquadre,3,FALSE()),VLOOKUP(I45,areaCampiSquadre,2,FALSE())))</f>
        <v>PalaCamaleonti, Via dello Sport 3, Camaleontiopoli CI</v>
      </c>
      <c r="C45" s="48"/>
      <c r="D45" s="48"/>
      <c r="E45" s="48"/>
      <c r="F45" s="48"/>
      <c r="G45" s="48"/>
      <c r="H45" s="48"/>
      <c r="I45" s="43" t="s">
        <v>137</v>
      </c>
      <c r="J45" s="45"/>
      <c r="K45" s="45"/>
      <c r="L45" s="45"/>
    </row>
    <row r="46" customFormat="false" ht="12.75" hidden="false" customHeight="true" outlineLevel="0" collapsed="false">
      <c r="A46" s="73" t="s">
        <v>334</v>
      </c>
      <c r="B46" s="73" t="s">
        <v>317</v>
      </c>
      <c r="C46" s="73"/>
      <c r="D46" s="73" t="s">
        <v>324</v>
      </c>
      <c r="E46" s="73"/>
      <c r="F46" s="73" t="s">
        <v>335</v>
      </c>
      <c r="G46" s="73" t="s">
        <v>336</v>
      </c>
      <c r="H46" s="73" t="s">
        <v>337</v>
      </c>
      <c r="I46" s="73"/>
      <c r="J46" s="73" t="s">
        <v>338</v>
      </c>
      <c r="K46" s="73"/>
      <c r="L46" s="73"/>
    </row>
    <row r="47" customFormat="false" ht="24" hidden="false" customHeight="true" outlineLevel="0" collapsed="false">
      <c r="A47" s="74" t="n">
        <f aca="false">MAX(A$10:A46)+1</f>
        <v>152</v>
      </c>
      <c r="B47" s="42" t="str">
        <f aca="false">IF(C47="","",IFERROR(LEFT(VLOOKUP(C47,areaNomiSquadre,2,FALSE()),FIND("-",VLOOKUP(C47,areaNomiSquadre,2,FALSE()))-1),""))</f>
        <v>Camaleonti Caotici</v>
      </c>
      <c r="C47" s="43" t="s">
        <v>137</v>
      </c>
      <c r="D47" s="42" t="str">
        <f aca="false">IF(E47="","",IFERROR(LEFT(VLOOKUP(E47,areaNomiSquadre,2,FALSE()),FIND("-",VLOOKUP(E47,areaNomiSquadre,2,FALSE()))-1),""))</f>
        <v>Balene Bizzarre</v>
      </c>
      <c r="E47" s="43" t="s">
        <v>135</v>
      </c>
      <c r="F47" s="44" t="n">
        <v>46355.7083333333</v>
      </c>
      <c r="G47" s="44"/>
      <c r="H47" s="44"/>
      <c r="I47" s="44"/>
      <c r="J47" s="45" t="n">
        <v>76</v>
      </c>
      <c r="K47" s="46" t="s">
        <v>339</v>
      </c>
      <c r="L47" s="45" t="n">
        <v>63</v>
      </c>
      <c r="M47" s="47" t="str">
        <f aca="false">IF($B47="","(Squadra A)",$B47)</f>
        <v>Camaleonti Caotici</v>
      </c>
      <c r="N47" s="47" t="n">
        <f aca="false">IF($J47+$L47=0,,IF($J47&gt;$L47,1,0))</f>
        <v>1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47" t="n">
        <f aca="false">IF($J47+$L47=0,,$J47)</f>
        <v>76</v>
      </c>
      <c r="R47" s="47" t="n">
        <f aca="false">IF($J47+$L47=0,,$L47)</f>
        <v>63</v>
      </c>
      <c r="S47" s="47" t="n">
        <f aca="false">IF($J47+$L47=0,,$J47-$L47)</f>
        <v>13</v>
      </c>
      <c r="T47" s="47" t="str">
        <f aca="false">IF($D47="","(Squadra B)",$D47)</f>
        <v>Balene Bizzarre</v>
      </c>
      <c r="U47" s="47" t="n">
        <f aca="false">IF($J47+$L47=0,,IF($L47&gt;$J47,1,0))</f>
        <v>0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1</v>
      </c>
      <c r="X47" s="47" t="n">
        <f aca="false">IF($J47+$L47=0,,$L47)</f>
        <v>63</v>
      </c>
      <c r="Y47" s="47" t="n">
        <f aca="false">IF($J47+$L47=0,,$J47)</f>
        <v>76</v>
      </c>
      <c r="Z47" s="47" t="n">
        <f aca="false">IF($J47+$L47=0,,$L47-$J47)</f>
        <v>-13</v>
      </c>
      <c r="AA47" s="47" t="str">
        <f aca="false">IF($J47+$L47=0,"(Vincente)",IF($J47&gt;$L47,$B47,$D47))</f>
        <v>Camaleonti Caotici</v>
      </c>
      <c r="AB47" s="47" t="str">
        <f aca="false">IF($J47+$L47=0,"(Perdente)",IF($J47&lt;$L47,$B47,$D47))</f>
        <v>Balene Bizzarre</v>
      </c>
    </row>
    <row r="48" customFormat="false" ht="15.75" hidden="false" customHeight="true" outlineLevel="0" collapsed="false">
      <c r="A48" s="74"/>
      <c r="B48" s="48" t="str">
        <f aca="false">IF(I48="","",HYPERLINK(VLOOKUP(I48,areaCampiSquadre,3,FALSE()),VLOOKUP(I48,areaCampiSquadre,2,FALSE())))</f>
        <v>PalaCamaleonti, Via dello Sport 3, Camaleontiopoli CI</v>
      </c>
      <c r="C48" s="48"/>
      <c r="D48" s="48"/>
      <c r="E48" s="48"/>
      <c r="F48" s="48"/>
      <c r="G48" s="48"/>
      <c r="H48" s="48"/>
      <c r="I48" s="43" t="s">
        <v>137</v>
      </c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71" t="s">
        <v>378</v>
      </c>
      <c r="B50" s="72" t="str">
        <f aca="false">"GIORNATA "&amp;ROMAN(VALUE(LEFT(A50,LEN(A50)-1)))&amp;" - GIRONE "&amp;RIGHT(A50,1)</f>
        <v>GIORNATA IV - GIRONE F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</row>
    <row r="51" customFormat="false" ht="12.75" hidden="false" customHeight="true" outlineLevel="0" collapsed="false">
      <c r="A51" s="73" t="s">
        <v>334</v>
      </c>
      <c r="B51" s="73" t="s">
        <v>317</v>
      </c>
      <c r="C51" s="73"/>
      <c r="D51" s="73" t="s">
        <v>324</v>
      </c>
      <c r="E51" s="73"/>
      <c r="F51" s="73" t="s">
        <v>335</v>
      </c>
      <c r="G51" s="73" t="s">
        <v>336</v>
      </c>
      <c r="H51" s="73" t="s">
        <v>337</v>
      </c>
      <c r="I51" s="73"/>
      <c r="J51" s="73" t="s">
        <v>338</v>
      </c>
      <c r="K51" s="73"/>
      <c r="L51" s="73"/>
    </row>
    <row r="52" customFormat="false" ht="24" hidden="false" customHeight="true" outlineLevel="0" collapsed="false">
      <c r="A52" s="74" t="n">
        <f aca="false">MAX(A$10:A51)+1</f>
        <v>153</v>
      </c>
      <c r="B52" s="42" t="str">
        <f aca="false">IF(C52="","",IFERROR(LEFT(VLOOKUP(C52,areaNomiSquadre,2,FALSE()),FIND("-",VLOOKUP(C52,areaNomiSquadre,2,FALSE()))-1),""))</f>
        <v>Emu Energici</v>
      </c>
      <c r="C52" s="43" t="s">
        <v>141</v>
      </c>
      <c r="D52" s="42" t="str">
        <f aca="false">IF(E52="","",IFERROR(LEFT(VLOOKUP(E52,areaNomiSquadre,2,FALSE()),FIND("-",VLOOKUP(E52,areaNomiSquadre,2,FALSE()))-1),""))</f>
        <v>Antilopi Ardite</v>
      </c>
      <c r="E52" s="43" t="s">
        <v>132</v>
      </c>
      <c r="F52" s="44" t="n">
        <v>46369.3958333333</v>
      </c>
      <c r="G52" s="44"/>
      <c r="H52" s="44"/>
      <c r="I52" s="44"/>
      <c r="J52" s="45" t="n">
        <v>90</v>
      </c>
      <c r="K52" s="46" t="s">
        <v>339</v>
      </c>
      <c r="L52" s="45" t="n">
        <v>51</v>
      </c>
      <c r="M52" s="47" t="str">
        <f aca="false">IF($B52="","(Squadra A)",$B52)</f>
        <v>Emu Energici</v>
      </c>
      <c r="N52" s="47" t="n">
        <f aca="false">IF($J52+$L52=0,,IF($J52&gt;$L52,1,0))</f>
        <v>1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0</v>
      </c>
      <c r="Q52" s="47" t="n">
        <f aca="false">IF($J52+$L52=0,,$J52)</f>
        <v>90</v>
      </c>
      <c r="R52" s="47" t="n">
        <f aca="false">IF($J52+$L52=0,,$L52)</f>
        <v>51</v>
      </c>
      <c r="S52" s="47" t="n">
        <f aca="false">IF($J52+$L52=0,,$J52-$L52)</f>
        <v>39</v>
      </c>
      <c r="T52" s="47" t="str">
        <f aca="false">IF($D52="","(Squadra B)",$D52)</f>
        <v>Antilopi Ardite</v>
      </c>
      <c r="U52" s="47" t="n">
        <f aca="false">IF($J52+$L52=0,,IF($L52&gt;$J52,1,0))</f>
        <v>0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1</v>
      </c>
      <c r="X52" s="47" t="n">
        <f aca="false">IF($J52+$L52=0,,$L52)</f>
        <v>51</v>
      </c>
      <c r="Y52" s="47" t="n">
        <f aca="false">IF($J52+$L52=0,,$J52)</f>
        <v>90</v>
      </c>
      <c r="Z52" s="47" t="n">
        <f aca="false">IF($J52+$L52=0,,$L52-$J52)</f>
        <v>-39</v>
      </c>
      <c r="AA52" s="47" t="str">
        <f aca="false">IF($J52+$L52=0,"(Vincente)",IF($J52&gt;$L52,$B52,$D52))</f>
        <v>Emu Energici</v>
      </c>
      <c r="AB52" s="47" t="str">
        <f aca="false">IF($J52+$L52=0,"(Perdente)",IF($J52&lt;$L52,$B52,$D52))</f>
        <v>Antilopi Ardite</v>
      </c>
    </row>
    <row r="53" customFormat="false" ht="15.75" hidden="false" customHeight="true" outlineLevel="0" collapsed="false">
      <c r="A53" s="74"/>
      <c r="B53" s="48" t="str">
        <f aca="false">IF(I53="","",HYPERLINK(VLOOKUP(I53,areaCampiSquadre,3,FALSE()),VLOOKUP(I53,areaCampiSquadre,2,FALSE())))</f>
        <v>PalaDonnole, Via dello Sport 4, Donnoleopoli DE</v>
      </c>
      <c r="C53" s="48"/>
      <c r="D53" s="48"/>
      <c r="E53" s="48"/>
      <c r="F53" s="48"/>
      <c r="G53" s="48"/>
      <c r="H53" s="48"/>
      <c r="I53" s="43" t="s">
        <v>139</v>
      </c>
      <c r="J53" s="45"/>
      <c r="K53" s="45"/>
      <c r="L53" s="45"/>
    </row>
    <row r="54" customFormat="false" ht="12.75" hidden="false" customHeight="true" outlineLevel="0" collapsed="false">
      <c r="A54" s="73" t="s">
        <v>334</v>
      </c>
      <c r="B54" s="73" t="s">
        <v>317</v>
      </c>
      <c r="C54" s="73"/>
      <c r="D54" s="73" t="s">
        <v>324</v>
      </c>
      <c r="E54" s="73"/>
      <c r="F54" s="73" t="s">
        <v>335</v>
      </c>
      <c r="G54" s="73" t="s">
        <v>336</v>
      </c>
      <c r="H54" s="73" t="s">
        <v>337</v>
      </c>
      <c r="I54" s="73"/>
      <c r="J54" s="73" t="s">
        <v>338</v>
      </c>
      <c r="K54" s="73"/>
      <c r="L54" s="73"/>
    </row>
    <row r="55" customFormat="false" ht="24" hidden="false" customHeight="true" outlineLevel="0" collapsed="false">
      <c r="A55" s="74" t="n">
        <f aca="false">MAX(A$10:A54)+1</f>
        <v>154</v>
      </c>
      <c r="B55" s="42" t="str">
        <f aca="false">IF(C55="","",IFERROR(LEFT(VLOOKUP(C55,areaNomiSquadre,2,FALSE()),FIND("-",VLOOKUP(C55,areaNomiSquadre,2,FALSE()))-1),""))</f>
        <v>Foche Frenetiche</v>
      </c>
      <c r="C55" s="43" t="s">
        <v>143</v>
      </c>
      <c r="D55" s="42" t="str">
        <f aca="false">IF(E55="","",IFERROR(LEFT(VLOOKUP(E55,areaNomiSquadre,2,FALSE()),FIND("-",VLOOKUP(E55,areaNomiSquadre,2,FALSE()))-1),""))</f>
        <v>Donnole Determinate</v>
      </c>
      <c r="E55" s="43" t="s">
        <v>139</v>
      </c>
      <c r="F55" s="44" t="n">
        <v>46369.4791666667</v>
      </c>
      <c r="G55" s="44"/>
      <c r="H55" s="44"/>
      <c r="I55" s="44"/>
      <c r="J55" s="45" t="n">
        <v>57</v>
      </c>
      <c r="K55" s="46" t="s">
        <v>339</v>
      </c>
      <c r="L55" s="45" t="n">
        <v>72</v>
      </c>
      <c r="M55" s="47" t="str">
        <f aca="false">IF($B55="","(Squadra A)",$B55)</f>
        <v>Foche Frenetiche</v>
      </c>
      <c r="N55" s="47" t="n">
        <f aca="false">IF($J55+$L55=0,,IF($J55&gt;$L55,1,0))</f>
        <v>0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1</v>
      </c>
      <c r="Q55" s="47" t="n">
        <f aca="false">IF($J55+$L55=0,,$J55)</f>
        <v>57</v>
      </c>
      <c r="R55" s="47" t="n">
        <f aca="false">IF($J55+$L55=0,,$L55)</f>
        <v>72</v>
      </c>
      <c r="S55" s="47" t="n">
        <f aca="false">IF($J55+$L55=0,,$J55-$L55)</f>
        <v>-15</v>
      </c>
      <c r="T55" s="47" t="str">
        <f aca="false">IF($D55="","(Squadra B)",$D55)</f>
        <v>Donnole Determinate</v>
      </c>
      <c r="U55" s="47" t="n">
        <f aca="false">IF($J55+$L55=0,,IF($L55&gt;$J55,1,0))</f>
        <v>1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0</v>
      </c>
      <c r="X55" s="47" t="n">
        <f aca="false">IF($J55+$L55=0,,$L55)</f>
        <v>72</v>
      </c>
      <c r="Y55" s="47" t="n">
        <f aca="false">IF($J55+$L55=0,,$J55)</f>
        <v>57</v>
      </c>
      <c r="Z55" s="47" t="n">
        <f aca="false">IF($J55+$L55=0,,$L55-$J55)</f>
        <v>15</v>
      </c>
      <c r="AA55" s="47" t="str">
        <f aca="false">IF($J55+$L55=0,"(Vincente)",IF($J55&gt;$L55,$B55,$D55))</f>
        <v>Donnole Determinate</v>
      </c>
      <c r="AB55" s="47" t="str">
        <f aca="false">IF($J55+$L55=0,"(Perdente)",IF($J55&lt;$L55,$B55,$D55))</f>
        <v>Foche Frenetiche</v>
      </c>
    </row>
    <row r="56" customFormat="false" ht="15.75" hidden="false" customHeight="true" outlineLevel="0" collapsed="false">
      <c r="A56" s="74"/>
      <c r="B56" s="48" t="str">
        <f aca="false">IF(I56="","",HYPERLINK(VLOOKUP(I56,areaCampiSquadre,3,FALSE()),VLOOKUP(I56,areaCampiSquadre,2,FALSE())))</f>
        <v>PalaDonnole, Via dello Sport 4, Donnoleopoli DE</v>
      </c>
      <c r="C56" s="48"/>
      <c r="D56" s="48"/>
      <c r="E56" s="48"/>
      <c r="F56" s="48"/>
      <c r="G56" s="48"/>
      <c r="H56" s="48"/>
      <c r="I56" s="43" t="s">
        <v>139</v>
      </c>
      <c r="J56" s="45"/>
      <c r="K56" s="45"/>
      <c r="L56" s="45"/>
    </row>
    <row r="57" customFormat="false" ht="12.75" hidden="false" customHeight="true" outlineLevel="0" collapsed="false">
      <c r="A57" s="73" t="s">
        <v>334</v>
      </c>
      <c r="B57" s="73" t="s">
        <v>317</v>
      </c>
      <c r="C57" s="73"/>
      <c r="D57" s="73" t="s">
        <v>324</v>
      </c>
      <c r="E57" s="73"/>
      <c r="F57" s="73" t="s">
        <v>335</v>
      </c>
      <c r="G57" s="73" t="s">
        <v>336</v>
      </c>
      <c r="H57" s="73" t="s">
        <v>337</v>
      </c>
      <c r="I57" s="73"/>
      <c r="J57" s="73" t="s">
        <v>338</v>
      </c>
      <c r="K57" s="73"/>
      <c r="L57" s="73"/>
    </row>
    <row r="58" customFormat="false" ht="24" hidden="false" customHeight="true" outlineLevel="0" collapsed="false">
      <c r="A58" s="74" t="n">
        <f aca="false">MAX(A$10:A57)+1</f>
        <v>155</v>
      </c>
      <c r="B58" s="42" t="str">
        <f aca="false">IF(C58="","",IFERROR(LEFT(VLOOKUP(C58,areaNomiSquadre,2,FALSE()),FIND("-",VLOOKUP(C58,areaNomiSquadre,2,FALSE()))-1),""))</f>
        <v>Camaleonti Caotici</v>
      </c>
      <c r="C58" s="43" t="s">
        <v>137</v>
      </c>
      <c r="D58" s="42" t="str">
        <f aca="false">IF(E58="","",IFERROR(LEFT(VLOOKUP(E58,areaNomiSquadre,2,FALSE()),FIND("-",VLOOKUP(E58,areaNomiSquadre,2,FALSE()))-1),""))</f>
        <v>Gufi Golosi</v>
      </c>
      <c r="E58" s="43" t="s">
        <v>145</v>
      </c>
      <c r="F58" s="44" t="n">
        <v>46369.625</v>
      </c>
      <c r="G58" s="44"/>
      <c r="H58" s="44"/>
      <c r="I58" s="44"/>
      <c r="J58" s="45" t="n">
        <v>57</v>
      </c>
      <c r="K58" s="46" t="s">
        <v>339</v>
      </c>
      <c r="L58" s="45" t="n">
        <v>61</v>
      </c>
      <c r="M58" s="47" t="str">
        <f aca="false">IF($B58="","(Squadra A)",$B58)</f>
        <v>Camaleonti Caotici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1</v>
      </c>
      <c r="Q58" s="47" t="n">
        <f aca="false">IF($J58+$L58=0,,$J58)</f>
        <v>57</v>
      </c>
      <c r="R58" s="47" t="n">
        <f aca="false">IF($J58+$L58=0,,$L58)</f>
        <v>61</v>
      </c>
      <c r="S58" s="47" t="n">
        <f aca="false">IF($J58+$L58=0,,$J58-$L58)</f>
        <v>-4</v>
      </c>
      <c r="T58" s="47" t="str">
        <f aca="false">IF($D58="","(Squadra B)",$D58)</f>
        <v>Gufi Golosi</v>
      </c>
      <c r="U58" s="47" t="n">
        <f aca="false">IF($J58+$L58=0,,IF($L58&gt;$J58,1,0))</f>
        <v>1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61</v>
      </c>
      <c r="Y58" s="47" t="n">
        <f aca="false">IF($J58+$L58=0,,$J58)</f>
        <v>57</v>
      </c>
      <c r="Z58" s="47" t="n">
        <f aca="false">IF($J58+$L58=0,,$L58-$J58)</f>
        <v>4</v>
      </c>
      <c r="AA58" s="47" t="str">
        <f aca="false">IF($J58+$L58=0,"(Vincente)",IF($J58&gt;$L58,$B58,$D58))</f>
        <v>Gufi Golosi</v>
      </c>
      <c r="AB58" s="47" t="str">
        <f aca="false">IF($J58+$L58=0,"(Perdente)",IF($J58&lt;$L58,$B58,$D58))</f>
        <v>Camaleonti Caotici</v>
      </c>
    </row>
    <row r="59" customFormat="false" ht="15.75" hidden="false" customHeight="true" outlineLevel="0" collapsed="false">
      <c r="A59" s="74"/>
      <c r="B59" s="48" t="str">
        <f aca="false">IF(I59="","",HYPERLINK(VLOOKUP(I59,areaCampiSquadre,3,FALSE()),VLOOKUP(I59,areaCampiSquadre,2,FALSE())))</f>
        <v>PalaDonnole, Via dello Sport 4, Donnoleopoli DE</v>
      </c>
      <c r="C59" s="48"/>
      <c r="D59" s="48"/>
      <c r="E59" s="48"/>
      <c r="F59" s="48"/>
      <c r="G59" s="48"/>
      <c r="H59" s="48"/>
      <c r="I59" s="43" t="s">
        <v>139</v>
      </c>
      <c r="J59" s="45"/>
      <c r="K59" s="45"/>
      <c r="L59" s="45"/>
    </row>
    <row r="60" customFormat="false" ht="12.75" hidden="false" customHeight="true" outlineLevel="0" collapsed="false">
      <c r="A60" s="73" t="s">
        <v>334</v>
      </c>
      <c r="B60" s="73" t="s">
        <v>317</v>
      </c>
      <c r="C60" s="73"/>
      <c r="D60" s="73" t="s">
        <v>324</v>
      </c>
      <c r="E60" s="73"/>
      <c r="F60" s="73" t="s">
        <v>335</v>
      </c>
      <c r="G60" s="73" t="s">
        <v>336</v>
      </c>
      <c r="H60" s="73" t="s">
        <v>337</v>
      </c>
      <c r="I60" s="73"/>
      <c r="J60" s="73" t="s">
        <v>338</v>
      </c>
      <c r="K60" s="73"/>
      <c r="L60" s="73"/>
    </row>
    <row r="61" customFormat="false" ht="24" hidden="false" customHeight="true" outlineLevel="0" collapsed="false">
      <c r="A61" s="74" t="n">
        <f aca="false">MAX(A$10:A60)+1</f>
        <v>156</v>
      </c>
      <c r="B61" s="42" t="str">
        <f aca="false">IF(C61="","",IFERROR(LEFT(VLOOKUP(C61,areaNomiSquadre,2,FALSE()),FIND("-",VLOOKUP(C61,areaNomiSquadre,2,FALSE()))-1),""))</f>
        <v>Iene Ilari</v>
      </c>
      <c r="C61" s="43" t="s">
        <v>147</v>
      </c>
      <c r="D61" s="42" t="str">
        <f aca="false">IF(E61="","",IFERROR(LEFT(VLOOKUP(E61,areaNomiSquadre,2,FALSE()),FIND("-",VLOOKUP(E61,areaNomiSquadre,2,FALSE()))-1),""))</f>
        <v>Balene Bizzarre</v>
      </c>
      <c r="E61" s="43" t="s">
        <v>135</v>
      </c>
      <c r="F61" s="44" t="n">
        <v>46369.7083333333</v>
      </c>
      <c r="G61" s="44"/>
      <c r="H61" s="44"/>
      <c r="I61" s="44"/>
      <c r="J61" s="45" t="n">
        <v>70</v>
      </c>
      <c r="K61" s="46" t="s">
        <v>339</v>
      </c>
      <c r="L61" s="45" t="n">
        <v>57</v>
      </c>
      <c r="M61" s="47" t="str">
        <f aca="false">IF($B61="","(Squadra A)",$B61)</f>
        <v>Iene Ilari</v>
      </c>
      <c r="N61" s="47" t="n">
        <f aca="false">IF($J61+$L61=0,,IF($J61&gt;$L61,1,0))</f>
        <v>1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70</v>
      </c>
      <c r="R61" s="47" t="n">
        <f aca="false">IF($J61+$L61=0,,$L61)</f>
        <v>57</v>
      </c>
      <c r="S61" s="47" t="n">
        <f aca="false">IF($J61+$L61=0,,$J61-$L61)</f>
        <v>13</v>
      </c>
      <c r="T61" s="47" t="str">
        <f aca="false">IF($D61="","(Squadra B)",$D61)</f>
        <v>Balene Bizzarre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1</v>
      </c>
      <c r="X61" s="47" t="n">
        <f aca="false">IF($J61+$L61=0,,$L61)</f>
        <v>57</v>
      </c>
      <c r="Y61" s="47" t="n">
        <f aca="false">IF($J61+$L61=0,,$J61)</f>
        <v>70</v>
      </c>
      <c r="Z61" s="47" t="n">
        <f aca="false">IF($J61+$L61=0,,$L61-$J61)</f>
        <v>-13</v>
      </c>
      <c r="AA61" s="47" t="str">
        <f aca="false">IF($J61+$L61=0,"(Vincente)",IF($J61&gt;$L61,$B61,$D61))</f>
        <v>Iene Ilari</v>
      </c>
      <c r="AB61" s="47" t="str">
        <f aca="false">IF($J61+$L61=0,"(Perdente)",IF($J61&lt;$L61,$B61,$D61))</f>
        <v>Balene Bizzarre</v>
      </c>
    </row>
    <row r="62" customFormat="false" ht="15.75" hidden="false" customHeight="true" outlineLevel="0" collapsed="false">
      <c r="A62" s="74"/>
      <c r="B62" s="48" t="str">
        <f aca="false">IF(I62="","",HYPERLINK(VLOOKUP(I62,areaCampiSquadre,3,FALSE()),VLOOKUP(I62,areaCampiSquadre,2,FALSE())))</f>
        <v>PalaDonnole, Via dello Sport 4, Donnoleopoli DE</v>
      </c>
      <c r="C62" s="48"/>
      <c r="D62" s="48"/>
      <c r="E62" s="48"/>
      <c r="F62" s="48"/>
      <c r="G62" s="48"/>
      <c r="H62" s="48"/>
      <c r="I62" s="43" t="s">
        <v>139</v>
      </c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71" t="s">
        <v>379</v>
      </c>
      <c r="B64" s="72" t="str">
        <f aca="false">"GIORNATA "&amp;ROMAN(VALUE(LEFT(A64,LEN(A64)-1)))&amp;" - GIRONE "&amp;RIGHT(A64,1)</f>
        <v>GIORNATA V - GIRONE F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</row>
    <row r="65" customFormat="false" ht="12.75" hidden="false" customHeight="true" outlineLevel="0" collapsed="false">
      <c r="A65" s="73" t="s">
        <v>334</v>
      </c>
      <c r="B65" s="73" t="s">
        <v>317</v>
      </c>
      <c r="C65" s="73"/>
      <c r="D65" s="73" t="s">
        <v>324</v>
      </c>
      <c r="E65" s="73"/>
      <c r="F65" s="73" t="s">
        <v>335</v>
      </c>
      <c r="G65" s="73" t="s">
        <v>336</v>
      </c>
      <c r="H65" s="73" t="s">
        <v>337</v>
      </c>
      <c r="I65" s="73"/>
      <c r="J65" s="73" t="s">
        <v>338</v>
      </c>
      <c r="K65" s="73"/>
      <c r="L65" s="73"/>
    </row>
    <row r="66" customFormat="false" ht="24" hidden="false" customHeight="true" outlineLevel="0" collapsed="false">
      <c r="A66" s="74" t="n">
        <f aca="false">MAX(A$10:A65)+1</f>
        <v>157</v>
      </c>
      <c r="B66" s="42" t="str">
        <f aca="false">IF(C66="","",IFERROR(LEFT(VLOOKUP(C66,areaNomiSquadre,2,FALSE()),FIND("-",VLOOKUP(C66,areaNomiSquadre,2,FALSE()))-1),""))</f>
        <v>Antilopi Ardite</v>
      </c>
      <c r="C66" s="43" t="s">
        <v>132</v>
      </c>
      <c r="D66" s="42" t="str">
        <f aca="false">IF(E66="","",IFERROR(LEFT(VLOOKUP(E66,areaNomiSquadre,2,FALSE()),FIND("-",VLOOKUP(E66,areaNomiSquadre,2,FALSE()))-1),""))</f>
        <v>Donnole Determinate</v>
      </c>
      <c r="E66" s="43" t="s">
        <v>139</v>
      </c>
      <c r="F66" s="44" t="n">
        <v>46411.3958333333</v>
      </c>
      <c r="G66" s="44"/>
      <c r="H66" s="44"/>
      <c r="I66" s="44"/>
      <c r="J66" s="45" t="n">
        <v>29</v>
      </c>
      <c r="K66" s="46" t="s">
        <v>339</v>
      </c>
      <c r="L66" s="45" t="n">
        <v>81</v>
      </c>
      <c r="M66" s="47" t="str">
        <f aca="false">IF($B66="","(Squadra A)",$B66)</f>
        <v>Antilopi Ardite</v>
      </c>
      <c r="N66" s="47" t="n">
        <f aca="false">IF($J66+$L66=0,,IF($J66&gt;$L66,1,0))</f>
        <v>0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1</v>
      </c>
      <c r="Q66" s="47" t="n">
        <f aca="false">IF($J66+$L66=0,,$J66)</f>
        <v>29</v>
      </c>
      <c r="R66" s="47" t="n">
        <f aca="false">IF($J66+$L66=0,,$L66)</f>
        <v>81</v>
      </c>
      <c r="S66" s="47" t="n">
        <f aca="false">IF($J66+$L66=0,,$J66-$L66)</f>
        <v>-52</v>
      </c>
      <c r="T66" s="47" t="str">
        <f aca="false">IF($D66="","(Squadra B)",$D66)</f>
        <v>Donnole Determinate</v>
      </c>
      <c r="U66" s="47" t="n">
        <f aca="false">IF($J66+$L66=0,,IF($L66&gt;$J66,1,0))</f>
        <v>1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0</v>
      </c>
      <c r="X66" s="47" t="n">
        <f aca="false">IF($J66+$L66=0,,$L66)</f>
        <v>81</v>
      </c>
      <c r="Y66" s="47" t="n">
        <f aca="false">IF($J66+$L66=0,,$J66)</f>
        <v>29</v>
      </c>
      <c r="Z66" s="47" t="n">
        <f aca="false">IF($J66+$L66=0,,$L66-$J66)</f>
        <v>52</v>
      </c>
      <c r="AA66" s="47" t="str">
        <f aca="false">IF($J66+$L66=0,"(Vincente)",IF($J66&gt;$L66,$B66,$D66))</f>
        <v>Donnole Determinate</v>
      </c>
      <c r="AB66" s="47" t="str">
        <f aca="false">IF($J66+$L66=0,"(Perdente)",IF($J66&lt;$L66,$B66,$D66))</f>
        <v>Antilopi Ardite</v>
      </c>
    </row>
    <row r="67" customFormat="false" ht="15.75" hidden="false" customHeight="true" outlineLevel="0" collapsed="false">
      <c r="A67" s="74"/>
      <c r="B67" s="48" t="str">
        <f aca="false">IF(I67="","",HYPERLINK(VLOOKUP(I67,areaCampiSquadre,3,FALSE()),VLOOKUP(I67,areaCampiSquadre,2,FALSE())))</f>
        <v>PalaEmu, Via dello Sport 5, Emuopoli EU</v>
      </c>
      <c r="C67" s="48"/>
      <c r="D67" s="48"/>
      <c r="E67" s="48"/>
      <c r="F67" s="48"/>
      <c r="G67" s="48"/>
      <c r="H67" s="48"/>
      <c r="I67" s="43" t="s">
        <v>141</v>
      </c>
      <c r="J67" s="45"/>
      <c r="K67" s="45"/>
      <c r="L67" s="45"/>
    </row>
    <row r="68" customFormat="false" ht="12.75" hidden="false" customHeight="true" outlineLevel="0" collapsed="false">
      <c r="A68" s="73" t="s">
        <v>334</v>
      </c>
      <c r="B68" s="73" t="s">
        <v>317</v>
      </c>
      <c r="C68" s="73"/>
      <c r="D68" s="73" t="s">
        <v>324</v>
      </c>
      <c r="E68" s="73"/>
      <c r="F68" s="73" t="s">
        <v>335</v>
      </c>
      <c r="G68" s="73" t="s">
        <v>336</v>
      </c>
      <c r="H68" s="73" t="s">
        <v>337</v>
      </c>
      <c r="I68" s="73"/>
      <c r="J68" s="73" t="s">
        <v>338</v>
      </c>
      <c r="K68" s="73"/>
      <c r="L68" s="73"/>
    </row>
    <row r="69" customFormat="false" ht="24" hidden="false" customHeight="true" outlineLevel="0" collapsed="false">
      <c r="A69" s="74" t="n">
        <f aca="false">MAX(A$10:A68)+1</f>
        <v>158</v>
      </c>
      <c r="B69" s="42" t="str">
        <f aca="false">IF(C69="","",IFERROR(LEFT(VLOOKUP(C69,areaNomiSquadre,2,FALSE()),FIND("-",VLOOKUP(C69,areaNomiSquadre,2,FALSE()))-1),""))</f>
        <v>Camaleonti Caotici</v>
      </c>
      <c r="C69" s="43" t="s">
        <v>137</v>
      </c>
      <c r="D69" s="42" t="str">
        <f aca="false">IF(E69="","",IFERROR(LEFT(VLOOKUP(E69,areaNomiSquadre,2,FALSE()),FIND("-",VLOOKUP(E69,areaNomiSquadre,2,FALSE()))-1),""))</f>
        <v>Emu Energici</v>
      </c>
      <c r="E69" s="43" t="s">
        <v>141</v>
      </c>
      <c r="F69" s="44" t="n">
        <v>46411.4791666667</v>
      </c>
      <c r="G69" s="44"/>
      <c r="H69" s="44"/>
      <c r="I69" s="44"/>
      <c r="J69" s="45" t="n">
        <v>59</v>
      </c>
      <c r="K69" s="46" t="s">
        <v>339</v>
      </c>
      <c r="L69" s="45" t="n">
        <v>48</v>
      </c>
      <c r="M69" s="47" t="str">
        <f aca="false">IF($B69="","(Squadra A)",$B69)</f>
        <v>Camaleonti Caotici</v>
      </c>
      <c r="N69" s="47" t="n">
        <f aca="false">IF($J69+$L69=0,,IF($J69&gt;$L69,1,0))</f>
        <v>1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0</v>
      </c>
      <c r="Q69" s="47" t="n">
        <f aca="false">IF($J69+$L69=0,,$J69)</f>
        <v>59</v>
      </c>
      <c r="R69" s="47" t="n">
        <f aca="false">IF($J69+$L69=0,,$L69)</f>
        <v>48</v>
      </c>
      <c r="S69" s="47" t="n">
        <f aca="false">IF($J69+$L69=0,,$J69-$L69)</f>
        <v>11</v>
      </c>
      <c r="T69" s="47" t="str">
        <f aca="false">IF($D69="","(Squadra B)",$D69)</f>
        <v>Emu Energici</v>
      </c>
      <c r="U69" s="47" t="n">
        <f aca="false">IF($J69+$L69=0,,IF($L69&gt;$J69,1,0))</f>
        <v>0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1</v>
      </c>
      <c r="X69" s="47" t="n">
        <f aca="false">IF($J69+$L69=0,,$L69)</f>
        <v>48</v>
      </c>
      <c r="Y69" s="47" t="n">
        <f aca="false">IF($J69+$L69=0,,$J69)</f>
        <v>59</v>
      </c>
      <c r="Z69" s="47" t="n">
        <f aca="false">IF($J69+$L69=0,,$L69-$J69)</f>
        <v>-11</v>
      </c>
      <c r="AA69" s="47" t="str">
        <f aca="false">IF($J69+$L69=0,"(Vincente)",IF($J69&gt;$L69,$B69,$D69))</f>
        <v>Camaleonti Caotici</v>
      </c>
      <c r="AB69" s="47" t="str">
        <f aca="false">IF($J69+$L69=0,"(Perdente)",IF($J69&lt;$L69,$B69,$D69))</f>
        <v>Emu Energici</v>
      </c>
    </row>
    <row r="70" customFormat="false" ht="15.75" hidden="false" customHeight="true" outlineLevel="0" collapsed="false">
      <c r="A70" s="74"/>
      <c r="B70" s="48" t="str">
        <f aca="false">IF(I70="","",HYPERLINK(VLOOKUP(I70,areaCampiSquadre,3,FALSE()),VLOOKUP(I70,areaCampiSquadre,2,FALSE())))</f>
        <v>PalaEmu, Via dello Sport 5, Emuopoli EU</v>
      </c>
      <c r="C70" s="48"/>
      <c r="D70" s="48"/>
      <c r="E70" s="48"/>
      <c r="F70" s="48"/>
      <c r="G70" s="48"/>
      <c r="H70" s="48"/>
      <c r="I70" s="43" t="s">
        <v>141</v>
      </c>
      <c r="J70" s="45"/>
      <c r="K70" s="45"/>
      <c r="L70" s="45"/>
    </row>
    <row r="71" customFormat="false" ht="12.75" hidden="false" customHeight="true" outlineLevel="0" collapsed="false">
      <c r="A71" s="73" t="s">
        <v>334</v>
      </c>
      <c r="B71" s="73" t="s">
        <v>317</v>
      </c>
      <c r="C71" s="73"/>
      <c r="D71" s="73" t="s">
        <v>324</v>
      </c>
      <c r="E71" s="73"/>
      <c r="F71" s="73" t="s">
        <v>335</v>
      </c>
      <c r="G71" s="73" t="s">
        <v>336</v>
      </c>
      <c r="H71" s="73" t="s">
        <v>337</v>
      </c>
      <c r="I71" s="73"/>
      <c r="J71" s="73" t="s">
        <v>338</v>
      </c>
      <c r="K71" s="73"/>
      <c r="L71" s="73"/>
    </row>
    <row r="72" customFormat="false" ht="24" hidden="false" customHeight="true" outlineLevel="0" collapsed="false">
      <c r="A72" s="74" t="n">
        <f aca="false">MAX(A$10:A71)+1</f>
        <v>159</v>
      </c>
      <c r="B72" s="42" t="str">
        <f aca="false">IF(C72="","",IFERROR(LEFT(VLOOKUP(C72,areaNomiSquadre,2,FALSE()),FIND("-",VLOOKUP(C72,areaNomiSquadre,2,FALSE()))-1),""))</f>
        <v>Foche Frenetiche</v>
      </c>
      <c r="C72" s="43" t="s">
        <v>143</v>
      </c>
      <c r="D72" s="42" t="str">
        <f aca="false">IF(E72="","",IFERROR(LEFT(VLOOKUP(E72,areaNomiSquadre,2,FALSE()),FIND("-",VLOOKUP(E72,areaNomiSquadre,2,FALSE()))-1),""))</f>
        <v>Balene Bizzarre</v>
      </c>
      <c r="E72" s="43" t="s">
        <v>135</v>
      </c>
      <c r="F72" s="44" t="n">
        <v>46411.625</v>
      </c>
      <c r="G72" s="44"/>
      <c r="H72" s="44"/>
      <c r="I72" s="44"/>
      <c r="J72" s="45" t="n">
        <v>58</v>
      </c>
      <c r="K72" s="46" t="s">
        <v>339</v>
      </c>
      <c r="L72" s="45" t="n">
        <v>55</v>
      </c>
      <c r="M72" s="47" t="str">
        <f aca="false">IF($B72="","(Squadra A)",$B72)</f>
        <v>Foche Frenetiche</v>
      </c>
      <c r="N72" s="47" t="n">
        <f aca="false">IF($J72+$L72=0,,IF($J72&gt;$L72,1,0))</f>
        <v>1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0</v>
      </c>
      <c r="Q72" s="47" t="n">
        <f aca="false">IF($J72+$L72=0,,$J72)</f>
        <v>58</v>
      </c>
      <c r="R72" s="47" t="n">
        <f aca="false">IF($J72+$L72=0,,$L72)</f>
        <v>55</v>
      </c>
      <c r="S72" s="47" t="n">
        <f aca="false">IF($J72+$L72=0,,$J72-$L72)</f>
        <v>3</v>
      </c>
      <c r="T72" s="47" t="str">
        <f aca="false">IF($D72="","(Squadra B)",$D72)</f>
        <v>Balene Bizzarre</v>
      </c>
      <c r="U72" s="47" t="n">
        <f aca="false">IF($J72+$L72=0,,IF($L72&gt;$J72,1,0))</f>
        <v>0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1</v>
      </c>
      <c r="X72" s="47" t="n">
        <f aca="false">IF($J72+$L72=0,,$L72)</f>
        <v>55</v>
      </c>
      <c r="Y72" s="47" t="n">
        <f aca="false">IF($J72+$L72=0,,$J72)</f>
        <v>58</v>
      </c>
      <c r="Z72" s="47" t="n">
        <f aca="false">IF($J72+$L72=0,,$L72-$J72)</f>
        <v>-3</v>
      </c>
      <c r="AA72" s="47" t="str">
        <f aca="false">IF($J72+$L72=0,"(Vincente)",IF($J72&gt;$L72,$B72,$D72))</f>
        <v>Foche Frenetiche</v>
      </c>
      <c r="AB72" s="47" t="str">
        <f aca="false">IF($J72+$L72=0,"(Perdente)",IF($J72&lt;$L72,$B72,$D72))</f>
        <v>Balene Bizzarre</v>
      </c>
    </row>
    <row r="73" customFormat="false" ht="15.75" hidden="false" customHeight="true" outlineLevel="0" collapsed="false">
      <c r="A73" s="74"/>
      <c r="B73" s="48" t="str">
        <f aca="false">IF(I73="","",HYPERLINK(VLOOKUP(I73,areaCampiSquadre,3,FALSE()),VLOOKUP(I73,areaCampiSquadre,2,FALSE())))</f>
        <v>PalaEmu, Via dello Sport 5, Emuopoli EU</v>
      </c>
      <c r="C73" s="48"/>
      <c r="D73" s="48"/>
      <c r="E73" s="48"/>
      <c r="F73" s="48"/>
      <c r="G73" s="48"/>
      <c r="H73" s="48"/>
      <c r="I73" s="43" t="s">
        <v>141</v>
      </c>
      <c r="J73" s="45"/>
      <c r="K73" s="45"/>
      <c r="L73" s="45"/>
    </row>
    <row r="74" customFormat="false" ht="12.75" hidden="false" customHeight="true" outlineLevel="0" collapsed="false">
      <c r="A74" s="73" t="s">
        <v>334</v>
      </c>
      <c r="B74" s="73" t="s">
        <v>317</v>
      </c>
      <c r="C74" s="73"/>
      <c r="D74" s="73" t="s">
        <v>324</v>
      </c>
      <c r="E74" s="73"/>
      <c r="F74" s="73" t="s">
        <v>335</v>
      </c>
      <c r="G74" s="73" t="s">
        <v>336</v>
      </c>
      <c r="H74" s="73" t="s">
        <v>337</v>
      </c>
      <c r="I74" s="73"/>
      <c r="J74" s="73" t="s">
        <v>338</v>
      </c>
      <c r="K74" s="73"/>
      <c r="L74" s="73"/>
    </row>
    <row r="75" customFormat="false" ht="24" hidden="false" customHeight="true" outlineLevel="0" collapsed="false">
      <c r="A75" s="74" t="n">
        <f aca="false">MAX(A$10:A74)+1</f>
        <v>160</v>
      </c>
      <c r="B75" s="42" t="str">
        <f aca="false">IF(C75="","",IFERROR(LEFT(VLOOKUP(C75,areaNomiSquadre,2,FALSE()),FIND("-",VLOOKUP(C75,areaNomiSquadre,2,FALSE()))-1),""))</f>
        <v>Iene Ilari</v>
      </c>
      <c r="C75" s="43" t="s">
        <v>147</v>
      </c>
      <c r="D75" s="42" t="str">
        <f aca="false">IF(E75="","",IFERROR(LEFT(VLOOKUP(E75,areaNomiSquadre,2,FALSE()),FIND("-",VLOOKUP(E75,areaNomiSquadre,2,FALSE()))-1),""))</f>
        <v>Gufi Golosi</v>
      </c>
      <c r="E75" s="43" t="s">
        <v>145</v>
      </c>
      <c r="F75" s="44" t="n">
        <v>46411.7083333333</v>
      </c>
      <c r="G75" s="44"/>
      <c r="H75" s="44"/>
      <c r="I75" s="44"/>
      <c r="J75" s="45" t="n">
        <v>67</v>
      </c>
      <c r="K75" s="46" t="s">
        <v>339</v>
      </c>
      <c r="L75" s="45" t="n">
        <v>49</v>
      </c>
      <c r="M75" s="47" t="str">
        <f aca="false">IF($B75="","(Squadra A)",$B75)</f>
        <v>Iene Ilari</v>
      </c>
      <c r="N75" s="47" t="n">
        <f aca="false">IF($J75+$L75=0,,IF($J75&gt;$L75,1,0))</f>
        <v>1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0</v>
      </c>
      <c r="Q75" s="47" t="n">
        <f aca="false">IF($J75+$L75=0,,$J75)</f>
        <v>67</v>
      </c>
      <c r="R75" s="47" t="n">
        <f aca="false">IF($J75+$L75=0,,$L75)</f>
        <v>49</v>
      </c>
      <c r="S75" s="47" t="n">
        <f aca="false">IF($J75+$L75=0,,$J75-$L75)</f>
        <v>18</v>
      </c>
      <c r="T75" s="47" t="str">
        <f aca="false">IF($D75="","(Squadra B)",$D75)</f>
        <v>Gufi Golosi</v>
      </c>
      <c r="U75" s="47" t="n">
        <f aca="false">IF($J75+$L75=0,,IF($L75&gt;$J75,1,0))</f>
        <v>0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1</v>
      </c>
      <c r="X75" s="47" t="n">
        <f aca="false">IF($J75+$L75=0,,$L75)</f>
        <v>49</v>
      </c>
      <c r="Y75" s="47" t="n">
        <f aca="false">IF($J75+$L75=0,,$J75)</f>
        <v>67</v>
      </c>
      <c r="Z75" s="47" t="n">
        <f aca="false">IF($J75+$L75=0,,$L75-$J75)</f>
        <v>-18</v>
      </c>
      <c r="AA75" s="47" t="str">
        <f aca="false">IF($J75+$L75=0,"(Vincente)",IF($J75&gt;$L75,$B75,$D75))</f>
        <v>Iene Ilari</v>
      </c>
      <c r="AB75" s="47" t="str">
        <f aca="false">IF($J75+$L75=0,"(Perdente)",IF($J75&lt;$L75,$B75,$D75))</f>
        <v>Gufi Golosi</v>
      </c>
    </row>
    <row r="76" customFormat="false" ht="15.75" hidden="false" customHeight="true" outlineLevel="0" collapsed="false">
      <c r="A76" s="74"/>
      <c r="B76" s="48" t="str">
        <f aca="false">IF(I76="","",HYPERLINK(VLOOKUP(I76,areaCampiSquadre,3,FALSE()),VLOOKUP(I76,areaCampiSquadre,2,FALSE())))</f>
        <v>PalaEmu, Via dello Sport 5, Emuopoli EU</v>
      </c>
      <c r="C76" s="48"/>
      <c r="D76" s="48"/>
      <c r="E76" s="48"/>
      <c r="F76" s="48"/>
      <c r="G76" s="48"/>
      <c r="H76" s="48"/>
      <c r="I76" s="43" t="s">
        <v>141</v>
      </c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71" t="s">
        <v>380</v>
      </c>
      <c r="B78" s="72" t="str">
        <f aca="false">"GIORNATA "&amp;ROMAN(VALUE(LEFT(A78,LEN(A78)-1)))&amp;" - GIRONE "&amp;RIGHT(A78,1)</f>
        <v>GIORNATA VI - GIRONE F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</row>
    <row r="79" customFormat="false" ht="12.75" hidden="false" customHeight="true" outlineLevel="0" collapsed="false">
      <c r="A79" s="73" t="s">
        <v>334</v>
      </c>
      <c r="B79" s="73" t="s">
        <v>317</v>
      </c>
      <c r="C79" s="73"/>
      <c r="D79" s="73" t="s">
        <v>324</v>
      </c>
      <c r="E79" s="73"/>
      <c r="F79" s="73" t="s">
        <v>335</v>
      </c>
      <c r="G79" s="73" t="s">
        <v>336</v>
      </c>
      <c r="H79" s="73" t="s">
        <v>337</v>
      </c>
      <c r="I79" s="73"/>
      <c r="J79" s="73" t="s">
        <v>338</v>
      </c>
      <c r="K79" s="73"/>
      <c r="L79" s="73"/>
    </row>
    <row r="80" customFormat="false" ht="24" hidden="false" customHeight="true" outlineLevel="0" collapsed="false">
      <c r="A80" s="74" t="n">
        <f aca="false">MAX(A$10:A79)+1</f>
        <v>161</v>
      </c>
      <c r="B80" s="42" t="str">
        <f aca="false">IF(C80="","",IFERROR(LEFT(VLOOKUP(C80,areaNomiSquadre,2,FALSE()),FIND("-",VLOOKUP(C80,areaNomiSquadre,2,FALSE()))-1),""))</f>
        <v>Camaleonti Caotici</v>
      </c>
      <c r="C80" s="43" t="s">
        <v>137</v>
      </c>
      <c r="D80" s="42" t="str">
        <f aca="false">IF(E80="","",IFERROR(LEFT(VLOOKUP(E80,areaNomiSquadre,2,FALSE()),FIND("-",VLOOKUP(E80,areaNomiSquadre,2,FALSE()))-1),""))</f>
        <v>Antilopi Ardite</v>
      </c>
      <c r="E80" s="43" t="s">
        <v>132</v>
      </c>
      <c r="F80" s="44" t="n">
        <v>46432.3958333333</v>
      </c>
      <c r="G80" s="44"/>
      <c r="H80" s="44"/>
      <c r="I80" s="44"/>
      <c r="J80" s="45" t="n">
        <v>67</v>
      </c>
      <c r="K80" s="46" t="s">
        <v>339</v>
      </c>
      <c r="L80" s="45" t="n">
        <v>56</v>
      </c>
      <c r="M80" s="47" t="str">
        <f aca="false">IF($B80="","(Squadra A)",$B80)</f>
        <v>Camaleonti Caotici</v>
      </c>
      <c r="N80" s="47" t="n">
        <f aca="false">IF($J80+$L80=0,,IF($J80&gt;$L80,1,0))</f>
        <v>1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0</v>
      </c>
      <c r="Q80" s="47" t="n">
        <f aca="false">IF($J80+$L80=0,,$J80)</f>
        <v>67</v>
      </c>
      <c r="R80" s="47" t="n">
        <f aca="false">IF($J80+$L80=0,,$L80)</f>
        <v>56</v>
      </c>
      <c r="S80" s="47" t="n">
        <f aca="false">IF($J80+$L80=0,,$J80-$L80)</f>
        <v>11</v>
      </c>
      <c r="T80" s="47" t="str">
        <f aca="false">IF($D80="","(Squadra B)",$D80)</f>
        <v>Antilopi Ardite</v>
      </c>
      <c r="U80" s="47" t="n">
        <f aca="false">IF($J80+$L80=0,,IF($L80&gt;$J80,1,0))</f>
        <v>0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1</v>
      </c>
      <c r="X80" s="47" t="n">
        <f aca="false">IF($J80+$L80=0,,$L80)</f>
        <v>56</v>
      </c>
      <c r="Y80" s="47" t="n">
        <f aca="false">IF($J80+$L80=0,,$J80)</f>
        <v>67</v>
      </c>
      <c r="Z80" s="47" t="n">
        <f aca="false">IF($J80+$L80=0,,$L80-$J80)</f>
        <v>-11</v>
      </c>
      <c r="AA80" s="47" t="str">
        <f aca="false">IF($J80+$L80=0,"(Vincente)",IF($J80&gt;$L80,$B80,$D80))</f>
        <v>Camaleonti Caotici</v>
      </c>
      <c r="AB80" s="47" t="str">
        <f aca="false">IF($J80+$L80=0,"(Perdente)",IF($J80&lt;$L80,$B80,$D80))</f>
        <v>Antilopi Ardite</v>
      </c>
    </row>
    <row r="81" customFormat="false" ht="15.75" hidden="false" customHeight="true" outlineLevel="0" collapsed="false">
      <c r="A81" s="74"/>
      <c r="B81" s="48" t="str">
        <f aca="false">IF(I81="","",HYPERLINK(VLOOKUP(I81,areaCampiSquadre,3,FALSE()),VLOOKUP(I81,areaCampiSquadre,2,FALSE())))</f>
        <v>PalaFoche, Via dello Sport 6, Focheopoli FE</v>
      </c>
      <c r="C81" s="48"/>
      <c r="D81" s="48"/>
      <c r="E81" s="48"/>
      <c r="F81" s="48"/>
      <c r="G81" s="48"/>
      <c r="H81" s="48"/>
      <c r="I81" s="43" t="s">
        <v>143</v>
      </c>
      <c r="J81" s="45"/>
      <c r="K81" s="45"/>
      <c r="L81" s="45"/>
    </row>
    <row r="82" customFormat="false" ht="12.75" hidden="false" customHeight="true" outlineLevel="0" collapsed="false">
      <c r="A82" s="73" t="s">
        <v>334</v>
      </c>
      <c r="B82" s="73" t="s">
        <v>317</v>
      </c>
      <c r="C82" s="73"/>
      <c r="D82" s="73" t="s">
        <v>324</v>
      </c>
      <c r="E82" s="73"/>
      <c r="F82" s="73" t="s">
        <v>335</v>
      </c>
      <c r="G82" s="73" t="s">
        <v>336</v>
      </c>
      <c r="H82" s="73" t="s">
        <v>337</v>
      </c>
      <c r="I82" s="73"/>
      <c r="J82" s="73" t="s">
        <v>338</v>
      </c>
      <c r="K82" s="73"/>
      <c r="L82" s="73"/>
    </row>
    <row r="83" customFormat="false" ht="24" hidden="false" customHeight="true" outlineLevel="0" collapsed="false">
      <c r="A83" s="74" t="n">
        <f aca="false">MAX(A$10:A82)+1</f>
        <v>162</v>
      </c>
      <c r="B83" s="42" t="str">
        <f aca="false">IF(C83="","",IFERROR(LEFT(VLOOKUP(C83,areaNomiSquadre,2,FALSE()),FIND("-",VLOOKUP(C83,areaNomiSquadre,2,FALSE()))-1),""))</f>
        <v>Donnole Determinate</v>
      </c>
      <c r="C83" s="43" t="s">
        <v>139</v>
      </c>
      <c r="D83" s="42" t="str">
        <f aca="false">IF(E83="","",IFERROR(LEFT(VLOOKUP(E83,areaNomiSquadre,2,FALSE()),FIND("-",VLOOKUP(E83,areaNomiSquadre,2,FALSE()))-1),""))</f>
        <v>Balene Bizzarre</v>
      </c>
      <c r="E83" s="43" t="s">
        <v>135</v>
      </c>
      <c r="F83" s="44" t="n">
        <v>46432.4791666667</v>
      </c>
      <c r="G83" s="44"/>
      <c r="H83" s="44"/>
      <c r="I83" s="44"/>
      <c r="J83" s="45" t="n">
        <v>66</v>
      </c>
      <c r="K83" s="46" t="s">
        <v>339</v>
      </c>
      <c r="L83" s="45" t="n">
        <v>58</v>
      </c>
      <c r="M83" s="47" t="str">
        <f aca="false">IF($B83="","(Squadra A)",$B83)</f>
        <v>Donnole Determinate</v>
      </c>
      <c r="N83" s="47" t="n">
        <f aca="false">IF($J83+$L83=0,,IF($J83&gt;$L83,1,0))</f>
        <v>1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0</v>
      </c>
      <c r="Q83" s="47" t="n">
        <f aca="false">IF($J83+$L83=0,,$J83)</f>
        <v>66</v>
      </c>
      <c r="R83" s="47" t="n">
        <f aca="false">IF($J83+$L83=0,,$L83)</f>
        <v>58</v>
      </c>
      <c r="S83" s="47" t="n">
        <f aca="false">IF($J83+$L83=0,,$J83-$L83)</f>
        <v>8</v>
      </c>
      <c r="T83" s="47" t="str">
        <f aca="false">IF($D83="","(Squadra B)",$D83)</f>
        <v>Balene Bizzarre</v>
      </c>
      <c r="U83" s="47" t="n">
        <f aca="false">IF($J83+$L83=0,,IF($L83&gt;$J83,1,0))</f>
        <v>0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1</v>
      </c>
      <c r="X83" s="47" t="n">
        <f aca="false">IF($J83+$L83=0,,$L83)</f>
        <v>58</v>
      </c>
      <c r="Y83" s="47" t="n">
        <f aca="false">IF($J83+$L83=0,,$J83)</f>
        <v>66</v>
      </c>
      <c r="Z83" s="47" t="n">
        <f aca="false">IF($J83+$L83=0,,$L83-$J83)</f>
        <v>-8</v>
      </c>
      <c r="AA83" s="47" t="str">
        <f aca="false">IF($J83+$L83=0,"(Vincente)",IF($J83&gt;$L83,$B83,$D83))</f>
        <v>Donnole Determinate</v>
      </c>
      <c r="AB83" s="47" t="str">
        <f aca="false">IF($J83+$L83=0,"(Perdente)",IF($J83&lt;$L83,$B83,$D83))</f>
        <v>Balene Bizzarre</v>
      </c>
    </row>
    <row r="84" customFormat="false" ht="15.75" hidden="false" customHeight="true" outlineLevel="0" collapsed="false">
      <c r="A84" s="74"/>
      <c r="B84" s="48" t="str">
        <f aca="false">IF(I84="","",HYPERLINK(VLOOKUP(I84,areaCampiSquadre,3,FALSE()),VLOOKUP(I84,areaCampiSquadre,2,FALSE())))</f>
        <v>PalaFoche, Via dello Sport 6, Focheopoli FE</v>
      </c>
      <c r="C84" s="48"/>
      <c r="D84" s="48"/>
      <c r="E84" s="48"/>
      <c r="F84" s="48"/>
      <c r="G84" s="48"/>
      <c r="H84" s="48"/>
      <c r="I84" s="43" t="s">
        <v>143</v>
      </c>
      <c r="J84" s="45"/>
      <c r="K84" s="45"/>
      <c r="L84" s="45"/>
    </row>
    <row r="85" customFormat="false" ht="12.75" hidden="false" customHeight="true" outlineLevel="0" collapsed="false">
      <c r="A85" s="73" t="s">
        <v>334</v>
      </c>
      <c r="B85" s="73" t="s">
        <v>317</v>
      </c>
      <c r="C85" s="73"/>
      <c r="D85" s="73" t="s">
        <v>324</v>
      </c>
      <c r="E85" s="73"/>
      <c r="F85" s="73" t="s">
        <v>335</v>
      </c>
      <c r="G85" s="73" t="s">
        <v>336</v>
      </c>
      <c r="H85" s="73" t="s">
        <v>337</v>
      </c>
      <c r="I85" s="73"/>
      <c r="J85" s="73" t="s">
        <v>338</v>
      </c>
      <c r="K85" s="73"/>
      <c r="L85" s="73"/>
    </row>
    <row r="86" customFormat="false" ht="24" hidden="false" customHeight="true" outlineLevel="0" collapsed="false">
      <c r="A86" s="74" t="n">
        <f aca="false">MAX(A$10:A85)+1</f>
        <v>163</v>
      </c>
      <c r="B86" s="42" t="str">
        <f aca="false">IF(C86="","",IFERROR(LEFT(VLOOKUP(C86,areaNomiSquadre,2,FALSE()),FIND("-",VLOOKUP(C86,areaNomiSquadre,2,FALSE()))-1),""))</f>
        <v>Iene Ilari</v>
      </c>
      <c r="C86" s="43" t="s">
        <v>147</v>
      </c>
      <c r="D86" s="42" t="str">
        <f aca="false">IF(E86="","",IFERROR(LEFT(VLOOKUP(E86,areaNomiSquadre,2,FALSE()),FIND("-",VLOOKUP(E86,areaNomiSquadre,2,FALSE()))-1),""))</f>
        <v>Emu Energici</v>
      </c>
      <c r="E86" s="43" t="s">
        <v>141</v>
      </c>
      <c r="F86" s="44" t="n">
        <v>46432.625</v>
      </c>
      <c r="G86" s="44"/>
      <c r="H86" s="44"/>
      <c r="I86" s="44"/>
      <c r="J86" s="45" t="n">
        <v>68</v>
      </c>
      <c r="K86" s="46" t="s">
        <v>339</v>
      </c>
      <c r="L86" s="45" t="n">
        <v>59</v>
      </c>
      <c r="M86" s="47" t="str">
        <f aca="false">IF($B86="","(Squadra A)",$B86)</f>
        <v>Iene Ilari</v>
      </c>
      <c r="N86" s="47" t="n">
        <f aca="false">IF($J86+$L86=0,,IF($J86&gt;$L86,1,0))</f>
        <v>1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0</v>
      </c>
      <c r="Q86" s="47" t="n">
        <f aca="false">IF($J86+$L86=0,,$J86)</f>
        <v>68</v>
      </c>
      <c r="R86" s="47" t="n">
        <f aca="false">IF($J86+$L86=0,,$L86)</f>
        <v>59</v>
      </c>
      <c r="S86" s="47" t="n">
        <f aca="false">IF($J86+$L86=0,,$J86-$L86)</f>
        <v>9</v>
      </c>
      <c r="T86" s="47" t="str">
        <f aca="false">IF($D86="","(Squadra B)",$D86)</f>
        <v>Emu Energici</v>
      </c>
      <c r="U86" s="47" t="n">
        <f aca="false">IF($J86+$L86=0,,IF($L86&gt;$J86,1,0))</f>
        <v>0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1</v>
      </c>
      <c r="X86" s="47" t="n">
        <f aca="false">IF($J86+$L86=0,,$L86)</f>
        <v>59</v>
      </c>
      <c r="Y86" s="47" t="n">
        <f aca="false">IF($J86+$L86=0,,$J86)</f>
        <v>68</v>
      </c>
      <c r="Z86" s="47" t="n">
        <f aca="false">IF($J86+$L86=0,,$L86-$J86)</f>
        <v>-9</v>
      </c>
      <c r="AA86" s="47" t="str">
        <f aca="false">IF($J86+$L86=0,"(Vincente)",IF($J86&gt;$L86,$B86,$D86))</f>
        <v>Iene Ilari</v>
      </c>
      <c r="AB86" s="47" t="str">
        <f aca="false">IF($J86+$L86=0,"(Perdente)",IF($J86&lt;$L86,$B86,$D86))</f>
        <v>Emu Energici</v>
      </c>
    </row>
    <row r="87" customFormat="false" ht="15.75" hidden="false" customHeight="true" outlineLevel="0" collapsed="false">
      <c r="A87" s="74"/>
      <c r="B87" s="48" t="str">
        <f aca="false">IF(I87="","",HYPERLINK(VLOOKUP(I87,areaCampiSquadre,3,FALSE()),VLOOKUP(I87,areaCampiSquadre,2,FALSE())))</f>
        <v>PalaFoche, Via dello Sport 6, Focheopoli FE</v>
      </c>
      <c r="C87" s="48"/>
      <c r="D87" s="48"/>
      <c r="E87" s="48"/>
      <c r="F87" s="48"/>
      <c r="G87" s="48"/>
      <c r="H87" s="48"/>
      <c r="I87" s="43" t="s">
        <v>143</v>
      </c>
      <c r="J87" s="45"/>
      <c r="K87" s="45"/>
      <c r="L87" s="45"/>
    </row>
    <row r="88" customFormat="false" ht="12.75" hidden="false" customHeight="true" outlineLevel="0" collapsed="false">
      <c r="A88" s="73" t="s">
        <v>334</v>
      </c>
      <c r="B88" s="73" t="s">
        <v>317</v>
      </c>
      <c r="C88" s="73"/>
      <c r="D88" s="73" t="s">
        <v>324</v>
      </c>
      <c r="E88" s="73"/>
      <c r="F88" s="73" t="s">
        <v>335</v>
      </c>
      <c r="G88" s="73" t="s">
        <v>336</v>
      </c>
      <c r="H88" s="73" t="s">
        <v>337</v>
      </c>
      <c r="I88" s="73"/>
      <c r="J88" s="73" t="s">
        <v>338</v>
      </c>
      <c r="K88" s="73"/>
      <c r="L88" s="73"/>
    </row>
    <row r="89" customFormat="false" ht="24" hidden="false" customHeight="true" outlineLevel="0" collapsed="false">
      <c r="A89" s="74" t="n">
        <f aca="false">MAX(A$10:A88)+1</f>
        <v>164</v>
      </c>
      <c r="B89" s="42" t="str">
        <f aca="false">IF(C89="","",IFERROR(LEFT(VLOOKUP(C89,areaNomiSquadre,2,FALSE()),FIND("-",VLOOKUP(C89,areaNomiSquadre,2,FALSE()))-1),""))</f>
        <v>Foche Frenetiche</v>
      </c>
      <c r="C89" s="43" t="s">
        <v>143</v>
      </c>
      <c r="D89" s="42" t="str">
        <f aca="false">IF(E89="","",IFERROR(LEFT(VLOOKUP(E89,areaNomiSquadre,2,FALSE()),FIND("-",VLOOKUP(E89,areaNomiSquadre,2,FALSE()))-1),""))</f>
        <v>Gufi Golosi</v>
      </c>
      <c r="E89" s="43" t="s">
        <v>145</v>
      </c>
      <c r="F89" s="44" t="n">
        <v>46432.7083333333</v>
      </c>
      <c r="G89" s="44"/>
      <c r="H89" s="44"/>
      <c r="I89" s="44"/>
      <c r="J89" s="45" t="n">
        <v>60</v>
      </c>
      <c r="K89" s="46" t="s">
        <v>339</v>
      </c>
      <c r="L89" s="45" t="n">
        <v>63</v>
      </c>
      <c r="M89" s="47" t="str">
        <f aca="false">IF($B89="","(Squadra A)",$B89)</f>
        <v>Foche Frenetiche</v>
      </c>
      <c r="N89" s="47" t="n">
        <f aca="false">IF($J89+$L89=0,,IF($J89&gt;$L89,1,0))</f>
        <v>0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1</v>
      </c>
      <c r="Q89" s="47" t="n">
        <f aca="false">IF($J89+$L89=0,,$J89)</f>
        <v>60</v>
      </c>
      <c r="R89" s="47" t="n">
        <f aca="false">IF($J89+$L89=0,,$L89)</f>
        <v>63</v>
      </c>
      <c r="S89" s="47" t="n">
        <f aca="false">IF($J89+$L89=0,,$J89-$L89)</f>
        <v>-3</v>
      </c>
      <c r="T89" s="47" t="str">
        <f aca="false">IF($D89="","(Squadra B)",$D89)</f>
        <v>Gufi Golosi</v>
      </c>
      <c r="U89" s="47" t="n">
        <f aca="false">IF($J89+$L89=0,,IF($L89&gt;$J89,1,0))</f>
        <v>1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0</v>
      </c>
      <c r="X89" s="47" t="n">
        <f aca="false">IF($J89+$L89=0,,$L89)</f>
        <v>63</v>
      </c>
      <c r="Y89" s="47" t="n">
        <f aca="false">IF($J89+$L89=0,,$J89)</f>
        <v>60</v>
      </c>
      <c r="Z89" s="47" t="n">
        <f aca="false">IF($J89+$L89=0,,$L89-$J89)</f>
        <v>3</v>
      </c>
      <c r="AA89" s="47" t="str">
        <f aca="false">IF($J89+$L89=0,"(Vincente)",IF($J89&gt;$L89,$B89,$D89))</f>
        <v>Gufi Golosi</v>
      </c>
      <c r="AB89" s="47" t="str">
        <f aca="false">IF($J89+$L89=0,"(Perdente)",IF($J89&lt;$L89,$B89,$D89))</f>
        <v>Foche Frenetiche</v>
      </c>
    </row>
    <row r="90" customFormat="false" ht="15.75" hidden="false" customHeight="true" outlineLevel="0" collapsed="false">
      <c r="A90" s="74"/>
      <c r="B90" s="48" t="str">
        <f aca="false">IF(I90="","",HYPERLINK(VLOOKUP(I90,areaCampiSquadre,3,FALSE()),VLOOKUP(I90,areaCampiSquadre,2,FALSE())))</f>
        <v>PalaFoche, Via dello Sport 6, Focheopoli FE</v>
      </c>
      <c r="C90" s="48"/>
      <c r="D90" s="48"/>
      <c r="E90" s="48"/>
      <c r="F90" s="48"/>
      <c r="G90" s="48"/>
      <c r="H90" s="48"/>
      <c r="I90" s="43" t="s">
        <v>143</v>
      </c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71" t="s">
        <v>381</v>
      </c>
      <c r="B92" s="72" t="str">
        <f aca="false">"GIORNATA "&amp;ROMAN(VALUE(LEFT(A92,LEN(A92)-1)))&amp;" - GIRONE "&amp;RIGHT(A92,1)</f>
        <v>GIORNATA VII - GIRONE F</v>
      </c>
      <c r="C92" s="72"/>
      <c r="D92" s="72"/>
      <c r="E92" s="72"/>
      <c r="F92" s="72"/>
      <c r="G92" s="72"/>
      <c r="H92" s="72"/>
      <c r="I92" s="72"/>
      <c r="J92" s="72"/>
      <c r="K92" s="72"/>
      <c r="L92" s="72"/>
    </row>
    <row r="93" customFormat="false" ht="12.75" hidden="false" customHeight="true" outlineLevel="0" collapsed="false">
      <c r="A93" s="73" t="s">
        <v>334</v>
      </c>
      <c r="B93" s="73" t="s">
        <v>317</v>
      </c>
      <c r="C93" s="73"/>
      <c r="D93" s="73" t="s">
        <v>324</v>
      </c>
      <c r="E93" s="73"/>
      <c r="F93" s="73" t="s">
        <v>335</v>
      </c>
      <c r="G93" s="73" t="s">
        <v>336</v>
      </c>
      <c r="H93" s="73" t="s">
        <v>337</v>
      </c>
      <c r="I93" s="73"/>
      <c r="J93" s="73" t="s">
        <v>338</v>
      </c>
      <c r="K93" s="73"/>
      <c r="L93" s="73"/>
    </row>
    <row r="94" customFormat="false" ht="24" hidden="false" customHeight="true" outlineLevel="0" collapsed="false">
      <c r="A94" s="74" t="n">
        <f aca="false">MAX(A$10:A93)+1</f>
        <v>165</v>
      </c>
      <c r="B94" s="42" t="str">
        <f aca="false">IF(C94="","",IFERROR(LEFT(VLOOKUP(C94,areaNomiSquadre,2,FALSE()),FIND("-",VLOOKUP(C94,areaNomiSquadre,2,FALSE()))-1),""))</f>
        <v>Antilopi Ardite</v>
      </c>
      <c r="C94" s="43" t="s">
        <v>132</v>
      </c>
      <c r="D94" s="42" t="str">
        <f aca="false">IF(E94="","",IFERROR(LEFT(VLOOKUP(E94,areaNomiSquadre,2,FALSE()),FIND("-",VLOOKUP(E94,areaNomiSquadre,2,FALSE()))-1),""))</f>
        <v>Balene Bizzarre</v>
      </c>
      <c r="E94" s="43" t="s">
        <v>135</v>
      </c>
      <c r="F94" s="44" t="n">
        <v>46453.3958333333</v>
      </c>
      <c r="G94" s="44"/>
      <c r="H94" s="44"/>
      <c r="I94" s="44"/>
      <c r="J94" s="45" t="n">
        <v>58</v>
      </c>
      <c r="K94" s="46" t="s">
        <v>339</v>
      </c>
      <c r="L94" s="45" t="n">
        <v>64</v>
      </c>
      <c r="M94" s="47" t="str">
        <f aca="false">IF($B94="","(Squadra A)",$B94)</f>
        <v>Antilopi Ardite</v>
      </c>
      <c r="N94" s="47" t="n">
        <f aca="false">IF($J94+$L94=0,,IF($J94&gt;$L94,1,0))</f>
        <v>0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1</v>
      </c>
      <c r="Q94" s="47" t="n">
        <f aca="false">IF($J94+$L94=0,,$J94)</f>
        <v>58</v>
      </c>
      <c r="R94" s="47" t="n">
        <f aca="false">IF($J94+$L94=0,,$L94)</f>
        <v>64</v>
      </c>
      <c r="S94" s="47" t="n">
        <f aca="false">IF($J94+$L94=0,,$J94-$L94)</f>
        <v>-6</v>
      </c>
      <c r="T94" s="47" t="str">
        <f aca="false">IF($D94="","(Squadra B)",$D94)</f>
        <v>Balene Bizzarre</v>
      </c>
      <c r="U94" s="47" t="n">
        <f aca="false">IF($J94+$L94=0,,IF($L94&gt;$J94,1,0))</f>
        <v>1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0</v>
      </c>
      <c r="X94" s="47" t="n">
        <f aca="false">IF($J94+$L94=0,,$L94)</f>
        <v>64</v>
      </c>
      <c r="Y94" s="47" t="n">
        <f aca="false">IF($J94+$L94=0,,$J94)</f>
        <v>58</v>
      </c>
      <c r="Z94" s="47" t="n">
        <f aca="false">IF($J94+$L94=0,,$L94-$J94)</f>
        <v>6</v>
      </c>
      <c r="AA94" s="47" t="str">
        <f aca="false">IF($J94+$L94=0,"(Vincente)",IF($J94&gt;$L94,$B94,$D94))</f>
        <v>Balene Bizzarre</v>
      </c>
      <c r="AB94" s="47" t="str">
        <f aca="false">IF($J94+$L94=0,"(Perdente)",IF($J94&lt;$L94,$B94,$D94))</f>
        <v>Antilopi Ardite</v>
      </c>
    </row>
    <row r="95" customFormat="false" ht="15.75" hidden="false" customHeight="true" outlineLevel="0" collapsed="false">
      <c r="A95" s="74"/>
      <c r="B95" s="48" t="str">
        <f aca="false">IF(I95="","",HYPERLINK(VLOOKUP(I95,areaCampiSquadre,3,FALSE()),VLOOKUP(I95,areaCampiSquadre,2,FALSE())))</f>
        <v>PalaGufi, Via dello Sport 7, Gufiopoli GI</v>
      </c>
      <c r="C95" s="48"/>
      <c r="D95" s="48"/>
      <c r="E95" s="48"/>
      <c r="F95" s="48"/>
      <c r="G95" s="48"/>
      <c r="H95" s="48"/>
      <c r="I95" s="43" t="s">
        <v>145</v>
      </c>
      <c r="J95" s="45"/>
      <c r="K95" s="45"/>
      <c r="L95" s="45"/>
    </row>
    <row r="96" customFormat="false" ht="12.75" hidden="false" customHeight="true" outlineLevel="0" collapsed="false">
      <c r="A96" s="73" t="s">
        <v>334</v>
      </c>
      <c r="B96" s="73" t="s">
        <v>317</v>
      </c>
      <c r="C96" s="73"/>
      <c r="D96" s="73" t="s">
        <v>324</v>
      </c>
      <c r="E96" s="73"/>
      <c r="F96" s="73" t="s">
        <v>335</v>
      </c>
      <c r="G96" s="73" t="s">
        <v>336</v>
      </c>
      <c r="H96" s="73" t="s">
        <v>337</v>
      </c>
      <c r="I96" s="73"/>
      <c r="J96" s="73" t="s">
        <v>338</v>
      </c>
      <c r="K96" s="73"/>
      <c r="L96" s="73"/>
    </row>
    <row r="97" customFormat="false" ht="24" hidden="false" customHeight="true" outlineLevel="0" collapsed="false">
      <c r="A97" s="74" t="n">
        <f aca="false">MAX(A$10:A96)+1</f>
        <v>166</v>
      </c>
      <c r="B97" s="42" t="str">
        <f aca="false">IF(C97="","",IFERROR(LEFT(VLOOKUP(C97,areaNomiSquadre,2,FALSE()),FIND("-",VLOOKUP(C97,areaNomiSquadre,2,FALSE()))-1),""))</f>
        <v>Iene Ilari</v>
      </c>
      <c r="C97" s="43" t="s">
        <v>147</v>
      </c>
      <c r="D97" s="42" t="str">
        <f aca="false">IF(E97="","",IFERROR(LEFT(VLOOKUP(E97,areaNomiSquadre,2,FALSE()),FIND("-",VLOOKUP(E97,areaNomiSquadre,2,FALSE()))-1),""))</f>
        <v>Camaleonti Caotici</v>
      </c>
      <c r="E97" s="43" t="s">
        <v>137</v>
      </c>
      <c r="F97" s="44" t="n">
        <v>46453.4791666667</v>
      </c>
      <c r="G97" s="44"/>
      <c r="H97" s="44"/>
      <c r="I97" s="44"/>
      <c r="J97" s="45" t="n">
        <v>71</v>
      </c>
      <c r="K97" s="46" t="s">
        <v>339</v>
      </c>
      <c r="L97" s="45" t="n">
        <v>55</v>
      </c>
      <c r="M97" s="47" t="str">
        <f aca="false">IF($B97="","(Squadra A)",$B97)</f>
        <v>Iene Ilari</v>
      </c>
      <c r="N97" s="47" t="n">
        <f aca="false">IF($J97+$L97=0,,IF($J97&gt;$L97,1,0))</f>
        <v>1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71</v>
      </c>
      <c r="R97" s="47" t="n">
        <f aca="false">IF($J97+$L97=0,,$L97)</f>
        <v>55</v>
      </c>
      <c r="S97" s="47" t="n">
        <f aca="false">IF($J97+$L97=0,,$J97-$L97)</f>
        <v>16</v>
      </c>
      <c r="T97" s="47" t="str">
        <f aca="false">IF($D97="","(Squadra B)",$D97)</f>
        <v>Camaleonti Caotici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1</v>
      </c>
      <c r="X97" s="47" t="n">
        <f aca="false">IF($J97+$L97=0,,$L97)</f>
        <v>55</v>
      </c>
      <c r="Y97" s="47" t="n">
        <f aca="false">IF($J97+$L97=0,,$J97)</f>
        <v>71</v>
      </c>
      <c r="Z97" s="47" t="n">
        <f aca="false">IF($J97+$L97=0,,$L97-$J97)</f>
        <v>-16</v>
      </c>
      <c r="AA97" s="47" t="str">
        <f aca="false">IF($J97+$L97=0,"(Vincente)",IF($J97&gt;$L97,$B97,$D97))</f>
        <v>Iene Ilari</v>
      </c>
      <c r="AB97" s="47" t="str">
        <f aca="false">IF($J97+$L97=0,"(Perdente)",IF($J97&lt;$L97,$B97,$D97))</f>
        <v>Camaleonti Caotici</v>
      </c>
    </row>
    <row r="98" customFormat="false" ht="15.75" hidden="false" customHeight="true" outlineLevel="0" collapsed="false">
      <c r="A98" s="74"/>
      <c r="B98" s="48" t="str">
        <f aca="false">IF(I98="","",HYPERLINK(VLOOKUP(I98,areaCampiSquadre,3,FALSE()),VLOOKUP(I98,areaCampiSquadre,2,FALSE())))</f>
        <v>PalaGufi, Via dello Sport 7, Gufiopoli GI</v>
      </c>
      <c r="C98" s="48"/>
      <c r="D98" s="48"/>
      <c r="E98" s="48"/>
      <c r="F98" s="48"/>
      <c r="G98" s="48"/>
      <c r="H98" s="48"/>
      <c r="I98" s="43" t="s">
        <v>145</v>
      </c>
      <c r="J98" s="45"/>
      <c r="K98" s="45"/>
      <c r="L98" s="45"/>
    </row>
    <row r="99" customFormat="false" ht="12.75" hidden="false" customHeight="true" outlineLevel="0" collapsed="false">
      <c r="A99" s="73" t="s">
        <v>334</v>
      </c>
      <c r="B99" s="73" t="s">
        <v>317</v>
      </c>
      <c r="C99" s="73"/>
      <c r="D99" s="73" t="s">
        <v>324</v>
      </c>
      <c r="E99" s="73"/>
      <c r="F99" s="73" t="s">
        <v>335</v>
      </c>
      <c r="G99" s="73" t="s">
        <v>336</v>
      </c>
      <c r="H99" s="73" t="s">
        <v>337</v>
      </c>
      <c r="I99" s="73"/>
      <c r="J99" s="73" t="s">
        <v>338</v>
      </c>
      <c r="K99" s="73"/>
      <c r="L99" s="73"/>
    </row>
    <row r="100" customFormat="false" ht="24" hidden="false" customHeight="true" outlineLevel="0" collapsed="false">
      <c r="A100" s="74" t="n">
        <f aca="false">MAX(A$10:A99)+1</f>
        <v>167</v>
      </c>
      <c r="B100" s="42" t="str">
        <f aca="false">IF(C100="","",IFERROR(LEFT(VLOOKUP(C100,areaNomiSquadre,2,FALSE()),FIND("-",VLOOKUP(C100,areaNomiSquadre,2,FALSE()))-1),""))</f>
        <v>Donnole Determinate</v>
      </c>
      <c r="C100" s="43" t="s">
        <v>139</v>
      </c>
      <c r="D100" s="42" t="str">
        <f aca="false">IF(E100="","",IFERROR(LEFT(VLOOKUP(E100,areaNomiSquadre,2,FALSE()),FIND("-",VLOOKUP(E100,areaNomiSquadre,2,FALSE()))-1),""))</f>
        <v>Gufi Golosi</v>
      </c>
      <c r="E100" s="43" t="s">
        <v>145</v>
      </c>
      <c r="F100" s="44" t="n">
        <v>46453.625</v>
      </c>
      <c r="G100" s="44"/>
      <c r="H100" s="44"/>
      <c r="I100" s="44"/>
      <c r="J100" s="45" t="n">
        <v>65</v>
      </c>
      <c r="K100" s="46" t="s">
        <v>339</v>
      </c>
      <c r="L100" s="45" t="n">
        <v>54</v>
      </c>
      <c r="M100" s="47" t="str">
        <f aca="false">IF($B100="","(Squadra A)",$B100)</f>
        <v>Donnole Determinate</v>
      </c>
      <c r="N100" s="47" t="n">
        <f aca="false">IF($J100+$L100=0,,IF($J100&gt;$L100,1,0))</f>
        <v>1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0</v>
      </c>
      <c r="Q100" s="47" t="n">
        <f aca="false">IF($J100+$L100=0,,$J100)</f>
        <v>65</v>
      </c>
      <c r="R100" s="47" t="n">
        <f aca="false">IF($J100+$L100=0,,$L100)</f>
        <v>54</v>
      </c>
      <c r="S100" s="47" t="n">
        <f aca="false">IF($J100+$L100=0,,$J100-$L100)</f>
        <v>11</v>
      </c>
      <c r="T100" s="47" t="str">
        <f aca="false">IF($D100="","(Squadra B)",$D100)</f>
        <v>Gufi Golosi</v>
      </c>
      <c r="U100" s="47" t="n">
        <f aca="false">IF($J100+$L100=0,,IF($L100&gt;$J100,1,0))</f>
        <v>0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1</v>
      </c>
      <c r="X100" s="47" t="n">
        <f aca="false">IF($J100+$L100=0,,$L100)</f>
        <v>54</v>
      </c>
      <c r="Y100" s="47" t="n">
        <f aca="false">IF($J100+$L100=0,,$J100)</f>
        <v>65</v>
      </c>
      <c r="Z100" s="47" t="n">
        <f aca="false">IF($J100+$L100=0,,$L100-$J100)</f>
        <v>-11</v>
      </c>
      <c r="AA100" s="47" t="str">
        <f aca="false">IF($J100+$L100=0,"(Vincente)",IF($J100&gt;$L100,$B100,$D100))</f>
        <v>Donnole Determinate</v>
      </c>
      <c r="AB100" s="47" t="str">
        <f aca="false">IF($J100+$L100=0,"(Perdente)",IF($J100&lt;$L100,$B100,$D100))</f>
        <v>Gufi Golosi</v>
      </c>
    </row>
    <row r="101" customFormat="false" ht="15.75" hidden="false" customHeight="true" outlineLevel="0" collapsed="false">
      <c r="A101" s="74"/>
      <c r="B101" s="48" t="str">
        <f aca="false">IF(I101="","",HYPERLINK(VLOOKUP(I101,areaCampiSquadre,3,FALSE()),VLOOKUP(I101,areaCampiSquadre,2,FALSE())))</f>
        <v>PalaGufi, Via dello Sport 7, Gufiopoli GI</v>
      </c>
      <c r="C101" s="48"/>
      <c r="D101" s="48"/>
      <c r="E101" s="48"/>
      <c r="F101" s="48"/>
      <c r="G101" s="48"/>
      <c r="H101" s="48"/>
      <c r="I101" s="43" t="s">
        <v>145</v>
      </c>
      <c r="J101" s="45"/>
      <c r="K101" s="45"/>
      <c r="L101" s="45"/>
    </row>
    <row r="102" customFormat="false" ht="12.75" hidden="false" customHeight="true" outlineLevel="0" collapsed="false">
      <c r="A102" s="73" t="s">
        <v>334</v>
      </c>
      <c r="B102" s="73" t="s">
        <v>317</v>
      </c>
      <c r="C102" s="73"/>
      <c r="D102" s="73" t="s">
        <v>324</v>
      </c>
      <c r="E102" s="73"/>
      <c r="F102" s="73" t="s">
        <v>335</v>
      </c>
      <c r="G102" s="73" t="s">
        <v>336</v>
      </c>
      <c r="H102" s="73" t="s">
        <v>337</v>
      </c>
      <c r="I102" s="73"/>
      <c r="J102" s="73" t="s">
        <v>338</v>
      </c>
      <c r="K102" s="73"/>
      <c r="L102" s="73"/>
    </row>
    <row r="103" customFormat="false" ht="24" hidden="false" customHeight="true" outlineLevel="0" collapsed="false">
      <c r="A103" s="74" t="n">
        <f aca="false">MAX(A$10:A102)+1</f>
        <v>168</v>
      </c>
      <c r="B103" s="42" t="str">
        <f aca="false">IF(C103="","",IFERROR(LEFT(VLOOKUP(C103,areaNomiSquadre,2,FALSE()),FIND("-",VLOOKUP(C103,areaNomiSquadre,2,FALSE()))-1),""))</f>
        <v>Foche Frenetiche</v>
      </c>
      <c r="C103" s="43" t="s">
        <v>143</v>
      </c>
      <c r="D103" s="42" t="str">
        <f aca="false">IF(E103="","",IFERROR(LEFT(VLOOKUP(E103,areaNomiSquadre,2,FALSE()),FIND("-",VLOOKUP(E103,areaNomiSquadre,2,FALSE()))-1),""))</f>
        <v>Emu Energici</v>
      </c>
      <c r="E103" s="43" t="s">
        <v>141</v>
      </c>
      <c r="F103" s="44" t="n">
        <v>46453.7083333333</v>
      </c>
      <c r="G103" s="44"/>
      <c r="H103" s="44"/>
      <c r="I103" s="44"/>
      <c r="J103" s="45" t="n">
        <v>42</v>
      </c>
      <c r="K103" s="46" t="s">
        <v>339</v>
      </c>
      <c r="L103" s="45" t="n">
        <v>70</v>
      </c>
      <c r="M103" s="47" t="str">
        <f aca="false">IF($B103="","(Squadra A)",$B103)</f>
        <v>Foche Frenetiche</v>
      </c>
      <c r="N103" s="47" t="n">
        <f aca="false">IF($J103+$L103=0,,IF($J103&gt;$L103,1,0))</f>
        <v>0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1</v>
      </c>
      <c r="Q103" s="47" t="n">
        <f aca="false">IF($J103+$L103=0,,$J103)</f>
        <v>42</v>
      </c>
      <c r="R103" s="47" t="n">
        <f aca="false">IF($J103+$L103=0,,$L103)</f>
        <v>70</v>
      </c>
      <c r="S103" s="47" t="n">
        <f aca="false">IF($J103+$L103=0,,$J103-$L103)</f>
        <v>-28</v>
      </c>
      <c r="T103" s="47" t="str">
        <f aca="false">IF($D103="","(Squadra B)",$D103)</f>
        <v>Emu Energici</v>
      </c>
      <c r="U103" s="47" t="n">
        <f aca="false">IF($J103+$L103=0,,IF($L103&gt;$J103,1,0))</f>
        <v>1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0</v>
      </c>
      <c r="X103" s="47" t="n">
        <f aca="false">IF($J103+$L103=0,,$L103)</f>
        <v>70</v>
      </c>
      <c r="Y103" s="47" t="n">
        <f aca="false">IF($J103+$L103=0,,$J103)</f>
        <v>42</v>
      </c>
      <c r="Z103" s="47" t="n">
        <f aca="false">IF($J103+$L103=0,,$L103-$J103)</f>
        <v>28</v>
      </c>
      <c r="AA103" s="47" t="str">
        <f aca="false">IF($J103+$L103=0,"(Vincente)",IF($J103&gt;$L103,$B103,$D103))</f>
        <v>Emu Energici</v>
      </c>
      <c r="AB103" s="47" t="str">
        <f aca="false">IF($J103+$L103=0,"(Perdente)",IF($J103&lt;$L103,$B103,$D103))</f>
        <v>Foche Frenetiche</v>
      </c>
    </row>
    <row r="104" customFormat="false" ht="15.75" hidden="false" customHeight="true" outlineLevel="0" collapsed="false">
      <c r="A104" s="74"/>
      <c r="B104" s="48" t="str">
        <f aca="false">IF(I104="","",HYPERLINK(VLOOKUP(I104,areaCampiSquadre,3,FALSE()),VLOOKUP(I104,areaCampiSquadre,2,FALSE())))</f>
        <v>PalaGufi, Via dello Sport 7, Gufiopoli GI</v>
      </c>
      <c r="C104" s="48"/>
      <c r="D104" s="48"/>
      <c r="E104" s="48"/>
      <c r="F104" s="48"/>
      <c r="G104" s="48"/>
      <c r="H104" s="48"/>
      <c r="I104" s="43" t="s">
        <v>145</v>
      </c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346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185B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>Campionato Baskin Demo - ESEMPIO COMPILATO 64 Squadre</v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75" t="str">
        <f aca="false">"GIRONE G - Stagione "&amp;constStagionaCampionato</f>
        <v>GIRONE G - Stagione 2026/2027</v>
      </c>
      <c r="B3" s="75"/>
      <c r="C3" s="75"/>
      <c r="D3" s="75"/>
    </row>
    <row r="6" customFormat="false" ht="15" hidden="false" customHeight="false" outlineLevel="0" collapsed="false">
      <c r="M6" s="37" t="s">
        <v>317</v>
      </c>
      <c r="N6" s="37" t="s">
        <v>318</v>
      </c>
      <c r="O6" s="37" t="s">
        <v>319</v>
      </c>
      <c r="P6" s="37" t="s">
        <v>320</v>
      </c>
      <c r="Q6" s="37" t="s">
        <v>321</v>
      </c>
      <c r="R6" s="37" t="s">
        <v>322</v>
      </c>
      <c r="S6" s="37" t="s">
        <v>323</v>
      </c>
      <c r="T6" s="37" t="s">
        <v>324</v>
      </c>
      <c r="U6" s="37" t="s">
        <v>325</v>
      </c>
      <c r="V6" s="37" t="s">
        <v>326</v>
      </c>
      <c r="W6" s="37" t="s">
        <v>327</v>
      </c>
      <c r="X6" s="37" t="s">
        <v>328</v>
      </c>
      <c r="Y6" s="37" t="s">
        <v>329</v>
      </c>
      <c r="Z6" s="37" t="s">
        <v>330</v>
      </c>
      <c r="AA6" s="37" t="s">
        <v>331</v>
      </c>
      <c r="AB6" s="37" t="s">
        <v>332</v>
      </c>
    </row>
    <row r="8" customFormat="false" ht="19.5" hidden="false" customHeight="true" outlineLevel="0" collapsed="false">
      <c r="A8" s="76" t="s">
        <v>382</v>
      </c>
      <c r="B8" s="77" t="str">
        <f aca="false">"GIORNATA "&amp;ROMAN(VALUE(LEFT(A8,LEN(A8)-1)))&amp;" - GIRONE "&amp;RIGHT(A8,1)</f>
        <v>GIORNATA I - GIRONE G</v>
      </c>
      <c r="C8" s="77"/>
      <c r="D8" s="77"/>
      <c r="E8" s="77"/>
      <c r="F8" s="77"/>
      <c r="G8" s="77"/>
      <c r="H8" s="77"/>
      <c r="I8" s="77"/>
      <c r="J8" s="77"/>
      <c r="K8" s="77"/>
      <c r="L8" s="77"/>
    </row>
    <row r="9" customFormat="false" ht="12.75" hidden="false" customHeight="true" outlineLevel="0" collapsed="false">
      <c r="A9" s="78" t="s">
        <v>334</v>
      </c>
      <c r="B9" s="78" t="s">
        <v>317</v>
      </c>
      <c r="C9" s="78"/>
      <c r="D9" s="78" t="s">
        <v>324</v>
      </c>
      <c r="E9" s="78"/>
      <c r="F9" s="78" t="s">
        <v>335</v>
      </c>
      <c r="G9" s="78" t="s">
        <v>336</v>
      </c>
      <c r="H9" s="78" t="s">
        <v>337</v>
      </c>
      <c r="I9" s="78"/>
      <c r="J9" s="78" t="s">
        <v>338</v>
      </c>
      <c r="K9" s="78"/>
      <c r="L9" s="78"/>
    </row>
    <row r="10" customFormat="false" ht="24" hidden="false" customHeight="true" outlineLevel="0" collapsed="false">
      <c r="A10" s="79" t="n">
        <v>169</v>
      </c>
      <c r="B10" s="42" t="str">
        <f aca="false">IF(C10="","",IFERROR(LEFT(VLOOKUP(C10,areaNomiSquadre,2,FALSE()),FIND("-",VLOOKUP(C10,areaNomiSquadre,2,FALSE()))-1),""))</f>
        <v>Koala Kolossali</v>
      </c>
      <c r="C10" s="43" t="s">
        <v>149</v>
      </c>
      <c r="D10" s="42" t="str">
        <f aca="false">IF(E10="","",IFERROR(LEFT(VLOOKUP(E10,areaNomiSquadre,2,FALSE()),FIND("-",VLOOKUP(E10,areaNomiSquadre,2,FALSE()))-1),""))</f>
        <v>Struzzi Strepitosi</v>
      </c>
      <c r="E10" s="43" t="s">
        <v>164</v>
      </c>
      <c r="F10" s="44" t="n">
        <v>46313.3958333333</v>
      </c>
      <c r="G10" s="44"/>
      <c r="H10" s="44"/>
      <c r="I10" s="44"/>
      <c r="J10" s="45" t="n">
        <v>53</v>
      </c>
      <c r="K10" s="46" t="s">
        <v>339</v>
      </c>
      <c r="L10" s="45" t="n">
        <v>54</v>
      </c>
      <c r="M10" s="47" t="str">
        <f aca="false">IF($B10="","(Squadra A)",$B10)</f>
        <v>Koala Kolossali</v>
      </c>
      <c r="N10" s="47" t="n">
        <f aca="false">IF($J10+$L10=0,,IF($J10&gt;$L10,1,0))</f>
        <v>0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1</v>
      </c>
      <c r="Q10" s="47" t="n">
        <f aca="false">IF($J10+$L10=0,,$J10)</f>
        <v>53</v>
      </c>
      <c r="R10" s="47" t="n">
        <f aca="false">IF($J10+$L10=0,,$L10)</f>
        <v>54</v>
      </c>
      <c r="S10" s="47" t="n">
        <f aca="false">IF($J10+$L10=0,,$J10-$L10)</f>
        <v>-1</v>
      </c>
      <c r="T10" s="47" t="str">
        <f aca="false">IF($D10="","(Squadra B)",$D10)</f>
        <v>Struzzi Strepitosi</v>
      </c>
      <c r="U10" s="47" t="n">
        <f aca="false">IF($J10+$L10=0,,IF($L10&gt;$J10,1,0))</f>
        <v>1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0</v>
      </c>
      <c r="X10" s="47" t="n">
        <f aca="false">IF($J10+$L10=0,,$L10)</f>
        <v>54</v>
      </c>
      <c r="Y10" s="47" t="n">
        <f aca="false">IF($J10+$L10=0,,$J10)</f>
        <v>53</v>
      </c>
      <c r="Z10" s="47" t="n">
        <f aca="false">IF($J10+$L10=0,,$L10-$J10)</f>
        <v>1</v>
      </c>
      <c r="AA10" s="47" t="str">
        <f aca="false">IF($J10+$L10=0,"(Vincente)",IF($J10&gt;$L10,$B10,$D10))</f>
        <v>Struzzi Strepitosi</v>
      </c>
      <c r="AB10" s="47" t="str">
        <f aca="false">IF($J10+$L10=0,"(Perdente)",IF($J10&lt;$L10,$B10,$D10))</f>
        <v>Koala Kolossali</v>
      </c>
    </row>
    <row r="11" customFormat="false" ht="15.75" hidden="false" customHeight="true" outlineLevel="0" collapsed="false">
      <c r="A11" s="79"/>
      <c r="B11" s="48" t="str">
        <f aca="false">IF(I11="","",HYPERLINK(VLOOKUP(I11,areaCampiSquadre,3,FALSE()),VLOOKUP(I11,areaCampiSquadre,2,FALSE())))</f>
        <v>PalaKoala, Via dello Sport 9, Koalaopoli KA</v>
      </c>
      <c r="C11" s="48"/>
      <c r="D11" s="48"/>
      <c r="E11" s="48"/>
      <c r="F11" s="48"/>
      <c r="G11" s="48"/>
      <c r="H11" s="48"/>
      <c r="I11" s="43" t="s">
        <v>149</v>
      </c>
      <c r="J11" s="45"/>
      <c r="K11" s="45"/>
      <c r="L11" s="45"/>
    </row>
    <row r="12" customFormat="false" ht="12.75" hidden="false" customHeight="true" outlineLevel="0" collapsed="false">
      <c r="A12" s="78" t="s">
        <v>334</v>
      </c>
      <c r="B12" s="78" t="s">
        <v>317</v>
      </c>
      <c r="C12" s="78"/>
      <c r="D12" s="78" t="s">
        <v>324</v>
      </c>
      <c r="E12" s="78"/>
      <c r="F12" s="78" t="s">
        <v>335</v>
      </c>
      <c r="G12" s="78" t="s">
        <v>336</v>
      </c>
      <c r="H12" s="78" t="s">
        <v>337</v>
      </c>
      <c r="I12" s="78"/>
      <c r="J12" s="78" t="s">
        <v>338</v>
      </c>
      <c r="K12" s="78"/>
      <c r="L12" s="78"/>
    </row>
    <row r="13" customFormat="false" ht="24" hidden="false" customHeight="true" outlineLevel="0" collapsed="false">
      <c r="A13" s="79" t="n">
        <f aca="false">MAX(A$10:A12)+1</f>
        <v>170</v>
      </c>
      <c r="B13" s="42" t="str">
        <f aca="false">IF(C13="","",IFERROR(LEFT(VLOOKUP(C13,areaNomiSquadre,2,FALSE()),FIND("-",VLOOKUP(C13,areaNomiSquadre,2,FALSE()))-1),""))</f>
        <v>Renne Rocambolesche</v>
      </c>
      <c r="C13" s="43" t="s">
        <v>162</v>
      </c>
      <c r="D13" s="42" t="str">
        <f aca="false">IF(E13="","",IFERROR(LEFT(VLOOKUP(E13,areaNomiSquadre,2,FALSE()),FIND("-",VLOOKUP(E13,areaNomiSquadre,2,FALSE()))-1),""))</f>
        <v>Leopardi Leggiadri</v>
      </c>
      <c r="E13" s="43" t="s">
        <v>152</v>
      </c>
      <c r="F13" s="44" t="n">
        <v>46313.4791666667</v>
      </c>
      <c r="G13" s="44"/>
      <c r="H13" s="44"/>
      <c r="I13" s="44"/>
      <c r="J13" s="45" t="n">
        <v>57</v>
      </c>
      <c r="K13" s="46" t="s">
        <v>339</v>
      </c>
      <c r="L13" s="45" t="n">
        <v>61</v>
      </c>
      <c r="M13" s="47" t="str">
        <f aca="false">IF($B13="","(Squadra A)",$B13)</f>
        <v>Renne Rocambolesche</v>
      </c>
      <c r="N13" s="47" t="n">
        <f aca="false">IF($J13+$L13=0,,IF($J13&gt;$L13,1,0))</f>
        <v>0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1</v>
      </c>
      <c r="Q13" s="47" t="n">
        <f aca="false">IF($J13+$L13=0,,$J13)</f>
        <v>57</v>
      </c>
      <c r="R13" s="47" t="n">
        <f aca="false">IF($J13+$L13=0,,$L13)</f>
        <v>61</v>
      </c>
      <c r="S13" s="47" t="n">
        <f aca="false">IF($J13+$L13=0,,$J13-$L13)</f>
        <v>-4</v>
      </c>
      <c r="T13" s="47" t="str">
        <f aca="false">IF($D13="","(Squadra B)",$D13)</f>
        <v>Leopardi Leggiadri</v>
      </c>
      <c r="U13" s="47" t="n">
        <f aca="false">IF($J13+$L13=0,,IF($L13&gt;$J13,1,0))</f>
        <v>1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0</v>
      </c>
      <c r="X13" s="47" t="n">
        <f aca="false">IF($J13+$L13=0,,$L13)</f>
        <v>61</v>
      </c>
      <c r="Y13" s="47" t="n">
        <f aca="false">IF($J13+$L13=0,,$J13)</f>
        <v>57</v>
      </c>
      <c r="Z13" s="47" t="n">
        <f aca="false">IF($J13+$L13=0,,$L13-$J13)</f>
        <v>4</v>
      </c>
      <c r="AA13" s="47" t="str">
        <f aca="false">IF($J13+$L13=0,"(Vincente)",IF($J13&gt;$L13,$B13,$D13))</f>
        <v>Leopardi Leggiadri</v>
      </c>
      <c r="AB13" s="47" t="str">
        <f aca="false">IF($J13+$L13=0,"(Perdente)",IF($J13&lt;$L13,$B13,$D13))</f>
        <v>Renne Rocambolesche</v>
      </c>
    </row>
    <row r="14" customFormat="false" ht="15.75" hidden="false" customHeight="true" outlineLevel="0" collapsed="false">
      <c r="A14" s="79"/>
      <c r="B14" s="48" t="str">
        <f aca="false">IF(I14="","",HYPERLINK(VLOOKUP(I14,areaCampiSquadre,3,FALSE()),VLOOKUP(I14,areaCampiSquadre,2,FALSE())))</f>
        <v>PalaKoala, Via dello Sport 9, Koalaopoli KA</v>
      </c>
      <c r="C14" s="48"/>
      <c r="D14" s="48"/>
      <c r="E14" s="48"/>
      <c r="F14" s="48"/>
      <c r="G14" s="48"/>
      <c r="H14" s="48"/>
      <c r="I14" s="43" t="s">
        <v>149</v>
      </c>
      <c r="J14" s="45"/>
      <c r="K14" s="45"/>
      <c r="L14" s="45"/>
    </row>
    <row r="15" customFormat="false" ht="12.75" hidden="false" customHeight="true" outlineLevel="0" collapsed="false">
      <c r="A15" s="78" t="s">
        <v>334</v>
      </c>
      <c r="B15" s="78" t="s">
        <v>317</v>
      </c>
      <c r="C15" s="78"/>
      <c r="D15" s="78" t="s">
        <v>324</v>
      </c>
      <c r="E15" s="78"/>
      <c r="F15" s="78" t="s">
        <v>335</v>
      </c>
      <c r="G15" s="78" t="s">
        <v>336</v>
      </c>
      <c r="H15" s="78" t="s">
        <v>337</v>
      </c>
      <c r="I15" s="78"/>
      <c r="J15" s="78" t="s">
        <v>338</v>
      </c>
      <c r="K15" s="78"/>
      <c r="L15" s="78"/>
    </row>
    <row r="16" customFormat="false" ht="24" hidden="false" customHeight="true" outlineLevel="0" collapsed="false">
      <c r="A16" s="79" t="n">
        <f aca="false">MAX(A$10:A15)+1</f>
        <v>171</v>
      </c>
      <c r="B16" s="42" t="str">
        <f aca="false">IF(C16="","",IFERROR(LEFT(VLOOKUP(C16,areaNomiSquadre,2,FALSE()),FIND("-",VLOOKUP(C16,areaNomiSquadre,2,FALSE()))-1),""))</f>
        <v>Meduse Malandrine</v>
      </c>
      <c r="C16" s="43" t="s">
        <v>154</v>
      </c>
      <c r="D16" s="42" t="str">
        <f aca="false">IF(E16="","",IFERROR(LEFT(VLOOKUP(E16,areaNomiSquadre,2,FALSE()),FIND("-",VLOOKUP(E16,areaNomiSquadre,2,FALSE()))-1),""))</f>
        <v>Pinguini Prodigiosi</v>
      </c>
      <c r="E16" s="43" t="s">
        <v>160</v>
      </c>
      <c r="F16" s="44" t="n">
        <v>46313.625</v>
      </c>
      <c r="G16" s="44"/>
      <c r="H16" s="44"/>
      <c r="I16" s="44"/>
      <c r="J16" s="45" t="n">
        <v>59</v>
      </c>
      <c r="K16" s="46" t="s">
        <v>339</v>
      </c>
      <c r="L16" s="45" t="n">
        <v>95</v>
      </c>
      <c r="M16" s="47" t="str">
        <f aca="false">IF($B16="","(Squadra A)",$B16)</f>
        <v>Meduse Malandrine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1</v>
      </c>
      <c r="Q16" s="47" t="n">
        <f aca="false">IF($J16+$L16=0,,$J16)</f>
        <v>59</v>
      </c>
      <c r="R16" s="47" t="n">
        <f aca="false">IF($J16+$L16=0,,$L16)</f>
        <v>95</v>
      </c>
      <c r="S16" s="47" t="n">
        <f aca="false">IF($J16+$L16=0,,$J16-$L16)</f>
        <v>-36</v>
      </c>
      <c r="T16" s="47" t="str">
        <f aca="false">IF($D16="","(Squadra B)",$D16)</f>
        <v>Pinguini Prodigiosi</v>
      </c>
      <c r="U16" s="47" t="n">
        <f aca="false">IF($J16+$L16=0,,IF($L16&gt;$J16,1,0))</f>
        <v>1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95</v>
      </c>
      <c r="Y16" s="47" t="n">
        <f aca="false">IF($J16+$L16=0,,$J16)</f>
        <v>59</v>
      </c>
      <c r="Z16" s="47" t="n">
        <f aca="false">IF($J16+$L16=0,,$L16-$J16)</f>
        <v>36</v>
      </c>
      <c r="AA16" s="47" t="str">
        <f aca="false">IF($J16+$L16=0,"(Vincente)",IF($J16&gt;$L16,$B16,$D16))</f>
        <v>Pinguini Prodigiosi</v>
      </c>
      <c r="AB16" s="47" t="str">
        <f aca="false">IF($J16+$L16=0,"(Perdente)",IF($J16&lt;$L16,$B16,$D16))</f>
        <v>Meduse Malandrine</v>
      </c>
    </row>
    <row r="17" customFormat="false" ht="15.75" hidden="false" customHeight="true" outlineLevel="0" collapsed="false">
      <c r="A17" s="79"/>
      <c r="B17" s="48" t="str">
        <f aca="false">IF(I17="","",HYPERLINK(VLOOKUP(I17,areaCampiSquadre,3,FALSE()),VLOOKUP(I17,areaCampiSquadre,2,FALSE())))</f>
        <v>PalaKoala, Via dello Sport 9, Koalaopoli KA</v>
      </c>
      <c r="C17" s="48"/>
      <c r="D17" s="48"/>
      <c r="E17" s="48"/>
      <c r="F17" s="48"/>
      <c r="G17" s="48"/>
      <c r="H17" s="48"/>
      <c r="I17" s="43" t="s">
        <v>149</v>
      </c>
      <c r="J17" s="45"/>
      <c r="K17" s="45"/>
      <c r="L17" s="45"/>
    </row>
    <row r="18" customFormat="false" ht="12.75" hidden="false" customHeight="true" outlineLevel="0" collapsed="false">
      <c r="A18" s="78" t="s">
        <v>334</v>
      </c>
      <c r="B18" s="78" t="s">
        <v>317</v>
      </c>
      <c r="C18" s="78"/>
      <c r="D18" s="78" t="s">
        <v>324</v>
      </c>
      <c r="E18" s="78"/>
      <c r="F18" s="78" t="s">
        <v>335</v>
      </c>
      <c r="G18" s="78" t="s">
        <v>336</v>
      </c>
      <c r="H18" s="78" t="s">
        <v>337</v>
      </c>
      <c r="I18" s="78"/>
      <c r="J18" s="78" t="s">
        <v>338</v>
      </c>
      <c r="K18" s="78"/>
      <c r="L18" s="78"/>
    </row>
    <row r="19" customFormat="false" ht="24" hidden="false" customHeight="true" outlineLevel="0" collapsed="false">
      <c r="A19" s="79" t="n">
        <f aca="false">MAX(A$10:A18)+1</f>
        <v>172</v>
      </c>
      <c r="B19" s="42" t="str">
        <f aca="false">IF(C19="","",IFERROR(LEFT(VLOOKUP(C19,areaNomiSquadre,2,FALSE()),FIND("-",VLOOKUP(C19,areaNomiSquadre,2,FALSE()))-1),""))</f>
        <v>Orangotanghi Operosi</v>
      </c>
      <c r="C19" s="43" t="s">
        <v>158</v>
      </c>
      <c r="D19" s="42" t="str">
        <f aca="false">IF(E19="","",IFERROR(LEFT(VLOOKUP(E19,areaNomiSquadre,2,FALSE()),FIND("-",VLOOKUP(E19,areaNomiSquadre,2,FALSE()))-1),""))</f>
        <v>Nandu Nottambuli</v>
      </c>
      <c r="E19" s="43" t="s">
        <v>156</v>
      </c>
      <c r="F19" s="44" t="n">
        <v>46313.7083333333</v>
      </c>
      <c r="G19" s="44"/>
      <c r="H19" s="44"/>
      <c r="I19" s="44"/>
      <c r="J19" s="45" t="n">
        <v>83</v>
      </c>
      <c r="K19" s="46" t="s">
        <v>339</v>
      </c>
      <c r="L19" s="45" t="n">
        <v>56</v>
      </c>
      <c r="M19" s="47" t="str">
        <f aca="false">IF($B19="","(Squadra A)",$B19)</f>
        <v>Orangotanghi Operosi</v>
      </c>
      <c r="N19" s="47" t="n">
        <f aca="false">IF($J19+$L19=0,,IF($J19&gt;$L19,1,0))</f>
        <v>1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83</v>
      </c>
      <c r="R19" s="47" t="n">
        <f aca="false">IF($J19+$L19=0,,$L19)</f>
        <v>56</v>
      </c>
      <c r="S19" s="47" t="n">
        <f aca="false">IF($J19+$L19=0,,$J19-$L19)</f>
        <v>27</v>
      </c>
      <c r="T19" s="47" t="str">
        <f aca="false">IF($D19="","(Squadra B)",$D19)</f>
        <v>Nandu Nottambuli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1</v>
      </c>
      <c r="X19" s="47" t="n">
        <f aca="false">IF($J19+$L19=0,,$L19)</f>
        <v>56</v>
      </c>
      <c r="Y19" s="47" t="n">
        <f aca="false">IF($J19+$L19=0,,$J19)</f>
        <v>83</v>
      </c>
      <c r="Z19" s="47" t="n">
        <f aca="false">IF($J19+$L19=0,,$L19-$J19)</f>
        <v>-27</v>
      </c>
      <c r="AA19" s="47" t="str">
        <f aca="false">IF($J19+$L19=0,"(Vincente)",IF($J19&gt;$L19,$B19,$D19))</f>
        <v>Orangotanghi Operosi</v>
      </c>
      <c r="AB19" s="47" t="str">
        <f aca="false">IF($J19+$L19=0,"(Perdente)",IF($J19&lt;$L19,$B19,$D19))</f>
        <v>Nandu Nottambuli</v>
      </c>
    </row>
    <row r="20" customFormat="false" ht="15.75" hidden="false" customHeight="true" outlineLevel="0" collapsed="false">
      <c r="A20" s="79"/>
      <c r="B20" s="48" t="str">
        <f aca="false">IF(I20="","",HYPERLINK(VLOOKUP(I20,areaCampiSquadre,3,FALSE()),VLOOKUP(I20,areaCampiSquadre,2,FALSE())))</f>
        <v>PalaKoala, Via dello Sport 9, Koalaopoli KA</v>
      </c>
      <c r="C20" s="48"/>
      <c r="D20" s="48"/>
      <c r="E20" s="48"/>
      <c r="F20" s="48"/>
      <c r="G20" s="48"/>
      <c r="H20" s="48"/>
      <c r="I20" s="43" t="s">
        <v>149</v>
      </c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76" t="s">
        <v>383</v>
      </c>
      <c r="B22" s="77" t="str">
        <f aca="false">"GIORNATA "&amp;ROMAN(VALUE(LEFT(A22,LEN(A22)-1)))&amp;" - GIRONE "&amp;RIGHT(A22,1)</f>
        <v>GIORNATA II - GIRONE G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</row>
    <row r="23" customFormat="false" ht="12.75" hidden="false" customHeight="true" outlineLevel="0" collapsed="false">
      <c r="A23" s="78" t="s">
        <v>334</v>
      </c>
      <c r="B23" s="78" t="s">
        <v>317</v>
      </c>
      <c r="C23" s="78"/>
      <c r="D23" s="78" t="s">
        <v>324</v>
      </c>
      <c r="E23" s="78"/>
      <c r="F23" s="78" t="s">
        <v>335</v>
      </c>
      <c r="G23" s="78" t="s">
        <v>336</v>
      </c>
      <c r="H23" s="78" t="s">
        <v>337</v>
      </c>
      <c r="I23" s="78"/>
      <c r="J23" s="78" t="s">
        <v>338</v>
      </c>
      <c r="K23" s="78"/>
      <c r="L23" s="78"/>
    </row>
    <row r="24" customFormat="false" ht="24" hidden="false" customHeight="true" outlineLevel="0" collapsed="false">
      <c r="A24" s="79" t="n">
        <f aca="false">MAX(A$10:A23)+1</f>
        <v>173</v>
      </c>
      <c r="B24" s="42" t="str">
        <f aca="false">IF(C24="","",IFERROR(LEFT(VLOOKUP(C24,areaNomiSquadre,2,FALSE()),FIND("-",VLOOKUP(C24,areaNomiSquadre,2,FALSE()))-1),""))</f>
        <v>Renne Rocambolesche</v>
      </c>
      <c r="C24" s="43" t="s">
        <v>162</v>
      </c>
      <c r="D24" s="42" t="str">
        <f aca="false">IF(E24="","",IFERROR(LEFT(VLOOKUP(E24,areaNomiSquadre,2,FALSE()),FIND("-",VLOOKUP(E24,areaNomiSquadre,2,FALSE()))-1),""))</f>
        <v>Koala Kolossali</v>
      </c>
      <c r="E24" s="43" t="s">
        <v>149</v>
      </c>
      <c r="F24" s="44" t="n">
        <v>46334.3958333333</v>
      </c>
      <c r="G24" s="44"/>
      <c r="H24" s="44"/>
      <c r="I24" s="44"/>
      <c r="J24" s="45" t="n">
        <v>44</v>
      </c>
      <c r="K24" s="46" t="s">
        <v>339</v>
      </c>
      <c r="L24" s="45" t="n">
        <v>77</v>
      </c>
      <c r="M24" s="47" t="str">
        <f aca="false">IF($B24="","(Squadra A)",$B24)</f>
        <v>Renne Rocambolesche</v>
      </c>
      <c r="N24" s="47" t="n">
        <f aca="false">IF($J24+$L24=0,,IF($J24&gt;$L24,1,0))</f>
        <v>0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1</v>
      </c>
      <c r="Q24" s="47" t="n">
        <f aca="false">IF($J24+$L24=0,,$J24)</f>
        <v>44</v>
      </c>
      <c r="R24" s="47" t="n">
        <f aca="false">IF($J24+$L24=0,,$L24)</f>
        <v>77</v>
      </c>
      <c r="S24" s="47" t="n">
        <f aca="false">IF($J24+$L24=0,,$J24-$L24)</f>
        <v>-33</v>
      </c>
      <c r="T24" s="47" t="str">
        <f aca="false">IF($D24="","(Squadra B)",$D24)</f>
        <v>Koala Kolossali</v>
      </c>
      <c r="U24" s="47" t="n">
        <f aca="false">IF($J24+$L24=0,,IF($L24&gt;$J24,1,0))</f>
        <v>1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0</v>
      </c>
      <c r="X24" s="47" t="n">
        <f aca="false">IF($J24+$L24=0,,$L24)</f>
        <v>77</v>
      </c>
      <c r="Y24" s="47" t="n">
        <f aca="false">IF($J24+$L24=0,,$J24)</f>
        <v>44</v>
      </c>
      <c r="Z24" s="47" t="n">
        <f aca="false">IF($J24+$L24=0,,$L24-$J24)</f>
        <v>33</v>
      </c>
      <c r="AA24" s="47" t="str">
        <f aca="false">IF($J24+$L24=0,"(Vincente)",IF($J24&gt;$L24,$B24,$D24))</f>
        <v>Koala Kolossali</v>
      </c>
      <c r="AB24" s="47" t="str">
        <f aca="false">IF($J24+$L24=0,"(Perdente)",IF($J24&lt;$L24,$B24,$D24))</f>
        <v>Renne Rocambolesche</v>
      </c>
    </row>
    <row r="25" customFormat="false" ht="15.75" hidden="false" customHeight="true" outlineLevel="0" collapsed="false">
      <c r="A25" s="79"/>
      <c r="B25" s="48" t="str">
        <f aca="false">IF(I25="","",HYPERLINK(VLOOKUP(I25,areaCampiSquadre,3,FALSE()),VLOOKUP(I25,areaCampiSquadre,2,FALSE())))</f>
        <v>PalaLeopardi, Via dello Sport 10, Leopardiopoli LI</v>
      </c>
      <c r="C25" s="48"/>
      <c r="D25" s="48"/>
      <c r="E25" s="48"/>
      <c r="F25" s="48"/>
      <c r="G25" s="48"/>
      <c r="H25" s="48"/>
      <c r="I25" s="43" t="s">
        <v>152</v>
      </c>
      <c r="J25" s="45"/>
      <c r="K25" s="45"/>
      <c r="L25" s="45"/>
    </row>
    <row r="26" customFormat="false" ht="12.75" hidden="false" customHeight="true" outlineLevel="0" collapsed="false">
      <c r="A26" s="78" t="s">
        <v>334</v>
      </c>
      <c r="B26" s="78" t="s">
        <v>317</v>
      </c>
      <c r="C26" s="78"/>
      <c r="D26" s="78" t="s">
        <v>324</v>
      </c>
      <c r="E26" s="78"/>
      <c r="F26" s="78" t="s">
        <v>335</v>
      </c>
      <c r="G26" s="78" t="s">
        <v>336</v>
      </c>
      <c r="H26" s="78" t="s">
        <v>337</v>
      </c>
      <c r="I26" s="78"/>
      <c r="J26" s="78" t="s">
        <v>338</v>
      </c>
      <c r="K26" s="78"/>
      <c r="L26" s="78"/>
    </row>
    <row r="27" customFormat="false" ht="24" hidden="false" customHeight="true" outlineLevel="0" collapsed="false">
      <c r="A27" s="79" t="n">
        <f aca="false">MAX(A$10:A26)+1</f>
        <v>174</v>
      </c>
      <c r="B27" s="42" t="str">
        <f aca="false">IF(C27="","",IFERROR(LEFT(VLOOKUP(C27,areaNomiSquadre,2,FALSE()),FIND("-",VLOOKUP(C27,areaNomiSquadre,2,FALSE()))-1),""))</f>
        <v>Struzzi Strepitosi</v>
      </c>
      <c r="C27" s="43" t="s">
        <v>164</v>
      </c>
      <c r="D27" s="42" t="str">
        <f aca="false">IF(E27="","",IFERROR(LEFT(VLOOKUP(E27,areaNomiSquadre,2,FALSE()),FIND("-",VLOOKUP(E27,areaNomiSquadre,2,FALSE()))-1),""))</f>
        <v>Pinguini Prodigiosi</v>
      </c>
      <c r="E27" s="43" t="s">
        <v>160</v>
      </c>
      <c r="F27" s="44" t="n">
        <v>46334.4791666667</v>
      </c>
      <c r="G27" s="44"/>
      <c r="H27" s="44"/>
      <c r="I27" s="44"/>
      <c r="J27" s="45" t="n">
        <v>55</v>
      </c>
      <c r="K27" s="46" t="s">
        <v>339</v>
      </c>
      <c r="L27" s="45" t="n">
        <v>60</v>
      </c>
      <c r="M27" s="47" t="str">
        <f aca="false">IF($B27="","(Squadra A)",$B27)</f>
        <v>Struzzi Strepitosi</v>
      </c>
      <c r="N27" s="47" t="n">
        <f aca="false">IF($J27+$L27=0,,IF($J27&gt;$L27,1,0))</f>
        <v>0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1</v>
      </c>
      <c r="Q27" s="47" t="n">
        <f aca="false">IF($J27+$L27=0,,$J27)</f>
        <v>55</v>
      </c>
      <c r="R27" s="47" t="n">
        <f aca="false">IF($J27+$L27=0,,$L27)</f>
        <v>60</v>
      </c>
      <c r="S27" s="47" t="n">
        <f aca="false">IF($J27+$L27=0,,$J27-$L27)</f>
        <v>-5</v>
      </c>
      <c r="T27" s="47" t="str">
        <f aca="false">IF($D27="","(Squadra B)",$D27)</f>
        <v>Pinguini Prodigiosi</v>
      </c>
      <c r="U27" s="47" t="n">
        <f aca="false">IF($J27+$L27=0,,IF($L27&gt;$J27,1,0))</f>
        <v>1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0</v>
      </c>
      <c r="X27" s="47" t="n">
        <f aca="false">IF($J27+$L27=0,,$L27)</f>
        <v>60</v>
      </c>
      <c r="Y27" s="47" t="n">
        <f aca="false">IF($J27+$L27=0,,$J27)</f>
        <v>55</v>
      </c>
      <c r="Z27" s="47" t="n">
        <f aca="false">IF($J27+$L27=0,,$L27-$J27)</f>
        <v>5</v>
      </c>
      <c r="AA27" s="47" t="str">
        <f aca="false">IF($J27+$L27=0,"(Vincente)",IF($J27&gt;$L27,$B27,$D27))</f>
        <v>Pinguini Prodigiosi</v>
      </c>
      <c r="AB27" s="47" t="str">
        <f aca="false">IF($J27+$L27=0,"(Perdente)",IF($J27&lt;$L27,$B27,$D27))</f>
        <v>Struzzi Strepitosi</v>
      </c>
    </row>
    <row r="28" customFormat="false" ht="15.75" hidden="false" customHeight="true" outlineLevel="0" collapsed="false">
      <c r="A28" s="79"/>
      <c r="B28" s="48" t="str">
        <f aca="false">IF(I28="","",HYPERLINK(VLOOKUP(I28,areaCampiSquadre,3,FALSE()),VLOOKUP(I28,areaCampiSquadre,2,FALSE())))</f>
        <v>PalaLeopardi, Via dello Sport 10, Leopardiopoli LI</v>
      </c>
      <c r="C28" s="48"/>
      <c r="D28" s="48"/>
      <c r="E28" s="48"/>
      <c r="F28" s="48"/>
      <c r="G28" s="48"/>
      <c r="H28" s="48"/>
      <c r="I28" s="43" t="s">
        <v>152</v>
      </c>
      <c r="J28" s="45"/>
      <c r="K28" s="45"/>
      <c r="L28" s="45"/>
    </row>
    <row r="29" customFormat="false" ht="12.75" hidden="false" customHeight="true" outlineLevel="0" collapsed="false">
      <c r="A29" s="78" t="s">
        <v>334</v>
      </c>
      <c r="B29" s="78" t="s">
        <v>317</v>
      </c>
      <c r="C29" s="78"/>
      <c r="D29" s="78" t="s">
        <v>324</v>
      </c>
      <c r="E29" s="78"/>
      <c r="F29" s="78" t="s">
        <v>335</v>
      </c>
      <c r="G29" s="78" t="s">
        <v>336</v>
      </c>
      <c r="H29" s="78" t="s">
        <v>337</v>
      </c>
      <c r="I29" s="78"/>
      <c r="J29" s="78" t="s">
        <v>338</v>
      </c>
      <c r="K29" s="78"/>
      <c r="L29" s="78"/>
    </row>
    <row r="30" customFormat="false" ht="24" hidden="false" customHeight="true" outlineLevel="0" collapsed="false">
      <c r="A30" s="79" t="n">
        <f aca="false">MAX(A$10:A29)+1</f>
        <v>175</v>
      </c>
      <c r="B30" s="42" t="str">
        <f aca="false">IF(C30="","",IFERROR(LEFT(VLOOKUP(C30,areaNomiSquadre,2,FALSE()),FIND("-",VLOOKUP(C30,areaNomiSquadre,2,FALSE()))-1),""))</f>
        <v>Orangotanghi Operosi</v>
      </c>
      <c r="C30" s="43" t="s">
        <v>158</v>
      </c>
      <c r="D30" s="42" t="str">
        <f aca="false">IF(E30="","",IFERROR(LEFT(VLOOKUP(E30,areaNomiSquadre,2,FALSE()),FIND("-",VLOOKUP(E30,areaNomiSquadre,2,FALSE()))-1),""))</f>
        <v>Leopardi Leggiadri</v>
      </c>
      <c r="E30" s="43" t="s">
        <v>152</v>
      </c>
      <c r="F30" s="44" t="n">
        <v>46334.625</v>
      </c>
      <c r="G30" s="44"/>
      <c r="H30" s="44"/>
      <c r="I30" s="44"/>
      <c r="J30" s="45" t="n">
        <v>53</v>
      </c>
      <c r="K30" s="46" t="s">
        <v>339</v>
      </c>
      <c r="L30" s="45" t="n">
        <v>56</v>
      </c>
      <c r="M30" s="47" t="str">
        <f aca="false">IF($B30="","(Squadra A)",$B30)</f>
        <v>Orangotanghi Operosi</v>
      </c>
      <c r="N30" s="47" t="n">
        <f aca="false">IF($J30+$L30=0,,IF($J30&gt;$L30,1,0))</f>
        <v>0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1</v>
      </c>
      <c r="Q30" s="47" t="n">
        <f aca="false">IF($J30+$L30=0,,$J30)</f>
        <v>53</v>
      </c>
      <c r="R30" s="47" t="n">
        <f aca="false">IF($J30+$L30=0,,$L30)</f>
        <v>56</v>
      </c>
      <c r="S30" s="47" t="n">
        <f aca="false">IF($J30+$L30=0,,$J30-$L30)</f>
        <v>-3</v>
      </c>
      <c r="T30" s="47" t="str">
        <f aca="false">IF($D30="","(Squadra B)",$D30)</f>
        <v>Leopardi Leggiadri</v>
      </c>
      <c r="U30" s="47" t="n">
        <f aca="false">IF($J30+$L30=0,,IF($L30&gt;$J30,1,0))</f>
        <v>1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0</v>
      </c>
      <c r="X30" s="47" t="n">
        <f aca="false">IF($J30+$L30=0,,$L30)</f>
        <v>56</v>
      </c>
      <c r="Y30" s="47" t="n">
        <f aca="false">IF($J30+$L30=0,,$J30)</f>
        <v>53</v>
      </c>
      <c r="Z30" s="47" t="n">
        <f aca="false">IF($J30+$L30=0,,$L30-$J30)</f>
        <v>3</v>
      </c>
      <c r="AA30" s="47" t="str">
        <f aca="false">IF($J30+$L30=0,"(Vincente)",IF($J30&gt;$L30,$B30,$D30))</f>
        <v>Leopardi Leggiadri</v>
      </c>
      <c r="AB30" s="47" t="str">
        <f aca="false">IF($J30+$L30=0,"(Perdente)",IF($J30&lt;$L30,$B30,$D30))</f>
        <v>Orangotanghi Operosi</v>
      </c>
    </row>
    <row r="31" customFormat="false" ht="15.75" hidden="false" customHeight="true" outlineLevel="0" collapsed="false">
      <c r="A31" s="79"/>
      <c r="B31" s="48" t="str">
        <f aca="false">IF(I31="","",HYPERLINK(VLOOKUP(I31,areaCampiSquadre,3,FALSE()),VLOOKUP(I31,areaCampiSquadre,2,FALSE())))</f>
        <v>PalaLeopardi, Via dello Sport 10, Leopardiopoli LI</v>
      </c>
      <c r="C31" s="48"/>
      <c r="D31" s="48"/>
      <c r="E31" s="48"/>
      <c r="F31" s="48"/>
      <c r="G31" s="48"/>
      <c r="H31" s="48"/>
      <c r="I31" s="43" t="s">
        <v>152</v>
      </c>
      <c r="J31" s="45"/>
      <c r="K31" s="45"/>
      <c r="L31" s="45"/>
    </row>
    <row r="32" customFormat="false" ht="12.75" hidden="false" customHeight="true" outlineLevel="0" collapsed="false">
      <c r="A32" s="78" t="s">
        <v>334</v>
      </c>
      <c r="B32" s="78" t="s">
        <v>317</v>
      </c>
      <c r="C32" s="78"/>
      <c r="D32" s="78" t="s">
        <v>324</v>
      </c>
      <c r="E32" s="78"/>
      <c r="F32" s="78" t="s">
        <v>335</v>
      </c>
      <c r="G32" s="78" t="s">
        <v>336</v>
      </c>
      <c r="H32" s="78" t="s">
        <v>337</v>
      </c>
      <c r="I32" s="78"/>
      <c r="J32" s="78" t="s">
        <v>338</v>
      </c>
      <c r="K32" s="78"/>
      <c r="L32" s="78"/>
    </row>
    <row r="33" customFormat="false" ht="24" hidden="false" customHeight="true" outlineLevel="0" collapsed="false">
      <c r="A33" s="79" t="n">
        <f aca="false">MAX(A$10:A32)+1</f>
        <v>176</v>
      </c>
      <c r="B33" s="42" t="str">
        <f aca="false">IF(C33="","",IFERROR(LEFT(VLOOKUP(C33,areaNomiSquadre,2,FALSE()),FIND("-",VLOOKUP(C33,areaNomiSquadre,2,FALSE()))-1),""))</f>
        <v>Meduse Malandrine</v>
      </c>
      <c r="C33" s="43" t="s">
        <v>154</v>
      </c>
      <c r="D33" s="42" t="str">
        <f aca="false">IF(E33="","",IFERROR(LEFT(VLOOKUP(E33,areaNomiSquadre,2,FALSE()),FIND("-",VLOOKUP(E33,areaNomiSquadre,2,FALSE()))-1),""))</f>
        <v>Nandu Nottambuli</v>
      </c>
      <c r="E33" s="43" t="s">
        <v>156</v>
      </c>
      <c r="F33" s="44" t="n">
        <v>46334.7083333333</v>
      </c>
      <c r="G33" s="44"/>
      <c r="H33" s="44"/>
      <c r="I33" s="44"/>
      <c r="J33" s="45" t="n">
        <v>61</v>
      </c>
      <c r="K33" s="46" t="s">
        <v>339</v>
      </c>
      <c r="L33" s="45" t="n">
        <v>54</v>
      </c>
      <c r="M33" s="47" t="str">
        <f aca="false">IF($B33="","(Squadra A)",$B33)</f>
        <v>Meduse Malandrine</v>
      </c>
      <c r="N33" s="47" t="n">
        <f aca="false">IF($J33+$L33=0,,IF($J33&gt;$L33,1,0))</f>
        <v>1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47" t="n">
        <f aca="false">IF($J33+$L33=0,,$J33)</f>
        <v>61</v>
      </c>
      <c r="R33" s="47" t="n">
        <f aca="false">IF($J33+$L33=0,,$L33)</f>
        <v>54</v>
      </c>
      <c r="S33" s="47" t="n">
        <f aca="false">IF($J33+$L33=0,,$J33-$L33)</f>
        <v>7</v>
      </c>
      <c r="T33" s="47" t="str">
        <f aca="false">IF($D33="","(Squadra B)",$D33)</f>
        <v>Nandu Nottambuli</v>
      </c>
      <c r="U33" s="47" t="n">
        <f aca="false">IF($J33+$L33=0,,IF($L33&gt;$J33,1,0))</f>
        <v>0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1</v>
      </c>
      <c r="X33" s="47" t="n">
        <f aca="false">IF($J33+$L33=0,,$L33)</f>
        <v>54</v>
      </c>
      <c r="Y33" s="47" t="n">
        <f aca="false">IF($J33+$L33=0,,$J33)</f>
        <v>61</v>
      </c>
      <c r="Z33" s="47" t="n">
        <f aca="false">IF($J33+$L33=0,,$L33-$J33)</f>
        <v>-7</v>
      </c>
      <c r="AA33" s="47" t="str">
        <f aca="false">IF($J33+$L33=0,"(Vincente)",IF($J33&gt;$L33,$B33,$D33))</f>
        <v>Meduse Malandrine</v>
      </c>
      <c r="AB33" s="47" t="str">
        <f aca="false">IF($J33+$L33=0,"(Perdente)",IF($J33&lt;$L33,$B33,$D33))</f>
        <v>Nandu Nottambuli</v>
      </c>
    </row>
    <row r="34" customFormat="false" ht="15.75" hidden="false" customHeight="true" outlineLevel="0" collapsed="false">
      <c r="A34" s="79"/>
      <c r="B34" s="48" t="str">
        <f aca="false">IF(I34="","",HYPERLINK(VLOOKUP(I34,areaCampiSquadre,3,FALSE()),VLOOKUP(I34,areaCampiSquadre,2,FALSE())))</f>
        <v>PalaLeopardi, Via dello Sport 10, Leopardiopoli LI</v>
      </c>
      <c r="C34" s="48"/>
      <c r="D34" s="48"/>
      <c r="E34" s="48"/>
      <c r="F34" s="48"/>
      <c r="G34" s="48"/>
      <c r="H34" s="48"/>
      <c r="I34" s="43" t="s">
        <v>152</v>
      </c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76" t="s">
        <v>384</v>
      </c>
      <c r="B36" s="77" t="str">
        <f aca="false">"GIORNATA "&amp;ROMAN(VALUE(LEFT(A36,LEN(A36)-1)))&amp;" - GIRONE "&amp;RIGHT(A36,1)</f>
        <v>GIORNATA III - GIRONE G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</row>
    <row r="37" customFormat="false" ht="12.75" hidden="false" customHeight="true" outlineLevel="0" collapsed="false">
      <c r="A37" s="78" t="s">
        <v>334</v>
      </c>
      <c r="B37" s="78" t="s">
        <v>317</v>
      </c>
      <c r="C37" s="78"/>
      <c r="D37" s="78" t="s">
        <v>324</v>
      </c>
      <c r="E37" s="78"/>
      <c r="F37" s="78" t="s">
        <v>335</v>
      </c>
      <c r="G37" s="78" t="s">
        <v>336</v>
      </c>
      <c r="H37" s="78" t="s">
        <v>337</v>
      </c>
      <c r="I37" s="78"/>
      <c r="J37" s="78" t="s">
        <v>338</v>
      </c>
      <c r="K37" s="78"/>
      <c r="L37" s="78"/>
    </row>
    <row r="38" customFormat="false" ht="24" hidden="false" customHeight="true" outlineLevel="0" collapsed="false">
      <c r="A38" s="79" t="n">
        <f aca="false">MAX(A$10:A37)+1</f>
        <v>177</v>
      </c>
      <c r="B38" s="42" t="str">
        <f aca="false">IF(C38="","",IFERROR(LEFT(VLOOKUP(C38,areaNomiSquadre,2,FALSE()),FIND("-",VLOOKUP(C38,areaNomiSquadre,2,FALSE()))-1),""))</f>
        <v>Koala Kolossali</v>
      </c>
      <c r="C38" s="43" t="s">
        <v>149</v>
      </c>
      <c r="D38" s="42" t="str">
        <f aca="false">IF(E38="","",IFERROR(LEFT(VLOOKUP(E38,areaNomiSquadre,2,FALSE()),FIND("-",VLOOKUP(E38,areaNomiSquadre,2,FALSE()))-1),""))</f>
        <v>Pinguini Prodigiosi</v>
      </c>
      <c r="E38" s="43" t="s">
        <v>160</v>
      </c>
      <c r="F38" s="44" t="n">
        <v>46355.3958333333</v>
      </c>
      <c r="G38" s="44"/>
      <c r="H38" s="44"/>
      <c r="I38" s="44"/>
      <c r="J38" s="45" t="n">
        <v>39</v>
      </c>
      <c r="K38" s="46" t="s">
        <v>339</v>
      </c>
      <c r="L38" s="45" t="n">
        <v>83</v>
      </c>
      <c r="M38" s="47" t="str">
        <f aca="false">IF($B38="","(Squadra A)",$B38)</f>
        <v>Koala Kolossali</v>
      </c>
      <c r="N38" s="47" t="n">
        <f aca="false">IF($J38+$L38=0,,IF($J38&gt;$L38,1,0))</f>
        <v>0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1</v>
      </c>
      <c r="Q38" s="47" t="n">
        <f aca="false">IF($J38+$L38=0,,$J38)</f>
        <v>39</v>
      </c>
      <c r="R38" s="47" t="n">
        <f aca="false">IF($J38+$L38=0,,$L38)</f>
        <v>83</v>
      </c>
      <c r="S38" s="47" t="n">
        <f aca="false">IF($J38+$L38=0,,$J38-$L38)</f>
        <v>-44</v>
      </c>
      <c r="T38" s="47" t="str">
        <f aca="false">IF($D38="","(Squadra B)",$D38)</f>
        <v>Pinguini Prodigiosi</v>
      </c>
      <c r="U38" s="47" t="n">
        <f aca="false">IF($J38+$L38=0,,IF($L38&gt;$J38,1,0))</f>
        <v>1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0</v>
      </c>
      <c r="X38" s="47" t="n">
        <f aca="false">IF($J38+$L38=0,,$L38)</f>
        <v>83</v>
      </c>
      <c r="Y38" s="47" t="n">
        <f aca="false">IF($J38+$L38=0,,$J38)</f>
        <v>39</v>
      </c>
      <c r="Z38" s="47" t="n">
        <f aca="false">IF($J38+$L38=0,,$L38-$J38)</f>
        <v>44</v>
      </c>
      <c r="AA38" s="47" t="str">
        <f aca="false">IF($J38+$L38=0,"(Vincente)",IF($J38&gt;$L38,$B38,$D38))</f>
        <v>Pinguini Prodigiosi</v>
      </c>
      <c r="AB38" s="47" t="str">
        <f aca="false">IF($J38+$L38=0,"(Perdente)",IF($J38&lt;$L38,$B38,$D38))</f>
        <v>Koala Kolossali</v>
      </c>
    </row>
    <row r="39" customFormat="false" ht="15.75" hidden="false" customHeight="true" outlineLevel="0" collapsed="false">
      <c r="A39" s="79"/>
      <c r="B39" s="48" t="str">
        <f aca="false">IF(I39="","",HYPERLINK(VLOOKUP(I39,areaCampiSquadre,3,FALSE()),VLOOKUP(I39,areaCampiSquadre,2,FALSE())))</f>
        <v>PalaMeduse, Via dello Sport 11, Meduseopoli ME</v>
      </c>
      <c r="C39" s="48"/>
      <c r="D39" s="48"/>
      <c r="E39" s="48"/>
      <c r="F39" s="48"/>
      <c r="G39" s="48"/>
      <c r="H39" s="48"/>
      <c r="I39" s="43" t="s">
        <v>154</v>
      </c>
      <c r="J39" s="45"/>
      <c r="K39" s="45"/>
      <c r="L39" s="45"/>
    </row>
    <row r="40" customFormat="false" ht="12.75" hidden="false" customHeight="true" outlineLevel="0" collapsed="false">
      <c r="A40" s="78" t="s">
        <v>334</v>
      </c>
      <c r="B40" s="78" t="s">
        <v>317</v>
      </c>
      <c r="C40" s="78"/>
      <c r="D40" s="78" t="s">
        <v>324</v>
      </c>
      <c r="E40" s="78"/>
      <c r="F40" s="78" t="s">
        <v>335</v>
      </c>
      <c r="G40" s="78" t="s">
        <v>336</v>
      </c>
      <c r="H40" s="78" t="s">
        <v>337</v>
      </c>
      <c r="I40" s="78"/>
      <c r="J40" s="78" t="s">
        <v>338</v>
      </c>
      <c r="K40" s="78"/>
      <c r="L40" s="78"/>
    </row>
    <row r="41" customFormat="false" ht="24" hidden="false" customHeight="true" outlineLevel="0" collapsed="false">
      <c r="A41" s="79" t="n">
        <f aca="false">MAX(A$10:A40)+1</f>
        <v>178</v>
      </c>
      <c r="B41" s="42" t="str">
        <f aca="false">IF(C41="","",IFERROR(LEFT(VLOOKUP(C41,areaNomiSquadre,2,FALSE()),FIND("-",VLOOKUP(C41,areaNomiSquadre,2,FALSE()))-1),""))</f>
        <v>Orangotanghi Operosi</v>
      </c>
      <c r="C41" s="43" t="s">
        <v>158</v>
      </c>
      <c r="D41" s="42" t="str">
        <f aca="false">IF(E41="","",IFERROR(LEFT(VLOOKUP(E41,areaNomiSquadre,2,FALSE()),FIND("-",VLOOKUP(E41,areaNomiSquadre,2,FALSE()))-1),""))</f>
        <v>Renne Rocambolesche</v>
      </c>
      <c r="E41" s="43" t="s">
        <v>162</v>
      </c>
      <c r="F41" s="44" t="n">
        <v>46355.4791666667</v>
      </c>
      <c r="G41" s="44"/>
      <c r="H41" s="44"/>
      <c r="I41" s="44"/>
      <c r="J41" s="45" t="n">
        <v>73</v>
      </c>
      <c r="K41" s="46" t="s">
        <v>339</v>
      </c>
      <c r="L41" s="45" t="n">
        <v>57</v>
      </c>
      <c r="M41" s="47" t="str">
        <f aca="false">IF($B41="","(Squadra A)",$B41)</f>
        <v>Orangotanghi Operosi</v>
      </c>
      <c r="N41" s="47" t="n">
        <f aca="false">IF($J41+$L41=0,,IF($J41&gt;$L41,1,0))</f>
        <v>1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0</v>
      </c>
      <c r="Q41" s="47" t="n">
        <f aca="false">IF($J41+$L41=0,,$J41)</f>
        <v>73</v>
      </c>
      <c r="R41" s="47" t="n">
        <f aca="false">IF($J41+$L41=0,,$L41)</f>
        <v>57</v>
      </c>
      <c r="S41" s="47" t="n">
        <f aca="false">IF($J41+$L41=0,,$J41-$L41)</f>
        <v>16</v>
      </c>
      <c r="T41" s="47" t="str">
        <f aca="false">IF($D41="","(Squadra B)",$D41)</f>
        <v>Renne Rocambolesche</v>
      </c>
      <c r="U41" s="47" t="n">
        <f aca="false">IF($J41+$L41=0,,IF($L41&gt;$J41,1,0))</f>
        <v>0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1</v>
      </c>
      <c r="X41" s="47" t="n">
        <f aca="false">IF($J41+$L41=0,,$L41)</f>
        <v>57</v>
      </c>
      <c r="Y41" s="47" t="n">
        <f aca="false">IF($J41+$L41=0,,$J41)</f>
        <v>73</v>
      </c>
      <c r="Z41" s="47" t="n">
        <f aca="false">IF($J41+$L41=0,,$L41-$J41)</f>
        <v>-16</v>
      </c>
      <c r="AA41" s="47" t="str">
        <f aca="false">IF($J41+$L41=0,"(Vincente)",IF($J41&gt;$L41,$B41,$D41))</f>
        <v>Orangotanghi Operosi</v>
      </c>
      <c r="AB41" s="47" t="str">
        <f aca="false">IF($J41+$L41=0,"(Perdente)",IF($J41&lt;$L41,$B41,$D41))</f>
        <v>Renne Rocambolesche</v>
      </c>
    </row>
    <row r="42" customFormat="false" ht="15.75" hidden="false" customHeight="true" outlineLevel="0" collapsed="false">
      <c r="A42" s="79"/>
      <c r="B42" s="48" t="str">
        <f aca="false">IF(I42="","",HYPERLINK(VLOOKUP(I42,areaCampiSquadre,3,FALSE()),VLOOKUP(I42,areaCampiSquadre,2,FALSE())))</f>
        <v>PalaMeduse, Via dello Sport 11, Meduseopoli ME</v>
      </c>
      <c r="C42" s="48"/>
      <c r="D42" s="48"/>
      <c r="E42" s="48"/>
      <c r="F42" s="48"/>
      <c r="G42" s="48"/>
      <c r="H42" s="48"/>
      <c r="I42" s="43" t="s">
        <v>154</v>
      </c>
      <c r="J42" s="45"/>
      <c r="K42" s="45"/>
      <c r="L42" s="45"/>
    </row>
    <row r="43" customFormat="false" ht="12.75" hidden="false" customHeight="true" outlineLevel="0" collapsed="false">
      <c r="A43" s="78" t="s">
        <v>334</v>
      </c>
      <c r="B43" s="78" t="s">
        <v>317</v>
      </c>
      <c r="C43" s="78"/>
      <c r="D43" s="78" t="s">
        <v>324</v>
      </c>
      <c r="E43" s="78"/>
      <c r="F43" s="78" t="s">
        <v>335</v>
      </c>
      <c r="G43" s="78" t="s">
        <v>336</v>
      </c>
      <c r="H43" s="78" t="s">
        <v>337</v>
      </c>
      <c r="I43" s="78"/>
      <c r="J43" s="78" t="s">
        <v>338</v>
      </c>
      <c r="K43" s="78"/>
      <c r="L43" s="78"/>
    </row>
    <row r="44" customFormat="false" ht="24" hidden="false" customHeight="true" outlineLevel="0" collapsed="false">
      <c r="A44" s="79" t="n">
        <f aca="false">MAX(A$10:A43)+1</f>
        <v>179</v>
      </c>
      <c r="B44" s="42" t="str">
        <f aca="false">IF(C44="","",IFERROR(LEFT(VLOOKUP(C44,areaNomiSquadre,2,FALSE()),FIND("-",VLOOKUP(C44,areaNomiSquadre,2,FALSE()))-1),""))</f>
        <v>Struzzi Strepitosi</v>
      </c>
      <c r="C44" s="43" t="s">
        <v>164</v>
      </c>
      <c r="D44" s="42" t="str">
        <f aca="false">IF(E44="","",IFERROR(LEFT(VLOOKUP(E44,areaNomiSquadre,2,FALSE()),FIND("-",VLOOKUP(E44,areaNomiSquadre,2,FALSE()))-1),""))</f>
        <v>Nandu Nottambuli</v>
      </c>
      <c r="E44" s="43" t="s">
        <v>156</v>
      </c>
      <c r="F44" s="44" t="n">
        <v>46355.625</v>
      </c>
      <c r="G44" s="44"/>
      <c r="H44" s="44"/>
      <c r="I44" s="44"/>
      <c r="J44" s="45" t="n">
        <v>72</v>
      </c>
      <c r="K44" s="46" t="s">
        <v>339</v>
      </c>
      <c r="L44" s="45" t="n">
        <v>59</v>
      </c>
      <c r="M44" s="47" t="str">
        <f aca="false">IF($B44="","(Squadra A)",$B44)</f>
        <v>Struzzi Strepitosi</v>
      </c>
      <c r="N44" s="47" t="n">
        <f aca="false">IF($J44+$L44=0,,IF($J44&gt;$L44,1,0))</f>
        <v>1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0</v>
      </c>
      <c r="Q44" s="47" t="n">
        <f aca="false">IF($J44+$L44=0,,$J44)</f>
        <v>72</v>
      </c>
      <c r="R44" s="47" t="n">
        <f aca="false">IF($J44+$L44=0,,$L44)</f>
        <v>59</v>
      </c>
      <c r="S44" s="47" t="n">
        <f aca="false">IF($J44+$L44=0,,$J44-$L44)</f>
        <v>13</v>
      </c>
      <c r="T44" s="47" t="str">
        <f aca="false">IF($D44="","(Squadra B)",$D44)</f>
        <v>Nandu Nottambuli</v>
      </c>
      <c r="U44" s="47" t="n">
        <f aca="false">IF($J44+$L44=0,,IF($L44&gt;$J44,1,0))</f>
        <v>0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1</v>
      </c>
      <c r="X44" s="47" t="n">
        <f aca="false">IF($J44+$L44=0,,$L44)</f>
        <v>59</v>
      </c>
      <c r="Y44" s="47" t="n">
        <f aca="false">IF($J44+$L44=0,,$J44)</f>
        <v>72</v>
      </c>
      <c r="Z44" s="47" t="n">
        <f aca="false">IF($J44+$L44=0,,$L44-$J44)</f>
        <v>-13</v>
      </c>
      <c r="AA44" s="47" t="str">
        <f aca="false">IF($J44+$L44=0,"(Vincente)",IF($J44&gt;$L44,$B44,$D44))</f>
        <v>Struzzi Strepitosi</v>
      </c>
      <c r="AB44" s="47" t="str">
        <f aca="false">IF($J44+$L44=0,"(Perdente)",IF($J44&lt;$L44,$B44,$D44))</f>
        <v>Nandu Nottambuli</v>
      </c>
    </row>
    <row r="45" customFormat="false" ht="15.75" hidden="false" customHeight="true" outlineLevel="0" collapsed="false">
      <c r="A45" s="79"/>
      <c r="B45" s="48" t="str">
        <f aca="false">IF(I45="","",HYPERLINK(VLOOKUP(I45,areaCampiSquadre,3,FALSE()),VLOOKUP(I45,areaCampiSquadre,2,FALSE())))</f>
        <v>PalaMeduse, Via dello Sport 11, Meduseopoli ME</v>
      </c>
      <c r="C45" s="48"/>
      <c r="D45" s="48"/>
      <c r="E45" s="48"/>
      <c r="F45" s="48"/>
      <c r="G45" s="48"/>
      <c r="H45" s="48"/>
      <c r="I45" s="43" t="s">
        <v>154</v>
      </c>
      <c r="J45" s="45"/>
      <c r="K45" s="45"/>
      <c r="L45" s="45"/>
    </row>
    <row r="46" customFormat="false" ht="12.75" hidden="false" customHeight="true" outlineLevel="0" collapsed="false">
      <c r="A46" s="78" t="s">
        <v>334</v>
      </c>
      <c r="B46" s="78" t="s">
        <v>317</v>
      </c>
      <c r="C46" s="78"/>
      <c r="D46" s="78" t="s">
        <v>324</v>
      </c>
      <c r="E46" s="78"/>
      <c r="F46" s="78" t="s">
        <v>335</v>
      </c>
      <c r="G46" s="78" t="s">
        <v>336</v>
      </c>
      <c r="H46" s="78" t="s">
        <v>337</v>
      </c>
      <c r="I46" s="78"/>
      <c r="J46" s="78" t="s">
        <v>338</v>
      </c>
      <c r="K46" s="78"/>
      <c r="L46" s="78"/>
    </row>
    <row r="47" customFormat="false" ht="24" hidden="false" customHeight="true" outlineLevel="0" collapsed="false">
      <c r="A47" s="79" t="n">
        <f aca="false">MAX(A$10:A46)+1</f>
        <v>180</v>
      </c>
      <c r="B47" s="42" t="str">
        <f aca="false">IF(C47="","",IFERROR(LEFT(VLOOKUP(C47,areaNomiSquadre,2,FALSE()),FIND("-",VLOOKUP(C47,areaNomiSquadre,2,FALSE()))-1),""))</f>
        <v>Meduse Malandrine</v>
      </c>
      <c r="C47" s="43" t="s">
        <v>154</v>
      </c>
      <c r="D47" s="42" t="str">
        <f aca="false">IF(E47="","",IFERROR(LEFT(VLOOKUP(E47,areaNomiSquadre,2,FALSE()),FIND("-",VLOOKUP(E47,areaNomiSquadre,2,FALSE()))-1),""))</f>
        <v>Leopardi Leggiadri</v>
      </c>
      <c r="E47" s="43" t="s">
        <v>152</v>
      </c>
      <c r="F47" s="44" t="n">
        <v>46355.7083333333</v>
      </c>
      <c r="G47" s="44"/>
      <c r="H47" s="44"/>
      <c r="I47" s="44"/>
      <c r="J47" s="45" t="n">
        <v>66</v>
      </c>
      <c r="K47" s="46" t="s">
        <v>339</v>
      </c>
      <c r="L47" s="45" t="n">
        <v>75</v>
      </c>
      <c r="M47" s="47" t="str">
        <f aca="false">IF($B47="","(Squadra A)",$B47)</f>
        <v>Meduse Malandrine</v>
      </c>
      <c r="N47" s="47" t="n">
        <f aca="false">IF($J47+$L47=0,,IF($J47&gt;$L47,1,0))</f>
        <v>0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1</v>
      </c>
      <c r="Q47" s="47" t="n">
        <f aca="false">IF($J47+$L47=0,,$J47)</f>
        <v>66</v>
      </c>
      <c r="R47" s="47" t="n">
        <f aca="false">IF($J47+$L47=0,,$L47)</f>
        <v>75</v>
      </c>
      <c r="S47" s="47" t="n">
        <f aca="false">IF($J47+$L47=0,,$J47-$L47)</f>
        <v>-9</v>
      </c>
      <c r="T47" s="47" t="str">
        <f aca="false">IF($D47="","(Squadra B)",$D47)</f>
        <v>Leopardi Leggiadri</v>
      </c>
      <c r="U47" s="47" t="n">
        <f aca="false">IF($J47+$L47=0,,IF($L47&gt;$J47,1,0))</f>
        <v>1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0</v>
      </c>
      <c r="X47" s="47" t="n">
        <f aca="false">IF($J47+$L47=0,,$L47)</f>
        <v>75</v>
      </c>
      <c r="Y47" s="47" t="n">
        <f aca="false">IF($J47+$L47=0,,$J47)</f>
        <v>66</v>
      </c>
      <c r="Z47" s="47" t="n">
        <f aca="false">IF($J47+$L47=0,,$L47-$J47)</f>
        <v>9</v>
      </c>
      <c r="AA47" s="47" t="str">
        <f aca="false">IF($J47+$L47=0,"(Vincente)",IF($J47&gt;$L47,$B47,$D47))</f>
        <v>Leopardi Leggiadri</v>
      </c>
      <c r="AB47" s="47" t="str">
        <f aca="false">IF($J47+$L47=0,"(Perdente)",IF($J47&lt;$L47,$B47,$D47))</f>
        <v>Meduse Malandrine</v>
      </c>
    </row>
    <row r="48" customFormat="false" ht="15.75" hidden="false" customHeight="true" outlineLevel="0" collapsed="false">
      <c r="A48" s="79"/>
      <c r="B48" s="48" t="str">
        <f aca="false">IF(I48="","",HYPERLINK(VLOOKUP(I48,areaCampiSquadre,3,FALSE()),VLOOKUP(I48,areaCampiSquadre,2,FALSE())))</f>
        <v>PalaMeduse, Via dello Sport 11, Meduseopoli ME</v>
      </c>
      <c r="C48" s="48"/>
      <c r="D48" s="48"/>
      <c r="E48" s="48"/>
      <c r="F48" s="48"/>
      <c r="G48" s="48"/>
      <c r="H48" s="48"/>
      <c r="I48" s="43" t="s">
        <v>154</v>
      </c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76" t="s">
        <v>385</v>
      </c>
      <c r="B50" s="77" t="str">
        <f aca="false">"GIORNATA "&amp;ROMAN(VALUE(LEFT(A50,LEN(A50)-1)))&amp;" - GIRONE "&amp;RIGHT(A50,1)</f>
        <v>GIORNATA IV - GIRONE G</v>
      </c>
      <c r="C50" s="77"/>
      <c r="D50" s="77"/>
      <c r="E50" s="77"/>
      <c r="F50" s="77"/>
      <c r="G50" s="77"/>
      <c r="H50" s="77"/>
      <c r="I50" s="77"/>
      <c r="J50" s="77"/>
      <c r="K50" s="77"/>
      <c r="L50" s="77"/>
    </row>
    <row r="51" customFormat="false" ht="12.75" hidden="false" customHeight="true" outlineLevel="0" collapsed="false">
      <c r="A51" s="78" t="s">
        <v>334</v>
      </c>
      <c r="B51" s="78" t="s">
        <v>317</v>
      </c>
      <c r="C51" s="78"/>
      <c r="D51" s="78" t="s">
        <v>324</v>
      </c>
      <c r="E51" s="78"/>
      <c r="F51" s="78" t="s">
        <v>335</v>
      </c>
      <c r="G51" s="78" t="s">
        <v>336</v>
      </c>
      <c r="H51" s="78" t="s">
        <v>337</v>
      </c>
      <c r="I51" s="78"/>
      <c r="J51" s="78" t="s">
        <v>338</v>
      </c>
      <c r="K51" s="78"/>
      <c r="L51" s="78"/>
    </row>
    <row r="52" customFormat="false" ht="24" hidden="false" customHeight="true" outlineLevel="0" collapsed="false">
      <c r="A52" s="79" t="n">
        <f aca="false">MAX(A$10:A51)+1</f>
        <v>181</v>
      </c>
      <c r="B52" s="42" t="str">
        <f aca="false">IF(C52="","",IFERROR(LEFT(VLOOKUP(C52,areaNomiSquadre,2,FALSE()),FIND("-",VLOOKUP(C52,areaNomiSquadre,2,FALSE()))-1),""))</f>
        <v>Orangotanghi Operosi</v>
      </c>
      <c r="C52" s="43" t="s">
        <v>158</v>
      </c>
      <c r="D52" s="42" t="str">
        <f aca="false">IF(E52="","",IFERROR(LEFT(VLOOKUP(E52,areaNomiSquadre,2,FALSE()),FIND("-",VLOOKUP(E52,areaNomiSquadre,2,FALSE()))-1),""))</f>
        <v>Koala Kolossali</v>
      </c>
      <c r="E52" s="43" t="s">
        <v>149</v>
      </c>
      <c r="F52" s="44" t="n">
        <v>46369.3958333333</v>
      </c>
      <c r="G52" s="44"/>
      <c r="H52" s="44"/>
      <c r="I52" s="44"/>
      <c r="J52" s="45" t="n">
        <v>62</v>
      </c>
      <c r="K52" s="46" t="s">
        <v>339</v>
      </c>
      <c r="L52" s="45" t="n">
        <v>65</v>
      </c>
      <c r="M52" s="47" t="str">
        <f aca="false">IF($B52="","(Squadra A)",$B52)</f>
        <v>Orangotanghi Operosi</v>
      </c>
      <c r="N52" s="47" t="n">
        <f aca="false">IF($J52+$L52=0,,IF($J52&gt;$L52,1,0))</f>
        <v>0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1</v>
      </c>
      <c r="Q52" s="47" t="n">
        <f aca="false">IF($J52+$L52=0,,$J52)</f>
        <v>62</v>
      </c>
      <c r="R52" s="47" t="n">
        <f aca="false">IF($J52+$L52=0,,$L52)</f>
        <v>65</v>
      </c>
      <c r="S52" s="47" t="n">
        <f aca="false">IF($J52+$L52=0,,$J52-$L52)</f>
        <v>-3</v>
      </c>
      <c r="T52" s="47" t="str">
        <f aca="false">IF($D52="","(Squadra B)",$D52)</f>
        <v>Koala Kolossali</v>
      </c>
      <c r="U52" s="47" t="n">
        <f aca="false">IF($J52+$L52=0,,IF($L52&gt;$J52,1,0))</f>
        <v>1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0</v>
      </c>
      <c r="X52" s="47" t="n">
        <f aca="false">IF($J52+$L52=0,,$L52)</f>
        <v>65</v>
      </c>
      <c r="Y52" s="47" t="n">
        <f aca="false">IF($J52+$L52=0,,$J52)</f>
        <v>62</v>
      </c>
      <c r="Z52" s="47" t="n">
        <f aca="false">IF($J52+$L52=0,,$L52-$J52)</f>
        <v>3</v>
      </c>
      <c r="AA52" s="47" t="str">
        <f aca="false">IF($J52+$L52=0,"(Vincente)",IF($J52&gt;$L52,$B52,$D52))</f>
        <v>Koala Kolossali</v>
      </c>
      <c r="AB52" s="47" t="str">
        <f aca="false">IF($J52+$L52=0,"(Perdente)",IF($J52&lt;$L52,$B52,$D52))</f>
        <v>Orangotanghi Operosi</v>
      </c>
    </row>
    <row r="53" customFormat="false" ht="15.75" hidden="false" customHeight="true" outlineLevel="0" collapsed="false">
      <c r="A53" s="79"/>
      <c r="B53" s="48" t="str">
        <f aca="false">IF(I53="","",HYPERLINK(VLOOKUP(I53,areaCampiSquadre,3,FALSE()),VLOOKUP(I53,areaCampiSquadre,2,FALSE())))</f>
        <v>PalaNandu, Via dello Sport 12, Nanduopoli NU</v>
      </c>
      <c r="C53" s="48"/>
      <c r="D53" s="48"/>
      <c r="E53" s="48"/>
      <c r="F53" s="48"/>
      <c r="G53" s="48"/>
      <c r="H53" s="48"/>
      <c r="I53" s="43" t="s">
        <v>156</v>
      </c>
      <c r="J53" s="45"/>
      <c r="K53" s="45"/>
      <c r="L53" s="45"/>
    </row>
    <row r="54" customFormat="false" ht="12.75" hidden="false" customHeight="true" outlineLevel="0" collapsed="false">
      <c r="A54" s="78" t="s">
        <v>334</v>
      </c>
      <c r="B54" s="78" t="s">
        <v>317</v>
      </c>
      <c r="C54" s="78"/>
      <c r="D54" s="78" t="s">
        <v>324</v>
      </c>
      <c r="E54" s="78"/>
      <c r="F54" s="78" t="s">
        <v>335</v>
      </c>
      <c r="G54" s="78" t="s">
        <v>336</v>
      </c>
      <c r="H54" s="78" t="s">
        <v>337</v>
      </c>
      <c r="I54" s="78"/>
      <c r="J54" s="78" t="s">
        <v>338</v>
      </c>
      <c r="K54" s="78"/>
      <c r="L54" s="78"/>
    </row>
    <row r="55" customFormat="false" ht="24" hidden="false" customHeight="true" outlineLevel="0" collapsed="false">
      <c r="A55" s="79" t="n">
        <f aca="false">MAX(A$10:A54)+1</f>
        <v>182</v>
      </c>
      <c r="B55" s="42" t="str">
        <f aca="false">IF(C55="","",IFERROR(LEFT(VLOOKUP(C55,areaNomiSquadre,2,FALSE()),FIND("-",VLOOKUP(C55,areaNomiSquadre,2,FALSE()))-1),""))</f>
        <v>Pinguini Prodigiosi</v>
      </c>
      <c r="C55" s="43" t="s">
        <v>160</v>
      </c>
      <c r="D55" s="42" t="str">
        <f aca="false">IF(E55="","",IFERROR(LEFT(VLOOKUP(E55,areaNomiSquadre,2,FALSE()),FIND("-",VLOOKUP(E55,areaNomiSquadre,2,FALSE()))-1),""))</f>
        <v>Nandu Nottambuli</v>
      </c>
      <c r="E55" s="43" t="s">
        <v>156</v>
      </c>
      <c r="F55" s="44" t="n">
        <v>46369.4791666667</v>
      </c>
      <c r="G55" s="44"/>
      <c r="H55" s="44"/>
      <c r="I55" s="44"/>
      <c r="J55" s="45" t="n">
        <v>71</v>
      </c>
      <c r="K55" s="46" t="s">
        <v>339</v>
      </c>
      <c r="L55" s="45" t="n">
        <v>45</v>
      </c>
      <c r="M55" s="47" t="str">
        <f aca="false">IF($B55="","(Squadra A)",$B55)</f>
        <v>Pinguini Prodigiosi</v>
      </c>
      <c r="N55" s="47" t="n">
        <f aca="false">IF($J55+$L55=0,,IF($J55&gt;$L55,1,0))</f>
        <v>1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0</v>
      </c>
      <c r="Q55" s="47" t="n">
        <f aca="false">IF($J55+$L55=0,,$J55)</f>
        <v>71</v>
      </c>
      <c r="R55" s="47" t="n">
        <f aca="false">IF($J55+$L55=0,,$L55)</f>
        <v>45</v>
      </c>
      <c r="S55" s="47" t="n">
        <f aca="false">IF($J55+$L55=0,,$J55-$L55)</f>
        <v>26</v>
      </c>
      <c r="T55" s="47" t="str">
        <f aca="false">IF($D55="","(Squadra B)",$D55)</f>
        <v>Nandu Nottambuli</v>
      </c>
      <c r="U55" s="47" t="n">
        <f aca="false">IF($J55+$L55=0,,IF($L55&gt;$J55,1,0))</f>
        <v>0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1</v>
      </c>
      <c r="X55" s="47" t="n">
        <f aca="false">IF($J55+$L55=0,,$L55)</f>
        <v>45</v>
      </c>
      <c r="Y55" s="47" t="n">
        <f aca="false">IF($J55+$L55=0,,$J55)</f>
        <v>71</v>
      </c>
      <c r="Z55" s="47" t="n">
        <f aca="false">IF($J55+$L55=0,,$L55-$J55)</f>
        <v>-26</v>
      </c>
      <c r="AA55" s="47" t="str">
        <f aca="false">IF($J55+$L55=0,"(Vincente)",IF($J55&gt;$L55,$B55,$D55))</f>
        <v>Pinguini Prodigiosi</v>
      </c>
      <c r="AB55" s="47" t="str">
        <f aca="false">IF($J55+$L55=0,"(Perdente)",IF($J55&lt;$L55,$B55,$D55))</f>
        <v>Nandu Nottambuli</v>
      </c>
    </row>
    <row r="56" customFormat="false" ht="15.75" hidden="false" customHeight="true" outlineLevel="0" collapsed="false">
      <c r="A56" s="79"/>
      <c r="B56" s="48" t="str">
        <f aca="false">IF(I56="","",HYPERLINK(VLOOKUP(I56,areaCampiSquadre,3,FALSE()),VLOOKUP(I56,areaCampiSquadre,2,FALSE())))</f>
        <v>PalaNandu, Via dello Sport 12, Nanduopoli NU</v>
      </c>
      <c r="C56" s="48"/>
      <c r="D56" s="48"/>
      <c r="E56" s="48"/>
      <c r="F56" s="48"/>
      <c r="G56" s="48"/>
      <c r="H56" s="48"/>
      <c r="I56" s="43" t="s">
        <v>156</v>
      </c>
      <c r="J56" s="45"/>
      <c r="K56" s="45"/>
      <c r="L56" s="45"/>
    </row>
    <row r="57" customFormat="false" ht="12.75" hidden="false" customHeight="true" outlineLevel="0" collapsed="false">
      <c r="A57" s="78" t="s">
        <v>334</v>
      </c>
      <c r="B57" s="78" t="s">
        <v>317</v>
      </c>
      <c r="C57" s="78"/>
      <c r="D57" s="78" t="s">
        <v>324</v>
      </c>
      <c r="E57" s="78"/>
      <c r="F57" s="78" t="s">
        <v>335</v>
      </c>
      <c r="G57" s="78" t="s">
        <v>336</v>
      </c>
      <c r="H57" s="78" t="s">
        <v>337</v>
      </c>
      <c r="I57" s="78"/>
      <c r="J57" s="78" t="s">
        <v>338</v>
      </c>
      <c r="K57" s="78"/>
      <c r="L57" s="78"/>
    </row>
    <row r="58" customFormat="false" ht="24" hidden="false" customHeight="true" outlineLevel="0" collapsed="false">
      <c r="A58" s="79" t="n">
        <f aca="false">MAX(A$10:A57)+1</f>
        <v>183</v>
      </c>
      <c r="B58" s="42" t="str">
        <f aca="false">IF(C58="","",IFERROR(LEFT(VLOOKUP(C58,areaNomiSquadre,2,FALSE()),FIND("-",VLOOKUP(C58,areaNomiSquadre,2,FALSE()))-1),""))</f>
        <v>Meduse Malandrine</v>
      </c>
      <c r="C58" s="43" t="s">
        <v>154</v>
      </c>
      <c r="D58" s="42" t="str">
        <f aca="false">IF(E58="","",IFERROR(LEFT(VLOOKUP(E58,areaNomiSquadre,2,FALSE()),FIND("-",VLOOKUP(E58,areaNomiSquadre,2,FALSE()))-1),""))</f>
        <v>Renne Rocambolesche</v>
      </c>
      <c r="E58" s="43" t="s">
        <v>162</v>
      </c>
      <c r="F58" s="44" t="n">
        <v>46369.625</v>
      </c>
      <c r="G58" s="44"/>
      <c r="H58" s="44"/>
      <c r="I58" s="44"/>
      <c r="J58" s="45" t="n">
        <v>56</v>
      </c>
      <c r="K58" s="46" t="s">
        <v>339</v>
      </c>
      <c r="L58" s="45" t="n">
        <v>53</v>
      </c>
      <c r="M58" s="47" t="str">
        <f aca="false">IF($B58="","(Squadra A)",$B58)</f>
        <v>Meduse Malandrine</v>
      </c>
      <c r="N58" s="47" t="n">
        <f aca="false">IF($J58+$L58=0,,IF($J58&gt;$L58,1,0))</f>
        <v>1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0</v>
      </c>
      <c r="Q58" s="47" t="n">
        <f aca="false">IF($J58+$L58=0,,$J58)</f>
        <v>56</v>
      </c>
      <c r="R58" s="47" t="n">
        <f aca="false">IF($J58+$L58=0,,$L58)</f>
        <v>53</v>
      </c>
      <c r="S58" s="47" t="n">
        <f aca="false">IF($J58+$L58=0,,$J58-$L58)</f>
        <v>3</v>
      </c>
      <c r="T58" s="47" t="str">
        <f aca="false">IF($D58="","(Squadra B)",$D58)</f>
        <v>Renne Rocambolesche</v>
      </c>
      <c r="U58" s="47" t="n">
        <f aca="false">IF($J58+$L58=0,,IF($L58&gt;$J58,1,0))</f>
        <v>0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1</v>
      </c>
      <c r="X58" s="47" t="n">
        <f aca="false">IF($J58+$L58=0,,$L58)</f>
        <v>53</v>
      </c>
      <c r="Y58" s="47" t="n">
        <f aca="false">IF($J58+$L58=0,,$J58)</f>
        <v>56</v>
      </c>
      <c r="Z58" s="47" t="n">
        <f aca="false">IF($J58+$L58=0,,$L58-$J58)</f>
        <v>-3</v>
      </c>
      <c r="AA58" s="47" t="str">
        <f aca="false">IF($J58+$L58=0,"(Vincente)",IF($J58&gt;$L58,$B58,$D58))</f>
        <v>Meduse Malandrine</v>
      </c>
      <c r="AB58" s="47" t="str">
        <f aca="false">IF($J58+$L58=0,"(Perdente)",IF($J58&lt;$L58,$B58,$D58))</f>
        <v>Renne Rocambolesche</v>
      </c>
    </row>
    <row r="59" customFormat="false" ht="15.75" hidden="false" customHeight="true" outlineLevel="0" collapsed="false">
      <c r="A59" s="79"/>
      <c r="B59" s="48" t="str">
        <f aca="false">IF(I59="","",HYPERLINK(VLOOKUP(I59,areaCampiSquadre,3,FALSE()),VLOOKUP(I59,areaCampiSquadre,2,FALSE())))</f>
        <v>PalaNandu, Via dello Sport 12, Nanduopoli NU</v>
      </c>
      <c r="C59" s="48"/>
      <c r="D59" s="48"/>
      <c r="E59" s="48"/>
      <c r="F59" s="48"/>
      <c r="G59" s="48"/>
      <c r="H59" s="48"/>
      <c r="I59" s="43" t="s">
        <v>156</v>
      </c>
      <c r="J59" s="45"/>
      <c r="K59" s="45"/>
      <c r="L59" s="45"/>
    </row>
    <row r="60" customFormat="false" ht="12.75" hidden="false" customHeight="true" outlineLevel="0" collapsed="false">
      <c r="A60" s="78" t="s">
        <v>334</v>
      </c>
      <c r="B60" s="78" t="s">
        <v>317</v>
      </c>
      <c r="C60" s="78"/>
      <c r="D60" s="78" t="s">
        <v>324</v>
      </c>
      <c r="E60" s="78"/>
      <c r="F60" s="78" t="s">
        <v>335</v>
      </c>
      <c r="G60" s="78" t="s">
        <v>336</v>
      </c>
      <c r="H60" s="78" t="s">
        <v>337</v>
      </c>
      <c r="I60" s="78"/>
      <c r="J60" s="78" t="s">
        <v>338</v>
      </c>
      <c r="K60" s="78"/>
      <c r="L60" s="78"/>
    </row>
    <row r="61" customFormat="false" ht="24" hidden="false" customHeight="true" outlineLevel="0" collapsed="false">
      <c r="A61" s="79" t="n">
        <f aca="false">MAX(A$10:A60)+1</f>
        <v>184</v>
      </c>
      <c r="B61" s="42" t="str">
        <f aca="false">IF(C61="","",IFERROR(LEFT(VLOOKUP(C61,areaNomiSquadre,2,FALSE()),FIND("-",VLOOKUP(C61,areaNomiSquadre,2,FALSE()))-1),""))</f>
        <v>Struzzi Strepitosi</v>
      </c>
      <c r="C61" s="43" t="s">
        <v>164</v>
      </c>
      <c r="D61" s="42" t="str">
        <f aca="false">IF(E61="","",IFERROR(LEFT(VLOOKUP(E61,areaNomiSquadre,2,FALSE()),FIND("-",VLOOKUP(E61,areaNomiSquadre,2,FALSE()))-1),""))</f>
        <v>Leopardi Leggiadri</v>
      </c>
      <c r="E61" s="43" t="s">
        <v>152</v>
      </c>
      <c r="F61" s="44" t="n">
        <v>46369.7083333333</v>
      </c>
      <c r="G61" s="44"/>
      <c r="H61" s="44"/>
      <c r="I61" s="44"/>
      <c r="J61" s="45" t="n">
        <v>72</v>
      </c>
      <c r="K61" s="46" t="s">
        <v>339</v>
      </c>
      <c r="L61" s="45" t="n">
        <v>47</v>
      </c>
      <c r="M61" s="47" t="str">
        <f aca="false">IF($B61="","(Squadra A)",$B61)</f>
        <v>Struzzi Strepitosi</v>
      </c>
      <c r="N61" s="47" t="n">
        <f aca="false">IF($J61+$L61=0,,IF($J61&gt;$L61,1,0))</f>
        <v>1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72</v>
      </c>
      <c r="R61" s="47" t="n">
        <f aca="false">IF($J61+$L61=0,,$L61)</f>
        <v>47</v>
      </c>
      <c r="S61" s="47" t="n">
        <f aca="false">IF($J61+$L61=0,,$J61-$L61)</f>
        <v>25</v>
      </c>
      <c r="T61" s="47" t="str">
        <f aca="false">IF($D61="","(Squadra B)",$D61)</f>
        <v>Leopardi Leggiadri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1</v>
      </c>
      <c r="X61" s="47" t="n">
        <f aca="false">IF($J61+$L61=0,,$L61)</f>
        <v>47</v>
      </c>
      <c r="Y61" s="47" t="n">
        <f aca="false">IF($J61+$L61=0,,$J61)</f>
        <v>72</v>
      </c>
      <c r="Z61" s="47" t="n">
        <f aca="false">IF($J61+$L61=0,,$L61-$J61)</f>
        <v>-25</v>
      </c>
      <c r="AA61" s="47" t="str">
        <f aca="false">IF($J61+$L61=0,"(Vincente)",IF($J61&gt;$L61,$B61,$D61))</f>
        <v>Struzzi Strepitosi</v>
      </c>
      <c r="AB61" s="47" t="str">
        <f aca="false">IF($J61+$L61=0,"(Perdente)",IF($J61&lt;$L61,$B61,$D61))</f>
        <v>Leopardi Leggiadri</v>
      </c>
    </row>
    <row r="62" customFormat="false" ht="15.75" hidden="false" customHeight="true" outlineLevel="0" collapsed="false">
      <c r="A62" s="79"/>
      <c r="B62" s="48" t="str">
        <f aca="false">IF(I62="","",HYPERLINK(VLOOKUP(I62,areaCampiSquadre,3,FALSE()),VLOOKUP(I62,areaCampiSquadre,2,FALSE())))</f>
        <v>PalaNandu, Via dello Sport 12, Nanduopoli NU</v>
      </c>
      <c r="C62" s="48"/>
      <c r="D62" s="48"/>
      <c r="E62" s="48"/>
      <c r="F62" s="48"/>
      <c r="G62" s="48"/>
      <c r="H62" s="48"/>
      <c r="I62" s="43" t="s">
        <v>156</v>
      </c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76" t="s">
        <v>386</v>
      </c>
      <c r="B64" s="77" t="str">
        <f aca="false">"GIORNATA "&amp;ROMAN(VALUE(LEFT(A64,LEN(A64)-1)))&amp;" - GIRONE "&amp;RIGHT(A64,1)</f>
        <v>GIORNATA V - GIRONE G</v>
      </c>
      <c r="C64" s="77"/>
      <c r="D64" s="77"/>
      <c r="E64" s="77"/>
      <c r="F64" s="77"/>
      <c r="G64" s="77"/>
      <c r="H64" s="77"/>
      <c r="I64" s="77"/>
      <c r="J64" s="77"/>
      <c r="K64" s="77"/>
      <c r="L64" s="77"/>
    </row>
    <row r="65" customFormat="false" ht="12.75" hidden="false" customHeight="true" outlineLevel="0" collapsed="false">
      <c r="A65" s="78" t="s">
        <v>334</v>
      </c>
      <c r="B65" s="78" t="s">
        <v>317</v>
      </c>
      <c r="C65" s="78"/>
      <c r="D65" s="78" t="s">
        <v>324</v>
      </c>
      <c r="E65" s="78"/>
      <c r="F65" s="78" t="s">
        <v>335</v>
      </c>
      <c r="G65" s="78" t="s">
        <v>336</v>
      </c>
      <c r="H65" s="78" t="s">
        <v>337</v>
      </c>
      <c r="I65" s="78"/>
      <c r="J65" s="78" t="s">
        <v>338</v>
      </c>
      <c r="K65" s="78"/>
      <c r="L65" s="78"/>
    </row>
    <row r="66" customFormat="false" ht="24" hidden="false" customHeight="true" outlineLevel="0" collapsed="false">
      <c r="A66" s="79" t="n">
        <f aca="false">MAX(A$10:A65)+1</f>
        <v>185</v>
      </c>
      <c r="B66" s="42" t="str">
        <f aca="false">IF(C66="","",IFERROR(LEFT(VLOOKUP(C66,areaNomiSquadre,2,FALSE()),FIND("-",VLOOKUP(C66,areaNomiSquadre,2,FALSE()))-1),""))</f>
        <v>Koala Kolossali</v>
      </c>
      <c r="C66" s="43" t="s">
        <v>149</v>
      </c>
      <c r="D66" s="42" t="str">
        <f aca="false">IF(E66="","",IFERROR(LEFT(VLOOKUP(E66,areaNomiSquadre,2,FALSE()),FIND("-",VLOOKUP(E66,areaNomiSquadre,2,FALSE()))-1),""))</f>
        <v>Nandu Nottambuli</v>
      </c>
      <c r="E66" s="43" t="s">
        <v>156</v>
      </c>
      <c r="F66" s="44" t="n">
        <v>46411.3958333333</v>
      </c>
      <c r="G66" s="44"/>
      <c r="H66" s="44"/>
      <c r="I66" s="44"/>
      <c r="J66" s="45" t="n">
        <v>72</v>
      </c>
      <c r="K66" s="46" t="s">
        <v>339</v>
      </c>
      <c r="L66" s="45" t="n">
        <v>59</v>
      </c>
      <c r="M66" s="47" t="str">
        <f aca="false">IF($B66="","(Squadra A)",$B66)</f>
        <v>Koala Kolossali</v>
      </c>
      <c r="N66" s="47" t="n">
        <f aca="false">IF($J66+$L66=0,,IF($J66&gt;$L66,1,0))</f>
        <v>1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0</v>
      </c>
      <c r="Q66" s="47" t="n">
        <f aca="false">IF($J66+$L66=0,,$J66)</f>
        <v>72</v>
      </c>
      <c r="R66" s="47" t="n">
        <f aca="false">IF($J66+$L66=0,,$L66)</f>
        <v>59</v>
      </c>
      <c r="S66" s="47" t="n">
        <f aca="false">IF($J66+$L66=0,,$J66-$L66)</f>
        <v>13</v>
      </c>
      <c r="T66" s="47" t="str">
        <f aca="false">IF($D66="","(Squadra B)",$D66)</f>
        <v>Nandu Nottambuli</v>
      </c>
      <c r="U66" s="47" t="n">
        <f aca="false">IF($J66+$L66=0,,IF($L66&gt;$J66,1,0))</f>
        <v>0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1</v>
      </c>
      <c r="X66" s="47" t="n">
        <f aca="false">IF($J66+$L66=0,,$L66)</f>
        <v>59</v>
      </c>
      <c r="Y66" s="47" t="n">
        <f aca="false">IF($J66+$L66=0,,$J66)</f>
        <v>72</v>
      </c>
      <c r="Z66" s="47" t="n">
        <f aca="false">IF($J66+$L66=0,,$L66-$J66)</f>
        <v>-13</v>
      </c>
      <c r="AA66" s="47" t="str">
        <f aca="false">IF($J66+$L66=0,"(Vincente)",IF($J66&gt;$L66,$B66,$D66))</f>
        <v>Koala Kolossali</v>
      </c>
      <c r="AB66" s="47" t="str">
        <f aca="false">IF($J66+$L66=0,"(Perdente)",IF($J66&lt;$L66,$B66,$D66))</f>
        <v>Nandu Nottambuli</v>
      </c>
    </row>
    <row r="67" customFormat="false" ht="15.75" hidden="false" customHeight="true" outlineLevel="0" collapsed="false">
      <c r="A67" s="79"/>
      <c r="B67" s="48" t="str">
        <f aca="false">IF(I67="","",HYPERLINK(VLOOKUP(I67,areaCampiSquadre,3,FALSE()),VLOOKUP(I67,areaCampiSquadre,2,FALSE())))</f>
        <v>PalaOrangotanghi, Via dello Sport 13, Orangotanghiopoli OI</v>
      </c>
      <c r="C67" s="48"/>
      <c r="D67" s="48"/>
      <c r="E67" s="48"/>
      <c r="F67" s="48"/>
      <c r="G67" s="48"/>
      <c r="H67" s="48"/>
      <c r="I67" s="43" t="s">
        <v>158</v>
      </c>
      <c r="J67" s="45"/>
      <c r="K67" s="45"/>
      <c r="L67" s="45"/>
    </row>
    <row r="68" customFormat="false" ht="12.75" hidden="false" customHeight="true" outlineLevel="0" collapsed="false">
      <c r="A68" s="78" t="s">
        <v>334</v>
      </c>
      <c r="B68" s="78" t="s">
        <v>317</v>
      </c>
      <c r="C68" s="78"/>
      <c r="D68" s="78" t="s">
        <v>324</v>
      </c>
      <c r="E68" s="78"/>
      <c r="F68" s="78" t="s">
        <v>335</v>
      </c>
      <c r="G68" s="78" t="s">
        <v>336</v>
      </c>
      <c r="H68" s="78" t="s">
        <v>337</v>
      </c>
      <c r="I68" s="78"/>
      <c r="J68" s="78" t="s">
        <v>338</v>
      </c>
      <c r="K68" s="78"/>
      <c r="L68" s="78"/>
    </row>
    <row r="69" customFormat="false" ht="24" hidden="false" customHeight="true" outlineLevel="0" collapsed="false">
      <c r="A69" s="79" t="n">
        <f aca="false">MAX(A$10:A68)+1</f>
        <v>186</v>
      </c>
      <c r="B69" s="42" t="str">
        <f aca="false">IF(C69="","",IFERROR(LEFT(VLOOKUP(C69,areaNomiSquadre,2,FALSE()),FIND("-",VLOOKUP(C69,areaNomiSquadre,2,FALSE()))-1),""))</f>
        <v>Meduse Malandrine</v>
      </c>
      <c r="C69" s="43" t="s">
        <v>154</v>
      </c>
      <c r="D69" s="42" t="str">
        <f aca="false">IF(E69="","",IFERROR(LEFT(VLOOKUP(E69,areaNomiSquadre,2,FALSE()),FIND("-",VLOOKUP(E69,areaNomiSquadre,2,FALSE()))-1),""))</f>
        <v>Orangotanghi Operosi</v>
      </c>
      <c r="E69" s="43" t="s">
        <v>158</v>
      </c>
      <c r="F69" s="44" t="n">
        <v>46411.4791666667</v>
      </c>
      <c r="G69" s="44"/>
      <c r="H69" s="44"/>
      <c r="I69" s="44"/>
      <c r="J69" s="45" t="n">
        <v>58</v>
      </c>
      <c r="K69" s="46" t="s">
        <v>339</v>
      </c>
      <c r="L69" s="45" t="n">
        <v>50</v>
      </c>
      <c r="M69" s="47" t="str">
        <f aca="false">IF($B69="","(Squadra A)",$B69)</f>
        <v>Meduse Malandrine</v>
      </c>
      <c r="N69" s="47" t="n">
        <f aca="false">IF($J69+$L69=0,,IF($J69&gt;$L69,1,0))</f>
        <v>1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0</v>
      </c>
      <c r="Q69" s="47" t="n">
        <f aca="false">IF($J69+$L69=0,,$J69)</f>
        <v>58</v>
      </c>
      <c r="R69" s="47" t="n">
        <f aca="false">IF($J69+$L69=0,,$L69)</f>
        <v>50</v>
      </c>
      <c r="S69" s="47" t="n">
        <f aca="false">IF($J69+$L69=0,,$J69-$L69)</f>
        <v>8</v>
      </c>
      <c r="T69" s="47" t="str">
        <f aca="false">IF($D69="","(Squadra B)",$D69)</f>
        <v>Orangotanghi Operosi</v>
      </c>
      <c r="U69" s="47" t="n">
        <f aca="false">IF($J69+$L69=0,,IF($L69&gt;$J69,1,0))</f>
        <v>0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1</v>
      </c>
      <c r="X69" s="47" t="n">
        <f aca="false">IF($J69+$L69=0,,$L69)</f>
        <v>50</v>
      </c>
      <c r="Y69" s="47" t="n">
        <f aca="false">IF($J69+$L69=0,,$J69)</f>
        <v>58</v>
      </c>
      <c r="Z69" s="47" t="n">
        <f aca="false">IF($J69+$L69=0,,$L69-$J69)</f>
        <v>-8</v>
      </c>
      <c r="AA69" s="47" t="str">
        <f aca="false">IF($J69+$L69=0,"(Vincente)",IF($J69&gt;$L69,$B69,$D69))</f>
        <v>Meduse Malandrine</v>
      </c>
      <c r="AB69" s="47" t="str">
        <f aca="false">IF($J69+$L69=0,"(Perdente)",IF($J69&lt;$L69,$B69,$D69))</f>
        <v>Orangotanghi Operosi</v>
      </c>
    </row>
    <row r="70" customFormat="false" ht="15.75" hidden="false" customHeight="true" outlineLevel="0" collapsed="false">
      <c r="A70" s="79"/>
      <c r="B70" s="48" t="str">
        <f aca="false">IF(I70="","",HYPERLINK(VLOOKUP(I70,areaCampiSquadre,3,FALSE()),VLOOKUP(I70,areaCampiSquadre,2,FALSE())))</f>
        <v>PalaOrangotanghi, Via dello Sport 13, Orangotanghiopoli OI</v>
      </c>
      <c r="C70" s="48"/>
      <c r="D70" s="48"/>
      <c r="E70" s="48"/>
      <c r="F70" s="48"/>
      <c r="G70" s="48"/>
      <c r="H70" s="48"/>
      <c r="I70" s="43" t="s">
        <v>158</v>
      </c>
      <c r="J70" s="45"/>
      <c r="K70" s="45"/>
      <c r="L70" s="45"/>
    </row>
    <row r="71" customFormat="false" ht="12.75" hidden="false" customHeight="true" outlineLevel="0" collapsed="false">
      <c r="A71" s="78" t="s">
        <v>334</v>
      </c>
      <c r="B71" s="78" t="s">
        <v>317</v>
      </c>
      <c r="C71" s="78"/>
      <c r="D71" s="78" t="s">
        <v>324</v>
      </c>
      <c r="E71" s="78"/>
      <c r="F71" s="78" t="s">
        <v>335</v>
      </c>
      <c r="G71" s="78" t="s">
        <v>336</v>
      </c>
      <c r="H71" s="78" t="s">
        <v>337</v>
      </c>
      <c r="I71" s="78"/>
      <c r="J71" s="78" t="s">
        <v>338</v>
      </c>
      <c r="K71" s="78"/>
      <c r="L71" s="78"/>
    </row>
    <row r="72" customFormat="false" ht="24" hidden="false" customHeight="true" outlineLevel="0" collapsed="false">
      <c r="A72" s="79" t="n">
        <f aca="false">MAX(A$10:A71)+1</f>
        <v>187</v>
      </c>
      <c r="B72" s="42" t="str">
        <f aca="false">IF(C72="","",IFERROR(LEFT(VLOOKUP(C72,areaNomiSquadre,2,FALSE()),FIND("-",VLOOKUP(C72,areaNomiSquadre,2,FALSE()))-1),""))</f>
        <v>Pinguini Prodigiosi</v>
      </c>
      <c r="C72" s="43" t="s">
        <v>160</v>
      </c>
      <c r="D72" s="42" t="str">
        <f aca="false">IF(E72="","",IFERROR(LEFT(VLOOKUP(E72,areaNomiSquadre,2,FALSE()),FIND("-",VLOOKUP(E72,areaNomiSquadre,2,FALSE()))-1),""))</f>
        <v>Leopardi Leggiadri</v>
      </c>
      <c r="E72" s="43" t="s">
        <v>152</v>
      </c>
      <c r="F72" s="44" t="n">
        <v>46411.625</v>
      </c>
      <c r="G72" s="44"/>
      <c r="H72" s="44"/>
      <c r="I72" s="44"/>
      <c r="J72" s="45" t="n">
        <v>79</v>
      </c>
      <c r="K72" s="46" t="s">
        <v>339</v>
      </c>
      <c r="L72" s="45" t="n">
        <v>67</v>
      </c>
      <c r="M72" s="47" t="str">
        <f aca="false">IF($B72="","(Squadra A)",$B72)</f>
        <v>Pinguini Prodigiosi</v>
      </c>
      <c r="N72" s="47" t="n">
        <f aca="false">IF($J72+$L72=0,,IF($J72&gt;$L72,1,0))</f>
        <v>1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0</v>
      </c>
      <c r="Q72" s="47" t="n">
        <f aca="false">IF($J72+$L72=0,,$J72)</f>
        <v>79</v>
      </c>
      <c r="R72" s="47" t="n">
        <f aca="false">IF($J72+$L72=0,,$L72)</f>
        <v>67</v>
      </c>
      <c r="S72" s="47" t="n">
        <f aca="false">IF($J72+$L72=0,,$J72-$L72)</f>
        <v>12</v>
      </c>
      <c r="T72" s="47" t="str">
        <f aca="false">IF($D72="","(Squadra B)",$D72)</f>
        <v>Leopardi Leggiadri</v>
      </c>
      <c r="U72" s="47" t="n">
        <f aca="false">IF($J72+$L72=0,,IF($L72&gt;$J72,1,0))</f>
        <v>0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1</v>
      </c>
      <c r="X72" s="47" t="n">
        <f aca="false">IF($J72+$L72=0,,$L72)</f>
        <v>67</v>
      </c>
      <c r="Y72" s="47" t="n">
        <f aca="false">IF($J72+$L72=0,,$J72)</f>
        <v>79</v>
      </c>
      <c r="Z72" s="47" t="n">
        <f aca="false">IF($J72+$L72=0,,$L72-$J72)</f>
        <v>-12</v>
      </c>
      <c r="AA72" s="47" t="str">
        <f aca="false">IF($J72+$L72=0,"(Vincente)",IF($J72&gt;$L72,$B72,$D72))</f>
        <v>Pinguini Prodigiosi</v>
      </c>
      <c r="AB72" s="47" t="str">
        <f aca="false">IF($J72+$L72=0,"(Perdente)",IF($J72&lt;$L72,$B72,$D72))</f>
        <v>Leopardi Leggiadri</v>
      </c>
    </row>
    <row r="73" customFormat="false" ht="15.75" hidden="false" customHeight="true" outlineLevel="0" collapsed="false">
      <c r="A73" s="79"/>
      <c r="B73" s="48" t="str">
        <f aca="false">IF(I73="","",HYPERLINK(VLOOKUP(I73,areaCampiSquadre,3,FALSE()),VLOOKUP(I73,areaCampiSquadre,2,FALSE())))</f>
        <v>PalaOrangotanghi, Via dello Sport 13, Orangotanghiopoli OI</v>
      </c>
      <c r="C73" s="48"/>
      <c r="D73" s="48"/>
      <c r="E73" s="48"/>
      <c r="F73" s="48"/>
      <c r="G73" s="48"/>
      <c r="H73" s="48"/>
      <c r="I73" s="43" t="s">
        <v>158</v>
      </c>
      <c r="J73" s="45"/>
      <c r="K73" s="45"/>
      <c r="L73" s="45"/>
    </row>
    <row r="74" customFormat="false" ht="12.75" hidden="false" customHeight="true" outlineLevel="0" collapsed="false">
      <c r="A74" s="78" t="s">
        <v>334</v>
      </c>
      <c r="B74" s="78" t="s">
        <v>317</v>
      </c>
      <c r="C74" s="78"/>
      <c r="D74" s="78" t="s">
        <v>324</v>
      </c>
      <c r="E74" s="78"/>
      <c r="F74" s="78" t="s">
        <v>335</v>
      </c>
      <c r="G74" s="78" t="s">
        <v>336</v>
      </c>
      <c r="H74" s="78" t="s">
        <v>337</v>
      </c>
      <c r="I74" s="78"/>
      <c r="J74" s="78" t="s">
        <v>338</v>
      </c>
      <c r="K74" s="78"/>
      <c r="L74" s="78"/>
    </row>
    <row r="75" customFormat="false" ht="24" hidden="false" customHeight="true" outlineLevel="0" collapsed="false">
      <c r="A75" s="79" t="n">
        <f aca="false">MAX(A$10:A74)+1</f>
        <v>188</v>
      </c>
      <c r="B75" s="42" t="str">
        <f aca="false">IF(C75="","",IFERROR(LEFT(VLOOKUP(C75,areaNomiSquadre,2,FALSE()),FIND("-",VLOOKUP(C75,areaNomiSquadre,2,FALSE()))-1),""))</f>
        <v>Struzzi Strepitosi</v>
      </c>
      <c r="C75" s="43" t="s">
        <v>164</v>
      </c>
      <c r="D75" s="42" t="str">
        <f aca="false">IF(E75="","",IFERROR(LEFT(VLOOKUP(E75,areaNomiSquadre,2,FALSE()),FIND("-",VLOOKUP(E75,areaNomiSquadre,2,FALSE()))-1),""))</f>
        <v>Renne Rocambolesche</v>
      </c>
      <c r="E75" s="43" t="s">
        <v>162</v>
      </c>
      <c r="F75" s="44" t="n">
        <v>46411.7083333333</v>
      </c>
      <c r="G75" s="44"/>
      <c r="H75" s="44"/>
      <c r="I75" s="44"/>
      <c r="J75" s="45" t="n">
        <v>77</v>
      </c>
      <c r="K75" s="46" t="s">
        <v>339</v>
      </c>
      <c r="L75" s="45" t="n">
        <v>57</v>
      </c>
      <c r="M75" s="47" t="str">
        <f aca="false">IF($B75="","(Squadra A)",$B75)</f>
        <v>Struzzi Strepitosi</v>
      </c>
      <c r="N75" s="47" t="n">
        <f aca="false">IF($J75+$L75=0,,IF($J75&gt;$L75,1,0))</f>
        <v>1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0</v>
      </c>
      <c r="Q75" s="47" t="n">
        <f aca="false">IF($J75+$L75=0,,$J75)</f>
        <v>77</v>
      </c>
      <c r="R75" s="47" t="n">
        <f aca="false">IF($J75+$L75=0,,$L75)</f>
        <v>57</v>
      </c>
      <c r="S75" s="47" t="n">
        <f aca="false">IF($J75+$L75=0,,$J75-$L75)</f>
        <v>20</v>
      </c>
      <c r="T75" s="47" t="str">
        <f aca="false">IF($D75="","(Squadra B)",$D75)</f>
        <v>Renne Rocambolesche</v>
      </c>
      <c r="U75" s="47" t="n">
        <f aca="false">IF($J75+$L75=0,,IF($L75&gt;$J75,1,0))</f>
        <v>0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1</v>
      </c>
      <c r="X75" s="47" t="n">
        <f aca="false">IF($J75+$L75=0,,$L75)</f>
        <v>57</v>
      </c>
      <c r="Y75" s="47" t="n">
        <f aca="false">IF($J75+$L75=0,,$J75)</f>
        <v>77</v>
      </c>
      <c r="Z75" s="47" t="n">
        <f aca="false">IF($J75+$L75=0,,$L75-$J75)</f>
        <v>-20</v>
      </c>
      <c r="AA75" s="47" t="str">
        <f aca="false">IF($J75+$L75=0,"(Vincente)",IF($J75&gt;$L75,$B75,$D75))</f>
        <v>Struzzi Strepitosi</v>
      </c>
      <c r="AB75" s="47" t="str">
        <f aca="false">IF($J75+$L75=0,"(Perdente)",IF($J75&lt;$L75,$B75,$D75))</f>
        <v>Renne Rocambolesche</v>
      </c>
    </row>
    <row r="76" customFormat="false" ht="15.75" hidden="false" customHeight="true" outlineLevel="0" collapsed="false">
      <c r="A76" s="79"/>
      <c r="B76" s="48" t="str">
        <f aca="false">IF(I76="","",HYPERLINK(VLOOKUP(I76,areaCampiSquadre,3,FALSE()),VLOOKUP(I76,areaCampiSquadre,2,FALSE())))</f>
        <v>PalaOrangotanghi, Via dello Sport 13, Orangotanghiopoli OI</v>
      </c>
      <c r="C76" s="48"/>
      <c r="D76" s="48"/>
      <c r="E76" s="48"/>
      <c r="F76" s="48"/>
      <c r="G76" s="48"/>
      <c r="H76" s="48"/>
      <c r="I76" s="43" t="s">
        <v>158</v>
      </c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76" t="s">
        <v>387</v>
      </c>
      <c r="B78" s="77" t="str">
        <f aca="false">"GIORNATA "&amp;ROMAN(VALUE(LEFT(A78,LEN(A78)-1)))&amp;" - GIRONE "&amp;RIGHT(A78,1)</f>
        <v>GIORNATA VI - GIRONE G</v>
      </c>
      <c r="C78" s="77"/>
      <c r="D78" s="77"/>
      <c r="E78" s="77"/>
      <c r="F78" s="77"/>
      <c r="G78" s="77"/>
      <c r="H78" s="77"/>
      <c r="I78" s="77"/>
      <c r="J78" s="77"/>
      <c r="K78" s="77"/>
      <c r="L78" s="77"/>
    </row>
    <row r="79" customFormat="false" ht="12.75" hidden="false" customHeight="true" outlineLevel="0" collapsed="false">
      <c r="A79" s="78" t="s">
        <v>334</v>
      </c>
      <c r="B79" s="78" t="s">
        <v>317</v>
      </c>
      <c r="C79" s="78"/>
      <c r="D79" s="78" t="s">
        <v>324</v>
      </c>
      <c r="E79" s="78"/>
      <c r="F79" s="78" t="s">
        <v>335</v>
      </c>
      <c r="G79" s="78" t="s">
        <v>336</v>
      </c>
      <c r="H79" s="78" t="s">
        <v>337</v>
      </c>
      <c r="I79" s="78"/>
      <c r="J79" s="78" t="s">
        <v>338</v>
      </c>
      <c r="K79" s="78"/>
      <c r="L79" s="78"/>
    </row>
    <row r="80" customFormat="false" ht="24" hidden="false" customHeight="true" outlineLevel="0" collapsed="false">
      <c r="A80" s="79" t="n">
        <f aca="false">MAX(A$10:A79)+1</f>
        <v>189</v>
      </c>
      <c r="B80" s="42" t="str">
        <f aca="false">IF(C80="","",IFERROR(LEFT(VLOOKUP(C80,areaNomiSquadre,2,FALSE()),FIND("-",VLOOKUP(C80,areaNomiSquadre,2,FALSE()))-1),""))</f>
        <v>Meduse Malandrine</v>
      </c>
      <c r="C80" s="43" t="s">
        <v>154</v>
      </c>
      <c r="D80" s="42" t="str">
        <f aca="false">IF(E80="","",IFERROR(LEFT(VLOOKUP(E80,areaNomiSquadre,2,FALSE()),FIND("-",VLOOKUP(E80,areaNomiSquadre,2,FALSE()))-1),""))</f>
        <v>Koala Kolossali</v>
      </c>
      <c r="E80" s="43" t="s">
        <v>149</v>
      </c>
      <c r="F80" s="44" t="n">
        <v>46432.3958333333</v>
      </c>
      <c r="G80" s="44"/>
      <c r="H80" s="44"/>
      <c r="I80" s="44"/>
      <c r="J80" s="45" t="n">
        <v>65</v>
      </c>
      <c r="K80" s="46" t="s">
        <v>339</v>
      </c>
      <c r="L80" s="45" t="n">
        <v>49</v>
      </c>
      <c r="M80" s="47" t="str">
        <f aca="false">IF($B80="","(Squadra A)",$B80)</f>
        <v>Meduse Malandrine</v>
      </c>
      <c r="N80" s="47" t="n">
        <f aca="false">IF($J80+$L80=0,,IF($J80&gt;$L80,1,0))</f>
        <v>1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0</v>
      </c>
      <c r="Q80" s="47" t="n">
        <f aca="false">IF($J80+$L80=0,,$J80)</f>
        <v>65</v>
      </c>
      <c r="R80" s="47" t="n">
        <f aca="false">IF($J80+$L80=0,,$L80)</f>
        <v>49</v>
      </c>
      <c r="S80" s="47" t="n">
        <f aca="false">IF($J80+$L80=0,,$J80-$L80)</f>
        <v>16</v>
      </c>
      <c r="T80" s="47" t="str">
        <f aca="false">IF($D80="","(Squadra B)",$D80)</f>
        <v>Koala Kolossali</v>
      </c>
      <c r="U80" s="47" t="n">
        <f aca="false">IF($J80+$L80=0,,IF($L80&gt;$J80,1,0))</f>
        <v>0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1</v>
      </c>
      <c r="X80" s="47" t="n">
        <f aca="false">IF($J80+$L80=0,,$L80)</f>
        <v>49</v>
      </c>
      <c r="Y80" s="47" t="n">
        <f aca="false">IF($J80+$L80=0,,$J80)</f>
        <v>65</v>
      </c>
      <c r="Z80" s="47" t="n">
        <f aca="false">IF($J80+$L80=0,,$L80-$J80)</f>
        <v>-16</v>
      </c>
      <c r="AA80" s="47" t="str">
        <f aca="false">IF($J80+$L80=0,"(Vincente)",IF($J80&gt;$L80,$B80,$D80))</f>
        <v>Meduse Malandrine</v>
      </c>
      <c r="AB80" s="47" t="str">
        <f aca="false">IF($J80+$L80=0,"(Perdente)",IF($J80&lt;$L80,$B80,$D80))</f>
        <v>Koala Kolossali</v>
      </c>
    </row>
    <row r="81" customFormat="false" ht="15.75" hidden="false" customHeight="true" outlineLevel="0" collapsed="false">
      <c r="A81" s="79"/>
      <c r="B81" s="48" t="str">
        <f aca="false">IF(I81="","",HYPERLINK(VLOOKUP(I81,areaCampiSquadre,3,FALSE()),VLOOKUP(I81,areaCampiSquadre,2,FALSE())))</f>
        <v>PalaPinguini, Via dello Sport 14, Pinguiniopoli PI</v>
      </c>
      <c r="C81" s="48"/>
      <c r="D81" s="48"/>
      <c r="E81" s="48"/>
      <c r="F81" s="48"/>
      <c r="G81" s="48"/>
      <c r="H81" s="48"/>
      <c r="I81" s="43" t="s">
        <v>160</v>
      </c>
      <c r="J81" s="45"/>
      <c r="K81" s="45"/>
      <c r="L81" s="45"/>
    </row>
    <row r="82" customFormat="false" ht="12.75" hidden="false" customHeight="true" outlineLevel="0" collapsed="false">
      <c r="A82" s="78" t="s">
        <v>334</v>
      </c>
      <c r="B82" s="78" t="s">
        <v>317</v>
      </c>
      <c r="C82" s="78"/>
      <c r="D82" s="78" t="s">
        <v>324</v>
      </c>
      <c r="E82" s="78"/>
      <c r="F82" s="78" t="s">
        <v>335</v>
      </c>
      <c r="G82" s="78" t="s">
        <v>336</v>
      </c>
      <c r="H82" s="78" t="s">
        <v>337</v>
      </c>
      <c r="I82" s="78"/>
      <c r="J82" s="78" t="s">
        <v>338</v>
      </c>
      <c r="K82" s="78"/>
      <c r="L82" s="78"/>
    </row>
    <row r="83" customFormat="false" ht="24" hidden="false" customHeight="true" outlineLevel="0" collapsed="false">
      <c r="A83" s="79" t="n">
        <f aca="false">MAX(A$10:A82)+1</f>
        <v>190</v>
      </c>
      <c r="B83" s="42" t="str">
        <f aca="false">IF(C83="","",IFERROR(LEFT(VLOOKUP(C83,areaNomiSquadre,2,FALSE()),FIND("-",VLOOKUP(C83,areaNomiSquadre,2,FALSE()))-1),""))</f>
        <v>Nandu Nottambuli</v>
      </c>
      <c r="C83" s="43" t="s">
        <v>156</v>
      </c>
      <c r="D83" s="42" t="str">
        <f aca="false">IF(E83="","",IFERROR(LEFT(VLOOKUP(E83,areaNomiSquadre,2,FALSE()),FIND("-",VLOOKUP(E83,areaNomiSquadre,2,FALSE()))-1),""))</f>
        <v>Leopardi Leggiadri</v>
      </c>
      <c r="E83" s="43" t="s">
        <v>152</v>
      </c>
      <c r="F83" s="44" t="n">
        <v>46432.4791666667</v>
      </c>
      <c r="G83" s="44"/>
      <c r="H83" s="44"/>
      <c r="I83" s="44"/>
      <c r="J83" s="45" t="n">
        <v>64</v>
      </c>
      <c r="K83" s="46" t="s">
        <v>339</v>
      </c>
      <c r="L83" s="45" t="n">
        <v>57</v>
      </c>
      <c r="M83" s="47" t="str">
        <f aca="false">IF($B83="","(Squadra A)",$B83)</f>
        <v>Nandu Nottambuli</v>
      </c>
      <c r="N83" s="47" t="n">
        <f aca="false">IF($J83+$L83=0,,IF($J83&gt;$L83,1,0))</f>
        <v>1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0</v>
      </c>
      <c r="Q83" s="47" t="n">
        <f aca="false">IF($J83+$L83=0,,$J83)</f>
        <v>64</v>
      </c>
      <c r="R83" s="47" t="n">
        <f aca="false">IF($J83+$L83=0,,$L83)</f>
        <v>57</v>
      </c>
      <c r="S83" s="47" t="n">
        <f aca="false">IF($J83+$L83=0,,$J83-$L83)</f>
        <v>7</v>
      </c>
      <c r="T83" s="47" t="str">
        <f aca="false">IF($D83="","(Squadra B)",$D83)</f>
        <v>Leopardi Leggiadri</v>
      </c>
      <c r="U83" s="47" t="n">
        <f aca="false">IF($J83+$L83=0,,IF($L83&gt;$J83,1,0))</f>
        <v>0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1</v>
      </c>
      <c r="X83" s="47" t="n">
        <f aca="false">IF($J83+$L83=0,,$L83)</f>
        <v>57</v>
      </c>
      <c r="Y83" s="47" t="n">
        <f aca="false">IF($J83+$L83=0,,$J83)</f>
        <v>64</v>
      </c>
      <c r="Z83" s="47" t="n">
        <f aca="false">IF($J83+$L83=0,,$L83-$J83)</f>
        <v>-7</v>
      </c>
      <c r="AA83" s="47" t="str">
        <f aca="false">IF($J83+$L83=0,"(Vincente)",IF($J83&gt;$L83,$B83,$D83))</f>
        <v>Nandu Nottambuli</v>
      </c>
      <c r="AB83" s="47" t="str">
        <f aca="false">IF($J83+$L83=0,"(Perdente)",IF($J83&lt;$L83,$B83,$D83))</f>
        <v>Leopardi Leggiadri</v>
      </c>
    </row>
    <row r="84" customFormat="false" ht="15.75" hidden="false" customHeight="true" outlineLevel="0" collapsed="false">
      <c r="A84" s="79"/>
      <c r="B84" s="48" t="str">
        <f aca="false">IF(I84="","",HYPERLINK(VLOOKUP(I84,areaCampiSquadre,3,FALSE()),VLOOKUP(I84,areaCampiSquadre,2,FALSE())))</f>
        <v>PalaPinguini, Via dello Sport 14, Pinguiniopoli PI</v>
      </c>
      <c r="C84" s="48"/>
      <c r="D84" s="48"/>
      <c r="E84" s="48"/>
      <c r="F84" s="48"/>
      <c r="G84" s="48"/>
      <c r="H84" s="48"/>
      <c r="I84" s="43" t="s">
        <v>160</v>
      </c>
      <c r="J84" s="45"/>
      <c r="K84" s="45"/>
      <c r="L84" s="45"/>
    </row>
    <row r="85" customFormat="false" ht="12.75" hidden="false" customHeight="true" outlineLevel="0" collapsed="false">
      <c r="A85" s="78" t="s">
        <v>334</v>
      </c>
      <c r="B85" s="78" t="s">
        <v>317</v>
      </c>
      <c r="C85" s="78"/>
      <c r="D85" s="78" t="s">
        <v>324</v>
      </c>
      <c r="E85" s="78"/>
      <c r="F85" s="78" t="s">
        <v>335</v>
      </c>
      <c r="G85" s="78" t="s">
        <v>336</v>
      </c>
      <c r="H85" s="78" t="s">
        <v>337</v>
      </c>
      <c r="I85" s="78"/>
      <c r="J85" s="78" t="s">
        <v>338</v>
      </c>
      <c r="K85" s="78"/>
      <c r="L85" s="78"/>
    </row>
    <row r="86" customFormat="false" ht="24" hidden="false" customHeight="true" outlineLevel="0" collapsed="false">
      <c r="A86" s="79" t="n">
        <f aca="false">MAX(A$10:A85)+1</f>
        <v>191</v>
      </c>
      <c r="B86" s="42" t="str">
        <f aca="false">IF(C86="","",IFERROR(LEFT(VLOOKUP(C86,areaNomiSquadre,2,FALSE()),FIND("-",VLOOKUP(C86,areaNomiSquadre,2,FALSE()))-1),""))</f>
        <v>Struzzi Strepitosi</v>
      </c>
      <c r="C86" s="43" t="s">
        <v>164</v>
      </c>
      <c r="D86" s="42" t="str">
        <f aca="false">IF(E86="","",IFERROR(LEFT(VLOOKUP(E86,areaNomiSquadre,2,FALSE()),FIND("-",VLOOKUP(E86,areaNomiSquadre,2,FALSE()))-1),""))</f>
        <v>Orangotanghi Operosi</v>
      </c>
      <c r="E86" s="43" t="s">
        <v>158</v>
      </c>
      <c r="F86" s="44" t="n">
        <v>46432.625</v>
      </c>
      <c r="G86" s="44"/>
      <c r="H86" s="44"/>
      <c r="I86" s="44"/>
      <c r="J86" s="45" t="n">
        <v>75</v>
      </c>
      <c r="K86" s="46" t="s">
        <v>339</v>
      </c>
      <c r="L86" s="45" t="n">
        <v>56</v>
      </c>
      <c r="M86" s="47" t="str">
        <f aca="false">IF($B86="","(Squadra A)",$B86)</f>
        <v>Struzzi Strepitosi</v>
      </c>
      <c r="N86" s="47" t="n">
        <f aca="false">IF($J86+$L86=0,,IF($J86&gt;$L86,1,0))</f>
        <v>1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0</v>
      </c>
      <c r="Q86" s="47" t="n">
        <f aca="false">IF($J86+$L86=0,,$J86)</f>
        <v>75</v>
      </c>
      <c r="R86" s="47" t="n">
        <f aca="false">IF($J86+$L86=0,,$L86)</f>
        <v>56</v>
      </c>
      <c r="S86" s="47" t="n">
        <f aca="false">IF($J86+$L86=0,,$J86-$L86)</f>
        <v>19</v>
      </c>
      <c r="T86" s="47" t="str">
        <f aca="false">IF($D86="","(Squadra B)",$D86)</f>
        <v>Orangotanghi Operosi</v>
      </c>
      <c r="U86" s="47" t="n">
        <f aca="false">IF($J86+$L86=0,,IF($L86&gt;$J86,1,0))</f>
        <v>0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1</v>
      </c>
      <c r="X86" s="47" t="n">
        <f aca="false">IF($J86+$L86=0,,$L86)</f>
        <v>56</v>
      </c>
      <c r="Y86" s="47" t="n">
        <f aca="false">IF($J86+$L86=0,,$J86)</f>
        <v>75</v>
      </c>
      <c r="Z86" s="47" t="n">
        <f aca="false">IF($J86+$L86=0,,$L86-$J86)</f>
        <v>-19</v>
      </c>
      <c r="AA86" s="47" t="str">
        <f aca="false">IF($J86+$L86=0,"(Vincente)",IF($J86&gt;$L86,$B86,$D86))</f>
        <v>Struzzi Strepitosi</v>
      </c>
      <c r="AB86" s="47" t="str">
        <f aca="false">IF($J86+$L86=0,"(Perdente)",IF($J86&lt;$L86,$B86,$D86))</f>
        <v>Orangotanghi Operosi</v>
      </c>
    </row>
    <row r="87" customFormat="false" ht="15.75" hidden="false" customHeight="true" outlineLevel="0" collapsed="false">
      <c r="A87" s="79"/>
      <c r="B87" s="48" t="str">
        <f aca="false">IF(I87="","",HYPERLINK(VLOOKUP(I87,areaCampiSquadre,3,FALSE()),VLOOKUP(I87,areaCampiSquadre,2,FALSE())))</f>
        <v>PalaPinguini, Via dello Sport 14, Pinguiniopoli PI</v>
      </c>
      <c r="C87" s="48"/>
      <c r="D87" s="48"/>
      <c r="E87" s="48"/>
      <c r="F87" s="48"/>
      <c r="G87" s="48"/>
      <c r="H87" s="48"/>
      <c r="I87" s="43" t="s">
        <v>160</v>
      </c>
      <c r="J87" s="45"/>
      <c r="K87" s="45"/>
      <c r="L87" s="45"/>
    </row>
    <row r="88" customFormat="false" ht="12.75" hidden="false" customHeight="true" outlineLevel="0" collapsed="false">
      <c r="A88" s="78" t="s">
        <v>334</v>
      </c>
      <c r="B88" s="78" t="s">
        <v>317</v>
      </c>
      <c r="C88" s="78"/>
      <c r="D88" s="78" t="s">
        <v>324</v>
      </c>
      <c r="E88" s="78"/>
      <c r="F88" s="78" t="s">
        <v>335</v>
      </c>
      <c r="G88" s="78" t="s">
        <v>336</v>
      </c>
      <c r="H88" s="78" t="s">
        <v>337</v>
      </c>
      <c r="I88" s="78"/>
      <c r="J88" s="78" t="s">
        <v>338</v>
      </c>
      <c r="K88" s="78"/>
      <c r="L88" s="78"/>
    </row>
    <row r="89" customFormat="false" ht="24" hidden="false" customHeight="true" outlineLevel="0" collapsed="false">
      <c r="A89" s="79" t="n">
        <f aca="false">MAX(A$10:A88)+1</f>
        <v>192</v>
      </c>
      <c r="B89" s="42" t="str">
        <f aca="false">IF(C89="","",IFERROR(LEFT(VLOOKUP(C89,areaNomiSquadre,2,FALSE()),FIND("-",VLOOKUP(C89,areaNomiSquadre,2,FALSE()))-1),""))</f>
        <v>Pinguini Prodigiosi</v>
      </c>
      <c r="C89" s="43" t="s">
        <v>160</v>
      </c>
      <c r="D89" s="42" t="str">
        <f aca="false">IF(E89="","",IFERROR(LEFT(VLOOKUP(E89,areaNomiSquadre,2,FALSE()),FIND("-",VLOOKUP(E89,areaNomiSquadre,2,FALSE()))-1),""))</f>
        <v>Renne Rocambolesche</v>
      </c>
      <c r="E89" s="43" t="s">
        <v>162</v>
      </c>
      <c r="F89" s="44" t="n">
        <v>46432.7083333333</v>
      </c>
      <c r="G89" s="44"/>
      <c r="H89" s="44"/>
      <c r="I89" s="44"/>
      <c r="J89" s="45" t="n">
        <v>55</v>
      </c>
      <c r="K89" s="46" t="s">
        <v>339</v>
      </c>
      <c r="L89" s="45" t="n">
        <v>29</v>
      </c>
      <c r="M89" s="47" t="str">
        <f aca="false">IF($B89="","(Squadra A)",$B89)</f>
        <v>Pinguini Prodigiosi</v>
      </c>
      <c r="N89" s="47" t="n">
        <f aca="false">IF($J89+$L89=0,,IF($J89&gt;$L89,1,0))</f>
        <v>1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0</v>
      </c>
      <c r="Q89" s="47" t="n">
        <f aca="false">IF($J89+$L89=0,,$J89)</f>
        <v>55</v>
      </c>
      <c r="R89" s="47" t="n">
        <f aca="false">IF($J89+$L89=0,,$L89)</f>
        <v>29</v>
      </c>
      <c r="S89" s="47" t="n">
        <f aca="false">IF($J89+$L89=0,,$J89-$L89)</f>
        <v>26</v>
      </c>
      <c r="T89" s="47" t="str">
        <f aca="false">IF($D89="","(Squadra B)",$D89)</f>
        <v>Renne Rocambolesche</v>
      </c>
      <c r="U89" s="47" t="n">
        <f aca="false">IF($J89+$L89=0,,IF($L89&gt;$J89,1,0))</f>
        <v>0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1</v>
      </c>
      <c r="X89" s="47" t="n">
        <f aca="false">IF($J89+$L89=0,,$L89)</f>
        <v>29</v>
      </c>
      <c r="Y89" s="47" t="n">
        <f aca="false">IF($J89+$L89=0,,$J89)</f>
        <v>55</v>
      </c>
      <c r="Z89" s="47" t="n">
        <f aca="false">IF($J89+$L89=0,,$L89-$J89)</f>
        <v>-26</v>
      </c>
      <c r="AA89" s="47" t="str">
        <f aca="false">IF($J89+$L89=0,"(Vincente)",IF($J89&gt;$L89,$B89,$D89))</f>
        <v>Pinguini Prodigiosi</v>
      </c>
      <c r="AB89" s="47" t="str">
        <f aca="false">IF($J89+$L89=0,"(Perdente)",IF($J89&lt;$L89,$B89,$D89))</f>
        <v>Renne Rocambolesche</v>
      </c>
    </row>
    <row r="90" customFormat="false" ht="15.75" hidden="false" customHeight="true" outlineLevel="0" collapsed="false">
      <c r="A90" s="79"/>
      <c r="B90" s="48" t="str">
        <f aca="false">IF(I90="","",HYPERLINK(VLOOKUP(I90,areaCampiSquadre,3,FALSE()),VLOOKUP(I90,areaCampiSquadre,2,FALSE())))</f>
        <v>PalaPinguini, Via dello Sport 14, Pinguiniopoli PI</v>
      </c>
      <c r="C90" s="48"/>
      <c r="D90" s="48"/>
      <c r="E90" s="48"/>
      <c r="F90" s="48"/>
      <c r="G90" s="48"/>
      <c r="H90" s="48"/>
      <c r="I90" s="43" t="s">
        <v>160</v>
      </c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76" t="s">
        <v>388</v>
      </c>
      <c r="B92" s="77" t="str">
        <f aca="false">"GIORNATA "&amp;ROMAN(VALUE(LEFT(A92,LEN(A92)-1)))&amp;" - GIRONE "&amp;RIGHT(A92,1)</f>
        <v>GIORNATA VII - GIRONE G</v>
      </c>
      <c r="C92" s="77"/>
      <c r="D92" s="77"/>
      <c r="E92" s="77"/>
      <c r="F92" s="77"/>
      <c r="G92" s="77"/>
      <c r="H92" s="77"/>
      <c r="I92" s="77"/>
      <c r="J92" s="77"/>
      <c r="K92" s="77"/>
      <c r="L92" s="77"/>
    </row>
    <row r="93" customFormat="false" ht="12.75" hidden="false" customHeight="true" outlineLevel="0" collapsed="false">
      <c r="A93" s="78" t="s">
        <v>334</v>
      </c>
      <c r="B93" s="78" t="s">
        <v>317</v>
      </c>
      <c r="C93" s="78"/>
      <c r="D93" s="78" t="s">
        <v>324</v>
      </c>
      <c r="E93" s="78"/>
      <c r="F93" s="78" t="s">
        <v>335</v>
      </c>
      <c r="G93" s="78" t="s">
        <v>336</v>
      </c>
      <c r="H93" s="78" t="s">
        <v>337</v>
      </c>
      <c r="I93" s="78"/>
      <c r="J93" s="78" t="s">
        <v>338</v>
      </c>
      <c r="K93" s="78"/>
      <c r="L93" s="78"/>
    </row>
    <row r="94" customFormat="false" ht="24" hidden="false" customHeight="true" outlineLevel="0" collapsed="false">
      <c r="A94" s="79" t="n">
        <f aca="false">MAX(A$10:A93)+1</f>
        <v>193</v>
      </c>
      <c r="B94" s="42" t="str">
        <f aca="false">IF(C94="","",IFERROR(LEFT(VLOOKUP(C94,areaNomiSquadre,2,FALSE()),FIND("-",VLOOKUP(C94,areaNomiSquadre,2,FALSE()))-1),""))</f>
        <v>Koala Kolossali</v>
      </c>
      <c r="C94" s="43" t="s">
        <v>149</v>
      </c>
      <c r="D94" s="42" t="str">
        <f aca="false">IF(E94="","",IFERROR(LEFT(VLOOKUP(E94,areaNomiSquadre,2,FALSE()),FIND("-",VLOOKUP(E94,areaNomiSquadre,2,FALSE()))-1),""))</f>
        <v>Leopardi Leggiadri</v>
      </c>
      <c r="E94" s="43" t="s">
        <v>152</v>
      </c>
      <c r="F94" s="44" t="n">
        <v>46453.3958333333</v>
      </c>
      <c r="G94" s="44"/>
      <c r="H94" s="44"/>
      <c r="I94" s="44"/>
      <c r="J94" s="45" t="n">
        <v>53</v>
      </c>
      <c r="K94" s="46" t="s">
        <v>339</v>
      </c>
      <c r="L94" s="45" t="n">
        <v>56</v>
      </c>
      <c r="M94" s="47" t="str">
        <f aca="false">IF($B94="","(Squadra A)",$B94)</f>
        <v>Koala Kolossali</v>
      </c>
      <c r="N94" s="47" t="n">
        <f aca="false">IF($J94+$L94=0,,IF($J94&gt;$L94,1,0))</f>
        <v>0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1</v>
      </c>
      <c r="Q94" s="47" t="n">
        <f aca="false">IF($J94+$L94=0,,$J94)</f>
        <v>53</v>
      </c>
      <c r="R94" s="47" t="n">
        <f aca="false">IF($J94+$L94=0,,$L94)</f>
        <v>56</v>
      </c>
      <c r="S94" s="47" t="n">
        <f aca="false">IF($J94+$L94=0,,$J94-$L94)</f>
        <v>-3</v>
      </c>
      <c r="T94" s="47" t="str">
        <f aca="false">IF($D94="","(Squadra B)",$D94)</f>
        <v>Leopardi Leggiadri</v>
      </c>
      <c r="U94" s="47" t="n">
        <f aca="false">IF($J94+$L94=0,,IF($L94&gt;$J94,1,0))</f>
        <v>1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0</v>
      </c>
      <c r="X94" s="47" t="n">
        <f aca="false">IF($J94+$L94=0,,$L94)</f>
        <v>56</v>
      </c>
      <c r="Y94" s="47" t="n">
        <f aca="false">IF($J94+$L94=0,,$J94)</f>
        <v>53</v>
      </c>
      <c r="Z94" s="47" t="n">
        <f aca="false">IF($J94+$L94=0,,$L94-$J94)</f>
        <v>3</v>
      </c>
      <c r="AA94" s="47" t="str">
        <f aca="false">IF($J94+$L94=0,"(Vincente)",IF($J94&gt;$L94,$B94,$D94))</f>
        <v>Leopardi Leggiadri</v>
      </c>
      <c r="AB94" s="47" t="str">
        <f aca="false">IF($J94+$L94=0,"(Perdente)",IF($J94&lt;$L94,$B94,$D94))</f>
        <v>Koala Kolossali</v>
      </c>
    </row>
    <row r="95" customFormat="false" ht="15.75" hidden="false" customHeight="true" outlineLevel="0" collapsed="false">
      <c r="A95" s="79"/>
      <c r="B95" s="48" t="str">
        <f aca="false">IF(I95="","",HYPERLINK(VLOOKUP(I95,areaCampiSquadre,3,FALSE()),VLOOKUP(I95,areaCampiSquadre,2,FALSE())))</f>
        <v>PalaRenne, Via dello Sport 15, Renneopoli RE</v>
      </c>
      <c r="C95" s="48"/>
      <c r="D95" s="48"/>
      <c r="E95" s="48"/>
      <c r="F95" s="48"/>
      <c r="G95" s="48"/>
      <c r="H95" s="48"/>
      <c r="I95" s="43" t="s">
        <v>162</v>
      </c>
      <c r="J95" s="45"/>
      <c r="K95" s="45"/>
      <c r="L95" s="45"/>
    </row>
    <row r="96" customFormat="false" ht="12.75" hidden="false" customHeight="true" outlineLevel="0" collapsed="false">
      <c r="A96" s="78" t="s">
        <v>334</v>
      </c>
      <c r="B96" s="78" t="s">
        <v>317</v>
      </c>
      <c r="C96" s="78"/>
      <c r="D96" s="78" t="s">
        <v>324</v>
      </c>
      <c r="E96" s="78"/>
      <c r="F96" s="78" t="s">
        <v>335</v>
      </c>
      <c r="G96" s="78" t="s">
        <v>336</v>
      </c>
      <c r="H96" s="78" t="s">
        <v>337</v>
      </c>
      <c r="I96" s="78"/>
      <c r="J96" s="78" t="s">
        <v>338</v>
      </c>
      <c r="K96" s="78"/>
      <c r="L96" s="78"/>
    </row>
    <row r="97" customFormat="false" ht="24" hidden="false" customHeight="true" outlineLevel="0" collapsed="false">
      <c r="A97" s="79" t="n">
        <f aca="false">MAX(A$10:A96)+1</f>
        <v>194</v>
      </c>
      <c r="B97" s="42" t="str">
        <f aca="false">IF(C97="","",IFERROR(LEFT(VLOOKUP(C97,areaNomiSquadre,2,FALSE()),FIND("-",VLOOKUP(C97,areaNomiSquadre,2,FALSE()))-1),""))</f>
        <v>Struzzi Strepitosi</v>
      </c>
      <c r="C97" s="43" t="s">
        <v>164</v>
      </c>
      <c r="D97" s="42" t="str">
        <f aca="false">IF(E97="","",IFERROR(LEFT(VLOOKUP(E97,areaNomiSquadre,2,FALSE()),FIND("-",VLOOKUP(E97,areaNomiSquadre,2,FALSE()))-1),""))</f>
        <v>Meduse Malandrine</v>
      </c>
      <c r="E97" s="43" t="s">
        <v>154</v>
      </c>
      <c r="F97" s="44" t="n">
        <v>46453.4791666667</v>
      </c>
      <c r="G97" s="44"/>
      <c r="H97" s="44"/>
      <c r="I97" s="44"/>
      <c r="J97" s="45" t="n">
        <v>62</v>
      </c>
      <c r="K97" s="46" t="s">
        <v>339</v>
      </c>
      <c r="L97" s="45" t="n">
        <v>45</v>
      </c>
      <c r="M97" s="47" t="str">
        <f aca="false">IF($B97="","(Squadra A)",$B97)</f>
        <v>Struzzi Strepitosi</v>
      </c>
      <c r="N97" s="47" t="n">
        <f aca="false">IF($J97+$L97=0,,IF($J97&gt;$L97,1,0))</f>
        <v>1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62</v>
      </c>
      <c r="R97" s="47" t="n">
        <f aca="false">IF($J97+$L97=0,,$L97)</f>
        <v>45</v>
      </c>
      <c r="S97" s="47" t="n">
        <f aca="false">IF($J97+$L97=0,,$J97-$L97)</f>
        <v>17</v>
      </c>
      <c r="T97" s="47" t="str">
        <f aca="false">IF($D97="","(Squadra B)",$D97)</f>
        <v>Meduse Malandrine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1</v>
      </c>
      <c r="X97" s="47" t="n">
        <f aca="false">IF($J97+$L97=0,,$L97)</f>
        <v>45</v>
      </c>
      <c r="Y97" s="47" t="n">
        <f aca="false">IF($J97+$L97=0,,$J97)</f>
        <v>62</v>
      </c>
      <c r="Z97" s="47" t="n">
        <f aca="false">IF($J97+$L97=0,,$L97-$J97)</f>
        <v>-17</v>
      </c>
      <c r="AA97" s="47" t="str">
        <f aca="false">IF($J97+$L97=0,"(Vincente)",IF($J97&gt;$L97,$B97,$D97))</f>
        <v>Struzzi Strepitosi</v>
      </c>
      <c r="AB97" s="47" t="str">
        <f aca="false">IF($J97+$L97=0,"(Perdente)",IF($J97&lt;$L97,$B97,$D97))</f>
        <v>Meduse Malandrine</v>
      </c>
    </row>
    <row r="98" customFormat="false" ht="15.75" hidden="false" customHeight="true" outlineLevel="0" collapsed="false">
      <c r="A98" s="79"/>
      <c r="B98" s="48" t="str">
        <f aca="false">IF(I98="","",HYPERLINK(VLOOKUP(I98,areaCampiSquadre,3,FALSE()),VLOOKUP(I98,areaCampiSquadre,2,FALSE())))</f>
        <v>PalaRenne, Via dello Sport 15, Renneopoli RE</v>
      </c>
      <c r="C98" s="48"/>
      <c r="D98" s="48"/>
      <c r="E98" s="48"/>
      <c r="F98" s="48"/>
      <c r="G98" s="48"/>
      <c r="H98" s="48"/>
      <c r="I98" s="43" t="s">
        <v>162</v>
      </c>
      <c r="J98" s="45"/>
      <c r="K98" s="45"/>
      <c r="L98" s="45"/>
    </row>
    <row r="99" customFormat="false" ht="12.75" hidden="false" customHeight="true" outlineLevel="0" collapsed="false">
      <c r="A99" s="78" t="s">
        <v>334</v>
      </c>
      <c r="B99" s="78" t="s">
        <v>317</v>
      </c>
      <c r="C99" s="78"/>
      <c r="D99" s="78" t="s">
        <v>324</v>
      </c>
      <c r="E99" s="78"/>
      <c r="F99" s="78" t="s">
        <v>335</v>
      </c>
      <c r="G99" s="78" t="s">
        <v>336</v>
      </c>
      <c r="H99" s="78" t="s">
        <v>337</v>
      </c>
      <c r="I99" s="78"/>
      <c r="J99" s="78" t="s">
        <v>338</v>
      </c>
      <c r="K99" s="78"/>
      <c r="L99" s="78"/>
    </row>
    <row r="100" customFormat="false" ht="24" hidden="false" customHeight="true" outlineLevel="0" collapsed="false">
      <c r="A100" s="79" t="n">
        <f aca="false">MAX(A$10:A99)+1</f>
        <v>195</v>
      </c>
      <c r="B100" s="42" t="str">
        <f aca="false">IF(C100="","",IFERROR(LEFT(VLOOKUP(C100,areaNomiSquadre,2,FALSE()),FIND("-",VLOOKUP(C100,areaNomiSquadre,2,FALSE()))-1),""))</f>
        <v>Nandu Nottambuli</v>
      </c>
      <c r="C100" s="43" t="s">
        <v>156</v>
      </c>
      <c r="D100" s="42" t="str">
        <f aca="false">IF(E100="","",IFERROR(LEFT(VLOOKUP(E100,areaNomiSquadre,2,FALSE()),FIND("-",VLOOKUP(E100,areaNomiSquadre,2,FALSE()))-1),""))</f>
        <v>Renne Rocambolesche</v>
      </c>
      <c r="E100" s="43" t="s">
        <v>162</v>
      </c>
      <c r="F100" s="44" t="n">
        <v>46453.625</v>
      </c>
      <c r="G100" s="44"/>
      <c r="H100" s="44"/>
      <c r="I100" s="44"/>
      <c r="J100" s="45" t="n">
        <v>60</v>
      </c>
      <c r="K100" s="46" t="s">
        <v>339</v>
      </c>
      <c r="L100" s="45" t="n">
        <v>74</v>
      </c>
      <c r="M100" s="47" t="str">
        <f aca="false">IF($B100="","(Squadra A)",$B100)</f>
        <v>Nandu Nottambuli</v>
      </c>
      <c r="N100" s="47" t="n">
        <f aca="false">IF($J100+$L100=0,,IF($J100&gt;$L100,1,0))</f>
        <v>0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1</v>
      </c>
      <c r="Q100" s="47" t="n">
        <f aca="false">IF($J100+$L100=0,,$J100)</f>
        <v>60</v>
      </c>
      <c r="R100" s="47" t="n">
        <f aca="false">IF($J100+$L100=0,,$L100)</f>
        <v>74</v>
      </c>
      <c r="S100" s="47" t="n">
        <f aca="false">IF($J100+$L100=0,,$J100-$L100)</f>
        <v>-14</v>
      </c>
      <c r="T100" s="47" t="str">
        <f aca="false">IF($D100="","(Squadra B)",$D100)</f>
        <v>Renne Rocambolesche</v>
      </c>
      <c r="U100" s="47" t="n">
        <f aca="false">IF($J100+$L100=0,,IF($L100&gt;$J100,1,0))</f>
        <v>1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0</v>
      </c>
      <c r="X100" s="47" t="n">
        <f aca="false">IF($J100+$L100=0,,$L100)</f>
        <v>74</v>
      </c>
      <c r="Y100" s="47" t="n">
        <f aca="false">IF($J100+$L100=0,,$J100)</f>
        <v>60</v>
      </c>
      <c r="Z100" s="47" t="n">
        <f aca="false">IF($J100+$L100=0,,$L100-$J100)</f>
        <v>14</v>
      </c>
      <c r="AA100" s="47" t="str">
        <f aca="false">IF($J100+$L100=0,"(Vincente)",IF($J100&gt;$L100,$B100,$D100))</f>
        <v>Renne Rocambolesche</v>
      </c>
      <c r="AB100" s="47" t="str">
        <f aca="false">IF($J100+$L100=0,"(Perdente)",IF($J100&lt;$L100,$B100,$D100))</f>
        <v>Nandu Nottambuli</v>
      </c>
    </row>
    <row r="101" customFormat="false" ht="15.75" hidden="false" customHeight="true" outlineLevel="0" collapsed="false">
      <c r="A101" s="79"/>
      <c r="B101" s="48" t="str">
        <f aca="false">IF(I101="","",HYPERLINK(VLOOKUP(I101,areaCampiSquadre,3,FALSE()),VLOOKUP(I101,areaCampiSquadre,2,FALSE())))</f>
        <v>PalaRenne, Via dello Sport 15, Renneopoli RE</v>
      </c>
      <c r="C101" s="48"/>
      <c r="D101" s="48"/>
      <c r="E101" s="48"/>
      <c r="F101" s="48"/>
      <c r="G101" s="48"/>
      <c r="H101" s="48"/>
      <c r="I101" s="43" t="s">
        <v>162</v>
      </c>
      <c r="J101" s="45"/>
      <c r="K101" s="45"/>
      <c r="L101" s="45"/>
    </row>
    <row r="102" customFormat="false" ht="12.75" hidden="false" customHeight="true" outlineLevel="0" collapsed="false">
      <c r="A102" s="78" t="s">
        <v>334</v>
      </c>
      <c r="B102" s="78" t="s">
        <v>317</v>
      </c>
      <c r="C102" s="78"/>
      <c r="D102" s="78" t="s">
        <v>324</v>
      </c>
      <c r="E102" s="78"/>
      <c r="F102" s="78" t="s">
        <v>335</v>
      </c>
      <c r="G102" s="78" t="s">
        <v>336</v>
      </c>
      <c r="H102" s="78" t="s">
        <v>337</v>
      </c>
      <c r="I102" s="78"/>
      <c r="J102" s="78" t="s">
        <v>338</v>
      </c>
      <c r="K102" s="78"/>
      <c r="L102" s="78"/>
    </row>
    <row r="103" customFormat="false" ht="24" hidden="false" customHeight="true" outlineLevel="0" collapsed="false">
      <c r="A103" s="79" t="n">
        <f aca="false">MAX(A$10:A102)+1</f>
        <v>196</v>
      </c>
      <c r="B103" s="42" t="str">
        <f aca="false">IF(C103="","",IFERROR(LEFT(VLOOKUP(C103,areaNomiSquadre,2,FALSE()),FIND("-",VLOOKUP(C103,areaNomiSquadre,2,FALSE()))-1),""))</f>
        <v>Pinguini Prodigiosi</v>
      </c>
      <c r="C103" s="43" t="s">
        <v>160</v>
      </c>
      <c r="D103" s="42" t="str">
        <f aca="false">IF(E103="","",IFERROR(LEFT(VLOOKUP(E103,areaNomiSquadre,2,FALSE()),FIND("-",VLOOKUP(E103,areaNomiSquadre,2,FALSE()))-1),""))</f>
        <v>Orangotanghi Operosi</v>
      </c>
      <c r="E103" s="43" t="s">
        <v>158</v>
      </c>
      <c r="F103" s="44" t="n">
        <v>46453.7083333333</v>
      </c>
      <c r="G103" s="44"/>
      <c r="H103" s="44"/>
      <c r="I103" s="44"/>
      <c r="J103" s="45" t="n">
        <v>78</v>
      </c>
      <c r="K103" s="46" t="s">
        <v>339</v>
      </c>
      <c r="L103" s="45" t="n">
        <v>42</v>
      </c>
      <c r="M103" s="47" t="str">
        <f aca="false">IF($B103="","(Squadra A)",$B103)</f>
        <v>Pinguini Prodigiosi</v>
      </c>
      <c r="N103" s="47" t="n">
        <f aca="false">IF($J103+$L103=0,,IF($J103&gt;$L103,1,0))</f>
        <v>1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0</v>
      </c>
      <c r="Q103" s="47" t="n">
        <f aca="false">IF($J103+$L103=0,,$J103)</f>
        <v>78</v>
      </c>
      <c r="R103" s="47" t="n">
        <f aca="false">IF($J103+$L103=0,,$L103)</f>
        <v>42</v>
      </c>
      <c r="S103" s="47" t="n">
        <f aca="false">IF($J103+$L103=0,,$J103-$L103)</f>
        <v>36</v>
      </c>
      <c r="T103" s="47" t="str">
        <f aca="false">IF($D103="","(Squadra B)",$D103)</f>
        <v>Orangotanghi Operosi</v>
      </c>
      <c r="U103" s="47" t="n">
        <f aca="false">IF($J103+$L103=0,,IF($L103&gt;$J103,1,0))</f>
        <v>0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1</v>
      </c>
      <c r="X103" s="47" t="n">
        <f aca="false">IF($J103+$L103=0,,$L103)</f>
        <v>42</v>
      </c>
      <c r="Y103" s="47" t="n">
        <f aca="false">IF($J103+$L103=0,,$J103)</f>
        <v>78</v>
      </c>
      <c r="Z103" s="47" t="n">
        <f aca="false">IF($J103+$L103=0,,$L103-$J103)</f>
        <v>-36</v>
      </c>
      <c r="AA103" s="47" t="str">
        <f aca="false">IF($J103+$L103=0,"(Vincente)",IF($J103&gt;$L103,$B103,$D103))</f>
        <v>Pinguini Prodigiosi</v>
      </c>
      <c r="AB103" s="47" t="str">
        <f aca="false">IF($J103+$L103=0,"(Perdente)",IF($J103&lt;$L103,$B103,$D103))</f>
        <v>Orangotanghi Operosi</v>
      </c>
    </row>
    <row r="104" customFormat="false" ht="15.75" hidden="false" customHeight="true" outlineLevel="0" collapsed="false">
      <c r="A104" s="79"/>
      <c r="B104" s="48" t="str">
        <f aca="false">IF(I104="","",HYPERLINK(VLOOKUP(I104,areaCampiSquadre,3,FALSE()),VLOOKUP(I104,areaCampiSquadre,2,FALSE())))</f>
        <v>PalaRenne, Via dello Sport 15, Renneopoli RE</v>
      </c>
      <c r="C104" s="48"/>
      <c r="D104" s="48"/>
      <c r="E104" s="48"/>
      <c r="F104" s="48"/>
      <c r="G104" s="48"/>
      <c r="H104" s="48"/>
      <c r="I104" s="43" t="s">
        <v>162</v>
      </c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346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8019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>Campionato Baskin Demo - ESEMPIO COMPILATO 64 Squadre</v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80" t="str">
        <f aca="false">"GIRONE H - Stagione "&amp;constStagionaCampionato</f>
        <v>GIRONE H - Stagione 2026/2027</v>
      </c>
      <c r="B3" s="80"/>
      <c r="C3" s="80"/>
      <c r="D3" s="80"/>
    </row>
    <row r="6" customFormat="false" ht="15" hidden="false" customHeight="false" outlineLevel="0" collapsed="false">
      <c r="M6" s="37" t="s">
        <v>317</v>
      </c>
      <c r="N6" s="37" t="s">
        <v>318</v>
      </c>
      <c r="O6" s="37" t="s">
        <v>319</v>
      </c>
      <c r="P6" s="37" t="s">
        <v>320</v>
      </c>
      <c r="Q6" s="37" t="s">
        <v>321</v>
      </c>
      <c r="R6" s="37" t="s">
        <v>322</v>
      </c>
      <c r="S6" s="37" t="s">
        <v>323</v>
      </c>
      <c r="T6" s="37" t="s">
        <v>324</v>
      </c>
      <c r="U6" s="37" t="s">
        <v>325</v>
      </c>
      <c r="V6" s="37" t="s">
        <v>326</v>
      </c>
      <c r="W6" s="37" t="s">
        <v>327</v>
      </c>
      <c r="X6" s="37" t="s">
        <v>328</v>
      </c>
      <c r="Y6" s="37" t="s">
        <v>329</v>
      </c>
      <c r="Z6" s="37" t="s">
        <v>330</v>
      </c>
      <c r="AA6" s="37" t="s">
        <v>331</v>
      </c>
      <c r="AB6" s="37" t="s">
        <v>332</v>
      </c>
    </row>
    <row r="8" customFormat="false" ht="19.5" hidden="false" customHeight="true" outlineLevel="0" collapsed="false">
      <c r="A8" s="81" t="s">
        <v>389</v>
      </c>
      <c r="B8" s="82" t="str">
        <f aca="false">"GIORNATA "&amp;ROMAN(VALUE(LEFT(A8,LEN(A8)-1)))&amp;" - GIRONE "&amp;RIGHT(A8,1)</f>
        <v>GIORNATA I - GIRONE H</v>
      </c>
      <c r="C8" s="82"/>
      <c r="D8" s="82"/>
      <c r="E8" s="82"/>
      <c r="F8" s="82"/>
      <c r="G8" s="82"/>
      <c r="H8" s="82"/>
      <c r="I8" s="82"/>
      <c r="J8" s="82"/>
      <c r="K8" s="82"/>
      <c r="L8" s="82"/>
    </row>
    <row r="9" customFormat="false" ht="12.75" hidden="false" customHeight="true" outlineLevel="0" collapsed="false">
      <c r="A9" s="83" t="s">
        <v>334</v>
      </c>
      <c r="B9" s="83" t="s">
        <v>317</v>
      </c>
      <c r="C9" s="83"/>
      <c r="D9" s="83" t="s">
        <v>324</v>
      </c>
      <c r="E9" s="83"/>
      <c r="F9" s="83" t="s">
        <v>335</v>
      </c>
      <c r="G9" s="83" t="s">
        <v>336</v>
      </c>
      <c r="H9" s="83" t="s">
        <v>337</v>
      </c>
      <c r="I9" s="83"/>
      <c r="J9" s="83" t="s">
        <v>338</v>
      </c>
      <c r="K9" s="83"/>
      <c r="L9" s="83"/>
    </row>
    <row r="10" customFormat="false" ht="24" hidden="false" customHeight="true" outlineLevel="0" collapsed="false">
      <c r="A10" s="84" t="n">
        <v>197</v>
      </c>
      <c r="B10" s="42" t="str">
        <f aca="false">IF(C10="","",IFERROR(LEFT(VLOOKUP(C10,areaNomiSquadre,2,FALSE()),FIND("-",VLOOKUP(C10,areaNomiSquadre,2,FALSE()))-1),""))</f>
        <v>Tartarughe Testarde</v>
      </c>
      <c r="C10" s="43" t="s">
        <v>166</v>
      </c>
      <c r="D10" s="42" t="str">
        <f aca="false">IF(E10="","",IFERROR(LEFT(VLOOKUP(E10,areaNomiSquadre,2,FALSE()),FIND("-",VLOOKUP(E10,areaNomiSquadre,2,FALSE()))-1),""))</f>
        <v>Draghi Dinamici</v>
      </c>
      <c r="E10" s="43" t="s">
        <v>181</v>
      </c>
      <c r="F10" s="44" t="n">
        <v>46313.3958333333</v>
      </c>
      <c r="G10" s="44"/>
      <c r="H10" s="44"/>
      <c r="I10" s="44"/>
      <c r="J10" s="45" t="n">
        <v>69</v>
      </c>
      <c r="K10" s="46" t="s">
        <v>339</v>
      </c>
      <c r="L10" s="45" t="n">
        <v>49</v>
      </c>
      <c r="M10" s="47" t="str">
        <f aca="false">IF($B10="","(Squadra A)",$B10)</f>
        <v>Tartarughe Testarde</v>
      </c>
      <c r="N10" s="47" t="n">
        <f aca="false">IF($J10+$L10=0,,IF($J10&gt;$L10,1,0))</f>
        <v>1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69</v>
      </c>
      <c r="R10" s="47" t="n">
        <f aca="false">IF($J10+$L10=0,,$L10)</f>
        <v>49</v>
      </c>
      <c r="S10" s="47" t="n">
        <f aca="false">IF($J10+$L10=0,,$J10-$L10)</f>
        <v>20</v>
      </c>
      <c r="T10" s="47" t="str">
        <f aca="false">IF($D10="","(Squadra B)",$D10)</f>
        <v>Draghi Dinamici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1</v>
      </c>
      <c r="X10" s="47" t="n">
        <f aca="false">IF($J10+$L10=0,,$L10)</f>
        <v>49</v>
      </c>
      <c r="Y10" s="47" t="n">
        <f aca="false">IF($J10+$L10=0,,$J10)</f>
        <v>69</v>
      </c>
      <c r="Z10" s="47" t="n">
        <f aca="false">IF($J10+$L10=0,,$L10-$J10)</f>
        <v>-20</v>
      </c>
      <c r="AA10" s="47" t="str">
        <f aca="false">IF($J10+$L10=0,"(Vincente)",IF($J10&gt;$L10,$B10,$D10))</f>
        <v>Tartarughe Testarde</v>
      </c>
      <c r="AB10" s="47" t="str">
        <f aca="false">IF($J10+$L10=0,"(Perdente)",IF($J10&lt;$L10,$B10,$D10))</f>
        <v>Draghi Dinamici</v>
      </c>
    </row>
    <row r="11" customFormat="false" ht="15.75" hidden="false" customHeight="true" outlineLevel="0" collapsed="false">
      <c r="A11" s="84"/>
      <c r="B11" s="48" t="str">
        <f aca="false">IF(I11="","",HYPERLINK(VLOOKUP(I11,areaCampiSquadre,3,FALSE()),VLOOKUP(I11,areaCampiSquadre,2,FALSE())))</f>
        <v>PalaTartarughe, Via dello Sport 17, Tartarugheopoli TE</v>
      </c>
      <c r="C11" s="48"/>
      <c r="D11" s="48"/>
      <c r="E11" s="48"/>
      <c r="F11" s="48"/>
      <c r="G11" s="48"/>
      <c r="H11" s="48"/>
      <c r="I11" s="43" t="s">
        <v>166</v>
      </c>
      <c r="J11" s="45"/>
      <c r="K11" s="45"/>
      <c r="L11" s="45"/>
    </row>
    <row r="12" customFormat="false" ht="12.75" hidden="false" customHeight="true" outlineLevel="0" collapsed="false">
      <c r="A12" s="83" t="s">
        <v>334</v>
      </c>
      <c r="B12" s="83" t="s">
        <v>317</v>
      </c>
      <c r="C12" s="83"/>
      <c r="D12" s="83" t="s">
        <v>324</v>
      </c>
      <c r="E12" s="83"/>
      <c r="F12" s="83" t="s">
        <v>335</v>
      </c>
      <c r="G12" s="83" t="s">
        <v>336</v>
      </c>
      <c r="H12" s="83" t="s">
        <v>337</v>
      </c>
      <c r="I12" s="83"/>
      <c r="J12" s="83" t="s">
        <v>338</v>
      </c>
      <c r="K12" s="83"/>
      <c r="L12" s="83"/>
    </row>
    <row r="13" customFormat="false" ht="24" hidden="false" customHeight="true" outlineLevel="0" collapsed="false">
      <c r="A13" s="84" t="n">
        <f aca="false">MAX(A$10:A12)+1</f>
        <v>198</v>
      </c>
      <c r="B13" s="42" t="str">
        <f aca="false">IF(C13="","",IFERROR(LEFT(VLOOKUP(C13,areaNomiSquadre,2,FALSE()),FIND("-",VLOOKUP(C13,areaNomiSquadre,2,FALSE()))-1),""))</f>
        <v>Castori Cocciuti</v>
      </c>
      <c r="C13" s="43" t="s">
        <v>179</v>
      </c>
      <c r="D13" s="42" t="str">
        <f aca="false">IF(E13="","",IFERROR(LEFT(VLOOKUP(E13,areaNomiSquadre,2,FALSE()),FIND("-",VLOOKUP(E13,areaNomiSquadre,2,FALSE()))-1),""))</f>
        <v>Urubu Urlanti</v>
      </c>
      <c r="E13" s="43" t="s">
        <v>169</v>
      </c>
      <c r="F13" s="44" t="n">
        <v>46313.4791666667</v>
      </c>
      <c r="G13" s="44"/>
      <c r="H13" s="44"/>
      <c r="I13" s="44"/>
      <c r="J13" s="45" t="n">
        <v>44</v>
      </c>
      <c r="K13" s="46" t="s">
        <v>339</v>
      </c>
      <c r="L13" s="45" t="n">
        <v>69</v>
      </c>
      <c r="M13" s="47" t="str">
        <f aca="false">IF($B13="","(Squadra A)",$B13)</f>
        <v>Castori Cocciuti</v>
      </c>
      <c r="N13" s="47" t="n">
        <f aca="false">IF($J13+$L13=0,,IF($J13&gt;$L13,1,0))</f>
        <v>0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1</v>
      </c>
      <c r="Q13" s="47" t="n">
        <f aca="false">IF($J13+$L13=0,,$J13)</f>
        <v>44</v>
      </c>
      <c r="R13" s="47" t="n">
        <f aca="false">IF($J13+$L13=0,,$L13)</f>
        <v>69</v>
      </c>
      <c r="S13" s="47" t="n">
        <f aca="false">IF($J13+$L13=0,,$J13-$L13)</f>
        <v>-25</v>
      </c>
      <c r="T13" s="47" t="str">
        <f aca="false">IF($D13="","(Squadra B)",$D13)</f>
        <v>Urubu Urlanti</v>
      </c>
      <c r="U13" s="47" t="n">
        <f aca="false">IF($J13+$L13=0,,IF($L13&gt;$J13,1,0))</f>
        <v>1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0</v>
      </c>
      <c r="X13" s="47" t="n">
        <f aca="false">IF($J13+$L13=0,,$L13)</f>
        <v>69</v>
      </c>
      <c r="Y13" s="47" t="n">
        <f aca="false">IF($J13+$L13=0,,$J13)</f>
        <v>44</v>
      </c>
      <c r="Z13" s="47" t="n">
        <f aca="false">IF($J13+$L13=0,,$L13-$J13)</f>
        <v>25</v>
      </c>
      <c r="AA13" s="47" t="str">
        <f aca="false">IF($J13+$L13=0,"(Vincente)",IF($J13&gt;$L13,$B13,$D13))</f>
        <v>Urubu Urlanti</v>
      </c>
      <c r="AB13" s="47" t="str">
        <f aca="false">IF($J13+$L13=0,"(Perdente)",IF($J13&lt;$L13,$B13,$D13))</f>
        <v>Castori Cocciuti</v>
      </c>
    </row>
    <row r="14" customFormat="false" ht="15.75" hidden="false" customHeight="true" outlineLevel="0" collapsed="false">
      <c r="A14" s="84"/>
      <c r="B14" s="48" t="str">
        <f aca="false">IF(I14="","",HYPERLINK(VLOOKUP(I14,areaCampiSquadre,3,FALSE()),VLOOKUP(I14,areaCampiSquadre,2,FALSE())))</f>
        <v>PalaTartarughe, Via dello Sport 17, Tartarugheopoli TE</v>
      </c>
      <c r="C14" s="48"/>
      <c r="D14" s="48"/>
      <c r="E14" s="48"/>
      <c r="F14" s="48"/>
      <c r="G14" s="48"/>
      <c r="H14" s="48"/>
      <c r="I14" s="43" t="s">
        <v>166</v>
      </c>
      <c r="J14" s="45"/>
      <c r="K14" s="45"/>
      <c r="L14" s="45"/>
    </row>
    <row r="15" customFormat="false" ht="12.75" hidden="false" customHeight="true" outlineLevel="0" collapsed="false">
      <c r="A15" s="83" t="s">
        <v>334</v>
      </c>
      <c r="B15" s="83" t="s">
        <v>317</v>
      </c>
      <c r="C15" s="83"/>
      <c r="D15" s="83" t="s">
        <v>324</v>
      </c>
      <c r="E15" s="83"/>
      <c r="F15" s="83" t="s">
        <v>335</v>
      </c>
      <c r="G15" s="83" t="s">
        <v>336</v>
      </c>
      <c r="H15" s="83" t="s">
        <v>337</v>
      </c>
      <c r="I15" s="83"/>
      <c r="J15" s="83" t="s">
        <v>338</v>
      </c>
      <c r="K15" s="83"/>
      <c r="L15" s="83"/>
    </row>
    <row r="16" customFormat="false" ht="24" hidden="false" customHeight="true" outlineLevel="0" collapsed="false">
      <c r="A16" s="84" t="n">
        <f aca="false">MAX(A$10:A15)+1</f>
        <v>199</v>
      </c>
      <c r="B16" s="42" t="str">
        <f aca="false">IF(C16="","",IFERROR(LEFT(VLOOKUP(C16,areaNomiSquadre,2,FALSE()),FIND("-",VLOOKUP(C16,areaNomiSquadre,2,FALSE()))-1),""))</f>
        <v>Visoni Vigorosi</v>
      </c>
      <c r="C16" s="43" t="s">
        <v>171</v>
      </c>
      <c r="D16" s="42" t="str">
        <f aca="false">IF(E16="","",IFERROR(LEFT(VLOOKUP(E16,areaNomiSquadre,2,FALSE()),FIND("-",VLOOKUP(E16,areaNomiSquadre,2,FALSE()))-1),""))</f>
        <v>Bradipi Brillanti</v>
      </c>
      <c r="E16" s="43" t="s">
        <v>177</v>
      </c>
      <c r="F16" s="44" t="n">
        <v>46313.625</v>
      </c>
      <c r="G16" s="44"/>
      <c r="H16" s="44"/>
      <c r="I16" s="44"/>
      <c r="J16" s="45" t="n">
        <v>77</v>
      </c>
      <c r="K16" s="46" t="s">
        <v>339</v>
      </c>
      <c r="L16" s="45" t="n">
        <v>63</v>
      </c>
      <c r="M16" s="47" t="str">
        <f aca="false">IF($B16="","(Squadra A)",$B16)</f>
        <v>Visoni Vigorosi</v>
      </c>
      <c r="N16" s="47" t="n">
        <f aca="false">IF($J16+$L16=0,,IF($J16&gt;$L16,1,0))</f>
        <v>1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47" t="n">
        <f aca="false">IF($J16+$L16=0,,$J16)</f>
        <v>77</v>
      </c>
      <c r="R16" s="47" t="n">
        <f aca="false">IF($J16+$L16=0,,$L16)</f>
        <v>63</v>
      </c>
      <c r="S16" s="47" t="n">
        <f aca="false">IF($J16+$L16=0,,$J16-$L16)</f>
        <v>14</v>
      </c>
      <c r="T16" s="47" t="str">
        <f aca="false">IF($D16="","(Squadra B)",$D16)</f>
        <v>Bradipi Brillanti</v>
      </c>
      <c r="U16" s="47" t="n">
        <f aca="false">IF($J16+$L16=0,,IF($L16&gt;$J16,1,0))</f>
        <v>0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1</v>
      </c>
      <c r="X16" s="47" t="n">
        <f aca="false">IF($J16+$L16=0,,$L16)</f>
        <v>63</v>
      </c>
      <c r="Y16" s="47" t="n">
        <f aca="false">IF($J16+$L16=0,,$J16)</f>
        <v>77</v>
      </c>
      <c r="Z16" s="47" t="n">
        <f aca="false">IF($J16+$L16=0,,$L16-$J16)</f>
        <v>-14</v>
      </c>
      <c r="AA16" s="47" t="str">
        <f aca="false">IF($J16+$L16=0,"(Vincente)",IF($J16&gt;$L16,$B16,$D16))</f>
        <v>Visoni Vigorosi</v>
      </c>
      <c r="AB16" s="47" t="str">
        <f aca="false">IF($J16+$L16=0,"(Perdente)",IF($J16&lt;$L16,$B16,$D16))</f>
        <v>Bradipi Brillanti</v>
      </c>
    </row>
    <row r="17" customFormat="false" ht="15.75" hidden="false" customHeight="true" outlineLevel="0" collapsed="false">
      <c r="A17" s="84"/>
      <c r="B17" s="48" t="str">
        <f aca="false">IF(I17="","",HYPERLINK(VLOOKUP(I17,areaCampiSquadre,3,FALSE()),VLOOKUP(I17,areaCampiSquadre,2,FALSE())))</f>
        <v>PalaTartarughe, Via dello Sport 17, Tartarugheopoli TE</v>
      </c>
      <c r="C17" s="48"/>
      <c r="D17" s="48"/>
      <c r="E17" s="48"/>
      <c r="F17" s="48"/>
      <c r="G17" s="48"/>
      <c r="H17" s="48"/>
      <c r="I17" s="43" t="s">
        <v>166</v>
      </c>
      <c r="J17" s="45"/>
      <c r="K17" s="45"/>
      <c r="L17" s="45"/>
    </row>
    <row r="18" customFormat="false" ht="12.75" hidden="false" customHeight="true" outlineLevel="0" collapsed="false">
      <c r="A18" s="83" t="s">
        <v>334</v>
      </c>
      <c r="B18" s="83" t="s">
        <v>317</v>
      </c>
      <c r="C18" s="83"/>
      <c r="D18" s="83" t="s">
        <v>324</v>
      </c>
      <c r="E18" s="83"/>
      <c r="F18" s="83" t="s">
        <v>335</v>
      </c>
      <c r="G18" s="83" t="s">
        <v>336</v>
      </c>
      <c r="H18" s="83" t="s">
        <v>337</v>
      </c>
      <c r="I18" s="83"/>
      <c r="J18" s="83" t="s">
        <v>338</v>
      </c>
      <c r="K18" s="83"/>
      <c r="L18" s="83"/>
    </row>
    <row r="19" customFormat="false" ht="24" hidden="false" customHeight="true" outlineLevel="0" collapsed="false">
      <c r="A19" s="84" t="n">
        <f aca="false">MAX(A$10:A18)+1</f>
        <v>200</v>
      </c>
      <c r="B19" s="42" t="str">
        <f aca="false">IF(C19="","",IFERROR(LEFT(VLOOKUP(C19,areaNomiSquadre,2,FALSE()),FIND("-",VLOOKUP(C19,areaNomiSquadre,2,FALSE()))-1),""))</f>
        <v>Aquile Audaci</v>
      </c>
      <c r="C19" s="43" t="s">
        <v>175</v>
      </c>
      <c r="D19" s="42" t="str">
        <f aca="false">IF(E19="","",IFERROR(LEFT(VLOOKUP(E19,areaNomiSquadre,2,FALSE()),FIND("-",VLOOKUP(E19,areaNomiSquadre,2,FALSE()))-1),""))</f>
        <v>Zanzare Zampettanti</v>
      </c>
      <c r="E19" s="43" t="s">
        <v>173</v>
      </c>
      <c r="F19" s="44" t="n">
        <v>46313.7083333333</v>
      </c>
      <c r="G19" s="44"/>
      <c r="H19" s="44"/>
      <c r="I19" s="44"/>
      <c r="J19" s="45" t="n">
        <v>52</v>
      </c>
      <c r="K19" s="46" t="s">
        <v>339</v>
      </c>
      <c r="L19" s="45" t="n">
        <v>65</v>
      </c>
      <c r="M19" s="47" t="str">
        <f aca="false">IF($B19="","(Squadra A)",$B19)</f>
        <v>Aquile Audaci</v>
      </c>
      <c r="N19" s="47" t="n">
        <f aca="false">IF($J19+$L19=0,,IF($J19&gt;$L19,1,0))</f>
        <v>0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1</v>
      </c>
      <c r="Q19" s="47" t="n">
        <f aca="false">IF($J19+$L19=0,,$J19)</f>
        <v>52</v>
      </c>
      <c r="R19" s="47" t="n">
        <f aca="false">IF($J19+$L19=0,,$L19)</f>
        <v>65</v>
      </c>
      <c r="S19" s="47" t="n">
        <f aca="false">IF($J19+$L19=0,,$J19-$L19)</f>
        <v>-13</v>
      </c>
      <c r="T19" s="47" t="str">
        <f aca="false">IF($D19="","(Squadra B)",$D19)</f>
        <v>Zanzare Zampettanti</v>
      </c>
      <c r="U19" s="47" t="n">
        <f aca="false">IF($J19+$L19=0,,IF($L19&gt;$J19,1,0))</f>
        <v>1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0</v>
      </c>
      <c r="X19" s="47" t="n">
        <f aca="false">IF($J19+$L19=0,,$L19)</f>
        <v>65</v>
      </c>
      <c r="Y19" s="47" t="n">
        <f aca="false">IF($J19+$L19=0,,$J19)</f>
        <v>52</v>
      </c>
      <c r="Z19" s="47" t="n">
        <f aca="false">IF($J19+$L19=0,,$L19-$J19)</f>
        <v>13</v>
      </c>
      <c r="AA19" s="47" t="str">
        <f aca="false">IF($J19+$L19=0,"(Vincente)",IF($J19&gt;$L19,$B19,$D19))</f>
        <v>Zanzare Zampettanti</v>
      </c>
      <c r="AB19" s="47" t="str">
        <f aca="false">IF($J19+$L19=0,"(Perdente)",IF($J19&lt;$L19,$B19,$D19))</f>
        <v>Aquile Audaci</v>
      </c>
    </row>
    <row r="20" customFormat="false" ht="15.75" hidden="false" customHeight="true" outlineLevel="0" collapsed="false">
      <c r="A20" s="84"/>
      <c r="B20" s="48" t="str">
        <f aca="false">IF(I20="","",HYPERLINK(VLOOKUP(I20,areaCampiSquadre,3,FALSE()),VLOOKUP(I20,areaCampiSquadre,2,FALSE())))</f>
        <v>PalaTartarughe, Via dello Sport 17, Tartarugheopoli TE</v>
      </c>
      <c r="C20" s="48"/>
      <c r="D20" s="48"/>
      <c r="E20" s="48"/>
      <c r="F20" s="48"/>
      <c r="G20" s="48"/>
      <c r="H20" s="48"/>
      <c r="I20" s="43" t="s">
        <v>166</v>
      </c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81" t="s">
        <v>390</v>
      </c>
      <c r="B22" s="82" t="str">
        <f aca="false">"GIORNATA "&amp;ROMAN(VALUE(LEFT(A22,LEN(A22)-1)))&amp;" - GIRONE "&amp;RIGHT(A22,1)</f>
        <v>GIORNATA II - GIRONE H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</row>
    <row r="23" customFormat="false" ht="12.75" hidden="false" customHeight="true" outlineLevel="0" collapsed="false">
      <c r="A23" s="83" t="s">
        <v>334</v>
      </c>
      <c r="B23" s="83" t="s">
        <v>317</v>
      </c>
      <c r="C23" s="83"/>
      <c r="D23" s="83" t="s">
        <v>324</v>
      </c>
      <c r="E23" s="83"/>
      <c r="F23" s="83" t="s">
        <v>335</v>
      </c>
      <c r="G23" s="83" t="s">
        <v>336</v>
      </c>
      <c r="H23" s="83" t="s">
        <v>337</v>
      </c>
      <c r="I23" s="83"/>
      <c r="J23" s="83" t="s">
        <v>338</v>
      </c>
      <c r="K23" s="83"/>
      <c r="L23" s="83"/>
    </row>
    <row r="24" customFormat="false" ht="24" hidden="false" customHeight="true" outlineLevel="0" collapsed="false">
      <c r="A24" s="84" t="n">
        <f aca="false">MAX(A$10:A23)+1</f>
        <v>201</v>
      </c>
      <c r="B24" s="42" t="str">
        <f aca="false">IF(C24="","",IFERROR(LEFT(VLOOKUP(C24,areaNomiSquadre,2,FALSE()),FIND("-",VLOOKUP(C24,areaNomiSquadre,2,FALSE()))-1),""))</f>
        <v>Castori Cocciuti</v>
      </c>
      <c r="C24" s="43" t="s">
        <v>179</v>
      </c>
      <c r="D24" s="42" t="str">
        <f aca="false">IF(E24="","",IFERROR(LEFT(VLOOKUP(E24,areaNomiSquadre,2,FALSE()),FIND("-",VLOOKUP(E24,areaNomiSquadre,2,FALSE()))-1),""))</f>
        <v>Tartarughe Testarde</v>
      </c>
      <c r="E24" s="43" t="s">
        <v>166</v>
      </c>
      <c r="F24" s="44" t="n">
        <v>46334.3958333333</v>
      </c>
      <c r="G24" s="44"/>
      <c r="H24" s="44"/>
      <c r="I24" s="44"/>
      <c r="J24" s="45" t="n">
        <v>53</v>
      </c>
      <c r="K24" s="46" t="s">
        <v>339</v>
      </c>
      <c r="L24" s="45" t="n">
        <v>56</v>
      </c>
      <c r="M24" s="47" t="str">
        <f aca="false">IF($B24="","(Squadra A)",$B24)</f>
        <v>Castori Cocciuti</v>
      </c>
      <c r="N24" s="47" t="n">
        <f aca="false">IF($J24+$L24=0,,IF($J24&gt;$L24,1,0))</f>
        <v>0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1</v>
      </c>
      <c r="Q24" s="47" t="n">
        <f aca="false">IF($J24+$L24=0,,$J24)</f>
        <v>53</v>
      </c>
      <c r="R24" s="47" t="n">
        <f aca="false">IF($J24+$L24=0,,$L24)</f>
        <v>56</v>
      </c>
      <c r="S24" s="47" t="n">
        <f aca="false">IF($J24+$L24=0,,$J24-$L24)</f>
        <v>-3</v>
      </c>
      <c r="T24" s="47" t="str">
        <f aca="false">IF($D24="","(Squadra B)",$D24)</f>
        <v>Tartarughe Testarde</v>
      </c>
      <c r="U24" s="47" t="n">
        <f aca="false">IF($J24+$L24=0,,IF($L24&gt;$J24,1,0))</f>
        <v>1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0</v>
      </c>
      <c r="X24" s="47" t="n">
        <f aca="false">IF($J24+$L24=0,,$L24)</f>
        <v>56</v>
      </c>
      <c r="Y24" s="47" t="n">
        <f aca="false">IF($J24+$L24=0,,$J24)</f>
        <v>53</v>
      </c>
      <c r="Z24" s="47" t="n">
        <f aca="false">IF($J24+$L24=0,,$L24-$J24)</f>
        <v>3</v>
      </c>
      <c r="AA24" s="47" t="str">
        <f aca="false">IF($J24+$L24=0,"(Vincente)",IF($J24&gt;$L24,$B24,$D24))</f>
        <v>Tartarughe Testarde</v>
      </c>
      <c r="AB24" s="47" t="str">
        <f aca="false">IF($J24+$L24=0,"(Perdente)",IF($J24&lt;$L24,$B24,$D24))</f>
        <v>Castori Cocciuti</v>
      </c>
    </row>
    <row r="25" customFormat="false" ht="15.75" hidden="false" customHeight="true" outlineLevel="0" collapsed="false">
      <c r="A25" s="84"/>
      <c r="B25" s="48" t="str">
        <f aca="false">IF(I25="","",HYPERLINK(VLOOKUP(I25,areaCampiSquadre,3,FALSE()),VLOOKUP(I25,areaCampiSquadre,2,FALSE())))</f>
        <v>PalaUrubu, Via dello Sport 18, Urubuopoli UU</v>
      </c>
      <c r="C25" s="48"/>
      <c r="D25" s="48"/>
      <c r="E25" s="48"/>
      <c r="F25" s="48"/>
      <c r="G25" s="48"/>
      <c r="H25" s="48"/>
      <c r="I25" s="43" t="s">
        <v>169</v>
      </c>
      <c r="J25" s="45"/>
      <c r="K25" s="45"/>
      <c r="L25" s="45"/>
    </row>
    <row r="26" customFormat="false" ht="12.75" hidden="false" customHeight="true" outlineLevel="0" collapsed="false">
      <c r="A26" s="83" t="s">
        <v>334</v>
      </c>
      <c r="B26" s="83" t="s">
        <v>317</v>
      </c>
      <c r="C26" s="83"/>
      <c r="D26" s="83" t="s">
        <v>324</v>
      </c>
      <c r="E26" s="83"/>
      <c r="F26" s="83" t="s">
        <v>335</v>
      </c>
      <c r="G26" s="83" t="s">
        <v>336</v>
      </c>
      <c r="H26" s="83" t="s">
        <v>337</v>
      </c>
      <c r="I26" s="83"/>
      <c r="J26" s="83" t="s">
        <v>338</v>
      </c>
      <c r="K26" s="83"/>
      <c r="L26" s="83"/>
    </row>
    <row r="27" customFormat="false" ht="24" hidden="false" customHeight="true" outlineLevel="0" collapsed="false">
      <c r="A27" s="84" t="n">
        <f aca="false">MAX(A$10:A26)+1</f>
        <v>202</v>
      </c>
      <c r="B27" s="42" t="str">
        <f aca="false">IF(C27="","",IFERROR(LEFT(VLOOKUP(C27,areaNomiSquadre,2,FALSE()),FIND("-",VLOOKUP(C27,areaNomiSquadre,2,FALSE()))-1),""))</f>
        <v>Draghi Dinamici</v>
      </c>
      <c r="C27" s="43" t="s">
        <v>181</v>
      </c>
      <c r="D27" s="42" t="str">
        <f aca="false">IF(E27="","",IFERROR(LEFT(VLOOKUP(E27,areaNomiSquadre,2,FALSE()),FIND("-",VLOOKUP(E27,areaNomiSquadre,2,FALSE()))-1),""))</f>
        <v>Bradipi Brillanti</v>
      </c>
      <c r="E27" s="43" t="s">
        <v>177</v>
      </c>
      <c r="F27" s="44" t="n">
        <v>46334.4791666667</v>
      </c>
      <c r="G27" s="44"/>
      <c r="H27" s="44"/>
      <c r="I27" s="44"/>
      <c r="J27" s="45" t="n">
        <v>76</v>
      </c>
      <c r="K27" s="46" t="s">
        <v>339</v>
      </c>
      <c r="L27" s="45" t="n">
        <v>61</v>
      </c>
      <c r="M27" s="47" t="str">
        <f aca="false">IF($B27="","(Squadra A)",$B27)</f>
        <v>Draghi Dinamici</v>
      </c>
      <c r="N27" s="47" t="n">
        <f aca="false">IF($J27+$L27=0,,IF($J27&gt;$L27,1,0))</f>
        <v>1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47" t="n">
        <f aca="false">IF($J27+$L27=0,,$J27)</f>
        <v>76</v>
      </c>
      <c r="R27" s="47" t="n">
        <f aca="false">IF($J27+$L27=0,,$L27)</f>
        <v>61</v>
      </c>
      <c r="S27" s="47" t="n">
        <f aca="false">IF($J27+$L27=0,,$J27-$L27)</f>
        <v>15</v>
      </c>
      <c r="T27" s="47" t="str">
        <f aca="false">IF($D27="","(Squadra B)",$D27)</f>
        <v>Bradipi Brillanti</v>
      </c>
      <c r="U27" s="47" t="n">
        <f aca="false">IF($J27+$L27=0,,IF($L27&gt;$J27,1,0))</f>
        <v>0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1</v>
      </c>
      <c r="X27" s="47" t="n">
        <f aca="false">IF($J27+$L27=0,,$L27)</f>
        <v>61</v>
      </c>
      <c r="Y27" s="47" t="n">
        <f aca="false">IF($J27+$L27=0,,$J27)</f>
        <v>76</v>
      </c>
      <c r="Z27" s="47" t="n">
        <f aca="false">IF($J27+$L27=0,,$L27-$J27)</f>
        <v>-15</v>
      </c>
      <c r="AA27" s="47" t="str">
        <f aca="false">IF($J27+$L27=0,"(Vincente)",IF($J27&gt;$L27,$B27,$D27))</f>
        <v>Draghi Dinamici</v>
      </c>
      <c r="AB27" s="47" t="str">
        <f aca="false">IF($J27+$L27=0,"(Perdente)",IF($J27&lt;$L27,$B27,$D27))</f>
        <v>Bradipi Brillanti</v>
      </c>
    </row>
    <row r="28" customFormat="false" ht="15.75" hidden="false" customHeight="true" outlineLevel="0" collapsed="false">
      <c r="A28" s="84"/>
      <c r="B28" s="48" t="str">
        <f aca="false">IF(I28="","",HYPERLINK(VLOOKUP(I28,areaCampiSquadre,3,FALSE()),VLOOKUP(I28,areaCampiSquadre,2,FALSE())))</f>
        <v>PalaUrubu, Via dello Sport 18, Urubuopoli UU</v>
      </c>
      <c r="C28" s="48"/>
      <c r="D28" s="48"/>
      <c r="E28" s="48"/>
      <c r="F28" s="48"/>
      <c r="G28" s="48"/>
      <c r="H28" s="48"/>
      <c r="I28" s="43" t="s">
        <v>169</v>
      </c>
      <c r="J28" s="45"/>
      <c r="K28" s="45"/>
      <c r="L28" s="45"/>
    </row>
    <row r="29" customFormat="false" ht="12.75" hidden="false" customHeight="true" outlineLevel="0" collapsed="false">
      <c r="A29" s="83" t="s">
        <v>334</v>
      </c>
      <c r="B29" s="83" t="s">
        <v>317</v>
      </c>
      <c r="C29" s="83"/>
      <c r="D29" s="83" t="s">
        <v>324</v>
      </c>
      <c r="E29" s="83"/>
      <c r="F29" s="83" t="s">
        <v>335</v>
      </c>
      <c r="G29" s="83" t="s">
        <v>336</v>
      </c>
      <c r="H29" s="83" t="s">
        <v>337</v>
      </c>
      <c r="I29" s="83"/>
      <c r="J29" s="83" t="s">
        <v>338</v>
      </c>
      <c r="K29" s="83"/>
      <c r="L29" s="83"/>
    </row>
    <row r="30" customFormat="false" ht="24" hidden="false" customHeight="true" outlineLevel="0" collapsed="false">
      <c r="A30" s="84" t="n">
        <f aca="false">MAX(A$10:A29)+1</f>
        <v>203</v>
      </c>
      <c r="B30" s="42" t="str">
        <f aca="false">IF(C30="","",IFERROR(LEFT(VLOOKUP(C30,areaNomiSquadre,2,FALSE()),FIND("-",VLOOKUP(C30,areaNomiSquadre,2,FALSE()))-1),""))</f>
        <v>Aquile Audaci</v>
      </c>
      <c r="C30" s="43" t="s">
        <v>175</v>
      </c>
      <c r="D30" s="42" t="str">
        <f aca="false">IF(E30="","",IFERROR(LEFT(VLOOKUP(E30,areaNomiSquadre,2,FALSE()),FIND("-",VLOOKUP(E30,areaNomiSquadre,2,FALSE()))-1),""))</f>
        <v>Urubu Urlanti</v>
      </c>
      <c r="E30" s="43" t="s">
        <v>169</v>
      </c>
      <c r="F30" s="44" t="n">
        <v>46334.625</v>
      </c>
      <c r="G30" s="44"/>
      <c r="H30" s="44"/>
      <c r="I30" s="44"/>
      <c r="J30" s="45" t="n">
        <v>53</v>
      </c>
      <c r="K30" s="46" t="s">
        <v>339</v>
      </c>
      <c r="L30" s="45" t="n">
        <v>56</v>
      </c>
      <c r="M30" s="47" t="str">
        <f aca="false">IF($B30="","(Squadra A)",$B30)</f>
        <v>Aquile Audaci</v>
      </c>
      <c r="N30" s="47" t="n">
        <f aca="false">IF($J30+$L30=0,,IF($J30&gt;$L30,1,0))</f>
        <v>0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1</v>
      </c>
      <c r="Q30" s="47" t="n">
        <f aca="false">IF($J30+$L30=0,,$J30)</f>
        <v>53</v>
      </c>
      <c r="R30" s="47" t="n">
        <f aca="false">IF($J30+$L30=0,,$L30)</f>
        <v>56</v>
      </c>
      <c r="S30" s="47" t="n">
        <f aca="false">IF($J30+$L30=0,,$J30-$L30)</f>
        <v>-3</v>
      </c>
      <c r="T30" s="47" t="str">
        <f aca="false">IF($D30="","(Squadra B)",$D30)</f>
        <v>Urubu Urlanti</v>
      </c>
      <c r="U30" s="47" t="n">
        <f aca="false">IF($J30+$L30=0,,IF($L30&gt;$J30,1,0))</f>
        <v>1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0</v>
      </c>
      <c r="X30" s="47" t="n">
        <f aca="false">IF($J30+$L30=0,,$L30)</f>
        <v>56</v>
      </c>
      <c r="Y30" s="47" t="n">
        <f aca="false">IF($J30+$L30=0,,$J30)</f>
        <v>53</v>
      </c>
      <c r="Z30" s="47" t="n">
        <f aca="false">IF($J30+$L30=0,,$L30-$J30)</f>
        <v>3</v>
      </c>
      <c r="AA30" s="47" t="str">
        <f aca="false">IF($J30+$L30=0,"(Vincente)",IF($J30&gt;$L30,$B30,$D30))</f>
        <v>Urubu Urlanti</v>
      </c>
      <c r="AB30" s="47" t="str">
        <f aca="false">IF($J30+$L30=0,"(Perdente)",IF($J30&lt;$L30,$B30,$D30))</f>
        <v>Aquile Audaci</v>
      </c>
    </row>
    <row r="31" customFormat="false" ht="15.75" hidden="false" customHeight="true" outlineLevel="0" collapsed="false">
      <c r="A31" s="84"/>
      <c r="B31" s="48" t="str">
        <f aca="false">IF(I31="","",HYPERLINK(VLOOKUP(I31,areaCampiSquadre,3,FALSE()),VLOOKUP(I31,areaCampiSquadre,2,FALSE())))</f>
        <v>PalaUrubu, Via dello Sport 18, Urubuopoli UU</v>
      </c>
      <c r="C31" s="48"/>
      <c r="D31" s="48"/>
      <c r="E31" s="48"/>
      <c r="F31" s="48"/>
      <c r="G31" s="48"/>
      <c r="H31" s="48"/>
      <c r="I31" s="43" t="s">
        <v>169</v>
      </c>
      <c r="J31" s="45"/>
      <c r="K31" s="45"/>
      <c r="L31" s="45"/>
    </row>
    <row r="32" customFormat="false" ht="12.75" hidden="false" customHeight="true" outlineLevel="0" collapsed="false">
      <c r="A32" s="83" t="s">
        <v>334</v>
      </c>
      <c r="B32" s="83" t="s">
        <v>317</v>
      </c>
      <c r="C32" s="83"/>
      <c r="D32" s="83" t="s">
        <v>324</v>
      </c>
      <c r="E32" s="83"/>
      <c r="F32" s="83" t="s">
        <v>335</v>
      </c>
      <c r="G32" s="83" t="s">
        <v>336</v>
      </c>
      <c r="H32" s="83" t="s">
        <v>337</v>
      </c>
      <c r="I32" s="83"/>
      <c r="J32" s="83" t="s">
        <v>338</v>
      </c>
      <c r="K32" s="83"/>
      <c r="L32" s="83"/>
    </row>
    <row r="33" customFormat="false" ht="24" hidden="false" customHeight="true" outlineLevel="0" collapsed="false">
      <c r="A33" s="84" t="n">
        <f aca="false">MAX(A$10:A32)+1</f>
        <v>204</v>
      </c>
      <c r="B33" s="42" t="str">
        <f aca="false">IF(C33="","",IFERROR(LEFT(VLOOKUP(C33,areaNomiSquadre,2,FALSE()),FIND("-",VLOOKUP(C33,areaNomiSquadre,2,FALSE()))-1),""))</f>
        <v>Visoni Vigorosi</v>
      </c>
      <c r="C33" s="43" t="s">
        <v>171</v>
      </c>
      <c r="D33" s="42" t="str">
        <f aca="false">IF(E33="","",IFERROR(LEFT(VLOOKUP(E33,areaNomiSquadre,2,FALSE()),FIND("-",VLOOKUP(E33,areaNomiSquadre,2,FALSE()))-1),""))</f>
        <v>Zanzare Zampettanti</v>
      </c>
      <c r="E33" s="43" t="s">
        <v>173</v>
      </c>
      <c r="F33" s="44" t="n">
        <v>46334.7083333333</v>
      </c>
      <c r="G33" s="44"/>
      <c r="H33" s="44"/>
      <c r="I33" s="44"/>
      <c r="J33" s="45" t="n">
        <v>59</v>
      </c>
      <c r="K33" s="46" t="s">
        <v>339</v>
      </c>
      <c r="L33" s="45" t="n">
        <v>67</v>
      </c>
      <c r="M33" s="47" t="str">
        <f aca="false">IF($B33="","(Squadra A)",$B33)</f>
        <v>Visoni Vigorosi</v>
      </c>
      <c r="N33" s="47" t="n">
        <f aca="false">IF($J33+$L33=0,,IF($J33&gt;$L33,1,0))</f>
        <v>0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1</v>
      </c>
      <c r="Q33" s="47" t="n">
        <f aca="false">IF($J33+$L33=0,,$J33)</f>
        <v>59</v>
      </c>
      <c r="R33" s="47" t="n">
        <f aca="false">IF($J33+$L33=0,,$L33)</f>
        <v>67</v>
      </c>
      <c r="S33" s="47" t="n">
        <f aca="false">IF($J33+$L33=0,,$J33-$L33)</f>
        <v>-8</v>
      </c>
      <c r="T33" s="47" t="str">
        <f aca="false">IF($D33="","(Squadra B)",$D33)</f>
        <v>Zanzare Zampettanti</v>
      </c>
      <c r="U33" s="47" t="n">
        <f aca="false">IF($J33+$L33=0,,IF($L33&gt;$J33,1,0))</f>
        <v>1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0</v>
      </c>
      <c r="X33" s="47" t="n">
        <f aca="false">IF($J33+$L33=0,,$L33)</f>
        <v>67</v>
      </c>
      <c r="Y33" s="47" t="n">
        <f aca="false">IF($J33+$L33=0,,$J33)</f>
        <v>59</v>
      </c>
      <c r="Z33" s="47" t="n">
        <f aca="false">IF($J33+$L33=0,,$L33-$J33)</f>
        <v>8</v>
      </c>
      <c r="AA33" s="47" t="str">
        <f aca="false">IF($J33+$L33=0,"(Vincente)",IF($J33&gt;$L33,$B33,$D33))</f>
        <v>Zanzare Zampettanti</v>
      </c>
      <c r="AB33" s="47" t="str">
        <f aca="false">IF($J33+$L33=0,"(Perdente)",IF($J33&lt;$L33,$B33,$D33))</f>
        <v>Visoni Vigorosi</v>
      </c>
    </row>
    <row r="34" customFormat="false" ht="15.75" hidden="false" customHeight="true" outlineLevel="0" collapsed="false">
      <c r="A34" s="84"/>
      <c r="B34" s="48" t="str">
        <f aca="false">IF(I34="","",HYPERLINK(VLOOKUP(I34,areaCampiSquadre,3,FALSE()),VLOOKUP(I34,areaCampiSquadre,2,FALSE())))</f>
        <v>PalaUrubu, Via dello Sport 18, Urubuopoli UU</v>
      </c>
      <c r="C34" s="48"/>
      <c r="D34" s="48"/>
      <c r="E34" s="48"/>
      <c r="F34" s="48"/>
      <c r="G34" s="48"/>
      <c r="H34" s="48"/>
      <c r="I34" s="43" t="s">
        <v>169</v>
      </c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81" t="s">
        <v>391</v>
      </c>
      <c r="B36" s="82" t="str">
        <f aca="false">"GIORNATA "&amp;ROMAN(VALUE(LEFT(A36,LEN(A36)-1)))&amp;" - GIRONE "&amp;RIGHT(A36,1)</f>
        <v>GIORNATA III - GIRONE H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</row>
    <row r="37" customFormat="false" ht="12.75" hidden="false" customHeight="true" outlineLevel="0" collapsed="false">
      <c r="A37" s="83" t="s">
        <v>334</v>
      </c>
      <c r="B37" s="83" t="s">
        <v>317</v>
      </c>
      <c r="C37" s="83"/>
      <c r="D37" s="83" t="s">
        <v>324</v>
      </c>
      <c r="E37" s="83"/>
      <c r="F37" s="83" t="s">
        <v>335</v>
      </c>
      <c r="G37" s="83" t="s">
        <v>336</v>
      </c>
      <c r="H37" s="83" t="s">
        <v>337</v>
      </c>
      <c r="I37" s="83"/>
      <c r="J37" s="83" t="s">
        <v>338</v>
      </c>
      <c r="K37" s="83"/>
      <c r="L37" s="83"/>
    </row>
    <row r="38" customFormat="false" ht="24" hidden="false" customHeight="true" outlineLevel="0" collapsed="false">
      <c r="A38" s="84" t="n">
        <f aca="false">MAX(A$10:A37)+1</f>
        <v>205</v>
      </c>
      <c r="B38" s="42" t="str">
        <f aca="false">IF(C38="","",IFERROR(LEFT(VLOOKUP(C38,areaNomiSquadre,2,FALSE()),FIND("-",VLOOKUP(C38,areaNomiSquadre,2,FALSE()))-1),""))</f>
        <v>Tartarughe Testarde</v>
      </c>
      <c r="C38" s="43" t="s">
        <v>166</v>
      </c>
      <c r="D38" s="42" t="str">
        <f aca="false">IF(E38="","",IFERROR(LEFT(VLOOKUP(E38,areaNomiSquadre,2,FALSE()),FIND("-",VLOOKUP(E38,areaNomiSquadre,2,FALSE()))-1),""))</f>
        <v>Bradipi Brillanti</v>
      </c>
      <c r="E38" s="43" t="s">
        <v>177</v>
      </c>
      <c r="F38" s="44" t="n">
        <v>46355.3958333333</v>
      </c>
      <c r="G38" s="44"/>
      <c r="H38" s="44"/>
      <c r="I38" s="44"/>
      <c r="J38" s="45" t="n">
        <v>73</v>
      </c>
      <c r="K38" s="46" t="s">
        <v>339</v>
      </c>
      <c r="L38" s="45" t="n">
        <v>56</v>
      </c>
      <c r="M38" s="47" t="str">
        <f aca="false">IF($B38="","(Squadra A)",$B38)</f>
        <v>Tartarughe Testarde</v>
      </c>
      <c r="N38" s="47" t="n">
        <f aca="false">IF($J38+$L38=0,,IF($J38&gt;$L38,1,0))</f>
        <v>1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73</v>
      </c>
      <c r="R38" s="47" t="n">
        <f aca="false">IF($J38+$L38=0,,$L38)</f>
        <v>56</v>
      </c>
      <c r="S38" s="47" t="n">
        <f aca="false">IF($J38+$L38=0,,$J38-$L38)</f>
        <v>17</v>
      </c>
      <c r="T38" s="47" t="str">
        <f aca="false">IF($D38="","(Squadra B)",$D38)</f>
        <v>Bradipi Brillanti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1</v>
      </c>
      <c r="X38" s="47" t="n">
        <f aca="false">IF($J38+$L38=0,,$L38)</f>
        <v>56</v>
      </c>
      <c r="Y38" s="47" t="n">
        <f aca="false">IF($J38+$L38=0,,$J38)</f>
        <v>73</v>
      </c>
      <c r="Z38" s="47" t="n">
        <f aca="false">IF($J38+$L38=0,,$L38-$J38)</f>
        <v>-17</v>
      </c>
      <c r="AA38" s="47" t="str">
        <f aca="false">IF($J38+$L38=0,"(Vincente)",IF($J38&gt;$L38,$B38,$D38))</f>
        <v>Tartarughe Testarde</v>
      </c>
      <c r="AB38" s="47" t="str">
        <f aca="false">IF($J38+$L38=0,"(Perdente)",IF($J38&lt;$L38,$B38,$D38))</f>
        <v>Bradipi Brillanti</v>
      </c>
    </row>
    <row r="39" customFormat="false" ht="15.75" hidden="false" customHeight="true" outlineLevel="0" collapsed="false">
      <c r="A39" s="84"/>
      <c r="B39" s="48" t="str">
        <f aca="false">IF(I39="","",HYPERLINK(VLOOKUP(I39,areaCampiSquadre,3,FALSE()),VLOOKUP(I39,areaCampiSquadre,2,FALSE())))</f>
        <v>PalaVisoni, Via dello Sport 19, Visoniopoli VI</v>
      </c>
      <c r="C39" s="48"/>
      <c r="D39" s="48"/>
      <c r="E39" s="48"/>
      <c r="F39" s="48"/>
      <c r="G39" s="48"/>
      <c r="H39" s="48"/>
      <c r="I39" s="43" t="s">
        <v>171</v>
      </c>
      <c r="J39" s="45"/>
      <c r="K39" s="45"/>
      <c r="L39" s="45"/>
    </row>
    <row r="40" customFormat="false" ht="12.75" hidden="false" customHeight="true" outlineLevel="0" collapsed="false">
      <c r="A40" s="83" t="s">
        <v>334</v>
      </c>
      <c r="B40" s="83" t="s">
        <v>317</v>
      </c>
      <c r="C40" s="83"/>
      <c r="D40" s="83" t="s">
        <v>324</v>
      </c>
      <c r="E40" s="83"/>
      <c r="F40" s="83" t="s">
        <v>335</v>
      </c>
      <c r="G40" s="83" t="s">
        <v>336</v>
      </c>
      <c r="H40" s="83" t="s">
        <v>337</v>
      </c>
      <c r="I40" s="83"/>
      <c r="J40" s="83" t="s">
        <v>338</v>
      </c>
      <c r="K40" s="83"/>
      <c r="L40" s="83"/>
    </row>
    <row r="41" customFormat="false" ht="24" hidden="false" customHeight="true" outlineLevel="0" collapsed="false">
      <c r="A41" s="84" t="n">
        <f aca="false">MAX(A$10:A40)+1</f>
        <v>206</v>
      </c>
      <c r="B41" s="42" t="str">
        <f aca="false">IF(C41="","",IFERROR(LEFT(VLOOKUP(C41,areaNomiSquadre,2,FALSE()),FIND("-",VLOOKUP(C41,areaNomiSquadre,2,FALSE()))-1),""))</f>
        <v>Aquile Audaci</v>
      </c>
      <c r="C41" s="43" t="s">
        <v>175</v>
      </c>
      <c r="D41" s="42" t="str">
        <f aca="false">IF(E41="","",IFERROR(LEFT(VLOOKUP(E41,areaNomiSquadre,2,FALSE()),FIND("-",VLOOKUP(E41,areaNomiSquadre,2,FALSE()))-1),""))</f>
        <v>Castori Cocciuti</v>
      </c>
      <c r="E41" s="43" t="s">
        <v>179</v>
      </c>
      <c r="F41" s="44" t="n">
        <v>46355.4791666667</v>
      </c>
      <c r="G41" s="44"/>
      <c r="H41" s="44"/>
      <c r="I41" s="44"/>
      <c r="J41" s="45" t="n">
        <v>77</v>
      </c>
      <c r="K41" s="46" t="s">
        <v>339</v>
      </c>
      <c r="L41" s="45" t="n">
        <v>48</v>
      </c>
      <c r="M41" s="47" t="str">
        <f aca="false">IF($B41="","(Squadra A)",$B41)</f>
        <v>Aquile Audaci</v>
      </c>
      <c r="N41" s="47" t="n">
        <f aca="false">IF($J41+$L41=0,,IF($J41&gt;$L41,1,0))</f>
        <v>1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0</v>
      </c>
      <c r="Q41" s="47" t="n">
        <f aca="false">IF($J41+$L41=0,,$J41)</f>
        <v>77</v>
      </c>
      <c r="R41" s="47" t="n">
        <f aca="false">IF($J41+$L41=0,,$L41)</f>
        <v>48</v>
      </c>
      <c r="S41" s="47" t="n">
        <f aca="false">IF($J41+$L41=0,,$J41-$L41)</f>
        <v>29</v>
      </c>
      <c r="T41" s="47" t="str">
        <f aca="false">IF($D41="","(Squadra B)",$D41)</f>
        <v>Castori Cocciuti</v>
      </c>
      <c r="U41" s="47" t="n">
        <f aca="false">IF($J41+$L41=0,,IF($L41&gt;$J41,1,0))</f>
        <v>0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1</v>
      </c>
      <c r="X41" s="47" t="n">
        <f aca="false">IF($J41+$L41=0,,$L41)</f>
        <v>48</v>
      </c>
      <c r="Y41" s="47" t="n">
        <f aca="false">IF($J41+$L41=0,,$J41)</f>
        <v>77</v>
      </c>
      <c r="Z41" s="47" t="n">
        <f aca="false">IF($J41+$L41=0,,$L41-$J41)</f>
        <v>-29</v>
      </c>
      <c r="AA41" s="47" t="str">
        <f aca="false">IF($J41+$L41=0,"(Vincente)",IF($J41&gt;$L41,$B41,$D41))</f>
        <v>Aquile Audaci</v>
      </c>
      <c r="AB41" s="47" t="str">
        <f aca="false">IF($J41+$L41=0,"(Perdente)",IF($J41&lt;$L41,$B41,$D41))</f>
        <v>Castori Cocciuti</v>
      </c>
    </row>
    <row r="42" customFormat="false" ht="15.75" hidden="false" customHeight="true" outlineLevel="0" collapsed="false">
      <c r="A42" s="84"/>
      <c r="B42" s="48" t="str">
        <f aca="false">IF(I42="","",HYPERLINK(VLOOKUP(I42,areaCampiSquadre,3,FALSE()),VLOOKUP(I42,areaCampiSquadre,2,FALSE())))</f>
        <v>PalaVisoni, Via dello Sport 19, Visoniopoli VI</v>
      </c>
      <c r="C42" s="48"/>
      <c r="D42" s="48"/>
      <c r="E42" s="48"/>
      <c r="F42" s="48"/>
      <c r="G42" s="48"/>
      <c r="H42" s="48"/>
      <c r="I42" s="43" t="s">
        <v>171</v>
      </c>
      <c r="J42" s="45"/>
      <c r="K42" s="45"/>
      <c r="L42" s="45"/>
    </row>
    <row r="43" customFormat="false" ht="12.75" hidden="false" customHeight="true" outlineLevel="0" collapsed="false">
      <c r="A43" s="83" t="s">
        <v>334</v>
      </c>
      <c r="B43" s="83" t="s">
        <v>317</v>
      </c>
      <c r="C43" s="83"/>
      <c r="D43" s="83" t="s">
        <v>324</v>
      </c>
      <c r="E43" s="83"/>
      <c r="F43" s="83" t="s">
        <v>335</v>
      </c>
      <c r="G43" s="83" t="s">
        <v>336</v>
      </c>
      <c r="H43" s="83" t="s">
        <v>337</v>
      </c>
      <c r="I43" s="83"/>
      <c r="J43" s="83" t="s">
        <v>338</v>
      </c>
      <c r="K43" s="83"/>
      <c r="L43" s="83"/>
    </row>
    <row r="44" customFormat="false" ht="24" hidden="false" customHeight="true" outlineLevel="0" collapsed="false">
      <c r="A44" s="84" t="n">
        <f aca="false">MAX(A$10:A43)+1</f>
        <v>207</v>
      </c>
      <c r="B44" s="42" t="str">
        <f aca="false">IF(C44="","",IFERROR(LEFT(VLOOKUP(C44,areaNomiSquadre,2,FALSE()),FIND("-",VLOOKUP(C44,areaNomiSquadre,2,FALSE()))-1),""))</f>
        <v>Draghi Dinamici</v>
      </c>
      <c r="C44" s="43" t="s">
        <v>181</v>
      </c>
      <c r="D44" s="42" t="str">
        <f aca="false">IF(E44="","",IFERROR(LEFT(VLOOKUP(E44,areaNomiSquadre,2,FALSE()),FIND("-",VLOOKUP(E44,areaNomiSquadre,2,FALSE()))-1),""))</f>
        <v>Zanzare Zampettanti</v>
      </c>
      <c r="E44" s="43" t="s">
        <v>173</v>
      </c>
      <c r="F44" s="44" t="n">
        <v>46355.625</v>
      </c>
      <c r="G44" s="44"/>
      <c r="H44" s="44"/>
      <c r="I44" s="44"/>
      <c r="J44" s="45" t="n">
        <v>51</v>
      </c>
      <c r="K44" s="46" t="s">
        <v>339</v>
      </c>
      <c r="L44" s="45" t="n">
        <v>65</v>
      </c>
      <c r="M44" s="47" t="str">
        <f aca="false">IF($B44="","(Squadra A)",$B44)</f>
        <v>Draghi Dinamici</v>
      </c>
      <c r="N44" s="47" t="n">
        <f aca="false">IF($J44+$L44=0,,IF($J44&gt;$L44,1,0))</f>
        <v>0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1</v>
      </c>
      <c r="Q44" s="47" t="n">
        <f aca="false">IF($J44+$L44=0,,$J44)</f>
        <v>51</v>
      </c>
      <c r="R44" s="47" t="n">
        <f aca="false">IF($J44+$L44=0,,$L44)</f>
        <v>65</v>
      </c>
      <c r="S44" s="47" t="n">
        <f aca="false">IF($J44+$L44=0,,$J44-$L44)</f>
        <v>-14</v>
      </c>
      <c r="T44" s="47" t="str">
        <f aca="false">IF($D44="","(Squadra B)",$D44)</f>
        <v>Zanzare Zampettanti</v>
      </c>
      <c r="U44" s="47" t="n">
        <f aca="false">IF($J44+$L44=0,,IF($L44&gt;$J44,1,0))</f>
        <v>1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0</v>
      </c>
      <c r="X44" s="47" t="n">
        <f aca="false">IF($J44+$L44=0,,$L44)</f>
        <v>65</v>
      </c>
      <c r="Y44" s="47" t="n">
        <f aca="false">IF($J44+$L44=0,,$J44)</f>
        <v>51</v>
      </c>
      <c r="Z44" s="47" t="n">
        <f aca="false">IF($J44+$L44=0,,$L44-$J44)</f>
        <v>14</v>
      </c>
      <c r="AA44" s="47" t="str">
        <f aca="false">IF($J44+$L44=0,"(Vincente)",IF($J44&gt;$L44,$B44,$D44))</f>
        <v>Zanzare Zampettanti</v>
      </c>
      <c r="AB44" s="47" t="str">
        <f aca="false">IF($J44+$L44=0,"(Perdente)",IF($J44&lt;$L44,$B44,$D44))</f>
        <v>Draghi Dinamici</v>
      </c>
    </row>
    <row r="45" customFormat="false" ht="15.75" hidden="false" customHeight="true" outlineLevel="0" collapsed="false">
      <c r="A45" s="84"/>
      <c r="B45" s="48" t="str">
        <f aca="false">IF(I45="","",HYPERLINK(VLOOKUP(I45,areaCampiSquadre,3,FALSE()),VLOOKUP(I45,areaCampiSquadre,2,FALSE())))</f>
        <v>PalaVisoni, Via dello Sport 19, Visoniopoli VI</v>
      </c>
      <c r="C45" s="48"/>
      <c r="D45" s="48"/>
      <c r="E45" s="48"/>
      <c r="F45" s="48"/>
      <c r="G45" s="48"/>
      <c r="H45" s="48"/>
      <c r="I45" s="43" t="s">
        <v>171</v>
      </c>
      <c r="J45" s="45"/>
      <c r="K45" s="45"/>
      <c r="L45" s="45"/>
    </row>
    <row r="46" customFormat="false" ht="12.75" hidden="false" customHeight="true" outlineLevel="0" collapsed="false">
      <c r="A46" s="83" t="s">
        <v>334</v>
      </c>
      <c r="B46" s="83" t="s">
        <v>317</v>
      </c>
      <c r="C46" s="83"/>
      <c r="D46" s="83" t="s">
        <v>324</v>
      </c>
      <c r="E46" s="83"/>
      <c r="F46" s="83" t="s">
        <v>335</v>
      </c>
      <c r="G46" s="83" t="s">
        <v>336</v>
      </c>
      <c r="H46" s="83" t="s">
        <v>337</v>
      </c>
      <c r="I46" s="83"/>
      <c r="J46" s="83" t="s">
        <v>338</v>
      </c>
      <c r="K46" s="83"/>
      <c r="L46" s="83"/>
    </row>
    <row r="47" customFormat="false" ht="24" hidden="false" customHeight="true" outlineLevel="0" collapsed="false">
      <c r="A47" s="84" t="n">
        <f aca="false">MAX(A$10:A46)+1</f>
        <v>208</v>
      </c>
      <c r="B47" s="42" t="str">
        <f aca="false">IF(C47="","",IFERROR(LEFT(VLOOKUP(C47,areaNomiSquadre,2,FALSE()),FIND("-",VLOOKUP(C47,areaNomiSquadre,2,FALSE()))-1),""))</f>
        <v>Visoni Vigorosi</v>
      </c>
      <c r="C47" s="43" t="s">
        <v>171</v>
      </c>
      <c r="D47" s="42" t="str">
        <f aca="false">IF(E47="","",IFERROR(LEFT(VLOOKUP(E47,areaNomiSquadre,2,FALSE()),FIND("-",VLOOKUP(E47,areaNomiSquadre,2,FALSE()))-1),""))</f>
        <v>Urubu Urlanti</v>
      </c>
      <c r="E47" s="43" t="s">
        <v>169</v>
      </c>
      <c r="F47" s="44" t="n">
        <v>46355.7083333333</v>
      </c>
      <c r="G47" s="44"/>
      <c r="H47" s="44"/>
      <c r="I47" s="44"/>
      <c r="J47" s="45" t="n">
        <v>38</v>
      </c>
      <c r="K47" s="46" t="s">
        <v>339</v>
      </c>
      <c r="L47" s="45" t="n">
        <v>74</v>
      </c>
      <c r="M47" s="47" t="str">
        <f aca="false">IF($B47="","(Squadra A)",$B47)</f>
        <v>Visoni Vigorosi</v>
      </c>
      <c r="N47" s="47" t="n">
        <f aca="false">IF($J47+$L47=0,,IF($J47&gt;$L47,1,0))</f>
        <v>0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1</v>
      </c>
      <c r="Q47" s="47" t="n">
        <f aca="false">IF($J47+$L47=0,,$J47)</f>
        <v>38</v>
      </c>
      <c r="R47" s="47" t="n">
        <f aca="false">IF($J47+$L47=0,,$L47)</f>
        <v>74</v>
      </c>
      <c r="S47" s="47" t="n">
        <f aca="false">IF($J47+$L47=0,,$J47-$L47)</f>
        <v>-36</v>
      </c>
      <c r="T47" s="47" t="str">
        <f aca="false">IF($D47="","(Squadra B)",$D47)</f>
        <v>Urubu Urlanti</v>
      </c>
      <c r="U47" s="47" t="n">
        <f aca="false">IF($J47+$L47=0,,IF($L47&gt;$J47,1,0))</f>
        <v>1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0</v>
      </c>
      <c r="X47" s="47" t="n">
        <f aca="false">IF($J47+$L47=0,,$L47)</f>
        <v>74</v>
      </c>
      <c r="Y47" s="47" t="n">
        <f aca="false">IF($J47+$L47=0,,$J47)</f>
        <v>38</v>
      </c>
      <c r="Z47" s="47" t="n">
        <f aca="false">IF($J47+$L47=0,,$L47-$J47)</f>
        <v>36</v>
      </c>
      <c r="AA47" s="47" t="str">
        <f aca="false">IF($J47+$L47=0,"(Vincente)",IF($J47&gt;$L47,$B47,$D47))</f>
        <v>Urubu Urlanti</v>
      </c>
      <c r="AB47" s="47" t="str">
        <f aca="false">IF($J47+$L47=0,"(Perdente)",IF($J47&lt;$L47,$B47,$D47))</f>
        <v>Visoni Vigorosi</v>
      </c>
    </row>
    <row r="48" customFormat="false" ht="15.75" hidden="false" customHeight="true" outlineLevel="0" collapsed="false">
      <c r="A48" s="84"/>
      <c r="B48" s="48" t="str">
        <f aca="false">IF(I48="","",HYPERLINK(VLOOKUP(I48,areaCampiSquadre,3,FALSE()),VLOOKUP(I48,areaCampiSquadre,2,FALSE())))</f>
        <v>PalaVisoni, Via dello Sport 19, Visoniopoli VI</v>
      </c>
      <c r="C48" s="48"/>
      <c r="D48" s="48"/>
      <c r="E48" s="48"/>
      <c r="F48" s="48"/>
      <c r="G48" s="48"/>
      <c r="H48" s="48"/>
      <c r="I48" s="43" t="s">
        <v>171</v>
      </c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81" t="s">
        <v>392</v>
      </c>
      <c r="B50" s="82" t="str">
        <f aca="false">"GIORNATA "&amp;ROMAN(VALUE(LEFT(A50,LEN(A50)-1)))&amp;" - GIRONE "&amp;RIGHT(A50,1)</f>
        <v>GIORNATA IV - GIRONE H</v>
      </c>
      <c r="C50" s="82"/>
      <c r="D50" s="82"/>
      <c r="E50" s="82"/>
      <c r="F50" s="82"/>
      <c r="G50" s="82"/>
      <c r="H50" s="82"/>
      <c r="I50" s="82"/>
      <c r="J50" s="82"/>
      <c r="K50" s="82"/>
      <c r="L50" s="82"/>
    </row>
    <row r="51" customFormat="false" ht="12.75" hidden="false" customHeight="true" outlineLevel="0" collapsed="false">
      <c r="A51" s="83" t="s">
        <v>334</v>
      </c>
      <c r="B51" s="83" t="s">
        <v>317</v>
      </c>
      <c r="C51" s="83"/>
      <c r="D51" s="83" t="s">
        <v>324</v>
      </c>
      <c r="E51" s="83"/>
      <c r="F51" s="83" t="s">
        <v>335</v>
      </c>
      <c r="G51" s="83" t="s">
        <v>336</v>
      </c>
      <c r="H51" s="83" t="s">
        <v>337</v>
      </c>
      <c r="I51" s="83"/>
      <c r="J51" s="83" t="s">
        <v>338</v>
      </c>
      <c r="K51" s="83"/>
      <c r="L51" s="83"/>
    </row>
    <row r="52" customFormat="false" ht="24" hidden="false" customHeight="true" outlineLevel="0" collapsed="false">
      <c r="A52" s="84" t="n">
        <f aca="false">MAX(A$10:A51)+1</f>
        <v>209</v>
      </c>
      <c r="B52" s="42" t="str">
        <f aca="false">IF(C52="","",IFERROR(LEFT(VLOOKUP(C52,areaNomiSquadre,2,FALSE()),FIND("-",VLOOKUP(C52,areaNomiSquadre,2,FALSE()))-1),""))</f>
        <v>Aquile Audaci</v>
      </c>
      <c r="C52" s="43" t="s">
        <v>175</v>
      </c>
      <c r="D52" s="42" t="str">
        <f aca="false">IF(E52="","",IFERROR(LEFT(VLOOKUP(E52,areaNomiSquadre,2,FALSE()),FIND("-",VLOOKUP(E52,areaNomiSquadre,2,FALSE()))-1),""))</f>
        <v>Tartarughe Testarde</v>
      </c>
      <c r="E52" s="43" t="s">
        <v>166</v>
      </c>
      <c r="F52" s="44" t="n">
        <v>46369.3958333333</v>
      </c>
      <c r="G52" s="44"/>
      <c r="H52" s="44"/>
      <c r="I52" s="44"/>
      <c r="J52" s="45" t="n">
        <v>46</v>
      </c>
      <c r="K52" s="46" t="s">
        <v>339</v>
      </c>
      <c r="L52" s="45" t="n">
        <v>65</v>
      </c>
      <c r="M52" s="47" t="str">
        <f aca="false">IF($B52="","(Squadra A)",$B52)</f>
        <v>Aquile Audaci</v>
      </c>
      <c r="N52" s="47" t="n">
        <f aca="false">IF($J52+$L52=0,,IF($J52&gt;$L52,1,0))</f>
        <v>0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1</v>
      </c>
      <c r="Q52" s="47" t="n">
        <f aca="false">IF($J52+$L52=0,,$J52)</f>
        <v>46</v>
      </c>
      <c r="R52" s="47" t="n">
        <f aca="false">IF($J52+$L52=0,,$L52)</f>
        <v>65</v>
      </c>
      <c r="S52" s="47" t="n">
        <f aca="false">IF($J52+$L52=0,,$J52-$L52)</f>
        <v>-19</v>
      </c>
      <c r="T52" s="47" t="str">
        <f aca="false">IF($D52="","(Squadra B)",$D52)</f>
        <v>Tartarughe Testarde</v>
      </c>
      <c r="U52" s="47" t="n">
        <f aca="false">IF($J52+$L52=0,,IF($L52&gt;$J52,1,0))</f>
        <v>1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0</v>
      </c>
      <c r="X52" s="47" t="n">
        <f aca="false">IF($J52+$L52=0,,$L52)</f>
        <v>65</v>
      </c>
      <c r="Y52" s="47" t="n">
        <f aca="false">IF($J52+$L52=0,,$J52)</f>
        <v>46</v>
      </c>
      <c r="Z52" s="47" t="n">
        <f aca="false">IF($J52+$L52=0,,$L52-$J52)</f>
        <v>19</v>
      </c>
      <c r="AA52" s="47" t="str">
        <f aca="false">IF($J52+$L52=0,"(Vincente)",IF($J52&gt;$L52,$B52,$D52))</f>
        <v>Tartarughe Testarde</v>
      </c>
      <c r="AB52" s="47" t="str">
        <f aca="false">IF($J52+$L52=0,"(Perdente)",IF($J52&lt;$L52,$B52,$D52))</f>
        <v>Aquile Audaci</v>
      </c>
    </row>
    <row r="53" customFormat="false" ht="15.75" hidden="false" customHeight="true" outlineLevel="0" collapsed="false">
      <c r="A53" s="84"/>
      <c r="B53" s="48" t="str">
        <f aca="false">IF(I53="","",HYPERLINK(VLOOKUP(I53,areaCampiSquadre,3,FALSE()),VLOOKUP(I53,areaCampiSquadre,2,FALSE())))</f>
        <v>PalaZanzare, Via dello Sport 20, Zanzareopoli ZE</v>
      </c>
      <c r="C53" s="48"/>
      <c r="D53" s="48"/>
      <c r="E53" s="48"/>
      <c r="F53" s="48"/>
      <c r="G53" s="48"/>
      <c r="H53" s="48"/>
      <c r="I53" s="43" t="s">
        <v>173</v>
      </c>
      <c r="J53" s="45"/>
      <c r="K53" s="45"/>
      <c r="L53" s="45"/>
    </row>
    <row r="54" customFormat="false" ht="12.75" hidden="false" customHeight="true" outlineLevel="0" collapsed="false">
      <c r="A54" s="83" t="s">
        <v>334</v>
      </c>
      <c r="B54" s="83" t="s">
        <v>317</v>
      </c>
      <c r="C54" s="83"/>
      <c r="D54" s="83" t="s">
        <v>324</v>
      </c>
      <c r="E54" s="83"/>
      <c r="F54" s="83" t="s">
        <v>335</v>
      </c>
      <c r="G54" s="83" t="s">
        <v>336</v>
      </c>
      <c r="H54" s="83" t="s">
        <v>337</v>
      </c>
      <c r="I54" s="83"/>
      <c r="J54" s="83" t="s">
        <v>338</v>
      </c>
      <c r="K54" s="83"/>
      <c r="L54" s="83"/>
    </row>
    <row r="55" customFormat="false" ht="24" hidden="false" customHeight="true" outlineLevel="0" collapsed="false">
      <c r="A55" s="84" t="n">
        <f aca="false">MAX(A$10:A54)+1</f>
        <v>210</v>
      </c>
      <c r="B55" s="42" t="str">
        <f aca="false">IF(C55="","",IFERROR(LEFT(VLOOKUP(C55,areaNomiSquadre,2,FALSE()),FIND("-",VLOOKUP(C55,areaNomiSquadre,2,FALSE()))-1),""))</f>
        <v>Bradipi Brillanti</v>
      </c>
      <c r="C55" s="43" t="s">
        <v>177</v>
      </c>
      <c r="D55" s="42" t="str">
        <f aca="false">IF(E55="","",IFERROR(LEFT(VLOOKUP(E55,areaNomiSquadre,2,FALSE()),FIND("-",VLOOKUP(E55,areaNomiSquadre,2,FALSE()))-1),""))</f>
        <v>Zanzare Zampettanti</v>
      </c>
      <c r="E55" s="43" t="s">
        <v>173</v>
      </c>
      <c r="F55" s="44" t="n">
        <v>46369.4791666667</v>
      </c>
      <c r="G55" s="44"/>
      <c r="H55" s="44"/>
      <c r="I55" s="44"/>
      <c r="J55" s="45" t="n">
        <v>51</v>
      </c>
      <c r="K55" s="46" t="s">
        <v>339</v>
      </c>
      <c r="L55" s="45" t="n">
        <v>76</v>
      </c>
      <c r="M55" s="47" t="str">
        <f aca="false">IF($B55="","(Squadra A)",$B55)</f>
        <v>Bradipi Brillanti</v>
      </c>
      <c r="N55" s="47" t="n">
        <f aca="false">IF($J55+$L55=0,,IF($J55&gt;$L55,1,0))</f>
        <v>0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1</v>
      </c>
      <c r="Q55" s="47" t="n">
        <f aca="false">IF($J55+$L55=0,,$J55)</f>
        <v>51</v>
      </c>
      <c r="R55" s="47" t="n">
        <f aca="false">IF($J55+$L55=0,,$L55)</f>
        <v>76</v>
      </c>
      <c r="S55" s="47" t="n">
        <f aca="false">IF($J55+$L55=0,,$J55-$L55)</f>
        <v>-25</v>
      </c>
      <c r="T55" s="47" t="str">
        <f aca="false">IF($D55="","(Squadra B)",$D55)</f>
        <v>Zanzare Zampettanti</v>
      </c>
      <c r="U55" s="47" t="n">
        <f aca="false">IF($J55+$L55=0,,IF($L55&gt;$J55,1,0))</f>
        <v>1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0</v>
      </c>
      <c r="X55" s="47" t="n">
        <f aca="false">IF($J55+$L55=0,,$L55)</f>
        <v>76</v>
      </c>
      <c r="Y55" s="47" t="n">
        <f aca="false">IF($J55+$L55=0,,$J55)</f>
        <v>51</v>
      </c>
      <c r="Z55" s="47" t="n">
        <f aca="false">IF($J55+$L55=0,,$L55-$J55)</f>
        <v>25</v>
      </c>
      <c r="AA55" s="47" t="str">
        <f aca="false">IF($J55+$L55=0,"(Vincente)",IF($J55&gt;$L55,$B55,$D55))</f>
        <v>Zanzare Zampettanti</v>
      </c>
      <c r="AB55" s="47" t="str">
        <f aca="false">IF($J55+$L55=0,"(Perdente)",IF($J55&lt;$L55,$B55,$D55))</f>
        <v>Bradipi Brillanti</v>
      </c>
    </row>
    <row r="56" customFormat="false" ht="15.75" hidden="false" customHeight="true" outlineLevel="0" collapsed="false">
      <c r="A56" s="84"/>
      <c r="B56" s="48" t="str">
        <f aca="false">IF(I56="","",HYPERLINK(VLOOKUP(I56,areaCampiSquadre,3,FALSE()),VLOOKUP(I56,areaCampiSquadre,2,FALSE())))</f>
        <v>PalaZanzare, Via dello Sport 20, Zanzareopoli ZE</v>
      </c>
      <c r="C56" s="48"/>
      <c r="D56" s="48"/>
      <c r="E56" s="48"/>
      <c r="F56" s="48"/>
      <c r="G56" s="48"/>
      <c r="H56" s="48"/>
      <c r="I56" s="43" t="s">
        <v>173</v>
      </c>
      <c r="J56" s="45"/>
      <c r="K56" s="45"/>
      <c r="L56" s="45"/>
    </row>
    <row r="57" customFormat="false" ht="12.75" hidden="false" customHeight="true" outlineLevel="0" collapsed="false">
      <c r="A57" s="83" t="s">
        <v>334</v>
      </c>
      <c r="B57" s="83" t="s">
        <v>317</v>
      </c>
      <c r="C57" s="83"/>
      <c r="D57" s="83" t="s">
        <v>324</v>
      </c>
      <c r="E57" s="83"/>
      <c r="F57" s="83" t="s">
        <v>335</v>
      </c>
      <c r="G57" s="83" t="s">
        <v>336</v>
      </c>
      <c r="H57" s="83" t="s">
        <v>337</v>
      </c>
      <c r="I57" s="83"/>
      <c r="J57" s="83" t="s">
        <v>338</v>
      </c>
      <c r="K57" s="83"/>
      <c r="L57" s="83"/>
    </row>
    <row r="58" customFormat="false" ht="24" hidden="false" customHeight="true" outlineLevel="0" collapsed="false">
      <c r="A58" s="84" t="n">
        <f aca="false">MAX(A$10:A57)+1</f>
        <v>211</v>
      </c>
      <c r="B58" s="42" t="str">
        <f aca="false">IF(C58="","",IFERROR(LEFT(VLOOKUP(C58,areaNomiSquadre,2,FALSE()),FIND("-",VLOOKUP(C58,areaNomiSquadre,2,FALSE()))-1),""))</f>
        <v>Visoni Vigorosi</v>
      </c>
      <c r="C58" s="43" t="s">
        <v>171</v>
      </c>
      <c r="D58" s="42" t="str">
        <f aca="false">IF(E58="","",IFERROR(LEFT(VLOOKUP(E58,areaNomiSquadre,2,FALSE()),FIND("-",VLOOKUP(E58,areaNomiSquadre,2,FALSE()))-1),""))</f>
        <v>Castori Cocciuti</v>
      </c>
      <c r="E58" s="43" t="s">
        <v>179</v>
      </c>
      <c r="F58" s="44" t="n">
        <v>46369.625</v>
      </c>
      <c r="G58" s="44"/>
      <c r="H58" s="44"/>
      <c r="I58" s="44"/>
      <c r="J58" s="45" t="n">
        <v>78</v>
      </c>
      <c r="K58" s="46" t="s">
        <v>339</v>
      </c>
      <c r="L58" s="45" t="n">
        <v>54</v>
      </c>
      <c r="M58" s="47" t="str">
        <f aca="false">IF($B58="","(Squadra A)",$B58)</f>
        <v>Visoni Vigorosi</v>
      </c>
      <c r="N58" s="47" t="n">
        <f aca="false">IF($J58+$L58=0,,IF($J58&gt;$L58,1,0))</f>
        <v>1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0</v>
      </c>
      <c r="Q58" s="47" t="n">
        <f aca="false">IF($J58+$L58=0,,$J58)</f>
        <v>78</v>
      </c>
      <c r="R58" s="47" t="n">
        <f aca="false">IF($J58+$L58=0,,$L58)</f>
        <v>54</v>
      </c>
      <c r="S58" s="47" t="n">
        <f aca="false">IF($J58+$L58=0,,$J58-$L58)</f>
        <v>24</v>
      </c>
      <c r="T58" s="47" t="str">
        <f aca="false">IF($D58="","(Squadra B)",$D58)</f>
        <v>Castori Cocciuti</v>
      </c>
      <c r="U58" s="47" t="n">
        <f aca="false">IF($J58+$L58=0,,IF($L58&gt;$J58,1,0))</f>
        <v>0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1</v>
      </c>
      <c r="X58" s="47" t="n">
        <f aca="false">IF($J58+$L58=0,,$L58)</f>
        <v>54</v>
      </c>
      <c r="Y58" s="47" t="n">
        <f aca="false">IF($J58+$L58=0,,$J58)</f>
        <v>78</v>
      </c>
      <c r="Z58" s="47" t="n">
        <f aca="false">IF($J58+$L58=0,,$L58-$J58)</f>
        <v>-24</v>
      </c>
      <c r="AA58" s="47" t="str">
        <f aca="false">IF($J58+$L58=0,"(Vincente)",IF($J58&gt;$L58,$B58,$D58))</f>
        <v>Visoni Vigorosi</v>
      </c>
      <c r="AB58" s="47" t="str">
        <f aca="false">IF($J58+$L58=0,"(Perdente)",IF($J58&lt;$L58,$B58,$D58))</f>
        <v>Castori Cocciuti</v>
      </c>
    </row>
    <row r="59" customFormat="false" ht="15.75" hidden="false" customHeight="true" outlineLevel="0" collapsed="false">
      <c r="A59" s="84"/>
      <c r="B59" s="48" t="str">
        <f aca="false">IF(I59="","",HYPERLINK(VLOOKUP(I59,areaCampiSquadre,3,FALSE()),VLOOKUP(I59,areaCampiSquadre,2,FALSE())))</f>
        <v>PalaZanzare, Via dello Sport 20, Zanzareopoli ZE</v>
      </c>
      <c r="C59" s="48"/>
      <c r="D59" s="48"/>
      <c r="E59" s="48"/>
      <c r="F59" s="48"/>
      <c r="G59" s="48"/>
      <c r="H59" s="48"/>
      <c r="I59" s="43" t="s">
        <v>173</v>
      </c>
      <c r="J59" s="45"/>
      <c r="K59" s="45"/>
      <c r="L59" s="45"/>
    </row>
    <row r="60" customFormat="false" ht="12.75" hidden="false" customHeight="true" outlineLevel="0" collapsed="false">
      <c r="A60" s="83" t="s">
        <v>334</v>
      </c>
      <c r="B60" s="83" t="s">
        <v>317</v>
      </c>
      <c r="C60" s="83"/>
      <c r="D60" s="83" t="s">
        <v>324</v>
      </c>
      <c r="E60" s="83"/>
      <c r="F60" s="83" t="s">
        <v>335</v>
      </c>
      <c r="G60" s="83" t="s">
        <v>336</v>
      </c>
      <c r="H60" s="83" t="s">
        <v>337</v>
      </c>
      <c r="I60" s="83"/>
      <c r="J60" s="83" t="s">
        <v>338</v>
      </c>
      <c r="K60" s="83"/>
      <c r="L60" s="83"/>
    </row>
    <row r="61" customFormat="false" ht="24" hidden="false" customHeight="true" outlineLevel="0" collapsed="false">
      <c r="A61" s="84" t="n">
        <f aca="false">MAX(A$10:A60)+1</f>
        <v>212</v>
      </c>
      <c r="B61" s="42" t="str">
        <f aca="false">IF(C61="","",IFERROR(LEFT(VLOOKUP(C61,areaNomiSquadre,2,FALSE()),FIND("-",VLOOKUP(C61,areaNomiSquadre,2,FALSE()))-1),""))</f>
        <v>Draghi Dinamici</v>
      </c>
      <c r="C61" s="43" t="s">
        <v>181</v>
      </c>
      <c r="D61" s="42" t="str">
        <f aca="false">IF(E61="","",IFERROR(LEFT(VLOOKUP(E61,areaNomiSquadre,2,FALSE()),FIND("-",VLOOKUP(E61,areaNomiSquadre,2,FALSE()))-1),""))</f>
        <v>Urubu Urlanti</v>
      </c>
      <c r="E61" s="43" t="s">
        <v>169</v>
      </c>
      <c r="F61" s="44" t="n">
        <v>46369.7083333333</v>
      </c>
      <c r="G61" s="44"/>
      <c r="H61" s="44"/>
      <c r="I61" s="44"/>
      <c r="J61" s="45" t="n">
        <v>65</v>
      </c>
      <c r="K61" s="46" t="s">
        <v>339</v>
      </c>
      <c r="L61" s="45" t="n">
        <v>67</v>
      </c>
      <c r="M61" s="47" t="str">
        <f aca="false">IF($B61="","(Squadra A)",$B61)</f>
        <v>Draghi Dinamici</v>
      </c>
      <c r="N61" s="47" t="n">
        <f aca="false">IF($J61+$L61=0,,IF($J61&gt;$L61,1,0))</f>
        <v>0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1</v>
      </c>
      <c r="Q61" s="47" t="n">
        <f aca="false">IF($J61+$L61=0,,$J61)</f>
        <v>65</v>
      </c>
      <c r="R61" s="47" t="n">
        <f aca="false">IF($J61+$L61=0,,$L61)</f>
        <v>67</v>
      </c>
      <c r="S61" s="47" t="n">
        <f aca="false">IF($J61+$L61=0,,$J61-$L61)</f>
        <v>-2</v>
      </c>
      <c r="T61" s="47" t="str">
        <f aca="false">IF($D61="","(Squadra B)",$D61)</f>
        <v>Urubu Urlanti</v>
      </c>
      <c r="U61" s="47" t="n">
        <f aca="false">IF($J61+$L61=0,,IF($L61&gt;$J61,1,0))</f>
        <v>1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0</v>
      </c>
      <c r="X61" s="47" t="n">
        <f aca="false">IF($J61+$L61=0,,$L61)</f>
        <v>67</v>
      </c>
      <c r="Y61" s="47" t="n">
        <f aca="false">IF($J61+$L61=0,,$J61)</f>
        <v>65</v>
      </c>
      <c r="Z61" s="47" t="n">
        <f aca="false">IF($J61+$L61=0,,$L61-$J61)</f>
        <v>2</v>
      </c>
      <c r="AA61" s="47" t="str">
        <f aca="false">IF($J61+$L61=0,"(Vincente)",IF($J61&gt;$L61,$B61,$D61))</f>
        <v>Urubu Urlanti</v>
      </c>
      <c r="AB61" s="47" t="str">
        <f aca="false">IF($J61+$L61=0,"(Perdente)",IF($J61&lt;$L61,$B61,$D61))</f>
        <v>Draghi Dinamici</v>
      </c>
    </row>
    <row r="62" customFormat="false" ht="15.75" hidden="false" customHeight="true" outlineLevel="0" collapsed="false">
      <c r="A62" s="84"/>
      <c r="B62" s="48" t="str">
        <f aca="false">IF(I62="","",HYPERLINK(VLOOKUP(I62,areaCampiSquadre,3,FALSE()),VLOOKUP(I62,areaCampiSquadre,2,FALSE())))</f>
        <v>PalaZanzare, Via dello Sport 20, Zanzareopoli ZE</v>
      </c>
      <c r="C62" s="48"/>
      <c r="D62" s="48"/>
      <c r="E62" s="48"/>
      <c r="F62" s="48"/>
      <c r="G62" s="48"/>
      <c r="H62" s="48"/>
      <c r="I62" s="43" t="s">
        <v>173</v>
      </c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81" t="s">
        <v>393</v>
      </c>
      <c r="B64" s="82" t="str">
        <f aca="false">"GIORNATA "&amp;ROMAN(VALUE(LEFT(A64,LEN(A64)-1)))&amp;" - GIRONE "&amp;RIGHT(A64,1)</f>
        <v>GIORNATA V - GIRONE H</v>
      </c>
      <c r="C64" s="82"/>
      <c r="D64" s="82"/>
      <c r="E64" s="82"/>
      <c r="F64" s="82"/>
      <c r="G64" s="82"/>
      <c r="H64" s="82"/>
      <c r="I64" s="82"/>
      <c r="J64" s="82"/>
      <c r="K64" s="82"/>
      <c r="L64" s="82"/>
    </row>
    <row r="65" customFormat="false" ht="12.75" hidden="false" customHeight="true" outlineLevel="0" collapsed="false">
      <c r="A65" s="83" t="s">
        <v>334</v>
      </c>
      <c r="B65" s="83" t="s">
        <v>317</v>
      </c>
      <c r="C65" s="83"/>
      <c r="D65" s="83" t="s">
        <v>324</v>
      </c>
      <c r="E65" s="83"/>
      <c r="F65" s="83" t="s">
        <v>335</v>
      </c>
      <c r="G65" s="83" t="s">
        <v>336</v>
      </c>
      <c r="H65" s="83" t="s">
        <v>337</v>
      </c>
      <c r="I65" s="83"/>
      <c r="J65" s="83" t="s">
        <v>338</v>
      </c>
      <c r="K65" s="83"/>
      <c r="L65" s="83"/>
    </row>
    <row r="66" customFormat="false" ht="24" hidden="false" customHeight="true" outlineLevel="0" collapsed="false">
      <c r="A66" s="84" t="n">
        <f aca="false">MAX(A$10:A65)+1</f>
        <v>213</v>
      </c>
      <c r="B66" s="42" t="str">
        <f aca="false">IF(C66="","",IFERROR(LEFT(VLOOKUP(C66,areaNomiSquadre,2,FALSE()),FIND("-",VLOOKUP(C66,areaNomiSquadre,2,FALSE()))-1),""))</f>
        <v>Tartarughe Testarde</v>
      </c>
      <c r="C66" s="43" t="s">
        <v>166</v>
      </c>
      <c r="D66" s="42" t="str">
        <f aca="false">IF(E66="","",IFERROR(LEFT(VLOOKUP(E66,areaNomiSquadre,2,FALSE()),FIND("-",VLOOKUP(E66,areaNomiSquadre,2,FALSE()))-1),""))</f>
        <v>Zanzare Zampettanti</v>
      </c>
      <c r="E66" s="43" t="s">
        <v>173</v>
      </c>
      <c r="F66" s="44" t="n">
        <v>46411.3958333333</v>
      </c>
      <c r="G66" s="44"/>
      <c r="H66" s="44"/>
      <c r="I66" s="44"/>
      <c r="J66" s="45" t="n">
        <v>58</v>
      </c>
      <c r="K66" s="46" t="s">
        <v>339</v>
      </c>
      <c r="L66" s="45" t="n">
        <v>68</v>
      </c>
      <c r="M66" s="47" t="str">
        <f aca="false">IF($B66="","(Squadra A)",$B66)</f>
        <v>Tartarughe Testarde</v>
      </c>
      <c r="N66" s="47" t="n">
        <f aca="false">IF($J66+$L66=0,,IF($J66&gt;$L66,1,0))</f>
        <v>0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1</v>
      </c>
      <c r="Q66" s="47" t="n">
        <f aca="false">IF($J66+$L66=0,,$J66)</f>
        <v>58</v>
      </c>
      <c r="R66" s="47" t="n">
        <f aca="false">IF($J66+$L66=0,,$L66)</f>
        <v>68</v>
      </c>
      <c r="S66" s="47" t="n">
        <f aca="false">IF($J66+$L66=0,,$J66-$L66)</f>
        <v>-10</v>
      </c>
      <c r="T66" s="47" t="str">
        <f aca="false">IF($D66="","(Squadra B)",$D66)</f>
        <v>Zanzare Zampettanti</v>
      </c>
      <c r="U66" s="47" t="n">
        <f aca="false">IF($J66+$L66=0,,IF($L66&gt;$J66,1,0))</f>
        <v>1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0</v>
      </c>
      <c r="X66" s="47" t="n">
        <f aca="false">IF($J66+$L66=0,,$L66)</f>
        <v>68</v>
      </c>
      <c r="Y66" s="47" t="n">
        <f aca="false">IF($J66+$L66=0,,$J66)</f>
        <v>58</v>
      </c>
      <c r="Z66" s="47" t="n">
        <f aca="false">IF($J66+$L66=0,,$L66-$J66)</f>
        <v>10</v>
      </c>
      <c r="AA66" s="47" t="str">
        <f aca="false">IF($J66+$L66=0,"(Vincente)",IF($J66&gt;$L66,$B66,$D66))</f>
        <v>Zanzare Zampettanti</v>
      </c>
      <c r="AB66" s="47" t="str">
        <f aca="false">IF($J66+$L66=0,"(Perdente)",IF($J66&lt;$L66,$B66,$D66))</f>
        <v>Tartarughe Testarde</v>
      </c>
    </row>
    <row r="67" customFormat="false" ht="15.75" hidden="false" customHeight="true" outlineLevel="0" collapsed="false">
      <c r="A67" s="84"/>
      <c r="B67" s="48" t="str">
        <f aca="false">IF(I67="","",HYPERLINK(VLOOKUP(I67,areaCampiSquadre,3,FALSE()),VLOOKUP(I67,areaCampiSquadre,2,FALSE())))</f>
        <v>PalaAquile, Via dello Sport 1, Aquileopoli AE</v>
      </c>
      <c r="C67" s="48"/>
      <c r="D67" s="48"/>
      <c r="E67" s="48"/>
      <c r="F67" s="48"/>
      <c r="G67" s="48"/>
      <c r="H67" s="48"/>
      <c r="I67" s="43" t="s">
        <v>175</v>
      </c>
      <c r="J67" s="45"/>
      <c r="K67" s="45"/>
      <c r="L67" s="45"/>
    </row>
    <row r="68" customFormat="false" ht="12.75" hidden="false" customHeight="true" outlineLevel="0" collapsed="false">
      <c r="A68" s="83" t="s">
        <v>334</v>
      </c>
      <c r="B68" s="83" t="s">
        <v>317</v>
      </c>
      <c r="C68" s="83"/>
      <c r="D68" s="83" t="s">
        <v>324</v>
      </c>
      <c r="E68" s="83"/>
      <c r="F68" s="83" t="s">
        <v>335</v>
      </c>
      <c r="G68" s="83" t="s">
        <v>336</v>
      </c>
      <c r="H68" s="83" t="s">
        <v>337</v>
      </c>
      <c r="I68" s="83"/>
      <c r="J68" s="83" t="s">
        <v>338</v>
      </c>
      <c r="K68" s="83"/>
      <c r="L68" s="83"/>
    </row>
    <row r="69" customFormat="false" ht="24" hidden="false" customHeight="true" outlineLevel="0" collapsed="false">
      <c r="A69" s="84" t="n">
        <f aca="false">MAX(A$10:A68)+1</f>
        <v>214</v>
      </c>
      <c r="B69" s="42" t="str">
        <f aca="false">IF(C69="","",IFERROR(LEFT(VLOOKUP(C69,areaNomiSquadre,2,FALSE()),FIND("-",VLOOKUP(C69,areaNomiSquadre,2,FALSE()))-1),""))</f>
        <v>Visoni Vigorosi</v>
      </c>
      <c r="C69" s="43" t="s">
        <v>171</v>
      </c>
      <c r="D69" s="42" t="str">
        <f aca="false">IF(E69="","",IFERROR(LEFT(VLOOKUP(E69,areaNomiSquadre,2,FALSE()),FIND("-",VLOOKUP(E69,areaNomiSquadre,2,FALSE()))-1),""))</f>
        <v>Aquile Audaci</v>
      </c>
      <c r="E69" s="43" t="s">
        <v>175</v>
      </c>
      <c r="F69" s="44" t="n">
        <v>46411.4791666667</v>
      </c>
      <c r="G69" s="44"/>
      <c r="H69" s="44"/>
      <c r="I69" s="44"/>
      <c r="J69" s="45" t="n">
        <v>71</v>
      </c>
      <c r="K69" s="46" t="s">
        <v>339</v>
      </c>
      <c r="L69" s="45" t="n">
        <v>63</v>
      </c>
      <c r="M69" s="47" t="str">
        <f aca="false">IF($B69="","(Squadra A)",$B69)</f>
        <v>Visoni Vigorosi</v>
      </c>
      <c r="N69" s="47" t="n">
        <f aca="false">IF($J69+$L69=0,,IF($J69&gt;$L69,1,0))</f>
        <v>1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0</v>
      </c>
      <c r="Q69" s="47" t="n">
        <f aca="false">IF($J69+$L69=0,,$J69)</f>
        <v>71</v>
      </c>
      <c r="R69" s="47" t="n">
        <f aca="false">IF($J69+$L69=0,,$L69)</f>
        <v>63</v>
      </c>
      <c r="S69" s="47" t="n">
        <f aca="false">IF($J69+$L69=0,,$J69-$L69)</f>
        <v>8</v>
      </c>
      <c r="T69" s="47" t="str">
        <f aca="false">IF($D69="","(Squadra B)",$D69)</f>
        <v>Aquile Audaci</v>
      </c>
      <c r="U69" s="47" t="n">
        <f aca="false">IF($J69+$L69=0,,IF($L69&gt;$J69,1,0))</f>
        <v>0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1</v>
      </c>
      <c r="X69" s="47" t="n">
        <f aca="false">IF($J69+$L69=0,,$L69)</f>
        <v>63</v>
      </c>
      <c r="Y69" s="47" t="n">
        <f aca="false">IF($J69+$L69=0,,$J69)</f>
        <v>71</v>
      </c>
      <c r="Z69" s="47" t="n">
        <f aca="false">IF($J69+$L69=0,,$L69-$J69)</f>
        <v>-8</v>
      </c>
      <c r="AA69" s="47" t="str">
        <f aca="false">IF($J69+$L69=0,"(Vincente)",IF($J69&gt;$L69,$B69,$D69))</f>
        <v>Visoni Vigorosi</v>
      </c>
      <c r="AB69" s="47" t="str">
        <f aca="false">IF($J69+$L69=0,"(Perdente)",IF($J69&lt;$L69,$B69,$D69))</f>
        <v>Aquile Audaci</v>
      </c>
    </row>
    <row r="70" customFormat="false" ht="15.75" hidden="false" customHeight="true" outlineLevel="0" collapsed="false">
      <c r="A70" s="84"/>
      <c r="B70" s="48" t="str">
        <f aca="false">IF(I70="","",HYPERLINK(VLOOKUP(I70,areaCampiSquadre,3,FALSE()),VLOOKUP(I70,areaCampiSquadre,2,FALSE())))</f>
        <v>PalaAquile, Via dello Sport 1, Aquileopoli AE</v>
      </c>
      <c r="C70" s="48"/>
      <c r="D70" s="48"/>
      <c r="E70" s="48"/>
      <c r="F70" s="48"/>
      <c r="G70" s="48"/>
      <c r="H70" s="48"/>
      <c r="I70" s="43" t="s">
        <v>175</v>
      </c>
      <c r="J70" s="45"/>
      <c r="K70" s="45"/>
      <c r="L70" s="45"/>
    </row>
    <row r="71" customFormat="false" ht="12.75" hidden="false" customHeight="true" outlineLevel="0" collapsed="false">
      <c r="A71" s="83" t="s">
        <v>334</v>
      </c>
      <c r="B71" s="83" t="s">
        <v>317</v>
      </c>
      <c r="C71" s="83"/>
      <c r="D71" s="83" t="s">
        <v>324</v>
      </c>
      <c r="E71" s="83"/>
      <c r="F71" s="83" t="s">
        <v>335</v>
      </c>
      <c r="G71" s="83" t="s">
        <v>336</v>
      </c>
      <c r="H71" s="83" t="s">
        <v>337</v>
      </c>
      <c r="I71" s="83"/>
      <c r="J71" s="83" t="s">
        <v>338</v>
      </c>
      <c r="K71" s="83"/>
      <c r="L71" s="83"/>
    </row>
    <row r="72" customFormat="false" ht="24" hidden="false" customHeight="true" outlineLevel="0" collapsed="false">
      <c r="A72" s="84" t="n">
        <f aca="false">MAX(A$10:A71)+1</f>
        <v>215</v>
      </c>
      <c r="B72" s="42" t="str">
        <f aca="false">IF(C72="","",IFERROR(LEFT(VLOOKUP(C72,areaNomiSquadre,2,FALSE()),FIND("-",VLOOKUP(C72,areaNomiSquadre,2,FALSE()))-1),""))</f>
        <v>Bradipi Brillanti</v>
      </c>
      <c r="C72" s="43" t="s">
        <v>177</v>
      </c>
      <c r="D72" s="42" t="str">
        <f aca="false">IF(E72="","",IFERROR(LEFT(VLOOKUP(E72,areaNomiSquadre,2,FALSE()),FIND("-",VLOOKUP(E72,areaNomiSquadre,2,FALSE()))-1),""))</f>
        <v>Urubu Urlanti</v>
      </c>
      <c r="E72" s="43" t="s">
        <v>169</v>
      </c>
      <c r="F72" s="44" t="n">
        <v>46411.625</v>
      </c>
      <c r="G72" s="44"/>
      <c r="H72" s="44"/>
      <c r="I72" s="44"/>
      <c r="J72" s="45" t="n">
        <v>56</v>
      </c>
      <c r="K72" s="46" t="s">
        <v>339</v>
      </c>
      <c r="L72" s="45" t="n">
        <v>89</v>
      </c>
      <c r="M72" s="47" t="str">
        <f aca="false">IF($B72="","(Squadra A)",$B72)</f>
        <v>Bradipi Brillanti</v>
      </c>
      <c r="N72" s="47" t="n">
        <f aca="false">IF($J72+$L72=0,,IF($J72&gt;$L72,1,0))</f>
        <v>0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1</v>
      </c>
      <c r="Q72" s="47" t="n">
        <f aca="false">IF($J72+$L72=0,,$J72)</f>
        <v>56</v>
      </c>
      <c r="R72" s="47" t="n">
        <f aca="false">IF($J72+$L72=0,,$L72)</f>
        <v>89</v>
      </c>
      <c r="S72" s="47" t="n">
        <f aca="false">IF($J72+$L72=0,,$J72-$L72)</f>
        <v>-33</v>
      </c>
      <c r="T72" s="47" t="str">
        <f aca="false">IF($D72="","(Squadra B)",$D72)</f>
        <v>Urubu Urlanti</v>
      </c>
      <c r="U72" s="47" t="n">
        <f aca="false">IF($J72+$L72=0,,IF($L72&gt;$J72,1,0))</f>
        <v>1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0</v>
      </c>
      <c r="X72" s="47" t="n">
        <f aca="false">IF($J72+$L72=0,,$L72)</f>
        <v>89</v>
      </c>
      <c r="Y72" s="47" t="n">
        <f aca="false">IF($J72+$L72=0,,$J72)</f>
        <v>56</v>
      </c>
      <c r="Z72" s="47" t="n">
        <f aca="false">IF($J72+$L72=0,,$L72-$J72)</f>
        <v>33</v>
      </c>
      <c r="AA72" s="47" t="str">
        <f aca="false">IF($J72+$L72=0,"(Vincente)",IF($J72&gt;$L72,$B72,$D72))</f>
        <v>Urubu Urlanti</v>
      </c>
      <c r="AB72" s="47" t="str">
        <f aca="false">IF($J72+$L72=0,"(Perdente)",IF($J72&lt;$L72,$B72,$D72))</f>
        <v>Bradipi Brillanti</v>
      </c>
    </row>
    <row r="73" customFormat="false" ht="15.75" hidden="false" customHeight="true" outlineLevel="0" collapsed="false">
      <c r="A73" s="84"/>
      <c r="B73" s="48" t="str">
        <f aca="false">IF(I73="","",HYPERLINK(VLOOKUP(I73,areaCampiSquadre,3,FALSE()),VLOOKUP(I73,areaCampiSquadre,2,FALSE())))</f>
        <v>PalaAquile, Via dello Sport 1, Aquileopoli AE</v>
      </c>
      <c r="C73" s="48"/>
      <c r="D73" s="48"/>
      <c r="E73" s="48"/>
      <c r="F73" s="48"/>
      <c r="G73" s="48"/>
      <c r="H73" s="48"/>
      <c r="I73" s="43" t="s">
        <v>175</v>
      </c>
      <c r="J73" s="45"/>
      <c r="K73" s="45"/>
      <c r="L73" s="45"/>
    </row>
    <row r="74" customFormat="false" ht="12.75" hidden="false" customHeight="true" outlineLevel="0" collapsed="false">
      <c r="A74" s="83" t="s">
        <v>334</v>
      </c>
      <c r="B74" s="83" t="s">
        <v>317</v>
      </c>
      <c r="C74" s="83"/>
      <c r="D74" s="83" t="s">
        <v>324</v>
      </c>
      <c r="E74" s="83"/>
      <c r="F74" s="83" t="s">
        <v>335</v>
      </c>
      <c r="G74" s="83" t="s">
        <v>336</v>
      </c>
      <c r="H74" s="83" t="s">
        <v>337</v>
      </c>
      <c r="I74" s="83"/>
      <c r="J74" s="83" t="s">
        <v>338</v>
      </c>
      <c r="K74" s="83"/>
      <c r="L74" s="83"/>
    </row>
    <row r="75" customFormat="false" ht="24" hidden="false" customHeight="true" outlineLevel="0" collapsed="false">
      <c r="A75" s="84" t="n">
        <f aca="false">MAX(A$10:A74)+1</f>
        <v>216</v>
      </c>
      <c r="B75" s="42" t="str">
        <f aca="false">IF(C75="","",IFERROR(LEFT(VLOOKUP(C75,areaNomiSquadre,2,FALSE()),FIND("-",VLOOKUP(C75,areaNomiSquadre,2,FALSE()))-1),""))</f>
        <v>Draghi Dinamici</v>
      </c>
      <c r="C75" s="43" t="s">
        <v>181</v>
      </c>
      <c r="D75" s="42" t="str">
        <f aca="false">IF(E75="","",IFERROR(LEFT(VLOOKUP(E75,areaNomiSquadre,2,FALSE()),FIND("-",VLOOKUP(E75,areaNomiSquadre,2,FALSE()))-1),""))</f>
        <v>Castori Cocciuti</v>
      </c>
      <c r="E75" s="43" t="s">
        <v>179</v>
      </c>
      <c r="F75" s="44" t="n">
        <v>46411.7083333333</v>
      </c>
      <c r="G75" s="44"/>
      <c r="H75" s="44"/>
      <c r="I75" s="44"/>
      <c r="J75" s="45" t="n">
        <v>79</v>
      </c>
      <c r="K75" s="46" t="s">
        <v>339</v>
      </c>
      <c r="L75" s="45" t="n">
        <v>58</v>
      </c>
      <c r="M75" s="47" t="str">
        <f aca="false">IF($B75="","(Squadra A)",$B75)</f>
        <v>Draghi Dinamici</v>
      </c>
      <c r="N75" s="47" t="n">
        <f aca="false">IF($J75+$L75=0,,IF($J75&gt;$L75,1,0))</f>
        <v>1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0</v>
      </c>
      <c r="Q75" s="47" t="n">
        <f aca="false">IF($J75+$L75=0,,$J75)</f>
        <v>79</v>
      </c>
      <c r="R75" s="47" t="n">
        <f aca="false">IF($J75+$L75=0,,$L75)</f>
        <v>58</v>
      </c>
      <c r="S75" s="47" t="n">
        <f aca="false">IF($J75+$L75=0,,$J75-$L75)</f>
        <v>21</v>
      </c>
      <c r="T75" s="47" t="str">
        <f aca="false">IF($D75="","(Squadra B)",$D75)</f>
        <v>Castori Cocciuti</v>
      </c>
      <c r="U75" s="47" t="n">
        <f aca="false">IF($J75+$L75=0,,IF($L75&gt;$J75,1,0))</f>
        <v>0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1</v>
      </c>
      <c r="X75" s="47" t="n">
        <f aca="false">IF($J75+$L75=0,,$L75)</f>
        <v>58</v>
      </c>
      <c r="Y75" s="47" t="n">
        <f aca="false">IF($J75+$L75=0,,$J75)</f>
        <v>79</v>
      </c>
      <c r="Z75" s="47" t="n">
        <f aca="false">IF($J75+$L75=0,,$L75-$J75)</f>
        <v>-21</v>
      </c>
      <c r="AA75" s="47" t="str">
        <f aca="false">IF($J75+$L75=0,"(Vincente)",IF($J75&gt;$L75,$B75,$D75))</f>
        <v>Draghi Dinamici</v>
      </c>
      <c r="AB75" s="47" t="str">
        <f aca="false">IF($J75+$L75=0,"(Perdente)",IF($J75&lt;$L75,$B75,$D75))</f>
        <v>Castori Cocciuti</v>
      </c>
    </row>
    <row r="76" customFormat="false" ht="15.75" hidden="false" customHeight="true" outlineLevel="0" collapsed="false">
      <c r="A76" s="84"/>
      <c r="B76" s="48" t="str">
        <f aca="false">IF(I76="","",HYPERLINK(VLOOKUP(I76,areaCampiSquadre,3,FALSE()),VLOOKUP(I76,areaCampiSquadre,2,FALSE())))</f>
        <v>PalaAquile, Via dello Sport 1, Aquileopoli AE</v>
      </c>
      <c r="C76" s="48"/>
      <c r="D76" s="48"/>
      <c r="E76" s="48"/>
      <c r="F76" s="48"/>
      <c r="G76" s="48"/>
      <c r="H76" s="48"/>
      <c r="I76" s="43" t="s">
        <v>175</v>
      </c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81" t="s">
        <v>394</v>
      </c>
      <c r="B78" s="82" t="str">
        <f aca="false">"GIORNATA "&amp;ROMAN(VALUE(LEFT(A78,LEN(A78)-1)))&amp;" - GIRONE "&amp;RIGHT(A78,1)</f>
        <v>GIORNATA VI - GIRONE H</v>
      </c>
      <c r="C78" s="82"/>
      <c r="D78" s="82"/>
      <c r="E78" s="82"/>
      <c r="F78" s="82"/>
      <c r="G78" s="82"/>
      <c r="H78" s="82"/>
      <c r="I78" s="82"/>
      <c r="J78" s="82"/>
      <c r="K78" s="82"/>
      <c r="L78" s="82"/>
    </row>
    <row r="79" customFormat="false" ht="12.75" hidden="false" customHeight="true" outlineLevel="0" collapsed="false">
      <c r="A79" s="83" t="s">
        <v>334</v>
      </c>
      <c r="B79" s="83" t="s">
        <v>317</v>
      </c>
      <c r="C79" s="83"/>
      <c r="D79" s="83" t="s">
        <v>324</v>
      </c>
      <c r="E79" s="83"/>
      <c r="F79" s="83" t="s">
        <v>335</v>
      </c>
      <c r="G79" s="83" t="s">
        <v>336</v>
      </c>
      <c r="H79" s="83" t="s">
        <v>337</v>
      </c>
      <c r="I79" s="83"/>
      <c r="J79" s="83" t="s">
        <v>338</v>
      </c>
      <c r="K79" s="83"/>
      <c r="L79" s="83"/>
    </row>
    <row r="80" customFormat="false" ht="24" hidden="false" customHeight="true" outlineLevel="0" collapsed="false">
      <c r="A80" s="84" t="n">
        <f aca="false">MAX(A$10:A79)+1</f>
        <v>217</v>
      </c>
      <c r="B80" s="42" t="str">
        <f aca="false">IF(C80="","",IFERROR(LEFT(VLOOKUP(C80,areaNomiSquadre,2,FALSE()),FIND("-",VLOOKUP(C80,areaNomiSquadre,2,FALSE()))-1),""))</f>
        <v>Visoni Vigorosi</v>
      </c>
      <c r="C80" s="43" t="s">
        <v>171</v>
      </c>
      <c r="D80" s="42" t="str">
        <f aca="false">IF(E80="","",IFERROR(LEFT(VLOOKUP(E80,areaNomiSquadre,2,FALSE()),FIND("-",VLOOKUP(E80,areaNomiSquadre,2,FALSE()))-1),""))</f>
        <v>Tartarughe Testarde</v>
      </c>
      <c r="E80" s="43" t="s">
        <v>166</v>
      </c>
      <c r="F80" s="44" t="n">
        <v>46432.3958333333</v>
      </c>
      <c r="G80" s="44"/>
      <c r="H80" s="44"/>
      <c r="I80" s="44"/>
      <c r="J80" s="45" t="n">
        <v>45</v>
      </c>
      <c r="K80" s="46" t="s">
        <v>339</v>
      </c>
      <c r="L80" s="45" t="n">
        <v>84</v>
      </c>
      <c r="M80" s="47" t="str">
        <f aca="false">IF($B80="","(Squadra A)",$B80)</f>
        <v>Visoni Vigorosi</v>
      </c>
      <c r="N80" s="47" t="n">
        <f aca="false">IF($J80+$L80=0,,IF($J80&gt;$L80,1,0))</f>
        <v>0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1</v>
      </c>
      <c r="Q80" s="47" t="n">
        <f aca="false">IF($J80+$L80=0,,$J80)</f>
        <v>45</v>
      </c>
      <c r="R80" s="47" t="n">
        <f aca="false">IF($J80+$L80=0,,$L80)</f>
        <v>84</v>
      </c>
      <c r="S80" s="47" t="n">
        <f aca="false">IF($J80+$L80=0,,$J80-$L80)</f>
        <v>-39</v>
      </c>
      <c r="T80" s="47" t="str">
        <f aca="false">IF($D80="","(Squadra B)",$D80)</f>
        <v>Tartarughe Testarde</v>
      </c>
      <c r="U80" s="47" t="n">
        <f aca="false">IF($J80+$L80=0,,IF($L80&gt;$J80,1,0))</f>
        <v>1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0</v>
      </c>
      <c r="X80" s="47" t="n">
        <f aca="false">IF($J80+$L80=0,,$L80)</f>
        <v>84</v>
      </c>
      <c r="Y80" s="47" t="n">
        <f aca="false">IF($J80+$L80=0,,$J80)</f>
        <v>45</v>
      </c>
      <c r="Z80" s="47" t="n">
        <f aca="false">IF($J80+$L80=0,,$L80-$J80)</f>
        <v>39</v>
      </c>
      <c r="AA80" s="47" t="str">
        <f aca="false">IF($J80+$L80=0,"(Vincente)",IF($J80&gt;$L80,$B80,$D80))</f>
        <v>Tartarughe Testarde</v>
      </c>
      <c r="AB80" s="47" t="str">
        <f aca="false">IF($J80+$L80=0,"(Perdente)",IF($J80&lt;$L80,$B80,$D80))</f>
        <v>Visoni Vigorosi</v>
      </c>
    </row>
    <row r="81" customFormat="false" ht="15.75" hidden="false" customHeight="true" outlineLevel="0" collapsed="false">
      <c r="A81" s="84"/>
      <c r="B81" s="48" t="str">
        <f aca="false">IF(I81="","",HYPERLINK(VLOOKUP(I81,areaCampiSquadre,3,FALSE()),VLOOKUP(I81,areaCampiSquadre,2,FALSE())))</f>
        <v>PalaBradipi, Via dello Sport 2, Bradipiopoli BI</v>
      </c>
      <c r="C81" s="48"/>
      <c r="D81" s="48"/>
      <c r="E81" s="48"/>
      <c r="F81" s="48"/>
      <c r="G81" s="48"/>
      <c r="H81" s="48"/>
      <c r="I81" s="43" t="s">
        <v>177</v>
      </c>
      <c r="J81" s="45"/>
      <c r="K81" s="45"/>
      <c r="L81" s="45"/>
    </row>
    <row r="82" customFormat="false" ht="12.75" hidden="false" customHeight="true" outlineLevel="0" collapsed="false">
      <c r="A82" s="83" t="s">
        <v>334</v>
      </c>
      <c r="B82" s="83" t="s">
        <v>317</v>
      </c>
      <c r="C82" s="83"/>
      <c r="D82" s="83" t="s">
        <v>324</v>
      </c>
      <c r="E82" s="83"/>
      <c r="F82" s="83" t="s">
        <v>335</v>
      </c>
      <c r="G82" s="83" t="s">
        <v>336</v>
      </c>
      <c r="H82" s="83" t="s">
        <v>337</v>
      </c>
      <c r="I82" s="83"/>
      <c r="J82" s="83" t="s">
        <v>338</v>
      </c>
      <c r="K82" s="83"/>
      <c r="L82" s="83"/>
    </row>
    <row r="83" customFormat="false" ht="24" hidden="false" customHeight="true" outlineLevel="0" collapsed="false">
      <c r="A83" s="84" t="n">
        <f aca="false">MAX(A$10:A82)+1</f>
        <v>218</v>
      </c>
      <c r="B83" s="42" t="str">
        <f aca="false">IF(C83="","",IFERROR(LEFT(VLOOKUP(C83,areaNomiSquadre,2,FALSE()),FIND("-",VLOOKUP(C83,areaNomiSquadre,2,FALSE()))-1),""))</f>
        <v>Zanzare Zampettanti</v>
      </c>
      <c r="C83" s="43" t="s">
        <v>173</v>
      </c>
      <c r="D83" s="42" t="str">
        <f aca="false">IF(E83="","",IFERROR(LEFT(VLOOKUP(E83,areaNomiSquadre,2,FALSE()),FIND("-",VLOOKUP(E83,areaNomiSquadre,2,FALSE()))-1),""))</f>
        <v>Urubu Urlanti</v>
      </c>
      <c r="E83" s="43" t="s">
        <v>169</v>
      </c>
      <c r="F83" s="44" t="n">
        <v>46432.4791666667</v>
      </c>
      <c r="G83" s="44"/>
      <c r="H83" s="44"/>
      <c r="I83" s="44"/>
      <c r="J83" s="45" t="n">
        <v>75</v>
      </c>
      <c r="K83" s="46" t="s">
        <v>339</v>
      </c>
      <c r="L83" s="45" t="n">
        <v>39</v>
      </c>
      <c r="M83" s="47" t="str">
        <f aca="false">IF($B83="","(Squadra A)",$B83)</f>
        <v>Zanzare Zampettanti</v>
      </c>
      <c r="N83" s="47" t="n">
        <f aca="false">IF($J83+$L83=0,,IF($J83&gt;$L83,1,0))</f>
        <v>1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0</v>
      </c>
      <c r="Q83" s="47" t="n">
        <f aca="false">IF($J83+$L83=0,,$J83)</f>
        <v>75</v>
      </c>
      <c r="R83" s="47" t="n">
        <f aca="false">IF($J83+$L83=0,,$L83)</f>
        <v>39</v>
      </c>
      <c r="S83" s="47" t="n">
        <f aca="false">IF($J83+$L83=0,,$J83-$L83)</f>
        <v>36</v>
      </c>
      <c r="T83" s="47" t="str">
        <f aca="false">IF($D83="","(Squadra B)",$D83)</f>
        <v>Urubu Urlanti</v>
      </c>
      <c r="U83" s="47" t="n">
        <f aca="false">IF($J83+$L83=0,,IF($L83&gt;$J83,1,0))</f>
        <v>0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1</v>
      </c>
      <c r="X83" s="47" t="n">
        <f aca="false">IF($J83+$L83=0,,$L83)</f>
        <v>39</v>
      </c>
      <c r="Y83" s="47" t="n">
        <f aca="false">IF($J83+$L83=0,,$J83)</f>
        <v>75</v>
      </c>
      <c r="Z83" s="47" t="n">
        <f aca="false">IF($J83+$L83=0,,$L83-$J83)</f>
        <v>-36</v>
      </c>
      <c r="AA83" s="47" t="str">
        <f aca="false">IF($J83+$L83=0,"(Vincente)",IF($J83&gt;$L83,$B83,$D83))</f>
        <v>Zanzare Zampettanti</v>
      </c>
      <c r="AB83" s="47" t="str">
        <f aca="false">IF($J83+$L83=0,"(Perdente)",IF($J83&lt;$L83,$B83,$D83))</f>
        <v>Urubu Urlanti</v>
      </c>
    </row>
    <row r="84" customFormat="false" ht="15.75" hidden="false" customHeight="true" outlineLevel="0" collapsed="false">
      <c r="A84" s="84"/>
      <c r="B84" s="48" t="str">
        <f aca="false">IF(I84="","",HYPERLINK(VLOOKUP(I84,areaCampiSquadre,3,FALSE()),VLOOKUP(I84,areaCampiSquadre,2,FALSE())))</f>
        <v>PalaBradipi, Via dello Sport 2, Bradipiopoli BI</v>
      </c>
      <c r="C84" s="48"/>
      <c r="D84" s="48"/>
      <c r="E84" s="48"/>
      <c r="F84" s="48"/>
      <c r="G84" s="48"/>
      <c r="H84" s="48"/>
      <c r="I84" s="43" t="s">
        <v>177</v>
      </c>
      <c r="J84" s="45"/>
      <c r="K84" s="45"/>
      <c r="L84" s="45"/>
    </row>
    <row r="85" customFormat="false" ht="12.75" hidden="false" customHeight="true" outlineLevel="0" collapsed="false">
      <c r="A85" s="83" t="s">
        <v>334</v>
      </c>
      <c r="B85" s="83" t="s">
        <v>317</v>
      </c>
      <c r="C85" s="83"/>
      <c r="D85" s="83" t="s">
        <v>324</v>
      </c>
      <c r="E85" s="83"/>
      <c r="F85" s="83" t="s">
        <v>335</v>
      </c>
      <c r="G85" s="83" t="s">
        <v>336</v>
      </c>
      <c r="H85" s="83" t="s">
        <v>337</v>
      </c>
      <c r="I85" s="83"/>
      <c r="J85" s="83" t="s">
        <v>338</v>
      </c>
      <c r="K85" s="83"/>
      <c r="L85" s="83"/>
    </row>
    <row r="86" customFormat="false" ht="24" hidden="false" customHeight="true" outlineLevel="0" collapsed="false">
      <c r="A86" s="84" t="n">
        <f aca="false">MAX(A$10:A85)+1</f>
        <v>219</v>
      </c>
      <c r="B86" s="42" t="str">
        <f aca="false">IF(C86="","",IFERROR(LEFT(VLOOKUP(C86,areaNomiSquadre,2,FALSE()),FIND("-",VLOOKUP(C86,areaNomiSquadre,2,FALSE()))-1),""))</f>
        <v>Draghi Dinamici</v>
      </c>
      <c r="C86" s="43" t="s">
        <v>181</v>
      </c>
      <c r="D86" s="42" t="str">
        <f aca="false">IF(E86="","",IFERROR(LEFT(VLOOKUP(E86,areaNomiSquadre,2,FALSE()),FIND("-",VLOOKUP(E86,areaNomiSquadre,2,FALSE()))-1),""))</f>
        <v>Aquile Audaci</v>
      </c>
      <c r="E86" s="43" t="s">
        <v>175</v>
      </c>
      <c r="F86" s="44" t="n">
        <v>46432.625</v>
      </c>
      <c r="G86" s="44"/>
      <c r="H86" s="44"/>
      <c r="I86" s="44"/>
      <c r="J86" s="45" t="n">
        <v>45</v>
      </c>
      <c r="K86" s="46" t="s">
        <v>339</v>
      </c>
      <c r="L86" s="45" t="n">
        <v>85</v>
      </c>
      <c r="M86" s="47" t="str">
        <f aca="false">IF($B86="","(Squadra A)",$B86)</f>
        <v>Draghi Dinamici</v>
      </c>
      <c r="N86" s="47" t="n">
        <f aca="false">IF($J86+$L86=0,,IF($J86&gt;$L86,1,0))</f>
        <v>0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1</v>
      </c>
      <c r="Q86" s="47" t="n">
        <f aca="false">IF($J86+$L86=0,,$J86)</f>
        <v>45</v>
      </c>
      <c r="R86" s="47" t="n">
        <f aca="false">IF($J86+$L86=0,,$L86)</f>
        <v>85</v>
      </c>
      <c r="S86" s="47" t="n">
        <f aca="false">IF($J86+$L86=0,,$J86-$L86)</f>
        <v>-40</v>
      </c>
      <c r="T86" s="47" t="str">
        <f aca="false">IF($D86="","(Squadra B)",$D86)</f>
        <v>Aquile Audaci</v>
      </c>
      <c r="U86" s="47" t="n">
        <f aca="false">IF($J86+$L86=0,,IF($L86&gt;$J86,1,0))</f>
        <v>1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0</v>
      </c>
      <c r="X86" s="47" t="n">
        <f aca="false">IF($J86+$L86=0,,$L86)</f>
        <v>85</v>
      </c>
      <c r="Y86" s="47" t="n">
        <f aca="false">IF($J86+$L86=0,,$J86)</f>
        <v>45</v>
      </c>
      <c r="Z86" s="47" t="n">
        <f aca="false">IF($J86+$L86=0,,$L86-$J86)</f>
        <v>40</v>
      </c>
      <c r="AA86" s="47" t="str">
        <f aca="false">IF($J86+$L86=0,"(Vincente)",IF($J86&gt;$L86,$B86,$D86))</f>
        <v>Aquile Audaci</v>
      </c>
      <c r="AB86" s="47" t="str">
        <f aca="false">IF($J86+$L86=0,"(Perdente)",IF($J86&lt;$L86,$B86,$D86))</f>
        <v>Draghi Dinamici</v>
      </c>
    </row>
    <row r="87" customFormat="false" ht="15.75" hidden="false" customHeight="true" outlineLevel="0" collapsed="false">
      <c r="A87" s="84"/>
      <c r="B87" s="48" t="str">
        <f aca="false">IF(I87="","",HYPERLINK(VLOOKUP(I87,areaCampiSquadre,3,FALSE()),VLOOKUP(I87,areaCampiSquadre,2,FALSE())))</f>
        <v>PalaBradipi, Via dello Sport 2, Bradipiopoli BI</v>
      </c>
      <c r="C87" s="48"/>
      <c r="D87" s="48"/>
      <c r="E87" s="48"/>
      <c r="F87" s="48"/>
      <c r="G87" s="48"/>
      <c r="H87" s="48"/>
      <c r="I87" s="43" t="s">
        <v>177</v>
      </c>
      <c r="J87" s="45"/>
      <c r="K87" s="45"/>
      <c r="L87" s="45"/>
    </row>
    <row r="88" customFormat="false" ht="12.75" hidden="false" customHeight="true" outlineLevel="0" collapsed="false">
      <c r="A88" s="83" t="s">
        <v>334</v>
      </c>
      <c r="B88" s="83" t="s">
        <v>317</v>
      </c>
      <c r="C88" s="83"/>
      <c r="D88" s="83" t="s">
        <v>324</v>
      </c>
      <c r="E88" s="83"/>
      <c r="F88" s="83" t="s">
        <v>335</v>
      </c>
      <c r="G88" s="83" t="s">
        <v>336</v>
      </c>
      <c r="H88" s="83" t="s">
        <v>337</v>
      </c>
      <c r="I88" s="83"/>
      <c r="J88" s="83" t="s">
        <v>338</v>
      </c>
      <c r="K88" s="83"/>
      <c r="L88" s="83"/>
    </row>
    <row r="89" customFormat="false" ht="24" hidden="false" customHeight="true" outlineLevel="0" collapsed="false">
      <c r="A89" s="84" t="n">
        <f aca="false">MAX(A$10:A88)+1</f>
        <v>220</v>
      </c>
      <c r="B89" s="42" t="str">
        <f aca="false">IF(C89="","",IFERROR(LEFT(VLOOKUP(C89,areaNomiSquadre,2,FALSE()),FIND("-",VLOOKUP(C89,areaNomiSquadre,2,FALSE()))-1),""))</f>
        <v>Bradipi Brillanti</v>
      </c>
      <c r="C89" s="43" t="s">
        <v>177</v>
      </c>
      <c r="D89" s="42" t="str">
        <f aca="false">IF(E89="","",IFERROR(LEFT(VLOOKUP(E89,areaNomiSquadre,2,FALSE()),FIND("-",VLOOKUP(E89,areaNomiSquadre,2,FALSE()))-1),""))</f>
        <v>Castori Cocciuti</v>
      </c>
      <c r="E89" s="43" t="s">
        <v>179</v>
      </c>
      <c r="F89" s="44" t="n">
        <v>46432.7083333333</v>
      </c>
      <c r="G89" s="44"/>
      <c r="H89" s="44"/>
      <c r="I89" s="44"/>
      <c r="J89" s="45" t="n">
        <v>48</v>
      </c>
      <c r="K89" s="46" t="s">
        <v>339</v>
      </c>
      <c r="L89" s="45" t="n">
        <v>62</v>
      </c>
      <c r="M89" s="47" t="str">
        <f aca="false">IF($B89="","(Squadra A)",$B89)</f>
        <v>Bradipi Brillanti</v>
      </c>
      <c r="N89" s="47" t="n">
        <f aca="false">IF($J89+$L89=0,,IF($J89&gt;$L89,1,0))</f>
        <v>0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1</v>
      </c>
      <c r="Q89" s="47" t="n">
        <f aca="false">IF($J89+$L89=0,,$J89)</f>
        <v>48</v>
      </c>
      <c r="R89" s="47" t="n">
        <f aca="false">IF($J89+$L89=0,,$L89)</f>
        <v>62</v>
      </c>
      <c r="S89" s="47" t="n">
        <f aca="false">IF($J89+$L89=0,,$J89-$L89)</f>
        <v>-14</v>
      </c>
      <c r="T89" s="47" t="str">
        <f aca="false">IF($D89="","(Squadra B)",$D89)</f>
        <v>Castori Cocciuti</v>
      </c>
      <c r="U89" s="47" t="n">
        <f aca="false">IF($J89+$L89=0,,IF($L89&gt;$J89,1,0))</f>
        <v>1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0</v>
      </c>
      <c r="X89" s="47" t="n">
        <f aca="false">IF($J89+$L89=0,,$L89)</f>
        <v>62</v>
      </c>
      <c r="Y89" s="47" t="n">
        <f aca="false">IF($J89+$L89=0,,$J89)</f>
        <v>48</v>
      </c>
      <c r="Z89" s="47" t="n">
        <f aca="false">IF($J89+$L89=0,,$L89-$J89)</f>
        <v>14</v>
      </c>
      <c r="AA89" s="47" t="str">
        <f aca="false">IF($J89+$L89=0,"(Vincente)",IF($J89&gt;$L89,$B89,$D89))</f>
        <v>Castori Cocciuti</v>
      </c>
      <c r="AB89" s="47" t="str">
        <f aca="false">IF($J89+$L89=0,"(Perdente)",IF($J89&lt;$L89,$B89,$D89))</f>
        <v>Bradipi Brillanti</v>
      </c>
    </row>
    <row r="90" customFormat="false" ht="15.75" hidden="false" customHeight="true" outlineLevel="0" collapsed="false">
      <c r="A90" s="84"/>
      <c r="B90" s="48" t="str">
        <f aca="false">IF(I90="","",HYPERLINK(VLOOKUP(I90,areaCampiSquadre,3,FALSE()),VLOOKUP(I90,areaCampiSquadre,2,FALSE())))</f>
        <v>PalaBradipi, Via dello Sport 2, Bradipiopoli BI</v>
      </c>
      <c r="C90" s="48"/>
      <c r="D90" s="48"/>
      <c r="E90" s="48"/>
      <c r="F90" s="48"/>
      <c r="G90" s="48"/>
      <c r="H90" s="48"/>
      <c r="I90" s="43" t="s">
        <v>177</v>
      </c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81" t="s">
        <v>395</v>
      </c>
      <c r="B92" s="82" t="str">
        <f aca="false">"GIORNATA "&amp;ROMAN(VALUE(LEFT(A92,LEN(A92)-1)))&amp;" - GIRONE "&amp;RIGHT(A92,1)</f>
        <v>GIORNATA VII - GIRONE H</v>
      </c>
      <c r="C92" s="82"/>
      <c r="D92" s="82"/>
      <c r="E92" s="82"/>
      <c r="F92" s="82"/>
      <c r="G92" s="82"/>
      <c r="H92" s="82"/>
      <c r="I92" s="82"/>
      <c r="J92" s="82"/>
      <c r="K92" s="82"/>
      <c r="L92" s="82"/>
    </row>
    <row r="93" customFormat="false" ht="12.75" hidden="false" customHeight="true" outlineLevel="0" collapsed="false">
      <c r="A93" s="83" t="s">
        <v>334</v>
      </c>
      <c r="B93" s="83" t="s">
        <v>317</v>
      </c>
      <c r="C93" s="83"/>
      <c r="D93" s="83" t="s">
        <v>324</v>
      </c>
      <c r="E93" s="83"/>
      <c r="F93" s="83" t="s">
        <v>335</v>
      </c>
      <c r="G93" s="83" t="s">
        <v>336</v>
      </c>
      <c r="H93" s="83" t="s">
        <v>337</v>
      </c>
      <c r="I93" s="83"/>
      <c r="J93" s="83" t="s">
        <v>338</v>
      </c>
      <c r="K93" s="83"/>
      <c r="L93" s="83"/>
    </row>
    <row r="94" customFormat="false" ht="24" hidden="false" customHeight="true" outlineLevel="0" collapsed="false">
      <c r="A94" s="84" t="n">
        <f aca="false">MAX(A$10:A93)+1</f>
        <v>221</v>
      </c>
      <c r="B94" s="42" t="str">
        <f aca="false">IF(C94="","",IFERROR(LEFT(VLOOKUP(C94,areaNomiSquadre,2,FALSE()),FIND("-",VLOOKUP(C94,areaNomiSquadre,2,FALSE()))-1),""))</f>
        <v>Tartarughe Testarde</v>
      </c>
      <c r="C94" s="43" t="s">
        <v>166</v>
      </c>
      <c r="D94" s="42" t="str">
        <f aca="false">IF(E94="","",IFERROR(LEFT(VLOOKUP(E94,areaNomiSquadre,2,FALSE()),FIND("-",VLOOKUP(E94,areaNomiSquadre,2,FALSE()))-1),""))</f>
        <v>Urubu Urlanti</v>
      </c>
      <c r="E94" s="43" t="s">
        <v>169</v>
      </c>
      <c r="F94" s="44" t="n">
        <v>46453.3958333333</v>
      </c>
      <c r="G94" s="44"/>
      <c r="H94" s="44"/>
      <c r="I94" s="44"/>
      <c r="J94" s="45" t="n">
        <v>62</v>
      </c>
      <c r="K94" s="46" t="s">
        <v>339</v>
      </c>
      <c r="L94" s="45" t="n">
        <v>63</v>
      </c>
      <c r="M94" s="47" t="str">
        <f aca="false">IF($B94="","(Squadra A)",$B94)</f>
        <v>Tartarughe Testarde</v>
      </c>
      <c r="N94" s="47" t="n">
        <f aca="false">IF($J94+$L94=0,,IF($J94&gt;$L94,1,0))</f>
        <v>0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1</v>
      </c>
      <c r="Q94" s="47" t="n">
        <f aca="false">IF($J94+$L94=0,,$J94)</f>
        <v>62</v>
      </c>
      <c r="R94" s="47" t="n">
        <f aca="false">IF($J94+$L94=0,,$L94)</f>
        <v>63</v>
      </c>
      <c r="S94" s="47" t="n">
        <f aca="false">IF($J94+$L94=0,,$J94-$L94)</f>
        <v>-1</v>
      </c>
      <c r="T94" s="47" t="str">
        <f aca="false">IF($D94="","(Squadra B)",$D94)</f>
        <v>Urubu Urlanti</v>
      </c>
      <c r="U94" s="47" t="n">
        <f aca="false">IF($J94+$L94=0,,IF($L94&gt;$J94,1,0))</f>
        <v>1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0</v>
      </c>
      <c r="X94" s="47" t="n">
        <f aca="false">IF($J94+$L94=0,,$L94)</f>
        <v>63</v>
      </c>
      <c r="Y94" s="47" t="n">
        <f aca="false">IF($J94+$L94=0,,$J94)</f>
        <v>62</v>
      </c>
      <c r="Z94" s="47" t="n">
        <f aca="false">IF($J94+$L94=0,,$L94-$J94)</f>
        <v>1</v>
      </c>
      <c r="AA94" s="47" t="str">
        <f aca="false">IF($J94+$L94=0,"(Vincente)",IF($J94&gt;$L94,$B94,$D94))</f>
        <v>Urubu Urlanti</v>
      </c>
      <c r="AB94" s="47" t="str">
        <f aca="false">IF($J94+$L94=0,"(Perdente)",IF($J94&lt;$L94,$B94,$D94))</f>
        <v>Tartarughe Testarde</v>
      </c>
    </row>
    <row r="95" customFormat="false" ht="15.75" hidden="false" customHeight="true" outlineLevel="0" collapsed="false">
      <c r="A95" s="84"/>
      <c r="B95" s="48" t="str">
        <f aca="false">IF(I95="","",HYPERLINK(VLOOKUP(I95,areaCampiSquadre,3,FALSE()),VLOOKUP(I95,areaCampiSquadre,2,FALSE())))</f>
        <v>PalaCastori, Via dello Sport 3, Castoriopoli CI</v>
      </c>
      <c r="C95" s="48"/>
      <c r="D95" s="48"/>
      <c r="E95" s="48"/>
      <c r="F95" s="48"/>
      <c r="G95" s="48"/>
      <c r="H95" s="48"/>
      <c r="I95" s="43" t="s">
        <v>179</v>
      </c>
      <c r="J95" s="45"/>
      <c r="K95" s="45"/>
      <c r="L95" s="45"/>
    </row>
    <row r="96" customFormat="false" ht="12.75" hidden="false" customHeight="true" outlineLevel="0" collapsed="false">
      <c r="A96" s="83" t="s">
        <v>334</v>
      </c>
      <c r="B96" s="83" t="s">
        <v>317</v>
      </c>
      <c r="C96" s="83"/>
      <c r="D96" s="83" t="s">
        <v>324</v>
      </c>
      <c r="E96" s="83"/>
      <c r="F96" s="83" t="s">
        <v>335</v>
      </c>
      <c r="G96" s="83" t="s">
        <v>336</v>
      </c>
      <c r="H96" s="83" t="s">
        <v>337</v>
      </c>
      <c r="I96" s="83"/>
      <c r="J96" s="83" t="s">
        <v>338</v>
      </c>
      <c r="K96" s="83"/>
      <c r="L96" s="83"/>
    </row>
    <row r="97" customFormat="false" ht="24" hidden="false" customHeight="true" outlineLevel="0" collapsed="false">
      <c r="A97" s="84" t="n">
        <f aca="false">MAX(A$10:A96)+1</f>
        <v>222</v>
      </c>
      <c r="B97" s="42" t="str">
        <f aca="false">IF(C97="","",IFERROR(LEFT(VLOOKUP(C97,areaNomiSquadre,2,FALSE()),FIND("-",VLOOKUP(C97,areaNomiSquadre,2,FALSE()))-1),""))</f>
        <v>Draghi Dinamici</v>
      </c>
      <c r="C97" s="43" t="s">
        <v>181</v>
      </c>
      <c r="D97" s="42" t="str">
        <f aca="false">IF(E97="","",IFERROR(LEFT(VLOOKUP(E97,areaNomiSquadre,2,FALSE()),FIND("-",VLOOKUP(E97,areaNomiSquadre,2,FALSE()))-1),""))</f>
        <v>Visoni Vigorosi</v>
      </c>
      <c r="E97" s="43" t="s">
        <v>171</v>
      </c>
      <c r="F97" s="44" t="n">
        <v>46453.4791666667</v>
      </c>
      <c r="G97" s="44"/>
      <c r="H97" s="44"/>
      <c r="I97" s="44"/>
      <c r="J97" s="45" t="n">
        <v>76</v>
      </c>
      <c r="K97" s="46" t="s">
        <v>339</v>
      </c>
      <c r="L97" s="45" t="n">
        <v>70</v>
      </c>
      <c r="M97" s="47" t="str">
        <f aca="false">IF($B97="","(Squadra A)",$B97)</f>
        <v>Draghi Dinamici</v>
      </c>
      <c r="N97" s="47" t="n">
        <f aca="false">IF($J97+$L97=0,,IF($J97&gt;$L97,1,0))</f>
        <v>1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76</v>
      </c>
      <c r="R97" s="47" t="n">
        <f aca="false">IF($J97+$L97=0,,$L97)</f>
        <v>70</v>
      </c>
      <c r="S97" s="47" t="n">
        <f aca="false">IF($J97+$L97=0,,$J97-$L97)</f>
        <v>6</v>
      </c>
      <c r="T97" s="47" t="str">
        <f aca="false">IF($D97="","(Squadra B)",$D97)</f>
        <v>Visoni Vigorosi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1</v>
      </c>
      <c r="X97" s="47" t="n">
        <f aca="false">IF($J97+$L97=0,,$L97)</f>
        <v>70</v>
      </c>
      <c r="Y97" s="47" t="n">
        <f aca="false">IF($J97+$L97=0,,$J97)</f>
        <v>76</v>
      </c>
      <c r="Z97" s="47" t="n">
        <f aca="false">IF($J97+$L97=0,,$L97-$J97)</f>
        <v>-6</v>
      </c>
      <c r="AA97" s="47" t="str">
        <f aca="false">IF($J97+$L97=0,"(Vincente)",IF($J97&gt;$L97,$B97,$D97))</f>
        <v>Draghi Dinamici</v>
      </c>
      <c r="AB97" s="47" t="str">
        <f aca="false">IF($J97+$L97=0,"(Perdente)",IF($J97&lt;$L97,$B97,$D97))</f>
        <v>Visoni Vigorosi</v>
      </c>
    </row>
    <row r="98" customFormat="false" ht="15.75" hidden="false" customHeight="true" outlineLevel="0" collapsed="false">
      <c r="A98" s="84"/>
      <c r="B98" s="48" t="str">
        <f aca="false">IF(I98="","",HYPERLINK(VLOOKUP(I98,areaCampiSquadre,3,FALSE()),VLOOKUP(I98,areaCampiSquadre,2,FALSE())))</f>
        <v>PalaCastori, Via dello Sport 3, Castoriopoli CI</v>
      </c>
      <c r="C98" s="48"/>
      <c r="D98" s="48"/>
      <c r="E98" s="48"/>
      <c r="F98" s="48"/>
      <c r="G98" s="48"/>
      <c r="H98" s="48"/>
      <c r="I98" s="43" t="s">
        <v>179</v>
      </c>
      <c r="J98" s="45"/>
      <c r="K98" s="45"/>
      <c r="L98" s="45"/>
    </row>
    <row r="99" customFormat="false" ht="12.75" hidden="false" customHeight="true" outlineLevel="0" collapsed="false">
      <c r="A99" s="83" t="s">
        <v>334</v>
      </c>
      <c r="B99" s="83" t="s">
        <v>317</v>
      </c>
      <c r="C99" s="83"/>
      <c r="D99" s="83" t="s">
        <v>324</v>
      </c>
      <c r="E99" s="83"/>
      <c r="F99" s="83" t="s">
        <v>335</v>
      </c>
      <c r="G99" s="83" t="s">
        <v>336</v>
      </c>
      <c r="H99" s="83" t="s">
        <v>337</v>
      </c>
      <c r="I99" s="83"/>
      <c r="J99" s="83" t="s">
        <v>338</v>
      </c>
      <c r="K99" s="83"/>
      <c r="L99" s="83"/>
    </row>
    <row r="100" customFormat="false" ht="24" hidden="false" customHeight="true" outlineLevel="0" collapsed="false">
      <c r="A100" s="84" t="n">
        <f aca="false">MAX(A$10:A99)+1</f>
        <v>223</v>
      </c>
      <c r="B100" s="42" t="str">
        <f aca="false">IF(C100="","",IFERROR(LEFT(VLOOKUP(C100,areaNomiSquadre,2,FALSE()),FIND("-",VLOOKUP(C100,areaNomiSquadre,2,FALSE()))-1),""))</f>
        <v>Zanzare Zampettanti</v>
      </c>
      <c r="C100" s="43" t="s">
        <v>173</v>
      </c>
      <c r="D100" s="42" t="str">
        <f aca="false">IF(E100="","",IFERROR(LEFT(VLOOKUP(E100,areaNomiSquadre,2,FALSE()),FIND("-",VLOOKUP(E100,areaNomiSquadre,2,FALSE()))-1),""))</f>
        <v>Castori Cocciuti</v>
      </c>
      <c r="E100" s="43" t="s">
        <v>179</v>
      </c>
      <c r="F100" s="44" t="n">
        <v>46453.625</v>
      </c>
      <c r="G100" s="44"/>
      <c r="H100" s="44"/>
      <c r="I100" s="44"/>
      <c r="J100" s="45" t="n">
        <v>73</v>
      </c>
      <c r="K100" s="46" t="s">
        <v>339</v>
      </c>
      <c r="L100" s="45" t="n">
        <v>51</v>
      </c>
      <c r="M100" s="47" t="str">
        <f aca="false">IF($B100="","(Squadra A)",$B100)</f>
        <v>Zanzare Zampettanti</v>
      </c>
      <c r="N100" s="47" t="n">
        <f aca="false">IF($J100+$L100=0,,IF($J100&gt;$L100,1,0))</f>
        <v>1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0</v>
      </c>
      <c r="Q100" s="47" t="n">
        <f aca="false">IF($J100+$L100=0,,$J100)</f>
        <v>73</v>
      </c>
      <c r="R100" s="47" t="n">
        <f aca="false">IF($J100+$L100=0,,$L100)</f>
        <v>51</v>
      </c>
      <c r="S100" s="47" t="n">
        <f aca="false">IF($J100+$L100=0,,$J100-$L100)</f>
        <v>22</v>
      </c>
      <c r="T100" s="47" t="str">
        <f aca="false">IF($D100="","(Squadra B)",$D100)</f>
        <v>Castori Cocciuti</v>
      </c>
      <c r="U100" s="47" t="n">
        <f aca="false">IF($J100+$L100=0,,IF($L100&gt;$J100,1,0))</f>
        <v>0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1</v>
      </c>
      <c r="X100" s="47" t="n">
        <f aca="false">IF($J100+$L100=0,,$L100)</f>
        <v>51</v>
      </c>
      <c r="Y100" s="47" t="n">
        <f aca="false">IF($J100+$L100=0,,$J100)</f>
        <v>73</v>
      </c>
      <c r="Z100" s="47" t="n">
        <f aca="false">IF($J100+$L100=0,,$L100-$J100)</f>
        <v>-22</v>
      </c>
      <c r="AA100" s="47" t="str">
        <f aca="false">IF($J100+$L100=0,"(Vincente)",IF($J100&gt;$L100,$B100,$D100))</f>
        <v>Zanzare Zampettanti</v>
      </c>
      <c r="AB100" s="47" t="str">
        <f aca="false">IF($J100+$L100=0,"(Perdente)",IF($J100&lt;$L100,$B100,$D100))</f>
        <v>Castori Cocciuti</v>
      </c>
    </row>
    <row r="101" customFormat="false" ht="15.75" hidden="false" customHeight="true" outlineLevel="0" collapsed="false">
      <c r="A101" s="84"/>
      <c r="B101" s="48" t="str">
        <f aca="false">IF(I101="","",HYPERLINK(VLOOKUP(I101,areaCampiSquadre,3,FALSE()),VLOOKUP(I101,areaCampiSquadre,2,FALSE())))</f>
        <v>PalaCastori, Via dello Sport 3, Castoriopoli CI</v>
      </c>
      <c r="C101" s="48"/>
      <c r="D101" s="48"/>
      <c r="E101" s="48"/>
      <c r="F101" s="48"/>
      <c r="G101" s="48"/>
      <c r="H101" s="48"/>
      <c r="I101" s="43" t="s">
        <v>179</v>
      </c>
      <c r="J101" s="45"/>
      <c r="K101" s="45"/>
      <c r="L101" s="45"/>
    </row>
    <row r="102" customFormat="false" ht="12.75" hidden="false" customHeight="true" outlineLevel="0" collapsed="false">
      <c r="A102" s="83" t="s">
        <v>334</v>
      </c>
      <c r="B102" s="83" t="s">
        <v>317</v>
      </c>
      <c r="C102" s="83"/>
      <c r="D102" s="83" t="s">
        <v>324</v>
      </c>
      <c r="E102" s="83"/>
      <c r="F102" s="83" t="s">
        <v>335</v>
      </c>
      <c r="G102" s="83" t="s">
        <v>336</v>
      </c>
      <c r="H102" s="83" t="s">
        <v>337</v>
      </c>
      <c r="I102" s="83"/>
      <c r="J102" s="83" t="s">
        <v>338</v>
      </c>
      <c r="K102" s="83"/>
      <c r="L102" s="83"/>
    </row>
    <row r="103" customFormat="false" ht="24" hidden="false" customHeight="true" outlineLevel="0" collapsed="false">
      <c r="A103" s="84" t="n">
        <f aca="false">MAX(A$10:A102)+1</f>
        <v>224</v>
      </c>
      <c r="B103" s="42" t="str">
        <f aca="false">IF(C103="","",IFERROR(LEFT(VLOOKUP(C103,areaNomiSquadre,2,FALSE()),FIND("-",VLOOKUP(C103,areaNomiSquadre,2,FALSE()))-1),""))</f>
        <v>Bradipi Brillanti</v>
      </c>
      <c r="C103" s="43" t="s">
        <v>177</v>
      </c>
      <c r="D103" s="42" t="str">
        <f aca="false">IF(E103="","",IFERROR(LEFT(VLOOKUP(E103,areaNomiSquadre,2,FALSE()),FIND("-",VLOOKUP(E103,areaNomiSquadre,2,FALSE()))-1),""))</f>
        <v>Aquile Audaci</v>
      </c>
      <c r="E103" s="43" t="s">
        <v>175</v>
      </c>
      <c r="F103" s="44" t="n">
        <v>46453.7083333333</v>
      </c>
      <c r="G103" s="44"/>
      <c r="H103" s="44"/>
      <c r="I103" s="44"/>
      <c r="J103" s="45" t="n">
        <v>64</v>
      </c>
      <c r="K103" s="46" t="s">
        <v>339</v>
      </c>
      <c r="L103" s="45" t="n">
        <v>55</v>
      </c>
      <c r="M103" s="47" t="str">
        <f aca="false">IF($B103="","(Squadra A)",$B103)</f>
        <v>Bradipi Brillanti</v>
      </c>
      <c r="N103" s="47" t="n">
        <f aca="false">IF($J103+$L103=0,,IF($J103&gt;$L103,1,0))</f>
        <v>1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0</v>
      </c>
      <c r="Q103" s="47" t="n">
        <f aca="false">IF($J103+$L103=0,,$J103)</f>
        <v>64</v>
      </c>
      <c r="R103" s="47" t="n">
        <f aca="false">IF($J103+$L103=0,,$L103)</f>
        <v>55</v>
      </c>
      <c r="S103" s="47" t="n">
        <f aca="false">IF($J103+$L103=0,,$J103-$L103)</f>
        <v>9</v>
      </c>
      <c r="T103" s="47" t="str">
        <f aca="false">IF($D103="","(Squadra B)",$D103)</f>
        <v>Aquile Audaci</v>
      </c>
      <c r="U103" s="47" t="n">
        <f aca="false">IF($J103+$L103=0,,IF($L103&gt;$J103,1,0))</f>
        <v>0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1</v>
      </c>
      <c r="X103" s="47" t="n">
        <f aca="false">IF($J103+$L103=0,,$L103)</f>
        <v>55</v>
      </c>
      <c r="Y103" s="47" t="n">
        <f aca="false">IF($J103+$L103=0,,$J103)</f>
        <v>64</v>
      </c>
      <c r="Z103" s="47" t="n">
        <f aca="false">IF($J103+$L103=0,,$L103-$J103)</f>
        <v>-9</v>
      </c>
      <c r="AA103" s="47" t="str">
        <f aca="false">IF($J103+$L103=0,"(Vincente)",IF($J103&gt;$L103,$B103,$D103))</f>
        <v>Bradipi Brillanti</v>
      </c>
      <c r="AB103" s="47" t="str">
        <f aca="false">IF($J103+$L103=0,"(Perdente)",IF($J103&lt;$L103,$B103,$D103))</f>
        <v>Aquile Audaci</v>
      </c>
    </row>
    <row r="104" customFormat="false" ht="15.75" hidden="false" customHeight="true" outlineLevel="0" collapsed="false">
      <c r="A104" s="84"/>
      <c r="B104" s="48" t="str">
        <f aca="false">IF(I104="","",HYPERLINK(VLOOKUP(I104,areaCampiSquadre,3,FALSE()),VLOOKUP(I104,areaCampiSquadre,2,FALSE())))</f>
        <v>PalaCastori, Via dello Sport 3, Castoriopoli CI</v>
      </c>
      <c r="C104" s="48"/>
      <c r="D104" s="48"/>
      <c r="E104" s="48"/>
      <c r="F104" s="48"/>
      <c r="G104" s="48"/>
      <c r="H104" s="48"/>
      <c r="I104" s="43" t="s">
        <v>179</v>
      </c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346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2121"/>
    <pageSetUpPr fitToPage="true"/>
  </sheetPr>
  <dimension ref="A1:AB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15" hidden="false" customHeight="false" outlineLevel="0" collapsed="false">
      <c r="A1" s="35" t="str">
        <f aca="false">constNomeCampionato&amp;""</f>
        <v>Campionato Baskin Demo - ESEMPIO COMPILATO 64 Squadre</v>
      </c>
      <c r="B1" s="35"/>
      <c r="C1" s="35"/>
      <c r="D1" s="35"/>
    </row>
    <row r="2" customFormat="false" ht="15" hidden="false" customHeight="false" outlineLevel="0" collapsed="false">
      <c r="A2" s="35"/>
      <c r="B2" s="35"/>
      <c r="C2" s="35"/>
      <c r="D2" s="35"/>
    </row>
    <row r="3" customFormat="false" ht="17.35" hidden="false" customHeight="false" outlineLevel="0" collapsed="false">
      <c r="A3" s="85" t="str">
        <f aca="false">"PLAYOFF - Stagione "&amp;constStagionaCampionato</f>
        <v>PLAYOFF - Stagione 2026/2027</v>
      </c>
      <c r="B3" s="85"/>
      <c r="C3" s="85"/>
      <c r="D3" s="85"/>
    </row>
    <row r="6" customFormat="false" ht="15" hidden="false" customHeight="false" outlineLevel="0" collapsed="false">
      <c r="M6" s="37" t="s">
        <v>317</v>
      </c>
      <c r="N6" s="37" t="s">
        <v>318</v>
      </c>
      <c r="O6" s="37" t="s">
        <v>319</v>
      </c>
      <c r="P6" s="37" t="s">
        <v>320</v>
      </c>
      <c r="Q6" s="37" t="s">
        <v>321</v>
      </c>
      <c r="R6" s="37" t="s">
        <v>322</v>
      </c>
      <c r="S6" s="37" t="s">
        <v>323</v>
      </c>
      <c r="T6" s="37" t="s">
        <v>324</v>
      </c>
      <c r="U6" s="37" t="s">
        <v>325</v>
      </c>
      <c r="V6" s="37" t="s">
        <v>326</v>
      </c>
      <c r="W6" s="37" t="s">
        <v>327</v>
      </c>
      <c r="X6" s="37" t="s">
        <v>328</v>
      </c>
      <c r="Y6" s="37" t="s">
        <v>329</v>
      </c>
      <c r="Z6" s="37" t="s">
        <v>330</v>
      </c>
      <c r="AA6" s="37" t="s">
        <v>331</v>
      </c>
      <c r="AB6" s="37" t="s">
        <v>332</v>
      </c>
    </row>
    <row r="8" customFormat="false" ht="19.5" hidden="false" customHeight="true" outlineLevel="0" collapsed="false">
      <c r="B8" s="86" t="s">
        <v>396</v>
      </c>
      <c r="C8" s="86"/>
      <c r="D8" s="86"/>
      <c r="E8" s="86"/>
      <c r="F8" s="86"/>
      <c r="G8" s="86"/>
      <c r="H8" s="86"/>
      <c r="I8" s="86"/>
      <c r="J8" s="86"/>
      <c r="K8" s="86"/>
      <c r="L8" s="86"/>
    </row>
    <row r="9" customFormat="false" ht="12.75" hidden="false" customHeight="true" outlineLevel="0" collapsed="false">
      <c r="A9" s="87" t="s">
        <v>334</v>
      </c>
      <c r="B9" s="87" t="s">
        <v>317</v>
      </c>
      <c r="C9" s="87"/>
      <c r="D9" s="87" t="s">
        <v>324</v>
      </c>
      <c r="E9" s="87"/>
      <c r="F9" s="87" t="s">
        <v>335</v>
      </c>
      <c r="G9" s="87" t="s">
        <v>336</v>
      </c>
      <c r="H9" s="87" t="s">
        <v>337</v>
      </c>
      <c r="I9" s="87"/>
      <c r="J9" s="87" t="s">
        <v>338</v>
      </c>
      <c r="K9" s="87"/>
      <c r="L9" s="87"/>
    </row>
    <row r="10" customFormat="false" ht="24" hidden="false" customHeight="true" outlineLevel="0" collapsed="false">
      <c r="A10" s="88" t="n">
        <v>225</v>
      </c>
      <c r="B10" s="42" t="str">
        <f aca="false">IFERROR(VLOOKUP(C10,Campionato!$G$12:$H$75,2,FALSE()),"("&amp;C10&amp;")")</f>
        <v>Anaconde Arrabbiate</v>
      </c>
      <c r="C10" s="43" t="s">
        <v>397</v>
      </c>
      <c r="D10" s="42" t="str">
        <f aca="false">IFERROR(VLOOKUP(E10,Campionato!$G$12:$H$75,2,FALSE()),"("&amp;E10&amp;")")</f>
        <v>Urubu Urlanti</v>
      </c>
      <c r="E10" s="43" t="s">
        <v>398</v>
      </c>
      <c r="F10" s="44" t="n">
        <v>46488.3958333333</v>
      </c>
      <c r="G10" s="44"/>
      <c r="H10" s="44"/>
      <c r="I10" s="44"/>
      <c r="J10" s="45" t="n">
        <v>62</v>
      </c>
      <c r="K10" s="46" t="s">
        <v>339</v>
      </c>
      <c r="L10" s="45" t="n">
        <v>38</v>
      </c>
      <c r="M10" s="47" t="str">
        <f aca="false">IF($B10="","(Squadra A)",$B10)</f>
        <v>Anaconde Arrabbiate</v>
      </c>
      <c r="N10" s="47" t="n">
        <f aca="false">IF($J10+$L10=0,,IF($J10&gt;$L10,1,0))</f>
        <v>1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62</v>
      </c>
      <c r="R10" s="47" t="n">
        <f aca="false">IF($J10+$L10=0,,$L10)</f>
        <v>38</v>
      </c>
      <c r="S10" s="47" t="n">
        <f aca="false">IF($J10+$L10=0,,$J10-$L10)</f>
        <v>24</v>
      </c>
      <c r="T10" s="47" t="str">
        <f aca="false">IF($D10="","(Squadra B)",$D10)</f>
        <v>Urubu Urlanti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1</v>
      </c>
      <c r="X10" s="47" t="n">
        <f aca="false">IF($J10+$L10=0,,$L10)</f>
        <v>38</v>
      </c>
      <c r="Y10" s="47" t="n">
        <f aca="false">IF($J10+$L10=0,,$J10)</f>
        <v>62</v>
      </c>
      <c r="Z10" s="47" t="n">
        <f aca="false">IF($J10+$L10=0,,$L10-$J10)</f>
        <v>-24</v>
      </c>
      <c r="AA10" s="47" t="str">
        <f aca="false">IF($J10+$L10=0,"(Vincente)",IF($J10&gt;$L10,$B10,$D10))</f>
        <v>Anaconde Arrabbiate</v>
      </c>
      <c r="AB10" s="47" t="str">
        <f aca="false">IF($J10+$L10=0,"(Perdente)",IF($J10&lt;$L10,$B10,$D10))</f>
        <v>Urubu Urlanti</v>
      </c>
    </row>
    <row r="11" customFormat="false" ht="15.75" hidden="false" customHeight="true" outlineLevel="0" collapsed="false">
      <c r="A11" s="88"/>
      <c r="B11" s="48" t="str">
        <f aca="false">IF(I11="","",HYPERLINK(VLOOKUP(I11,areaCampiSquadre,3,FALSE()),VLOOKUP(I11,areaCampiSquadre,2,FALSE())))</f>
        <v>DA DEFINIRE</v>
      </c>
      <c r="C11" s="48"/>
      <c r="D11" s="48"/>
      <c r="E11" s="48"/>
      <c r="F11" s="48"/>
      <c r="G11" s="48"/>
      <c r="H11" s="48"/>
      <c r="I11" s="89" t="s">
        <v>314</v>
      </c>
      <c r="J11" s="45"/>
      <c r="K11" s="45"/>
      <c r="L11" s="45"/>
    </row>
    <row r="12" customFormat="false" ht="12.75" hidden="false" customHeight="true" outlineLevel="0" collapsed="false">
      <c r="A12" s="87" t="s">
        <v>334</v>
      </c>
      <c r="B12" s="87" t="s">
        <v>317</v>
      </c>
      <c r="C12" s="87"/>
      <c r="D12" s="87" t="s">
        <v>324</v>
      </c>
      <c r="E12" s="87"/>
      <c r="F12" s="87" t="s">
        <v>335</v>
      </c>
      <c r="G12" s="87" t="s">
        <v>336</v>
      </c>
      <c r="H12" s="87" t="s">
        <v>337</v>
      </c>
      <c r="I12" s="87"/>
      <c r="J12" s="87" t="s">
        <v>338</v>
      </c>
      <c r="K12" s="87"/>
      <c r="L12" s="87"/>
    </row>
    <row r="13" customFormat="false" ht="24" hidden="false" customHeight="true" outlineLevel="0" collapsed="false">
      <c r="A13" s="88" t="n">
        <f aca="false">MAX(A$10:A12)+1</f>
        <v>226</v>
      </c>
      <c r="B13" s="42" t="str">
        <f aca="false">IFERROR(VLOOKUP(C13,Campionato!$G$12:$H$75,2,FALSE()),"("&amp;C13&amp;")")</f>
        <v>Rinoceronti Ribelli</v>
      </c>
      <c r="C13" s="43" t="s">
        <v>399</v>
      </c>
      <c r="D13" s="42" t="str">
        <f aca="false">IFERROR(VLOOKUP(E13,Campionato!$G$12:$H$75,2,FALSE()),"("&amp;E13&amp;")")</f>
        <v>Struzzi Strepitosi</v>
      </c>
      <c r="E13" s="43" t="s">
        <v>400</v>
      </c>
      <c r="F13" s="44" t="n">
        <v>46488.4583333333</v>
      </c>
      <c r="G13" s="44"/>
      <c r="H13" s="44"/>
      <c r="I13" s="44"/>
      <c r="J13" s="45" t="n">
        <v>67</v>
      </c>
      <c r="K13" s="46" t="s">
        <v>339</v>
      </c>
      <c r="L13" s="45" t="n">
        <v>54</v>
      </c>
      <c r="M13" s="47" t="str">
        <f aca="false">IF($B13="","(Squadra A)",$B13)</f>
        <v>Rinoceronti Ribelli</v>
      </c>
      <c r="N13" s="47" t="n">
        <f aca="false">IF($J13+$L13=0,,IF($J13&gt;$L13,1,0))</f>
        <v>1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47" t="n">
        <f aca="false">IF($J13+$L13=0,,$J13)</f>
        <v>67</v>
      </c>
      <c r="R13" s="47" t="n">
        <f aca="false">IF($J13+$L13=0,,$L13)</f>
        <v>54</v>
      </c>
      <c r="S13" s="47" t="n">
        <f aca="false">IF($J13+$L13=0,,$J13-$L13)</f>
        <v>13</v>
      </c>
      <c r="T13" s="47" t="str">
        <f aca="false">IF($D13="","(Squadra B)",$D13)</f>
        <v>Struzzi Strepitosi</v>
      </c>
      <c r="U13" s="47" t="n">
        <f aca="false">IF($J13+$L13=0,,IF($L13&gt;$J13,1,0))</f>
        <v>0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1</v>
      </c>
      <c r="X13" s="47" t="n">
        <f aca="false">IF($J13+$L13=0,,$L13)</f>
        <v>54</v>
      </c>
      <c r="Y13" s="47" t="n">
        <f aca="false">IF($J13+$L13=0,,$J13)</f>
        <v>67</v>
      </c>
      <c r="Z13" s="47" t="n">
        <f aca="false">IF($J13+$L13=0,,$L13-$J13)</f>
        <v>-13</v>
      </c>
      <c r="AA13" s="47" t="str">
        <f aca="false">IF($J13+$L13=0,"(Vincente)",IF($J13&gt;$L13,$B13,$D13))</f>
        <v>Rinoceronti Ribelli</v>
      </c>
      <c r="AB13" s="47" t="str">
        <f aca="false">IF($J13+$L13=0,"(Perdente)",IF($J13&lt;$L13,$B13,$D13))</f>
        <v>Struzzi Strepitosi</v>
      </c>
    </row>
    <row r="14" customFormat="false" ht="15.75" hidden="false" customHeight="true" outlineLevel="0" collapsed="false">
      <c r="A14" s="88"/>
      <c r="B14" s="48" t="str">
        <f aca="false">IF(I14="","",HYPERLINK(VLOOKUP(I14,areaCampiSquadre,3,FALSE()),VLOOKUP(I14,areaCampiSquadre,2,FALSE())))</f>
        <v>DA DEFINIRE</v>
      </c>
      <c r="C14" s="48"/>
      <c r="D14" s="48"/>
      <c r="E14" s="48"/>
      <c r="F14" s="48"/>
      <c r="G14" s="48"/>
      <c r="H14" s="48"/>
      <c r="I14" s="89" t="s">
        <v>314</v>
      </c>
      <c r="J14" s="45"/>
      <c r="K14" s="45"/>
      <c r="L14" s="45"/>
    </row>
    <row r="15" customFormat="false" ht="12.75" hidden="false" customHeight="true" outlineLevel="0" collapsed="false">
      <c r="A15" s="87" t="s">
        <v>334</v>
      </c>
      <c r="B15" s="87" t="s">
        <v>317</v>
      </c>
      <c r="C15" s="87"/>
      <c r="D15" s="87" t="s">
        <v>324</v>
      </c>
      <c r="E15" s="87"/>
      <c r="F15" s="87" t="s">
        <v>335</v>
      </c>
      <c r="G15" s="87" t="s">
        <v>336</v>
      </c>
      <c r="H15" s="87" t="s">
        <v>337</v>
      </c>
      <c r="I15" s="87"/>
      <c r="J15" s="87" t="s">
        <v>338</v>
      </c>
      <c r="K15" s="87"/>
      <c r="L15" s="87"/>
    </row>
    <row r="16" customFormat="false" ht="24" hidden="false" customHeight="true" outlineLevel="0" collapsed="false">
      <c r="A16" s="88" t="n">
        <f aca="false">MAX(A$10:A15)+1</f>
        <v>227</v>
      </c>
      <c r="B16" s="42" t="str">
        <f aca="false">IFERROR(VLOOKUP(C16,Campionato!$G$12:$H$75,2,FALSE()),"("&amp;C16&amp;")")</f>
        <v>Zebre Zelanti</v>
      </c>
      <c r="C16" s="43" t="s">
        <v>401</v>
      </c>
      <c r="D16" s="42" t="str">
        <f aca="false">IFERROR(VLOOKUP(E16,Campionato!$G$12:$H$75,2,FALSE()),"("&amp;E16&amp;")")</f>
        <v>Iene Ilari</v>
      </c>
      <c r="E16" s="43" t="s">
        <v>402</v>
      </c>
      <c r="F16" s="44" t="n">
        <v>46488.5625</v>
      </c>
      <c r="G16" s="44"/>
      <c r="H16" s="44"/>
      <c r="I16" s="44"/>
      <c r="J16" s="45" t="n">
        <v>50</v>
      </c>
      <c r="K16" s="46" t="s">
        <v>339</v>
      </c>
      <c r="L16" s="45" t="n">
        <v>70</v>
      </c>
      <c r="M16" s="47" t="str">
        <f aca="false">IF($B16="","(Squadra A)",$B16)</f>
        <v>Zebre Zelanti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1</v>
      </c>
      <c r="Q16" s="47" t="n">
        <f aca="false">IF($J16+$L16=0,,$J16)</f>
        <v>50</v>
      </c>
      <c r="R16" s="47" t="n">
        <f aca="false">IF($J16+$L16=0,,$L16)</f>
        <v>70</v>
      </c>
      <c r="S16" s="47" t="n">
        <f aca="false">IF($J16+$L16=0,,$J16-$L16)</f>
        <v>-20</v>
      </c>
      <c r="T16" s="47" t="str">
        <f aca="false">IF($D16="","(Squadra B)",$D16)</f>
        <v>Iene Ilari</v>
      </c>
      <c r="U16" s="47" t="n">
        <f aca="false">IF($J16+$L16=0,,IF($L16&gt;$J16,1,0))</f>
        <v>1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70</v>
      </c>
      <c r="Y16" s="47" t="n">
        <f aca="false">IF($J16+$L16=0,,$J16)</f>
        <v>50</v>
      </c>
      <c r="Z16" s="47" t="n">
        <f aca="false">IF($J16+$L16=0,,$L16-$J16)</f>
        <v>20</v>
      </c>
      <c r="AA16" s="47" t="str">
        <f aca="false">IF($J16+$L16=0,"(Vincente)",IF($J16&gt;$L16,$B16,$D16))</f>
        <v>Iene Ilari</v>
      </c>
      <c r="AB16" s="47" t="str">
        <f aca="false">IF($J16+$L16=0,"(Perdente)",IF($J16&lt;$L16,$B16,$D16))</f>
        <v>Zebre Zelanti</v>
      </c>
    </row>
    <row r="17" customFormat="false" ht="15.75" hidden="false" customHeight="true" outlineLevel="0" collapsed="false">
      <c r="A17" s="88"/>
      <c r="B17" s="48" t="str">
        <f aca="false">IF(I17="","",HYPERLINK(VLOOKUP(I17,areaCampiSquadre,3,FALSE()),VLOOKUP(I17,areaCampiSquadre,2,FALSE())))</f>
        <v>DA DEFINIRE</v>
      </c>
      <c r="C17" s="48"/>
      <c r="D17" s="48"/>
      <c r="E17" s="48"/>
      <c r="F17" s="48"/>
      <c r="G17" s="48"/>
      <c r="H17" s="48"/>
      <c r="I17" s="89" t="s">
        <v>314</v>
      </c>
      <c r="J17" s="45"/>
      <c r="K17" s="45"/>
      <c r="L17" s="45"/>
    </row>
    <row r="18" customFormat="false" ht="12.75" hidden="false" customHeight="true" outlineLevel="0" collapsed="false">
      <c r="A18" s="87" t="s">
        <v>334</v>
      </c>
      <c r="B18" s="87" t="s">
        <v>317</v>
      </c>
      <c r="C18" s="87"/>
      <c r="D18" s="87" t="s">
        <v>324</v>
      </c>
      <c r="E18" s="87"/>
      <c r="F18" s="87" t="s">
        <v>335</v>
      </c>
      <c r="G18" s="87" t="s">
        <v>336</v>
      </c>
      <c r="H18" s="87" t="s">
        <v>337</v>
      </c>
      <c r="I18" s="87"/>
      <c r="J18" s="87" t="s">
        <v>338</v>
      </c>
      <c r="K18" s="87"/>
      <c r="L18" s="87"/>
    </row>
    <row r="19" customFormat="false" ht="24" hidden="false" customHeight="true" outlineLevel="0" collapsed="false">
      <c r="A19" s="88" t="n">
        <f aca="false">MAX(A$10:A18)+1</f>
        <v>228</v>
      </c>
      <c r="B19" s="42" t="str">
        <f aca="false">IFERROR(VLOOKUP(C19,Campionato!$G$12:$H$75,2,FALSE()),"("&amp;C19&amp;")")</f>
        <v>Elefanti Esuberanti</v>
      </c>
      <c r="C19" s="43" t="s">
        <v>403</v>
      </c>
      <c r="D19" s="42" t="str">
        <f aca="false">IFERROR(VLOOKUP(E19,Campionato!$G$12:$H$75,2,FALSE()),"("&amp;E19&amp;")")</f>
        <v>Zibetti Zuccherini</v>
      </c>
      <c r="E19" s="43" t="s">
        <v>404</v>
      </c>
      <c r="F19" s="44" t="n">
        <v>46488.625</v>
      </c>
      <c r="G19" s="44"/>
      <c r="H19" s="44"/>
      <c r="I19" s="44"/>
      <c r="J19" s="45" t="n">
        <v>36</v>
      </c>
      <c r="K19" s="46" t="s">
        <v>339</v>
      </c>
      <c r="L19" s="45" t="n">
        <v>47</v>
      </c>
      <c r="M19" s="47" t="str">
        <f aca="false">IF($B19="","(Squadra A)",$B19)</f>
        <v>Elefanti Esuberanti</v>
      </c>
      <c r="N19" s="47" t="n">
        <f aca="false">IF($J19+$L19=0,,IF($J19&gt;$L19,1,0))</f>
        <v>0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1</v>
      </c>
      <c r="Q19" s="47" t="n">
        <f aca="false">IF($J19+$L19=0,,$J19)</f>
        <v>36</v>
      </c>
      <c r="R19" s="47" t="n">
        <f aca="false">IF($J19+$L19=0,,$L19)</f>
        <v>47</v>
      </c>
      <c r="S19" s="47" t="n">
        <f aca="false">IF($J19+$L19=0,,$J19-$L19)</f>
        <v>-11</v>
      </c>
      <c r="T19" s="47" t="str">
        <f aca="false">IF($D19="","(Squadra B)",$D19)</f>
        <v>Zibetti Zuccherini</v>
      </c>
      <c r="U19" s="47" t="n">
        <f aca="false">IF($J19+$L19=0,,IF($L19&gt;$J19,1,0))</f>
        <v>1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0</v>
      </c>
      <c r="X19" s="47" t="n">
        <f aca="false">IF($J19+$L19=0,,$L19)</f>
        <v>47</v>
      </c>
      <c r="Y19" s="47" t="n">
        <f aca="false">IF($J19+$L19=0,,$J19)</f>
        <v>36</v>
      </c>
      <c r="Z19" s="47" t="n">
        <f aca="false">IF($J19+$L19=0,,$L19-$J19)</f>
        <v>11</v>
      </c>
      <c r="AA19" s="47" t="str">
        <f aca="false">IF($J19+$L19=0,"(Vincente)",IF($J19&gt;$L19,$B19,$D19))</f>
        <v>Zibetti Zuccherini</v>
      </c>
      <c r="AB19" s="47" t="str">
        <f aca="false">IF($J19+$L19=0,"(Perdente)",IF($J19&lt;$L19,$B19,$D19))</f>
        <v>Elefanti Esuberanti</v>
      </c>
    </row>
    <row r="20" customFormat="false" ht="15.75" hidden="false" customHeight="true" outlineLevel="0" collapsed="false">
      <c r="A20" s="88"/>
      <c r="B20" s="48" t="str">
        <f aca="false">IF(I20="","",HYPERLINK(VLOOKUP(I20,areaCampiSquadre,3,FALSE()),VLOOKUP(I20,areaCampiSquadre,2,FALSE())))</f>
        <v>DA DEFINIRE</v>
      </c>
      <c r="C20" s="48"/>
      <c r="D20" s="48"/>
      <c r="E20" s="48"/>
      <c r="F20" s="48"/>
      <c r="G20" s="48"/>
      <c r="H20" s="48"/>
      <c r="I20" s="89" t="s">
        <v>314</v>
      </c>
      <c r="J20" s="45"/>
      <c r="K20" s="45"/>
      <c r="L20" s="45"/>
    </row>
    <row r="21" customFormat="false" ht="12.75" hidden="false" customHeight="true" outlineLevel="0" collapsed="false">
      <c r="A21" s="87" t="s">
        <v>334</v>
      </c>
      <c r="B21" s="87" t="s">
        <v>317</v>
      </c>
      <c r="C21" s="87"/>
      <c r="D21" s="87" t="s">
        <v>324</v>
      </c>
      <c r="E21" s="87"/>
      <c r="F21" s="87" t="s">
        <v>335</v>
      </c>
      <c r="G21" s="87" t="s">
        <v>336</v>
      </c>
      <c r="H21" s="87" t="s">
        <v>337</v>
      </c>
      <c r="I21" s="87"/>
      <c r="J21" s="87" t="s">
        <v>338</v>
      </c>
      <c r="K21" s="87"/>
      <c r="L21" s="87"/>
    </row>
    <row r="22" customFormat="false" ht="24" hidden="false" customHeight="true" outlineLevel="0" collapsed="false">
      <c r="A22" s="88" t="n">
        <f aca="false">MAX(A$10:A21)+1</f>
        <v>229</v>
      </c>
      <c r="B22" s="42" t="str">
        <f aca="false">IFERROR(VLOOKUP(C22,Campionato!$G$12:$H$75,2,FALSE()),"("&amp;C22&amp;")")</f>
        <v>Tassi Turbolenti</v>
      </c>
      <c r="C22" s="43" t="s">
        <v>405</v>
      </c>
      <c r="D22" s="42" t="str">
        <f aca="false">IFERROR(VLOOKUP(E22,Campionato!$G$12:$H$75,2,FALSE()),"("&amp;E22&amp;")")</f>
        <v>Lontre Loquaci</v>
      </c>
      <c r="E22" s="43" t="s">
        <v>406</v>
      </c>
      <c r="F22" s="44" t="n">
        <v>46488.3958333333</v>
      </c>
      <c r="G22" s="44"/>
      <c r="H22" s="44"/>
      <c r="I22" s="44"/>
      <c r="J22" s="45" t="n">
        <v>66</v>
      </c>
      <c r="K22" s="46" t="s">
        <v>339</v>
      </c>
      <c r="L22" s="45" t="n">
        <v>63</v>
      </c>
      <c r="M22" s="47" t="str">
        <f aca="false">IF($B22="","(Squadra A)",$B22)</f>
        <v>Tassi Turbolenti</v>
      </c>
      <c r="N22" s="47" t="n">
        <f aca="false">IF($J22+$L22=0,,IF($J22&gt;$L22,1,0))</f>
        <v>1</v>
      </c>
      <c r="O22" s="47" t="n">
        <f aca="false">IF($J22+$L22=0,,IF($J22&lt;$L22,IF($J22&amp;"-"&amp;$L22=MID(constPunteggioForfait,FIND("-",constPunteggioForfait)+1,LEN(constPunteggioForfait))&amp;"-"&amp;LEFT(constPunteggioForfait,FIND("-",constPunteggioForfait)-1),1,0),0))</f>
        <v>0</v>
      </c>
      <c r="P22" s="47" t="n">
        <f aca="false">IF($J22+$L22=0,,IF($J22&lt;$L22,IF($J22&amp;"-"&amp;$L22&lt;&gt;MID(constPunteggioForfait,FIND("-",constPunteggioForfait)+1,LEN(constPunteggioForfait))&amp;"-"&amp;LEFT(constPunteggioForfait,FIND("-",constPunteggioForfait)-1),1,0),0))</f>
        <v>0</v>
      </c>
      <c r="Q22" s="47" t="n">
        <f aca="false">IF($J22+$L22=0,,$J22)</f>
        <v>66</v>
      </c>
      <c r="R22" s="47" t="n">
        <f aca="false">IF($J22+$L22=0,,$L22)</f>
        <v>63</v>
      </c>
      <c r="S22" s="47" t="n">
        <f aca="false">IF($J22+$L22=0,,$J22-$L22)</f>
        <v>3</v>
      </c>
      <c r="T22" s="47" t="str">
        <f aca="false">IF($D22="","(Squadra B)",$D22)</f>
        <v>Lontre Loquaci</v>
      </c>
      <c r="U22" s="47" t="n">
        <f aca="false">IF($J22+$L22=0,,IF($L22&gt;$J22,1,0))</f>
        <v>0</v>
      </c>
      <c r="V22" s="47" t="n">
        <f aca="false">IF($J22+$L22=0,,IF($L22&lt;$J22,IF($J22&amp;"-"&amp;$L22=constPunteggioForfait,1,0),0))</f>
        <v>0</v>
      </c>
      <c r="W22" s="47" t="n">
        <f aca="false">IF($J22+$L22=0,,IF($L22&lt;$J22,IF($J22&amp;"-"&amp;$L22&lt;&gt;constPunteggioForfait,1,0),0))</f>
        <v>1</v>
      </c>
      <c r="X22" s="47" t="n">
        <f aca="false">IF($J22+$L22=0,,$L22)</f>
        <v>63</v>
      </c>
      <c r="Y22" s="47" t="n">
        <f aca="false">IF($J22+$L22=0,,$J22)</f>
        <v>66</v>
      </c>
      <c r="Z22" s="47" t="n">
        <f aca="false">IF($J22+$L22=0,,$L22-$J22)</f>
        <v>-3</v>
      </c>
      <c r="AA22" s="47" t="str">
        <f aca="false">IF($J22+$L22=0,"(Vincente)",IF($J22&gt;$L22,$B22,$D22))</f>
        <v>Tassi Turbolenti</v>
      </c>
      <c r="AB22" s="47" t="str">
        <f aca="false">IF($J22+$L22=0,"(Perdente)",IF($J22&lt;$L22,$B22,$D22))</f>
        <v>Lontre Loquaci</v>
      </c>
    </row>
    <row r="23" customFormat="false" ht="15.75" hidden="false" customHeight="true" outlineLevel="0" collapsed="false">
      <c r="A23" s="88"/>
      <c r="B23" s="48" t="str">
        <f aca="false">IF(I23="","",HYPERLINK(VLOOKUP(I23,areaCampiSquadre,3,FALSE()),VLOOKUP(I23,areaCampiSquadre,2,FALSE())))</f>
        <v>DA DEFINIRE</v>
      </c>
      <c r="C23" s="48"/>
      <c r="D23" s="48"/>
      <c r="E23" s="48"/>
      <c r="F23" s="48"/>
      <c r="G23" s="48"/>
      <c r="H23" s="48"/>
      <c r="I23" s="89" t="s">
        <v>314</v>
      </c>
      <c r="J23" s="45"/>
      <c r="K23" s="45"/>
      <c r="L23" s="45"/>
    </row>
    <row r="24" customFormat="false" ht="12.75" hidden="false" customHeight="true" outlineLevel="0" collapsed="false">
      <c r="A24" s="87" t="s">
        <v>334</v>
      </c>
      <c r="B24" s="87" t="s">
        <v>317</v>
      </c>
      <c r="C24" s="87"/>
      <c r="D24" s="87" t="s">
        <v>324</v>
      </c>
      <c r="E24" s="87"/>
      <c r="F24" s="87" t="s">
        <v>335</v>
      </c>
      <c r="G24" s="87" t="s">
        <v>336</v>
      </c>
      <c r="H24" s="87" t="s">
        <v>337</v>
      </c>
      <c r="I24" s="87"/>
      <c r="J24" s="87" t="s">
        <v>338</v>
      </c>
      <c r="K24" s="87"/>
      <c r="L24" s="87"/>
    </row>
    <row r="25" customFormat="false" ht="24" hidden="false" customHeight="true" outlineLevel="0" collapsed="false">
      <c r="A25" s="88" t="n">
        <f aca="false">MAX(A$10:A24)+1</f>
        <v>230</v>
      </c>
      <c r="B25" s="42" t="str">
        <f aca="false">IFERROR(VLOOKUP(C25,Campionato!$G$12:$H$75,2,FALSE()),"("&amp;C25&amp;")")</f>
        <v>Donnole Determinate</v>
      </c>
      <c r="C25" s="43" t="s">
        <v>407</v>
      </c>
      <c r="D25" s="42" t="str">
        <f aca="false">IFERROR(VLOOKUP(E25,Campionato!$G$12:$H$75,2,FALSE()),"("&amp;E25&amp;")")</f>
        <v>Tigri Tenaci</v>
      </c>
      <c r="E25" s="43" t="s">
        <v>408</v>
      </c>
      <c r="F25" s="44" t="n">
        <v>46488.4583333333</v>
      </c>
      <c r="G25" s="44"/>
      <c r="H25" s="44"/>
      <c r="I25" s="44"/>
      <c r="J25" s="45" t="n">
        <v>38</v>
      </c>
      <c r="K25" s="46" t="s">
        <v>339</v>
      </c>
      <c r="L25" s="45" t="n">
        <v>57</v>
      </c>
      <c r="M25" s="47" t="str">
        <f aca="false">IF($B25="","(Squadra A)",$B25)</f>
        <v>Donnole Determinate</v>
      </c>
      <c r="N25" s="47" t="n">
        <f aca="false">IF($J25+$L25=0,,IF($J25&gt;$L25,1,0))</f>
        <v>0</v>
      </c>
      <c r="O25" s="47" t="n">
        <f aca="false">IF($J25+$L25=0,,IF($J25&lt;$L25,IF($J25&amp;"-"&amp;$L25=MID(constPunteggioForfait,FIND("-",constPunteggioForfait)+1,LEN(constPunteggioForfait))&amp;"-"&amp;LEFT(constPunteggioForfait,FIND("-",constPunteggioForfait)-1),1,0),0))</f>
        <v>0</v>
      </c>
      <c r="P25" s="47" t="n">
        <f aca="false">IF($J25+$L25=0,,IF($J25&lt;$L25,IF($J25&amp;"-"&amp;$L25&lt;&gt;MID(constPunteggioForfait,FIND("-",constPunteggioForfait)+1,LEN(constPunteggioForfait))&amp;"-"&amp;LEFT(constPunteggioForfait,FIND("-",constPunteggioForfait)-1),1,0),0))</f>
        <v>1</v>
      </c>
      <c r="Q25" s="47" t="n">
        <f aca="false">IF($J25+$L25=0,,$J25)</f>
        <v>38</v>
      </c>
      <c r="R25" s="47" t="n">
        <f aca="false">IF($J25+$L25=0,,$L25)</f>
        <v>57</v>
      </c>
      <c r="S25" s="47" t="n">
        <f aca="false">IF($J25+$L25=0,,$J25-$L25)</f>
        <v>-19</v>
      </c>
      <c r="T25" s="47" t="str">
        <f aca="false">IF($D25="","(Squadra B)",$D25)</f>
        <v>Tigri Tenaci</v>
      </c>
      <c r="U25" s="47" t="n">
        <f aca="false">IF($J25+$L25=0,,IF($L25&gt;$J25,1,0))</f>
        <v>1</v>
      </c>
      <c r="V25" s="47" t="n">
        <f aca="false">IF($J25+$L25=0,,IF($L25&lt;$J25,IF($J25&amp;"-"&amp;$L25=constPunteggioForfait,1,0),0))</f>
        <v>0</v>
      </c>
      <c r="W25" s="47" t="n">
        <f aca="false">IF($J25+$L25=0,,IF($L25&lt;$J25,IF($J25&amp;"-"&amp;$L25&lt;&gt;constPunteggioForfait,1,0),0))</f>
        <v>0</v>
      </c>
      <c r="X25" s="47" t="n">
        <f aca="false">IF($J25+$L25=0,,$L25)</f>
        <v>57</v>
      </c>
      <c r="Y25" s="47" t="n">
        <f aca="false">IF($J25+$L25=0,,$J25)</f>
        <v>38</v>
      </c>
      <c r="Z25" s="47" t="n">
        <f aca="false">IF($J25+$L25=0,,$L25-$J25)</f>
        <v>19</v>
      </c>
      <c r="AA25" s="47" t="str">
        <f aca="false">IF($J25+$L25=0,"(Vincente)",IF($J25&gt;$L25,$B25,$D25))</f>
        <v>Tigri Tenaci</v>
      </c>
      <c r="AB25" s="47" t="str">
        <f aca="false">IF($J25+$L25=0,"(Perdente)",IF($J25&lt;$L25,$B25,$D25))</f>
        <v>Donnole Determinate</v>
      </c>
    </row>
    <row r="26" customFormat="false" ht="15.75" hidden="false" customHeight="true" outlineLevel="0" collapsed="false">
      <c r="A26" s="88"/>
      <c r="B26" s="48" t="str">
        <f aca="false">IF(I26="","",HYPERLINK(VLOOKUP(I26,areaCampiSquadre,3,FALSE()),VLOOKUP(I26,areaCampiSquadre,2,FALSE())))</f>
        <v>DA DEFINIRE</v>
      </c>
      <c r="C26" s="48"/>
      <c r="D26" s="48"/>
      <c r="E26" s="48"/>
      <c r="F26" s="48"/>
      <c r="G26" s="48"/>
      <c r="H26" s="48"/>
      <c r="I26" s="89" t="s">
        <v>314</v>
      </c>
      <c r="J26" s="45"/>
      <c r="K26" s="45"/>
      <c r="L26" s="45"/>
    </row>
    <row r="27" customFormat="false" ht="12.75" hidden="false" customHeight="true" outlineLevel="0" collapsed="false">
      <c r="A27" s="87" t="s">
        <v>334</v>
      </c>
      <c r="B27" s="87" t="s">
        <v>317</v>
      </c>
      <c r="C27" s="87"/>
      <c r="D27" s="87" t="s">
        <v>324</v>
      </c>
      <c r="E27" s="87"/>
      <c r="F27" s="87" t="s">
        <v>335</v>
      </c>
      <c r="G27" s="87" t="s">
        <v>336</v>
      </c>
      <c r="H27" s="87" t="s">
        <v>337</v>
      </c>
      <c r="I27" s="87"/>
      <c r="J27" s="87" t="s">
        <v>338</v>
      </c>
      <c r="K27" s="87"/>
      <c r="L27" s="87"/>
    </row>
    <row r="28" customFormat="false" ht="24" hidden="false" customHeight="true" outlineLevel="0" collapsed="false">
      <c r="A28" s="88" t="n">
        <f aca="false">MAX(A$10:A27)+1</f>
        <v>231</v>
      </c>
      <c r="B28" s="42" t="str">
        <f aca="false">IFERROR(VLOOKUP(C28,Campionato!$G$12:$H$75,2,FALSE()),"("&amp;C28&amp;")")</f>
        <v>Pinguini Prodigiosi</v>
      </c>
      <c r="C28" s="43" t="s">
        <v>409</v>
      </c>
      <c r="D28" s="42" t="str">
        <f aca="false">IFERROR(VLOOKUP(E28,Campionato!$G$12:$H$75,2,FALSE()),"("&amp;E28&amp;")")</f>
        <v>Lupi Lucenti</v>
      </c>
      <c r="E28" s="43" t="s">
        <v>410</v>
      </c>
      <c r="F28" s="44" t="n">
        <v>46488.5625</v>
      </c>
      <c r="G28" s="44"/>
      <c r="H28" s="44"/>
      <c r="I28" s="44"/>
      <c r="J28" s="45" t="n">
        <v>63</v>
      </c>
      <c r="K28" s="46" t="s">
        <v>339</v>
      </c>
      <c r="L28" s="45" t="n">
        <v>52</v>
      </c>
      <c r="M28" s="47" t="str">
        <f aca="false">IF($B28="","(Squadra A)",$B28)</f>
        <v>Pinguini Prodigiosi</v>
      </c>
      <c r="N28" s="47" t="n">
        <f aca="false">IF($J28+$L28=0,,IF($J28&gt;$L28,1,0))</f>
        <v>1</v>
      </c>
      <c r="O28" s="47" t="n">
        <f aca="false">IF($J28+$L28=0,,IF($J28&lt;$L28,IF($J28&amp;"-"&amp;$L28=MID(constPunteggioForfait,FIND("-",constPunteggioForfait)+1,LEN(constPunteggioForfait))&amp;"-"&amp;LEFT(constPunteggioForfait,FIND("-",constPunteggioForfait)-1),1,0),0))</f>
        <v>0</v>
      </c>
      <c r="P28" s="47" t="n">
        <f aca="false">IF($J28+$L28=0,,IF($J28&lt;$L28,IF($J28&amp;"-"&amp;$L28&lt;&gt;MID(constPunteggioForfait,FIND("-",constPunteggioForfait)+1,LEN(constPunteggioForfait))&amp;"-"&amp;LEFT(constPunteggioForfait,FIND("-",constPunteggioForfait)-1),1,0),0))</f>
        <v>0</v>
      </c>
      <c r="Q28" s="47" t="n">
        <f aca="false">IF($J28+$L28=0,,$J28)</f>
        <v>63</v>
      </c>
      <c r="R28" s="47" t="n">
        <f aca="false">IF($J28+$L28=0,,$L28)</f>
        <v>52</v>
      </c>
      <c r="S28" s="47" t="n">
        <f aca="false">IF($J28+$L28=0,,$J28-$L28)</f>
        <v>11</v>
      </c>
      <c r="T28" s="47" t="str">
        <f aca="false">IF($D28="","(Squadra B)",$D28)</f>
        <v>Lupi Lucenti</v>
      </c>
      <c r="U28" s="47" t="n">
        <f aca="false">IF($J28+$L28=0,,IF($L28&gt;$J28,1,0))</f>
        <v>0</v>
      </c>
      <c r="V28" s="47" t="n">
        <f aca="false">IF($J28+$L28=0,,IF($L28&lt;$J28,IF($J28&amp;"-"&amp;$L28=constPunteggioForfait,1,0),0))</f>
        <v>0</v>
      </c>
      <c r="W28" s="47" t="n">
        <f aca="false">IF($J28+$L28=0,,IF($L28&lt;$J28,IF($J28&amp;"-"&amp;$L28&lt;&gt;constPunteggioForfait,1,0),0))</f>
        <v>1</v>
      </c>
      <c r="X28" s="47" t="n">
        <f aca="false">IF($J28+$L28=0,,$L28)</f>
        <v>52</v>
      </c>
      <c r="Y28" s="47" t="n">
        <f aca="false">IF($J28+$L28=0,,$J28)</f>
        <v>63</v>
      </c>
      <c r="Z28" s="47" t="n">
        <f aca="false">IF($J28+$L28=0,,$L28-$J28)</f>
        <v>-11</v>
      </c>
      <c r="AA28" s="47" t="str">
        <f aca="false">IF($J28+$L28=0,"(Vincente)",IF($J28&gt;$L28,$B28,$D28))</f>
        <v>Pinguini Prodigiosi</v>
      </c>
      <c r="AB28" s="47" t="str">
        <f aca="false">IF($J28+$L28=0,"(Perdente)",IF($J28&lt;$L28,$B28,$D28))</f>
        <v>Lupi Lucenti</v>
      </c>
    </row>
    <row r="29" customFormat="false" ht="15.75" hidden="false" customHeight="true" outlineLevel="0" collapsed="false">
      <c r="A29" s="88"/>
      <c r="B29" s="48" t="str">
        <f aca="false">IF(I29="","",HYPERLINK(VLOOKUP(I29,areaCampiSquadre,3,FALSE()),VLOOKUP(I29,areaCampiSquadre,2,FALSE())))</f>
        <v>DA DEFINIRE</v>
      </c>
      <c r="C29" s="48"/>
      <c r="D29" s="48"/>
      <c r="E29" s="48"/>
      <c r="F29" s="48"/>
      <c r="G29" s="48"/>
      <c r="H29" s="48"/>
      <c r="I29" s="89" t="s">
        <v>314</v>
      </c>
      <c r="J29" s="45"/>
      <c r="K29" s="45"/>
      <c r="L29" s="45"/>
    </row>
    <row r="30" customFormat="false" ht="12.75" hidden="false" customHeight="true" outlineLevel="0" collapsed="false">
      <c r="A30" s="87" t="s">
        <v>334</v>
      </c>
      <c r="B30" s="87" t="s">
        <v>317</v>
      </c>
      <c r="C30" s="87"/>
      <c r="D30" s="87" t="s">
        <v>324</v>
      </c>
      <c r="E30" s="87"/>
      <c r="F30" s="87" t="s">
        <v>335</v>
      </c>
      <c r="G30" s="87" t="s">
        <v>336</v>
      </c>
      <c r="H30" s="87" t="s">
        <v>337</v>
      </c>
      <c r="I30" s="87"/>
      <c r="J30" s="87" t="s">
        <v>338</v>
      </c>
      <c r="K30" s="87"/>
      <c r="L30" s="87"/>
    </row>
    <row r="31" customFormat="false" ht="24" hidden="false" customHeight="true" outlineLevel="0" collapsed="false">
      <c r="A31" s="88" t="n">
        <f aca="false">MAX(A$10:A30)+1</f>
        <v>232</v>
      </c>
      <c r="B31" s="42" t="str">
        <f aca="false">IFERROR(VLOOKUP(C31,Campionato!$G$12:$H$75,2,FALSE()),"("&amp;C31&amp;")")</f>
        <v>Zanzare Zampettanti</v>
      </c>
      <c r="C31" s="43" t="s">
        <v>411</v>
      </c>
      <c r="D31" s="42" t="str">
        <f aca="false">IFERROR(VLOOKUP(E31,Campionato!$G$12:$H$75,2,FALSE()),"("&amp;E31&amp;")")</f>
        <v>Falchi Furiosi</v>
      </c>
      <c r="E31" s="43" t="s">
        <v>412</v>
      </c>
      <c r="F31" s="44" t="n">
        <v>46488.625</v>
      </c>
      <c r="G31" s="44"/>
      <c r="H31" s="44"/>
      <c r="I31" s="44"/>
      <c r="J31" s="45" t="n">
        <v>66</v>
      </c>
      <c r="K31" s="46" t="s">
        <v>339</v>
      </c>
      <c r="L31" s="45" t="n">
        <v>61</v>
      </c>
      <c r="M31" s="47" t="str">
        <f aca="false">IF($B31="","(Squadra A)",$B31)</f>
        <v>Zanzare Zampettanti</v>
      </c>
      <c r="N31" s="47" t="n">
        <f aca="false">IF($J31+$L31=0,,IF($J31&gt;$L31,1,0))</f>
        <v>1</v>
      </c>
      <c r="O31" s="47" t="n">
        <f aca="false">IF($J31+$L31=0,,IF($J31&lt;$L31,IF($J31&amp;"-"&amp;$L31=MID(constPunteggioForfait,FIND("-",constPunteggioForfait)+1,LEN(constPunteggioForfait))&amp;"-"&amp;LEFT(constPunteggioForfait,FIND("-",constPunteggioForfait)-1),1,0),0))</f>
        <v>0</v>
      </c>
      <c r="P31" s="47" t="n">
        <f aca="false">IF($J31+$L31=0,,IF($J31&lt;$L31,IF($J31&amp;"-"&amp;$L31&lt;&gt;MID(constPunteggioForfait,FIND("-",constPunteggioForfait)+1,LEN(constPunteggioForfait))&amp;"-"&amp;LEFT(constPunteggioForfait,FIND("-",constPunteggioForfait)-1),1,0),0))</f>
        <v>0</v>
      </c>
      <c r="Q31" s="47" t="n">
        <f aca="false">IF($J31+$L31=0,,$J31)</f>
        <v>66</v>
      </c>
      <c r="R31" s="47" t="n">
        <f aca="false">IF($J31+$L31=0,,$L31)</f>
        <v>61</v>
      </c>
      <c r="S31" s="47" t="n">
        <f aca="false">IF($J31+$L31=0,,$J31-$L31)</f>
        <v>5</v>
      </c>
      <c r="T31" s="47" t="str">
        <f aca="false">IF($D31="","(Squadra B)",$D31)</f>
        <v>Falchi Furiosi</v>
      </c>
      <c r="U31" s="47" t="n">
        <f aca="false">IF($J31+$L31=0,,IF($L31&gt;$J31,1,0))</f>
        <v>0</v>
      </c>
      <c r="V31" s="47" t="n">
        <f aca="false">IF($J31+$L31=0,,IF($L31&lt;$J31,IF($J31&amp;"-"&amp;$L31=constPunteggioForfait,1,0),0))</f>
        <v>0</v>
      </c>
      <c r="W31" s="47" t="n">
        <f aca="false">IF($J31+$L31=0,,IF($L31&lt;$J31,IF($J31&amp;"-"&amp;$L31&lt;&gt;constPunteggioForfait,1,0),0))</f>
        <v>1</v>
      </c>
      <c r="X31" s="47" t="n">
        <f aca="false">IF($J31+$L31=0,,$L31)</f>
        <v>61</v>
      </c>
      <c r="Y31" s="47" t="n">
        <f aca="false">IF($J31+$L31=0,,$J31)</f>
        <v>66</v>
      </c>
      <c r="Z31" s="47" t="n">
        <f aca="false">IF($J31+$L31=0,,$L31-$J31)</f>
        <v>-5</v>
      </c>
      <c r="AA31" s="47" t="str">
        <f aca="false">IF($J31+$L31=0,"(Vincente)",IF($J31&gt;$L31,$B31,$D31))</f>
        <v>Zanzare Zampettanti</v>
      </c>
      <c r="AB31" s="47" t="str">
        <f aca="false">IF($J31+$L31=0,"(Perdente)",IF($J31&lt;$L31,$B31,$D31))</f>
        <v>Falchi Furiosi</v>
      </c>
    </row>
    <row r="32" customFormat="false" ht="15.75" hidden="false" customHeight="true" outlineLevel="0" collapsed="false">
      <c r="A32" s="88"/>
      <c r="B32" s="48" t="str">
        <f aca="false">IF(I32="","",HYPERLINK(VLOOKUP(I32,areaCampiSquadre,3,FALSE()),VLOOKUP(I32,areaCampiSquadre,2,FALSE())))</f>
        <v>DA DEFINIRE</v>
      </c>
      <c r="C32" s="48"/>
      <c r="D32" s="48"/>
      <c r="E32" s="48"/>
      <c r="F32" s="48"/>
      <c r="G32" s="48"/>
      <c r="H32" s="48"/>
      <c r="I32" s="89" t="s">
        <v>314</v>
      </c>
      <c r="J32" s="45"/>
      <c r="K32" s="45"/>
      <c r="L32" s="45"/>
    </row>
    <row r="34" customFormat="false" ht="19.5" hidden="false" customHeight="true" outlineLevel="0" collapsed="false">
      <c r="B34" s="86" t="s">
        <v>413</v>
      </c>
      <c r="C34" s="86"/>
      <c r="D34" s="86"/>
      <c r="E34" s="86"/>
      <c r="F34" s="86"/>
      <c r="G34" s="86"/>
      <c r="H34" s="86"/>
      <c r="I34" s="86"/>
      <c r="J34" s="86"/>
      <c r="K34" s="86"/>
      <c r="L34" s="86"/>
    </row>
    <row r="35" customFormat="false" ht="12.75" hidden="false" customHeight="true" outlineLevel="0" collapsed="false">
      <c r="A35" s="87" t="s">
        <v>334</v>
      </c>
      <c r="B35" s="87" t="s">
        <v>317</v>
      </c>
      <c r="C35" s="87"/>
      <c r="D35" s="87" t="s">
        <v>324</v>
      </c>
      <c r="E35" s="87"/>
      <c r="F35" s="87" t="s">
        <v>335</v>
      </c>
      <c r="G35" s="87" t="s">
        <v>336</v>
      </c>
      <c r="H35" s="87" t="s">
        <v>337</v>
      </c>
      <c r="I35" s="87"/>
      <c r="J35" s="87" t="s">
        <v>338</v>
      </c>
      <c r="K35" s="87"/>
      <c r="L35" s="87"/>
    </row>
    <row r="36" customFormat="false" ht="24" hidden="false" customHeight="true" outlineLevel="0" collapsed="false">
      <c r="A36" s="88" t="n">
        <f aca="false">MAX(A$10:A35)+1</f>
        <v>233</v>
      </c>
      <c r="B36" s="42" t="str">
        <f aca="false">AA10</f>
        <v>Anaconde Arrabbiate</v>
      </c>
      <c r="C36" s="43" t="n">
        <f aca="false">A10</f>
        <v>225</v>
      </c>
      <c r="D36" s="42" t="str">
        <f aca="false">AA31</f>
        <v>Zanzare Zampettanti</v>
      </c>
      <c r="E36" s="43" t="n">
        <f aca="false">A31</f>
        <v>232</v>
      </c>
      <c r="F36" s="44" t="n">
        <v>46503.3958333333</v>
      </c>
      <c r="G36" s="44"/>
      <c r="H36" s="44"/>
      <c r="I36" s="44"/>
      <c r="J36" s="45" t="n">
        <v>75</v>
      </c>
      <c r="K36" s="46" t="s">
        <v>339</v>
      </c>
      <c r="L36" s="45" t="n">
        <v>61</v>
      </c>
      <c r="M36" s="47" t="str">
        <f aca="false">IF($B36="","(Squadra A)",$B36)</f>
        <v>Anaconde Arrabbiate</v>
      </c>
      <c r="N36" s="47" t="n">
        <f aca="false">IF($J36+$L36=0,,IF($J36&gt;$L36,1,0))</f>
        <v>1</v>
      </c>
      <c r="O36" s="47" t="n">
        <f aca="false">IF($J36+$L36=0,,IF($J36&lt;$L36,IF($J36&amp;"-"&amp;$L36=MID(constPunteggioForfait,FIND("-",constPunteggioForfait)+1,LEN(constPunteggioForfait))&amp;"-"&amp;LEFT(constPunteggioForfait,FIND("-",constPunteggioForfait)-1),1,0),0))</f>
        <v>0</v>
      </c>
      <c r="P36" s="47" t="n">
        <f aca="false">IF($J36+$L36=0,,IF($J36&lt;$L36,IF($J36&amp;"-"&amp;$L36&lt;&gt;MID(constPunteggioForfait,FIND("-",constPunteggioForfait)+1,LEN(constPunteggioForfait))&amp;"-"&amp;LEFT(constPunteggioForfait,FIND("-",constPunteggioForfait)-1),1,0),0))</f>
        <v>0</v>
      </c>
      <c r="Q36" s="47" t="n">
        <f aca="false">IF($J36+$L36=0,,$J36)</f>
        <v>75</v>
      </c>
      <c r="R36" s="47" t="n">
        <f aca="false">IF($J36+$L36=0,,$L36)</f>
        <v>61</v>
      </c>
      <c r="S36" s="47" t="n">
        <f aca="false">IF($J36+$L36=0,,$J36-$L36)</f>
        <v>14</v>
      </c>
      <c r="T36" s="47" t="str">
        <f aca="false">IF($D36="","(Squadra B)",$D36)</f>
        <v>Zanzare Zampettanti</v>
      </c>
      <c r="U36" s="47" t="n">
        <f aca="false">IF($J36+$L36=0,,IF($L36&gt;$J36,1,0))</f>
        <v>0</v>
      </c>
      <c r="V36" s="47" t="n">
        <f aca="false">IF($J36+$L36=0,,IF($L36&lt;$J36,IF($J36&amp;"-"&amp;$L36=constPunteggioForfait,1,0),0))</f>
        <v>0</v>
      </c>
      <c r="W36" s="47" t="n">
        <f aca="false">IF($J36+$L36=0,,IF($L36&lt;$J36,IF($J36&amp;"-"&amp;$L36&lt;&gt;constPunteggioForfait,1,0),0))</f>
        <v>1</v>
      </c>
      <c r="X36" s="47" t="n">
        <f aca="false">IF($J36+$L36=0,,$L36)</f>
        <v>61</v>
      </c>
      <c r="Y36" s="47" t="n">
        <f aca="false">IF($J36+$L36=0,,$J36)</f>
        <v>75</v>
      </c>
      <c r="Z36" s="47" t="n">
        <f aca="false">IF($J36+$L36=0,,$L36-$J36)</f>
        <v>-14</v>
      </c>
      <c r="AA36" s="47" t="str">
        <f aca="false">IF($J36+$L36=0,"(Vincente)",IF($J36&gt;$L36,$B36,$D36))</f>
        <v>Anaconde Arrabbiate</v>
      </c>
      <c r="AB36" s="47" t="str">
        <f aca="false">IF($J36+$L36=0,"(Perdente)",IF($J36&lt;$L36,$B36,$D36))</f>
        <v>Zanzare Zampettanti</v>
      </c>
    </row>
    <row r="37" customFormat="false" ht="15.75" hidden="false" customHeight="true" outlineLevel="0" collapsed="false">
      <c r="A37" s="88"/>
      <c r="B37" s="48" t="str">
        <f aca="false">IF(I37="","",HYPERLINK(VLOOKUP(I37,areaCampiSquadre,3,FALSE()),VLOOKUP(I37,areaCampiSquadre,2,FALSE())))</f>
        <v>DA DEFINIRE</v>
      </c>
      <c r="C37" s="48"/>
      <c r="D37" s="48"/>
      <c r="E37" s="48"/>
      <c r="F37" s="48"/>
      <c r="G37" s="48"/>
      <c r="H37" s="48"/>
      <c r="I37" s="89" t="s">
        <v>314</v>
      </c>
      <c r="J37" s="45"/>
      <c r="K37" s="45"/>
      <c r="L37" s="45"/>
    </row>
    <row r="38" customFormat="false" ht="12.75" hidden="false" customHeight="true" outlineLevel="0" collapsed="false">
      <c r="A38" s="87" t="s">
        <v>334</v>
      </c>
      <c r="B38" s="87" t="s">
        <v>317</v>
      </c>
      <c r="C38" s="87"/>
      <c r="D38" s="87" t="s">
        <v>324</v>
      </c>
      <c r="E38" s="87"/>
      <c r="F38" s="87" t="s">
        <v>335</v>
      </c>
      <c r="G38" s="87" t="s">
        <v>336</v>
      </c>
      <c r="H38" s="87" t="s">
        <v>337</v>
      </c>
      <c r="I38" s="87"/>
      <c r="J38" s="87" t="s">
        <v>338</v>
      </c>
      <c r="K38" s="87"/>
      <c r="L38" s="87"/>
    </row>
    <row r="39" customFormat="false" ht="24" hidden="false" customHeight="true" outlineLevel="0" collapsed="false">
      <c r="A39" s="88" t="n">
        <f aca="false">MAX(A$10:A38)+1</f>
        <v>234</v>
      </c>
      <c r="B39" s="42" t="str">
        <f aca="false">AA13</f>
        <v>Rinoceronti Ribelli</v>
      </c>
      <c r="C39" s="43" t="n">
        <f aca="false">A13</f>
        <v>226</v>
      </c>
      <c r="D39" s="42" t="str">
        <f aca="false">AA28</f>
        <v>Pinguini Prodigiosi</v>
      </c>
      <c r="E39" s="43" t="n">
        <f aca="false">A28</f>
        <v>231</v>
      </c>
      <c r="F39" s="44" t="n">
        <v>46503.4791666667</v>
      </c>
      <c r="G39" s="44"/>
      <c r="H39" s="44"/>
      <c r="I39" s="44"/>
      <c r="J39" s="45" t="n">
        <v>42</v>
      </c>
      <c r="K39" s="46" t="s">
        <v>339</v>
      </c>
      <c r="L39" s="45" t="n">
        <v>65</v>
      </c>
      <c r="M39" s="47" t="str">
        <f aca="false">IF($B39="","(Squadra A)",$B39)</f>
        <v>Rinoceronti Ribelli</v>
      </c>
      <c r="N39" s="47" t="n">
        <f aca="false">IF($J39+$L39=0,,IF($J39&gt;$L39,1,0))</f>
        <v>0</v>
      </c>
      <c r="O39" s="47" t="n">
        <f aca="false">IF($J39+$L39=0,,IF($J39&lt;$L39,IF($J39&amp;"-"&amp;$L39=MID(constPunteggioForfait,FIND("-",constPunteggioForfait)+1,LEN(constPunteggioForfait))&amp;"-"&amp;LEFT(constPunteggioForfait,FIND("-",constPunteggioForfait)-1),1,0),0))</f>
        <v>0</v>
      </c>
      <c r="P39" s="47" t="n">
        <f aca="false">IF($J39+$L39=0,,IF($J39&lt;$L39,IF($J39&amp;"-"&amp;$L39&lt;&gt;MID(constPunteggioForfait,FIND("-",constPunteggioForfait)+1,LEN(constPunteggioForfait))&amp;"-"&amp;LEFT(constPunteggioForfait,FIND("-",constPunteggioForfait)-1),1,0),0))</f>
        <v>1</v>
      </c>
      <c r="Q39" s="47" t="n">
        <f aca="false">IF($J39+$L39=0,,$J39)</f>
        <v>42</v>
      </c>
      <c r="R39" s="47" t="n">
        <f aca="false">IF($J39+$L39=0,,$L39)</f>
        <v>65</v>
      </c>
      <c r="S39" s="47" t="n">
        <f aca="false">IF($J39+$L39=0,,$J39-$L39)</f>
        <v>-23</v>
      </c>
      <c r="T39" s="47" t="str">
        <f aca="false">IF($D39="","(Squadra B)",$D39)</f>
        <v>Pinguini Prodigiosi</v>
      </c>
      <c r="U39" s="47" t="n">
        <f aca="false">IF($J39+$L39=0,,IF($L39&gt;$J39,1,0))</f>
        <v>1</v>
      </c>
      <c r="V39" s="47" t="n">
        <f aca="false">IF($J39+$L39=0,,IF($L39&lt;$J39,IF($J39&amp;"-"&amp;$L39=constPunteggioForfait,1,0),0))</f>
        <v>0</v>
      </c>
      <c r="W39" s="47" t="n">
        <f aca="false">IF($J39+$L39=0,,IF($L39&lt;$J39,IF($J39&amp;"-"&amp;$L39&lt;&gt;constPunteggioForfait,1,0),0))</f>
        <v>0</v>
      </c>
      <c r="X39" s="47" t="n">
        <f aca="false">IF($J39+$L39=0,,$L39)</f>
        <v>65</v>
      </c>
      <c r="Y39" s="47" t="n">
        <f aca="false">IF($J39+$L39=0,,$J39)</f>
        <v>42</v>
      </c>
      <c r="Z39" s="47" t="n">
        <f aca="false">IF($J39+$L39=0,,$L39-$J39)</f>
        <v>23</v>
      </c>
      <c r="AA39" s="47" t="str">
        <f aca="false">IF($J39+$L39=0,"(Vincente)",IF($J39&gt;$L39,$B39,$D39))</f>
        <v>Pinguini Prodigiosi</v>
      </c>
      <c r="AB39" s="47" t="str">
        <f aca="false">IF($J39+$L39=0,"(Perdente)",IF($J39&lt;$L39,$B39,$D39))</f>
        <v>Rinoceronti Ribelli</v>
      </c>
    </row>
    <row r="40" customFormat="false" ht="15.75" hidden="false" customHeight="true" outlineLevel="0" collapsed="false">
      <c r="A40" s="88"/>
      <c r="B40" s="48" t="str">
        <f aca="false">IF(I40="","",HYPERLINK(VLOOKUP(I40,areaCampiSquadre,3,FALSE()),VLOOKUP(I40,areaCampiSquadre,2,FALSE())))</f>
        <v>DA DEFINIRE</v>
      </c>
      <c r="C40" s="48"/>
      <c r="D40" s="48"/>
      <c r="E40" s="48"/>
      <c r="F40" s="48"/>
      <c r="G40" s="48"/>
      <c r="H40" s="48"/>
      <c r="I40" s="89" t="s">
        <v>314</v>
      </c>
      <c r="J40" s="45"/>
      <c r="K40" s="45"/>
      <c r="L40" s="45"/>
    </row>
    <row r="41" customFormat="false" ht="12.75" hidden="false" customHeight="true" outlineLevel="0" collapsed="false">
      <c r="A41" s="87" t="s">
        <v>334</v>
      </c>
      <c r="B41" s="87" t="s">
        <v>317</v>
      </c>
      <c r="C41" s="87"/>
      <c r="D41" s="87" t="s">
        <v>324</v>
      </c>
      <c r="E41" s="87"/>
      <c r="F41" s="87" t="s">
        <v>335</v>
      </c>
      <c r="G41" s="87" t="s">
        <v>336</v>
      </c>
      <c r="H41" s="87" t="s">
        <v>337</v>
      </c>
      <c r="I41" s="87"/>
      <c r="J41" s="87" t="s">
        <v>338</v>
      </c>
      <c r="K41" s="87"/>
      <c r="L41" s="87"/>
    </row>
    <row r="42" customFormat="false" ht="24" hidden="false" customHeight="true" outlineLevel="0" collapsed="false">
      <c r="A42" s="88" t="n">
        <f aca="false">MAX(A$10:A41)+1</f>
        <v>235</v>
      </c>
      <c r="B42" s="42" t="str">
        <f aca="false">AA16</f>
        <v>Iene Ilari</v>
      </c>
      <c r="C42" s="43" t="n">
        <f aca="false">A16</f>
        <v>227</v>
      </c>
      <c r="D42" s="42" t="str">
        <f aca="false">AA25</f>
        <v>Tigri Tenaci</v>
      </c>
      <c r="E42" s="43" t="n">
        <f aca="false">A25</f>
        <v>230</v>
      </c>
      <c r="F42" s="44" t="n">
        <v>46503.5625</v>
      </c>
      <c r="G42" s="44"/>
      <c r="H42" s="44"/>
      <c r="I42" s="44"/>
      <c r="J42" s="45" t="n">
        <v>53</v>
      </c>
      <c r="K42" s="46" t="s">
        <v>339</v>
      </c>
      <c r="L42" s="45" t="n">
        <v>62</v>
      </c>
      <c r="M42" s="47" t="str">
        <f aca="false">IF($B42="","(Squadra A)",$B42)</f>
        <v>Iene Ilari</v>
      </c>
      <c r="N42" s="47" t="n">
        <f aca="false">IF($J42+$L42=0,,IF($J42&gt;$L42,1,0))</f>
        <v>0</v>
      </c>
      <c r="O42" s="47" t="n">
        <f aca="false">IF($J42+$L42=0,,IF($J42&lt;$L42,IF($J42&amp;"-"&amp;$L42=MID(constPunteggioForfait,FIND("-",constPunteggioForfait)+1,LEN(constPunteggioForfait))&amp;"-"&amp;LEFT(constPunteggioForfait,FIND("-",constPunteggioForfait)-1),1,0),0))</f>
        <v>0</v>
      </c>
      <c r="P42" s="47" t="n">
        <f aca="false">IF($J42+$L42=0,,IF($J42&lt;$L42,IF($J42&amp;"-"&amp;$L42&lt;&gt;MID(constPunteggioForfait,FIND("-",constPunteggioForfait)+1,LEN(constPunteggioForfait))&amp;"-"&amp;LEFT(constPunteggioForfait,FIND("-",constPunteggioForfait)-1),1,0),0))</f>
        <v>1</v>
      </c>
      <c r="Q42" s="47" t="n">
        <f aca="false">IF($J42+$L42=0,,$J42)</f>
        <v>53</v>
      </c>
      <c r="R42" s="47" t="n">
        <f aca="false">IF($J42+$L42=0,,$L42)</f>
        <v>62</v>
      </c>
      <c r="S42" s="47" t="n">
        <f aca="false">IF($J42+$L42=0,,$J42-$L42)</f>
        <v>-9</v>
      </c>
      <c r="T42" s="47" t="str">
        <f aca="false">IF($D42="","(Squadra B)",$D42)</f>
        <v>Tigri Tenaci</v>
      </c>
      <c r="U42" s="47" t="n">
        <f aca="false">IF($J42+$L42=0,,IF($L42&gt;$J42,1,0))</f>
        <v>1</v>
      </c>
      <c r="V42" s="47" t="n">
        <f aca="false">IF($J42+$L42=0,,IF($L42&lt;$J42,IF($J42&amp;"-"&amp;$L42=constPunteggioForfait,1,0),0))</f>
        <v>0</v>
      </c>
      <c r="W42" s="47" t="n">
        <f aca="false">IF($J42+$L42=0,,IF($L42&lt;$J42,IF($J42&amp;"-"&amp;$L42&lt;&gt;constPunteggioForfait,1,0),0))</f>
        <v>0</v>
      </c>
      <c r="X42" s="47" t="n">
        <f aca="false">IF($J42+$L42=0,,$L42)</f>
        <v>62</v>
      </c>
      <c r="Y42" s="47" t="n">
        <f aca="false">IF($J42+$L42=0,,$J42)</f>
        <v>53</v>
      </c>
      <c r="Z42" s="47" t="n">
        <f aca="false">IF($J42+$L42=0,,$L42-$J42)</f>
        <v>9</v>
      </c>
      <c r="AA42" s="47" t="str">
        <f aca="false">IF($J42+$L42=0,"(Vincente)",IF($J42&gt;$L42,$B42,$D42))</f>
        <v>Tigri Tenaci</v>
      </c>
      <c r="AB42" s="47" t="str">
        <f aca="false">IF($J42+$L42=0,"(Perdente)",IF($J42&lt;$L42,$B42,$D42))</f>
        <v>Iene Ilari</v>
      </c>
    </row>
    <row r="43" customFormat="false" ht="15.75" hidden="false" customHeight="true" outlineLevel="0" collapsed="false">
      <c r="A43" s="88"/>
      <c r="B43" s="48" t="str">
        <f aca="false">IF(I43="","",HYPERLINK(VLOOKUP(I43,areaCampiSquadre,3,FALSE()),VLOOKUP(I43,areaCampiSquadre,2,FALSE())))</f>
        <v>DA DEFINIRE</v>
      </c>
      <c r="C43" s="48"/>
      <c r="D43" s="48"/>
      <c r="E43" s="48"/>
      <c r="F43" s="48"/>
      <c r="G43" s="48"/>
      <c r="H43" s="48"/>
      <c r="I43" s="89" t="s">
        <v>314</v>
      </c>
      <c r="J43" s="45"/>
      <c r="K43" s="45"/>
      <c r="L43" s="45"/>
    </row>
    <row r="44" customFormat="false" ht="12.75" hidden="false" customHeight="true" outlineLevel="0" collapsed="false">
      <c r="A44" s="87" t="s">
        <v>334</v>
      </c>
      <c r="B44" s="87" t="s">
        <v>317</v>
      </c>
      <c r="C44" s="87"/>
      <c r="D44" s="87" t="s">
        <v>324</v>
      </c>
      <c r="E44" s="87"/>
      <c r="F44" s="87" t="s">
        <v>335</v>
      </c>
      <c r="G44" s="87" t="s">
        <v>336</v>
      </c>
      <c r="H44" s="87" t="s">
        <v>337</v>
      </c>
      <c r="I44" s="87"/>
      <c r="J44" s="87" t="s">
        <v>338</v>
      </c>
      <c r="K44" s="87"/>
      <c r="L44" s="87"/>
    </row>
    <row r="45" customFormat="false" ht="24" hidden="false" customHeight="true" outlineLevel="0" collapsed="false">
      <c r="A45" s="88" t="n">
        <f aca="false">MAX(A$10:A44)+1</f>
        <v>236</v>
      </c>
      <c r="B45" s="42" t="str">
        <f aca="false">AA19</f>
        <v>Zibetti Zuccherini</v>
      </c>
      <c r="C45" s="43" t="n">
        <f aca="false">A19</f>
        <v>228</v>
      </c>
      <c r="D45" s="42" t="str">
        <f aca="false">AA22</f>
        <v>Tassi Turbolenti</v>
      </c>
      <c r="E45" s="43" t="n">
        <f aca="false">A22</f>
        <v>229</v>
      </c>
      <c r="F45" s="44" t="n">
        <v>46503.6458333333</v>
      </c>
      <c r="G45" s="44"/>
      <c r="H45" s="44"/>
      <c r="I45" s="44"/>
      <c r="J45" s="45" t="n">
        <v>51</v>
      </c>
      <c r="K45" s="46" t="s">
        <v>339</v>
      </c>
      <c r="L45" s="45" t="n">
        <v>44</v>
      </c>
      <c r="M45" s="47" t="str">
        <f aca="false">IF($B45="","(Squadra A)",$B45)</f>
        <v>Zibetti Zuccherini</v>
      </c>
      <c r="N45" s="47" t="n">
        <f aca="false">IF($J45+$L45=0,,IF($J45&gt;$L45,1,0))</f>
        <v>1</v>
      </c>
      <c r="O45" s="47" t="n">
        <f aca="false">IF($J45+$L45=0,,IF($J45&lt;$L45,IF($J45&amp;"-"&amp;$L45=MID(constPunteggioForfait,FIND("-",constPunteggioForfait)+1,LEN(constPunteggioForfait))&amp;"-"&amp;LEFT(constPunteggioForfait,FIND("-",constPunteggioForfait)-1),1,0),0))</f>
        <v>0</v>
      </c>
      <c r="P45" s="47" t="n">
        <f aca="false">IF($J45+$L45=0,,IF($J45&lt;$L45,IF($J45&amp;"-"&amp;$L45&lt;&gt;MID(constPunteggioForfait,FIND("-",constPunteggioForfait)+1,LEN(constPunteggioForfait))&amp;"-"&amp;LEFT(constPunteggioForfait,FIND("-",constPunteggioForfait)-1),1,0),0))</f>
        <v>0</v>
      </c>
      <c r="Q45" s="47" t="n">
        <f aca="false">IF($J45+$L45=0,,$J45)</f>
        <v>51</v>
      </c>
      <c r="R45" s="47" t="n">
        <f aca="false">IF($J45+$L45=0,,$L45)</f>
        <v>44</v>
      </c>
      <c r="S45" s="47" t="n">
        <f aca="false">IF($J45+$L45=0,,$J45-$L45)</f>
        <v>7</v>
      </c>
      <c r="T45" s="47" t="str">
        <f aca="false">IF($D45="","(Squadra B)",$D45)</f>
        <v>Tassi Turbolenti</v>
      </c>
      <c r="U45" s="47" t="n">
        <f aca="false">IF($J45+$L45=0,,IF($L45&gt;$J45,1,0))</f>
        <v>0</v>
      </c>
      <c r="V45" s="47" t="n">
        <f aca="false">IF($J45+$L45=0,,IF($L45&lt;$J45,IF($J45&amp;"-"&amp;$L45=constPunteggioForfait,1,0),0))</f>
        <v>0</v>
      </c>
      <c r="W45" s="47" t="n">
        <f aca="false">IF($J45+$L45=0,,IF($L45&lt;$J45,IF($J45&amp;"-"&amp;$L45&lt;&gt;constPunteggioForfait,1,0),0))</f>
        <v>1</v>
      </c>
      <c r="X45" s="47" t="n">
        <f aca="false">IF($J45+$L45=0,,$L45)</f>
        <v>44</v>
      </c>
      <c r="Y45" s="47" t="n">
        <f aca="false">IF($J45+$L45=0,,$J45)</f>
        <v>51</v>
      </c>
      <c r="Z45" s="47" t="n">
        <f aca="false">IF($J45+$L45=0,,$L45-$J45)</f>
        <v>-7</v>
      </c>
      <c r="AA45" s="47" t="str">
        <f aca="false">IF($J45+$L45=0,"(Vincente)",IF($J45&gt;$L45,$B45,$D45))</f>
        <v>Zibetti Zuccherini</v>
      </c>
      <c r="AB45" s="47" t="str">
        <f aca="false">IF($J45+$L45=0,"(Perdente)",IF($J45&lt;$L45,$B45,$D45))</f>
        <v>Tassi Turbolenti</v>
      </c>
    </row>
    <row r="46" customFormat="false" ht="15.75" hidden="false" customHeight="true" outlineLevel="0" collapsed="false">
      <c r="A46" s="88"/>
      <c r="B46" s="48" t="str">
        <f aca="false">IF(I46="","",HYPERLINK(VLOOKUP(I46,areaCampiSquadre,3,FALSE()),VLOOKUP(I46,areaCampiSquadre,2,FALSE())))</f>
        <v>DA DEFINIRE</v>
      </c>
      <c r="C46" s="48"/>
      <c r="D46" s="48"/>
      <c r="E46" s="48"/>
      <c r="F46" s="48"/>
      <c r="G46" s="48"/>
      <c r="H46" s="48"/>
      <c r="I46" s="89" t="s">
        <v>314</v>
      </c>
      <c r="J46" s="45"/>
      <c r="K46" s="45"/>
      <c r="L46" s="45"/>
    </row>
    <row r="48" customFormat="false" ht="19.5" hidden="false" customHeight="true" outlineLevel="0" collapsed="false">
      <c r="B48" s="86" t="s">
        <v>414</v>
      </c>
      <c r="C48" s="86"/>
      <c r="D48" s="86"/>
      <c r="E48" s="86"/>
      <c r="F48" s="86"/>
      <c r="G48" s="86"/>
      <c r="H48" s="86"/>
      <c r="I48" s="86"/>
      <c r="J48" s="86"/>
      <c r="K48" s="86"/>
      <c r="L48" s="86"/>
    </row>
    <row r="49" customFormat="false" ht="12.75" hidden="false" customHeight="true" outlineLevel="0" collapsed="false">
      <c r="A49" s="87" t="s">
        <v>334</v>
      </c>
      <c r="B49" s="87" t="s">
        <v>317</v>
      </c>
      <c r="C49" s="87"/>
      <c r="D49" s="87" t="s">
        <v>324</v>
      </c>
      <c r="E49" s="87"/>
      <c r="F49" s="87" t="s">
        <v>335</v>
      </c>
      <c r="G49" s="87" t="s">
        <v>336</v>
      </c>
      <c r="H49" s="87" t="s">
        <v>337</v>
      </c>
      <c r="I49" s="87"/>
      <c r="J49" s="87" t="s">
        <v>338</v>
      </c>
      <c r="K49" s="87"/>
      <c r="L49" s="87"/>
    </row>
    <row r="50" customFormat="false" ht="24" hidden="false" customHeight="true" outlineLevel="0" collapsed="false">
      <c r="A50" s="88" t="n">
        <f aca="false">MAX(A$10:A49)+1</f>
        <v>237</v>
      </c>
      <c r="B50" s="42" t="str">
        <f aca="false">AA36</f>
        <v>Anaconde Arrabbiate</v>
      </c>
      <c r="C50" s="43" t="n">
        <f aca="false">A36</f>
        <v>233</v>
      </c>
      <c r="D50" s="42" t="str">
        <f aca="false">AA45</f>
        <v>Zibetti Zuccherini</v>
      </c>
      <c r="E50" s="43" t="n">
        <f aca="false">A45</f>
        <v>236</v>
      </c>
      <c r="F50" s="44" t="n">
        <v>46522.6041666667</v>
      </c>
      <c r="G50" s="44"/>
      <c r="H50" s="44"/>
      <c r="I50" s="44"/>
      <c r="J50" s="45" t="n">
        <v>52</v>
      </c>
      <c r="K50" s="46" t="s">
        <v>339</v>
      </c>
      <c r="L50" s="45" t="n">
        <v>45</v>
      </c>
      <c r="M50" s="47" t="str">
        <f aca="false">IF($B50="","(Squadra A)",$B50)</f>
        <v>Anaconde Arrabbiate</v>
      </c>
      <c r="N50" s="47" t="n">
        <f aca="false">IF($J50+$L50=0,,IF($J50&gt;$L50,1,0))</f>
        <v>1</v>
      </c>
      <c r="O50" s="47" t="n">
        <f aca="false">IF($J50+$L50=0,,IF($J50&lt;$L50,IF($J50&amp;"-"&amp;$L50=MID(constPunteggioForfait,FIND("-",constPunteggioForfait)+1,LEN(constPunteggioForfait))&amp;"-"&amp;LEFT(constPunteggioForfait,FIND("-",constPunteggioForfait)-1),1,0),0))</f>
        <v>0</v>
      </c>
      <c r="P50" s="47" t="n">
        <f aca="false">IF($J50+$L50=0,,IF($J50&lt;$L50,IF($J50&amp;"-"&amp;$L50&lt;&gt;MID(constPunteggioForfait,FIND("-",constPunteggioForfait)+1,LEN(constPunteggioForfait))&amp;"-"&amp;LEFT(constPunteggioForfait,FIND("-",constPunteggioForfait)-1),1,0),0))</f>
        <v>0</v>
      </c>
      <c r="Q50" s="47" t="n">
        <f aca="false">IF($J50+$L50=0,,$J50)</f>
        <v>52</v>
      </c>
      <c r="R50" s="47" t="n">
        <f aca="false">IF($J50+$L50=0,,$L50)</f>
        <v>45</v>
      </c>
      <c r="S50" s="47" t="n">
        <f aca="false">IF($J50+$L50=0,,$J50-$L50)</f>
        <v>7</v>
      </c>
      <c r="T50" s="47" t="str">
        <f aca="false">IF($D50="","(Squadra B)",$D50)</f>
        <v>Zibetti Zuccherini</v>
      </c>
      <c r="U50" s="47" t="n">
        <f aca="false">IF($J50+$L50=0,,IF($L50&gt;$J50,1,0))</f>
        <v>0</v>
      </c>
      <c r="V50" s="47" t="n">
        <f aca="false">IF($J50+$L50=0,,IF($L50&lt;$J50,IF($J50&amp;"-"&amp;$L50=constPunteggioForfait,1,0),0))</f>
        <v>0</v>
      </c>
      <c r="W50" s="47" t="n">
        <f aca="false">IF($J50+$L50=0,,IF($L50&lt;$J50,IF($J50&amp;"-"&amp;$L50&lt;&gt;constPunteggioForfait,1,0),0))</f>
        <v>1</v>
      </c>
      <c r="X50" s="47" t="n">
        <f aca="false">IF($J50+$L50=0,,$L50)</f>
        <v>45</v>
      </c>
      <c r="Y50" s="47" t="n">
        <f aca="false">IF($J50+$L50=0,,$J50)</f>
        <v>52</v>
      </c>
      <c r="Z50" s="47" t="n">
        <f aca="false">IF($J50+$L50=0,,$L50-$J50)</f>
        <v>-7</v>
      </c>
      <c r="AA50" s="47" t="str">
        <f aca="false">IF($J50+$L50=0,"(Vincente)",IF($J50&gt;$L50,$B50,$D50))</f>
        <v>Anaconde Arrabbiate</v>
      </c>
      <c r="AB50" s="47" t="str">
        <f aca="false">IF($J50+$L50=0,"(Perdente)",IF($J50&lt;$L50,$B50,$D50))</f>
        <v>Zibetti Zuccherini</v>
      </c>
    </row>
    <row r="51" customFormat="false" ht="15.75" hidden="false" customHeight="true" outlineLevel="0" collapsed="false">
      <c r="A51" s="88"/>
      <c r="B51" s="48" t="str">
        <f aca="false">IF(I51="","",HYPERLINK(VLOOKUP(I51,areaCampiSquadre,3,FALSE()),VLOOKUP(I51,areaCampiSquadre,2,FALSE())))</f>
        <v>DA DEFINIRE</v>
      </c>
      <c r="C51" s="48"/>
      <c r="D51" s="48"/>
      <c r="E51" s="48"/>
      <c r="F51" s="48"/>
      <c r="G51" s="48"/>
      <c r="H51" s="48"/>
      <c r="I51" s="89" t="s">
        <v>314</v>
      </c>
      <c r="J51" s="45"/>
      <c r="K51" s="45"/>
      <c r="L51" s="45"/>
    </row>
    <row r="52" customFormat="false" ht="12.75" hidden="false" customHeight="true" outlineLevel="0" collapsed="false">
      <c r="A52" s="87" t="s">
        <v>334</v>
      </c>
      <c r="B52" s="87" t="s">
        <v>317</v>
      </c>
      <c r="C52" s="87"/>
      <c r="D52" s="87" t="s">
        <v>324</v>
      </c>
      <c r="E52" s="87"/>
      <c r="F52" s="87" t="s">
        <v>335</v>
      </c>
      <c r="G52" s="87" t="s">
        <v>336</v>
      </c>
      <c r="H52" s="87" t="s">
        <v>337</v>
      </c>
      <c r="I52" s="87"/>
      <c r="J52" s="87" t="s">
        <v>338</v>
      </c>
      <c r="K52" s="87"/>
      <c r="L52" s="87"/>
    </row>
    <row r="53" customFormat="false" ht="24" hidden="false" customHeight="true" outlineLevel="0" collapsed="false">
      <c r="A53" s="88" t="n">
        <f aca="false">MAX(A$10:A52)+1</f>
        <v>238</v>
      </c>
      <c r="B53" s="42" t="str">
        <f aca="false">AA39</f>
        <v>Pinguini Prodigiosi</v>
      </c>
      <c r="C53" s="43" t="n">
        <f aca="false">A39</f>
        <v>234</v>
      </c>
      <c r="D53" s="42" t="str">
        <f aca="false">AA42</f>
        <v>Tigri Tenaci</v>
      </c>
      <c r="E53" s="43" t="n">
        <f aca="false">A42</f>
        <v>235</v>
      </c>
      <c r="F53" s="44" t="n">
        <v>46522.6875</v>
      </c>
      <c r="G53" s="44"/>
      <c r="H53" s="44"/>
      <c r="I53" s="44"/>
      <c r="J53" s="45" t="n">
        <v>52</v>
      </c>
      <c r="K53" s="46" t="s">
        <v>339</v>
      </c>
      <c r="L53" s="45" t="n">
        <v>74</v>
      </c>
      <c r="M53" s="47" t="str">
        <f aca="false">IF($B53="","(Squadra A)",$B53)</f>
        <v>Pinguini Prodigiosi</v>
      </c>
      <c r="N53" s="47" t="n">
        <f aca="false">IF($J53+$L53=0,,IF($J53&gt;$L53,1,0))</f>
        <v>0</v>
      </c>
      <c r="O53" s="47" t="n">
        <f aca="false">IF($J53+$L53=0,,IF($J53&lt;$L53,IF($J53&amp;"-"&amp;$L53=MID(constPunteggioForfait,FIND("-",constPunteggioForfait)+1,LEN(constPunteggioForfait))&amp;"-"&amp;LEFT(constPunteggioForfait,FIND("-",constPunteggioForfait)-1),1,0),0))</f>
        <v>0</v>
      </c>
      <c r="P53" s="47" t="n">
        <f aca="false">IF($J53+$L53=0,,IF($J53&lt;$L53,IF($J53&amp;"-"&amp;$L53&lt;&gt;MID(constPunteggioForfait,FIND("-",constPunteggioForfait)+1,LEN(constPunteggioForfait))&amp;"-"&amp;LEFT(constPunteggioForfait,FIND("-",constPunteggioForfait)-1),1,0),0))</f>
        <v>1</v>
      </c>
      <c r="Q53" s="47" t="n">
        <f aca="false">IF($J53+$L53=0,,$J53)</f>
        <v>52</v>
      </c>
      <c r="R53" s="47" t="n">
        <f aca="false">IF($J53+$L53=0,,$L53)</f>
        <v>74</v>
      </c>
      <c r="S53" s="47" t="n">
        <f aca="false">IF($J53+$L53=0,,$J53-$L53)</f>
        <v>-22</v>
      </c>
      <c r="T53" s="47" t="str">
        <f aca="false">IF($D53="","(Squadra B)",$D53)</f>
        <v>Tigri Tenaci</v>
      </c>
      <c r="U53" s="47" t="n">
        <f aca="false">IF($J53+$L53=0,,IF($L53&gt;$J53,1,0))</f>
        <v>1</v>
      </c>
      <c r="V53" s="47" t="n">
        <f aca="false">IF($J53+$L53=0,,IF($L53&lt;$J53,IF($J53&amp;"-"&amp;$L53=constPunteggioForfait,1,0),0))</f>
        <v>0</v>
      </c>
      <c r="W53" s="47" t="n">
        <f aca="false">IF($J53+$L53=0,,IF($L53&lt;$J53,IF($J53&amp;"-"&amp;$L53&lt;&gt;constPunteggioForfait,1,0),0))</f>
        <v>0</v>
      </c>
      <c r="X53" s="47" t="n">
        <f aca="false">IF($J53+$L53=0,,$L53)</f>
        <v>74</v>
      </c>
      <c r="Y53" s="47" t="n">
        <f aca="false">IF($J53+$L53=0,,$J53)</f>
        <v>52</v>
      </c>
      <c r="Z53" s="47" t="n">
        <f aca="false">IF($J53+$L53=0,,$L53-$J53)</f>
        <v>22</v>
      </c>
      <c r="AA53" s="47" t="str">
        <f aca="false">IF($J53+$L53=0,"(Vincente)",IF($J53&gt;$L53,$B53,$D53))</f>
        <v>Tigri Tenaci</v>
      </c>
      <c r="AB53" s="47" t="str">
        <f aca="false">IF($J53+$L53=0,"(Perdente)",IF($J53&lt;$L53,$B53,$D53))</f>
        <v>Pinguini Prodigiosi</v>
      </c>
    </row>
    <row r="54" customFormat="false" ht="15.75" hidden="false" customHeight="true" outlineLevel="0" collapsed="false">
      <c r="A54" s="88"/>
      <c r="B54" s="48" t="str">
        <f aca="false">IF(I54="","",HYPERLINK(VLOOKUP(I54,areaCampiSquadre,3,FALSE()),VLOOKUP(I54,areaCampiSquadre,2,FALSE())))</f>
        <v>DA DEFINIRE</v>
      </c>
      <c r="C54" s="48"/>
      <c r="D54" s="48"/>
      <c r="E54" s="48"/>
      <c r="F54" s="48"/>
      <c r="G54" s="48"/>
      <c r="H54" s="48"/>
      <c r="I54" s="89" t="s">
        <v>314</v>
      </c>
      <c r="J54" s="45"/>
      <c r="K54" s="45"/>
      <c r="L54" s="45"/>
    </row>
    <row r="56" customFormat="false" ht="19.5" hidden="false" customHeight="true" outlineLevel="0" collapsed="false">
      <c r="B56" s="86" t="s">
        <v>415</v>
      </c>
      <c r="C56" s="86"/>
      <c r="D56" s="86"/>
      <c r="E56" s="86"/>
      <c r="F56" s="86"/>
      <c r="G56" s="86"/>
      <c r="H56" s="86"/>
      <c r="I56" s="86"/>
      <c r="J56" s="86"/>
      <c r="K56" s="86"/>
      <c r="L56" s="86"/>
    </row>
    <row r="57" customFormat="false" ht="12.75" hidden="false" customHeight="true" outlineLevel="0" collapsed="false">
      <c r="A57" s="87" t="s">
        <v>334</v>
      </c>
      <c r="B57" s="87" t="s">
        <v>317</v>
      </c>
      <c r="C57" s="87"/>
      <c r="D57" s="87" t="s">
        <v>324</v>
      </c>
      <c r="E57" s="87"/>
      <c r="F57" s="87" t="s">
        <v>335</v>
      </c>
      <c r="G57" s="87" t="s">
        <v>336</v>
      </c>
      <c r="H57" s="87" t="s">
        <v>337</v>
      </c>
      <c r="I57" s="87"/>
      <c r="J57" s="87" t="s">
        <v>338</v>
      </c>
      <c r="K57" s="87"/>
      <c r="L57" s="87"/>
    </row>
    <row r="58" customFormat="false" ht="24" hidden="false" customHeight="true" outlineLevel="0" collapsed="false">
      <c r="A58" s="88" t="n">
        <f aca="false">MAX(A$10:A57)+1</f>
        <v>239</v>
      </c>
      <c r="B58" s="42" t="str">
        <f aca="false">AB50</f>
        <v>Zibetti Zuccherini</v>
      </c>
      <c r="C58" s="43" t="n">
        <f aca="false">A50</f>
        <v>237</v>
      </c>
      <c r="D58" s="42" t="str">
        <f aca="false">AB53</f>
        <v>Pinguini Prodigiosi</v>
      </c>
      <c r="E58" s="43" t="n">
        <f aca="false">A53</f>
        <v>238</v>
      </c>
      <c r="F58" s="44" t="n">
        <v>46523.4583333333</v>
      </c>
      <c r="G58" s="44"/>
      <c r="H58" s="44"/>
      <c r="I58" s="44"/>
      <c r="J58" s="45" t="n">
        <v>56</v>
      </c>
      <c r="K58" s="46" t="s">
        <v>339</v>
      </c>
      <c r="L58" s="45" t="n">
        <v>60</v>
      </c>
      <c r="M58" s="47" t="str">
        <f aca="false">IF($B58="","(Squadra A)",$B58)</f>
        <v>Zibetti Zuccherini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1</v>
      </c>
      <c r="Q58" s="47" t="n">
        <f aca="false">IF($J58+$L58=0,,$J58)</f>
        <v>56</v>
      </c>
      <c r="R58" s="47" t="n">
        <f aca="false">IF($J58+$L58=0,,$L58)</f>
        <v>60</v>
      </c>
      <c r="S58" s="47" t="n">
        <f aca="false">IF($J58+$L58=0,,$J58-$L58)</f>
        <v>-4</v>
      </c>
      <c r="T58" s="47" t="str">
        <f aca="false">IF($D58="","(Squadra B)",$D58)</f>
        <v>Pinguini Prodigiosi</v>
      </c>
      <c r="U58" s="47" t="n">
        <f aca="false">IF($J58+$L58=0,,IF($L58&gt;$J58,1,0))</f>
        <v>1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60</v>
      </c>
      <c r="Y58" s="47" t="n">
        <f aca="false">IF($J58+$L58=0,,$J58)</f>
        <v>56</v>
      </c>
      <c r="Z58" s="47" t="n">
        <f aca="false">IF($J58+$L58=0,,$L58-$J58)</f>
        <v>4</v>
      </c>
      <c r="AA58" s="47" t="str">
        <f aca="false">IF($J58+$L58=0,"(Vincente)",IF($J58&gt;$L58,$B58,$D58))</f>
        <v>Pinguini Prodigiosi</v>
      </c>
      <c r="AB58" s="47" t="str">
        <f aca="false">IF($J58+$L58=0,"(Perdente)",IF($J58&lt;$L58,$B58,$D58))</f>
        <v>Zibetti Zuccherini</v>
      </c>
    </row>
    <row r="59" customFormat="false" ht="15.75" hidden="false" customHeight="true" outlineLevel="0" collapsed="false">
      <c r="A59" s="88"/>
      <c r="B59" s="48" t="str">
        <f aca="false">IF(I59="","",HYPERLINK(VLOOKUP(I59,areaCampiSquadre,3,FALSE()),VLOOKUP(I59,areaCampiSquadre,2,FALSE())))</f>
        <v>DA DEFINIRE</v>
      </c>
      <c r="C59" s="48"/>
      <c r="D59" s="48"/>
      <c r="E59" s="48"/>
      <c r="F59" s="48"/>
      <c r="G59" s="48"/>
      <c r="H59" s="48"/>
      <c r="I59" s="89" t="s">
        <v>314</v>
      </c>
      <c r="J59" s="45"/>
      <c r="K59" s="45"/>
      <c r="L59" s="45"/>
    </row>
    <row r="60" customFormat="false" ht="12.75" hidden="false" customHeight="true" outlineLevel="0" collapsed="false">
      <c r="A60" s="87" t="s">
        <v>334</v>
      </c>
      <c r="B60" s="87" t="s">
        <v>317</v>
      </c>
      <c r="C60" s="87"/>
      <c r="D60" s="87" t="s">
        <v>324</v>
      </c>
      <c r="E60" s="87"/>
      <c r="F60" s="87" t="s">
        <v>335</v>
      </c>
      <c r="G60" s="87" t="s">
        <v>336</v>
      </c>
      <c r="H60" s="87" t="s">
        <v>337</v>
      </c>
      <c r="I60" s="87"/>
      <c r="J60" s="87" t="s">
        <v>338</v>
      </c>
      <c r="K60" s="87"/>
      <c r="L60" s="87"/>
    </row>
    <row r="61" customFormat="false" ht="24" hidden="false" customHeight="true" outlineLevel="0" collapsed="false">
      <c r="A61" s="88" t="n">
        <f aca="false">MAX(A$10:A60)+1</f>
        <v>240</v>
      </c>
      <c r="B61" s="42" t="str">
        <f aca="false">AA50</f>
        <v>Anaconde Arrabbiate</v>
      </c>
      <c r="C61" s="43" t="n">
        <f aca="false">A50</f>
        <v>237</v>
      </c>
      <c r="D61" s="42" t="str">
        <f aca="false">AA53</f>
        <v>Tigri Tenaci</v>
      </c>
      <c r="E61" s="43" t="n">
        <f aca="false">A53</f>
        <v>238</v>
      </c>
      <c r="F61" s="44" t="n">
        <v>46523.625</v>
      </c>
      <c r="G61" s="44"/>
      <c r="H61" s="44"/>
      <c r="I61" s="44"/>
      <c r="J61" s="45" t="n">
        <v>72</v>
      </c>
      <c r="K61" s="46" t="s">
        <v>339</v>
      </c>
      <c r="L61" s="45" t="n">
        <v>59</v>
      </c>
      <c r="M61" s="47" t="str">
        <f aca="false">IF($B61="","(Squadra A)",$B61)</f>
        <v>Anaconde Arrabbiate</v>
      </c>
      <c r="N61" s="47" t="n">
        <f aca="false">IF($J61+$L61=0,,IF($J61&gt;$L61,1,0))</f>
        <v>1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72</v>
      </c>
      <c r="R61" s="47" t="n">
        <f aca="false">IF($J61+$L61=0,,$L61)</f>
        <v>59</v>
      </c>
      <c r="S61" s="47" t="n">
        <f aca="false">IF($J61+$L61=0,,$J61-$L61)</f>
        <v>13</v>
      </c>
      <c r="T61" s="47" t="str">
        <f aca="false">IF($D61="","(Squadra B)",$D61)</f>
        <v>Tigri Tenaci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1</v>
      </c>
      <c r="X61" s="47" t="n">
        <f aca="false">IF($J61+$L61=0,,$L61)</f>
        <v>59</v>
      </c>
      <c r="Y61" s="47" t="n">
        <f aca="false">IF($J61+$L61=0,,$J61)</f>
        <v>72</v>
      </c>
      <c r="Z61" s="47" t="n">
        <f aca="false">IF($J61+$L61=0,,$L61-$J61)</f>
        <v>-13</v>
      </c>
      <c r="AA61" s="47" t="str">
        <f aca="false">IF($J61+$L61=0,"(Vincente)",IF($J61&gt;$L61,$B61,$D61))</f>
        <v>Anaconde Arrabbiate</v>
      </c>
      <c r="AB61" s="47" t="str">
        <f aca="false">IF($J61+$L61=0,"(Perdente)",IF($J61&lt;$L61,$B61,$D61))</f>
        <v>Tigri Tenaci</v>
      </c>
    </row>
    <row r="62" customFormat="false" ht="15.75" hidden="false" customHeight="true" outlineLevel="0" collapsed="false">
      <c r="A62" s="88"/>
      <c r="B62" s="48" t="str">
        <f aca="false">IF(I62="","",HYPERLINK(VLOOKUP(I62,areaCampiSquadre,3,FALSE()),VLOOKUP(I62,areaCampiSquadre,2,FALSE())))</f>
        <v>DA DEFINIRE</v>
      </c>
      <c r="C62" s="48"/>
      <c r="D62" s="48"/>
      <c r="E62" s="48"/>
      <c r="F62" s="48"/>
      <c r="G62" s="48"/>
      <c r="H62" s="48"/>
      <c r="I62" s="89" t="s">
        <v>314</v>
      </c>
      <c r="J62" s="45"/>
      <c r="K62" s="45"/>
      <c r="L62" s="45"/>
    </row>
    <row r="64" customFormat="false" ht="15" hidden="false" customHeight="false" outlineLevel="0" collapsed="false">
      <c r="A64" s="34" t="s">
        <v>416</v>
      </c>
    </row>
    <row r="65" customFormat="false" ht="15" hidden="false" customHeight="false" outlineLevel="0" collapsed="false">
      <c r="A65" s="34" t="s">
        <v>417</v>
      </c>
    </row>
    <row r="66" customFormat="false" ht="15" hidden="false" customHeight="false" outlineLevel="0" collapsed="false">
      <c r="A66" s="34" t="s">
        <v>418</v>
      </c>
    </row>
    <row r="67" customFormat="false" ht="15" hidden="false" customHeight="false" outlineLevel="0" collapsed="false">
      <c r="A67" s="34" t="s">
        <v>316</v>
      </c>
    </row>
  </sheetData>
  <mergeCells count="16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B21:C21"/>
    <mergeCell ref="D21:E21"/>
    <mergeCell ref="H21:I21"/>
    <mergeCell ref="J21:L21"/>
    <mergeCell ref="A22:A23"/>
    <mergeCell ref="F22:I22"/>
    <mergeCell ref="J22:J23"/>
    <mergeCell ref="K22:K23"/>
    <mergeCell ref="L22:L23"/>
    <mergeCell ref="B23:H23"/>
    <mergeCell ref="B24:C24"/>
    <mergeCell ref="D24:E24"/>
    <mergeCell ref="H24:I24"/>
    <mergeCell ref="J24:L24"/>
    <mergeCell ref="A25:A26"/>
    <mergeCell ref="F25:I25"/>
    <mergeCell ref="J25:J26"/>
    <mergeCell ref="K25:K26"/>
    <mergeCell ref="L25:L26"/>
    <mergeCell ref="B26:H26"/>
    <mergeCell ref="B27:C27"/>
    <mergeCell ref="D27:E27"/>
    <mergeCell ref="H27:I27"/>
    <mergeCell ref="J27:L27"/>
    <mergeCell ref="A28:A29"/>
    <mergeCell ref="F28:I28"/>
    <mergeCell ref="J28:J29"/>
    <mergeCell ref="K28:K29"/>
    <mergeCell ref="L28:L29"/>
    <mergeCell ref="B29:H29"/>
    <mergeCell ref="B30:C30"/>
    <mergeCell ref="D30:E30"/>
    <mergeCell ref="H30:I30"/>
    <mergeCell ref="J30:L30"/>
    <mergeCell ref="A31:A32"/>
    <mergeCell ref="F31:I31"/>
    <mergeCell ref="J31:J32"/>
    <mergeCell ref="K31:K32"/>
    <mergeCell ref="L31:L32"/>
    <mergeCell ref="B32:H32"/>
    <mergeCell ref="B34:L34"/>
    <mergeCell ref="B35:C35"/>
    <mergeCell ref="D35:E35"/>
    <mergeCell ref="H35:I35"/>
    <mergeCell ref="J35:L35"/>
    <mergeCell ref="A36:A37"/>
    <mergeCell ref="F36:I36"/>
    <mergeCell ref="J36:J37"/>
    <mergeCell ref="K36:K37"/>
    <mergeCell ref="L36:L37"/>
    <mergeCell ref="B37:H37"/>
    <mergeCell ref="B38:C38"/>
    <mergeCell ref="D38:E38"/>
    <mergeCell ref="H38:I38"/>
    <mergeCell ref="J38:L38"/>
    <mergeCell ref="A39:A40"/>
    <mergeCell ref="F39:I39"/>
    <mergeCell ref="J39:J40"/>
    <mergeCell ref="K39:K40"/>
    <mergeCell ref="L39:L40"/>
    <mergeCell ref="B40:H40"/>
    <mergeCell ref="B41:C41"/>
    <mergeCell ref="D41:E41"/>
    <mergeCell ref="H41:I41"/>
    <mergeCell ref="J41:L41"/>
    <mergeCell ref="A42:A43"/>
    <mergeCell ref="F42:I42"/>
    <mergeCell ref="J42:J43"/>
    <mergeCell ref="K42:K43"/>
    <mergeCell ref="L42:L43"/>
    <mergeCell ref="B43:H43"/>
    <mergeCell ref="B44:C44"/>
    <mergeCell ref="D44:E44"/>
    <mergeCell ref="H44:I44"/>
    <mergeCell ref="J44:L44"/>
    <mergeCell ref="A45:A46"/>
    <mergeCell ref="F45:I45"/>
    <mergeCell ref="J45:J46"/>
    <mergeCell ref="K45:K46"/>
    <mergeCell ref="L45:L46"/>
    <mergeCell ref="B46:H46"/>
    <mergeCell ref="B48:L48"/>
    <mergeCell ref="B49:C49"/>
    <mergeCell ref="D49:E49"/>
    <mergeCell ref="H49:I49"/>
    <mergeCell ref="J49:L49"/>
    <mergeCell ref="A50:A51"/>
    <mergeCell ref="F50:I50"/>
    <mergeCell ref="J50:J51"/>
    <mergeCell ref="K50:K51"/>
    <mergeCell ref="L50:L51"/>
    <mergeCell ref="B51:H51"/>
    <mergeCell ref="B52:C52"/>
    <mergeCell ref="D52:E52"/>
    <mergeCell ref="H52:I52"/>
    <mergeCell ref="J52:L52"/>
    <mergeCell ref="A53:A54"/>
    <mergeCell ref="F53:I53"/>
    <mergeCell ref="J53:J54"/>
    <mergeCell ref="K53:K54"/>
    <mergeCell ref="L53:L54"/>
    <mergeCell ref="B54:H54"/>
    <mergeCell ref="B56:L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6E7A"/>
    <pageSetUpPr fitToPage="true"/>
  </sheetPr>
  <dimension ref="A1:M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7" min="4" style="0" width="5"/>
    <col collapsed="false" customWidth="true" hidden="false" outlineLevel="0" max="10" min="8" style="0" width="7"/>
    <col collapsed="false" customWidth="true" hidden="false" outlineLevel="0" max="13" min="11" style="0" width="11"/>
  </cols>
  <sheetData>
    <row r="1" customFormat="false" ht="15" hidden="false" customHeight="false" outlineLevel="0" collapsed="false">
      <c r="A1" s="35" t="str">
        <f aca="false">""&amp;constNomeCampionato</f>
        <v>Campionato Baskin Demo - ESEMPIO COMPILATO 64 Squadre</v>
      </c>
      <c r="B1" s="35"/>
      <c r="C1" s="35"/>
      <c r="D1" s="35"/>
      <c r="E1" s="35"/>
      <c r="F1" s="35"/>
      <c r="G1" s="35"/>
      <c r="H1" s="35"/>
    </row>
    <row r="2" customFormat="false" ht="15" hidden="false" customHeight="false" outlineLevel="0" collapsed="false">
      <c r="A2" s="35"/>
      <c r="B2" s="35"/>
      <c r="C2" s="35"/>
      <c r="D2" s="35"/>
      <c r="E2" s="35"/>
      <c r="F2" s="35"/>
      <c r="G2" s="35"/>
      <c r="H2" s="35"/>
    </row>
    <row r="3" customFormat="false" ht="17.35" hidden="false" customHeight="false" outlineLevel="0" collapsed="false">
      <c r="A3" s="85" t="str">
        <f aca="false">"Classifiche di girone - Stagione "&amp;constStagionaCampionato</f>
        <v>Classifiche di girone - Stagione 2026/2027</v>
      </c>
      <c r="B3" s="85"/>
      <c r="C3" s="85"/>
      <c r="D3" s="85"/>
      <c r="E3" s="85"/>
      <c r="F3" s="85"/>
      <c r="G3" s="85"/>
      <c r="H3" s="85"/>
    </row>
    <row r="6" customFormat="false" ht="19.5" hidden="false" customHeight="true" outlineLevel="0" collapsed="false">
      <c r="A6" s="90" t="str">
        <f aca="false">"CLASSIFICA - GIRONE A"</f>
        <v>CLASSIFICA - GIRONE A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</row>
    <row r="7" customFormat="false" ht="25.5" hidden="false" customHeight="true" outlineLevel="0" collapsed="false">
      <c r="A7" s="91" t="s">
        <v>419</v>
      </c>
      <c r="B7" s="91" t="s">
        <v>420</v>
      </c>
      <c r="C7" s="91" t="s">
        <v>421</v>
      </c>
      <c r="D7" s="91" t="s">
        <v>422</v>
      </c>
      <c r="E7" s="91"/>
      <c r="F7" s="91"/>
      <c r="G7" s="91"/>
      <c r="H7" s="91" t="s">
        <v>423</v>
      </c>
      <c r="I7" s="91"/>
      <c r="J7" s="91"/>
      <c r="K7" s="91" t="s">
        <v>424</v>
      </c>
      <c r="L7" s="91" t="s">
        <v>425</v>
      </c>
      <c r="M7" s="91" t="s">
        <v>426</v>
      </c>
    </row>
    <row r="8" customFormat="false" ht="15" hidden="false" customHeight="false" outlineLevel="0" collapsed="false">
      <c r="A8" s="91"/>
      <c r="B8" s="91"/>
      <c r="C8" s="91"/>
      <c r="D8" s="92" t="s">
        <v>151</v>
      </c>
      <c r="E8" s="92" t="s">
        <v>427</v>
      </c>
      <c r="F8" s="92" t="s">
        <v>419</v>
      </c>
      <c r="G8" s="92" t="s">
        <v>134</v>
      </c>
      <c r="H8" s="92" t="s">
        <v>428</v>
      </c>
      <c r="I8" s="92" t="s">
        <v>429</v>
      </c>
      <c r="J8" s="92" t="s">
        <v>430</v>
      </c>
      <c r="K8" s="91"/>
      <c r="L8" s="91"/>
      <c r="M8" s="91"/>
    </row>
    <row r="9" customFormat="false" ht="15" hidden="false" customHeight="false" outlineLevel="0" collapsed="false">
      <c r="A9" s="93" t="s">
        <v>397</v>
      </c>
      <c r="B9" s="94" t="str">
        <f aca="false">IFERROR(VLOOKUP($A9,areaCercaDatiPerPosizioneSquadre,2,FALSE()),"("&amp;$A9&amp;")")</f>
        <v>Anaconde Arrabbiate</v>
      </c>
      <c r="C9" s="95" t="n">
        <f aca="false">IFERROR(VLOOKUP($A9,areaCercaDatiPerPosizioneSquadre,4,FALSE()),"-")</f>
        <v>21</v>
      </c>
      <c r="D9" s="7" t="n">
        <f aca="false">IFERROR(VLOOKUP($A9,areaCercaDatiPerPosizioneSquadre,5,FALSE()),"-")</f>
        <v>7</v>
      </c>
      <c r="E9" s="7" t="n">
        <f aca="false">IFERROR(VLOOKUP($A9,areaCercaDatiPerPosizioneSquadre,6,FALSE()),"-")</f>
        <v>7</v>
      </c>
      <c r="F9" s="7" t="n">
        <f aca="false">IFERROR(VLOOKUP($A9,areaCercaDatiPerPosizioneSquadre,7,FALSE()),"-")</f>
        <v>0</v>
      </c>
      <c r="G9" s="7" t="n">
        <f aca="false">IFERROR(VLOOKUP($A9,areaCercaDatiPerPosizioneSquadre,8,FALSE()),"-")</f>
        <v>0</v>
      </c>
      <c r="H9" s="7" t="n">
        <f aca="false">IFERROR(VLOOKUP($A9,areaCercaDatiPerPosizioneSquadre,9,FALSE()),"-")</f>
        <v>506</v>
      </c>
      <c r="I9" s="7" t="n">
        <f aca="false">IFERROR(VLOOKUP($A9,areaCercaDatiPerPosizioneSquadre,10,FALSE()),"-")</f>
        <v>373</v>
      </c>
      <c r="J9" s="7" t="n">
        <f aca="false">IFERROR(VLOOKUP($A9,areaCercaDatiPerPosizioneSquadre,11,FALSE()),"-")</f>
        <v>133</v>
      </c>
      <c r="K9" s="7" t="str">
        <f aca="false">IFERROR(VLOOKUP($A9,areaCercaDatiPerPosizioneSquadre,15,FALSE()),"-")</f>
        <v>-</v>
      </c>
      <c r="L9" s="7" t="str">
        <f aca="false">IFERROR(VLOOKUP($A9,areaCercaDatiPerPosizioneSquadre,16,FALSE()),"-")</f>
        <v>-</v>
      </c>
      <c r="M9" s="7" t="str">
        <f aca="false">IFERROR(VLOOKUP($A9,areaCercaDatiPerPosizioneSquadre,17,FALSE()),"-")</f>
        <v>1.3566</v>
      </c>
    </row>
    <row r="10" customFormat="false" ht="15" hidden="false" customHeight="false" outlineLevel="0" collapsed="false">
      <c r="A10" s="93" t="s">
        <v>412</v>
      </c>
      <c r="B10" s="94" t="str">
        <f aca="false">IFERROR(VLOOKUP($A10,areaCercaDatiPerPosizioneSquadre,2,FALSE()),"("&amp;$A10&amp;")")</f>
        <v>Falchi Furiosi</v>
      </c>
      <c r="C10" s="95" t="n">
        <f aca="false">IFERROR(VLOOKUP($A10,areaCercaDatiPerPosizioneSquadre,4,FALSE()),"-")</f>
        <v>17</v>
      </c>
      <c r="D10" s="7" t="n">
        <f aca="false">IFERROR(VLOOKUP($A10,areaCercaDatiPerPosizioneSquadre,5,FALSE()),"-")</f>
        <v>7</v>
      </c>
      <c r="E10" s="7" t="n">
        <f aca="false">IFERROR(VLOOKUP($A10,areaCercaDatiPerPosizioneSquadre,6,FALSE()),"-")</f>
        <v>5</v>
      </c>
      <c r="F10" s="7" t="n">
        <f aca="false">IFERROR(VLOOKUP($A10,areaCercaDatiPerPosizioneSquadre,7,FALSE()),"-")</f>
        <v>2</v>
      </c>
      <c r="G10" s="7" t="n">
        <f aca="false">IFERROR(VLOOKUP($A10,areaCercaDatiPerPosizioneSquadre,8,FALSE()),"-")</f>
        <v>0</v>
      </c>
      <c r="H10" s="7" t="n">
        <f aca="false">IFERROR(VLOOKUP($A10,areaCercaDatiPerPosizioneSquadre,9,FALSE()),"-")</f>
        <v>473</v>
      </c>
      <c r="I10" s="7" t="n">
        <f aca="false">IFERROR(VLOOKUP($A10,areaCercaDatiPerPosizioneSquadre,10,FALSE()),"-")</f>
        <v>388</v>
      </c>
      <c r="J10" s="7" t="n">
        <f aca="false">IFERROR(VLOOKUP($A10,areaCercaDatiPerPosizioneSquadre,11,FALSE()),"-")</f>
        <v>85</v>
      </c>
      <c r="K10" s="7" t="str">
        <f aca="false">IFERROR(VLOOKUP($A10,areaCercaDatiPerPosizioneSquadre,15,FALSE()),"-")</f>
        <v>-</v>
      </c>
      <c r="L10" s="7" t="str">
        <f aca="false">IFERROR(VLOOKUP($A10,areaCercaDatiPerPosizioneSquadre,16,FALSE()),"-")</f>
        <v>-</v>
      </c>
      <c r="M10" s="7" t="str">
        <f aca="false">IFERROR(VLOOKUP($A10,areaCercaDatiPerPosizioneSquadre,17,FALSE()),"-")</f>
        <v>1.2191</v>
      </c>
    </row>
    <row r="11" customFormat="false" ht="15" hidden="false" customHeight="false" outlineLevel="0" collapsed="false">
      <c r="A11" s="93" t="s">
        <v>431</v>
      </c>
      <c r="B11" s="12" t="str">
        <f aca="false">IFERROR(VLOOKUP($A11,areaCercaDatiPerPosizioneSquadre,2,FALSE()),"("&amp;$A11&amp;")")</f>
        <v>Ippopotami Iracondi</v>
      </c>
      <c r="C11" s="95" t="n">
        <f aca="false">IFERROR(VLOOKUP($A11,areaCercaDatiPerPosizioneSquadre,4,FALSE()),"-")</f>
        <v>15</v>
      </c>
      <c r="D11" s="7" t="n">
        <f aca="false">IFERROR(VLOOKUP($A11,areaCercaDatiPerPosizioneSquadre,5,FALSE()),"-")</f>
        <v>7</v>
      </c>
      <c r="E11" s="7" t="n">
        <f aca="false">IFERROR(VLOOKUP($A11,areaCercaDatiPerPosizioneSquadre,6,FALSE()),"-")</f>
        <v>4</v>
      </c>
      <c r="F11" s="7" t="n">
        <f aca="false">IFERROR(VLOOKUP($A11,areaCercaDatiPerPosizioneSquadre,7,FALSE()),"-")</f>
        <v>3</v>
      </c>
      <c r="G11" s="7" t="n">
        <f aca="false">IFERROR(VLOOKUP($A11,areaCercaDatiPerPosizioneSquadre,8,FALSE()),"-")</f>
        <v>0</v>
      </c>
      <c r="H11" s="7" t="n">
        <f aca="false">IFERROR(VLOOKUP($A11,areaCercaDatiPerPosizioneSquadre,9,FALSE()),"-")</f>
        <v>411</v>
      </c>
      <c r="I11" s="7" t="n">
        <f aca="false">IFERROR(VLOOKUP($A11,areaCercaDatiPerPosizioneSquadre,10,FALSE()),"-")</f>
        <v>431</v>
      </c>
      <c r="J11" s="7" t="n">
        <f aca="false">IFERROR(VLOOKUP($A11,areaCercaDatiPerPosizioneSquadre,11,FALSE()),"-")</f>
        <v>-20</v>
      </c>
      <c r="K11" s="7" t="str">
        <f aca="false">IFERROR(VLOOKUP($A11,areaCercaDatiPerPosizioneSquadre,15,FALSE()),"-")</f>
        <v>1-0</v>
      </c>
      <c r="L11" s="7" t="str">
        <f aca="false">IFERROR(VLOOKUP($A11,areaCercaDatiPerPosizioneSquadre,16,FALSE()),"-")</f>
        <v>1.2222</v>
      </c>
      <c r="M11" s="7" t="str">
        <f aca="false">IFERROR(VLOOKUP($A11,areaCercaDatiPerPosizioneSquadre,17,FALSE()),"-")</f>
        <v>0.9536</v>
      </c>
    </row>
    <row r="12" customFormat="false" ht="15" hidden="false" customHeight="false" outlineLevel="0" collapsed="false">
      <c r="A12" s="93" t="s">
        <v>432</v>
      </c>
      <c r="B12" s="12" t="str">
        <f aca="false">IFERROR(VLOOKUP($A12,areaCercaDatiPerPosizioneSquadre,2,FALSE()),"("&amp;$A12&amp;")")</f>
        <v>Ermellini Eleganti</v>
      </c>
      <c r="C12" s="95" t="n">
        <f aca="false">IFERROR(VLOOKUP($A12,areaCercaDatiPerPosizioneSquadre,4,FALSE()),"-")</f>
        <v>15</v>
      </c>
      <c r="D12" s="7" t="n">
        <f aca="false">IFERROR(VLOOKUP($A12,areaCercaDatiPerPosizioneSquadre,5,FALSE()),"-")</f>
        <v>7</v>
      </c>
      <c r="E12" s="7" t="n">
        <f aca="false">IFERROR(VLOOKUP($A12,areaCercaDatiPerPosizioneSquadre,6,FALSE()),"-")</f>
        <v>4</v>
      </c>
      <c r="F12" s="7" t="n">
        <f aca="false">IFERROR(VLOOKUP($A12,areaCercaDatiPerPosizioneSquadre,7,FALSE()),"-")</f>
        <v>3</v>
      </c>
      <c r="G12" s="7" t="n">
        <f aca="false">IFERROR(VLOOKUP($A12,areaCercaDatiPerPosizioneSquadre,8,FALSE()),"-")</f>
        <v>0</v>
      </c>
      <c r="H12" s="7" t="n">
        <f aca="false">IFERROR(VLOOKUP($A12,areaCercaDatiPerPosizioneSquadre,9,FALSE()),"-")</f>
        <v>435</v>
      </c>
      <c r="I12" s="7" t="n">
        <f aca="false">IFERROR(VLOOKUP($A12,areaCercaDatiPerPosizioneSquadre,10,FALSE()),"-")</f>
        <v>402</v>
      </c>
      <c r="J12" s="7" t="n">
        <f aca="false">IFERROR(VLOOKUP($A12,areaCercaDatiPerPosizioneSquadre,11,FALSE()),"-")</f>
        <v>33</v>
      </c>
      <c r="K12" s="7" t="str">
        <f aca="false">IFERROR(VLOOKUP($A12,areaCercaDatiPerPosizioneSquadre,15,FALSE()),"-")</f>
        <v>0-1</v>
      </c>
      <c r="L12" s="7" t="str">
        <f aca="false">IFERROR(VLOOKUP($A12,areaCercaDatiPerPosizioneSquadre,16,FALSE()),"-")</f>
        <v>0.8182</v>
      </c>
      <c r="M12" s="7" t="str">
        <f aca="false">IFERROR(VLOOKUP($A12,areaCercaDatiPerPosizioneSquadre,17,FALSE()),"-")</f>
        <v>1.0821</v>
      </c>
    </row>
    <row r="13" customFormat="false" ht="15" hidden="false" customHeight="false" outlineLevel="0" collapsed="false">
      <c r="A13" s="93" t="s">
        <v>433</v>
      </c>
      <c r="B13" s="12" t="str">
        <f aca="false">IFERROR(VLOOKUP($A13,areaCercaDatiPerPosizioneSquadre,2,FALSE()),"("&amp;$A13&amp;")")</f>
        <v>Gazzelle Gagliarde</v>
      </c>
      <c r="C13" s="95" t="n">
        <f aca="false">IFERROR(VLOOKUP($A13,areaCercaDatiPerPosizioneSquadre,4,FALSE()),"-")</f>
        <v>13</v>
      </c>
      <c r="D13" s="7" t="n">
        <f aca="false">IFERROR(VLOOKUP($A13,areaCercaDatiPerPosizioneSquadre,5,FALSE()),"-")</f>
        <v>7</v>
      </c>
      <c r="E13" s="7" t="n">
        <f aca="false">IFERROR(VLOOKUP($A13,areaCercaDatiPerPosizioneSquadre,6,FALSE()),"-")</f>
        <v>3</v>
      </c>
      <c r="F13" s="7" t="n">
        <f aca="false">IFERROR(VLOOKUP($A13,areaCercaDatiPerPosizioneSquadre,7,FALSE()),"-")</f>
        <v>4</v>
      </c>
      <c r="G13" s="7" t="n">
        <f aca="false">IFERROR(VLOOKUP($A13,areaCercaDatiPerPosizioneSquadre,8,FALSE()),"-")</f>
        <v>0</v>
      </c>
      <c r="H13" s="7" t="n">
        <f aca="false">IFERROR(VLOOKUP($A13,areaCercaDatiPerPosizioneSquadre,9,FALSE()),"-")</f>
        <v>419</v>
      </c>
      <c r="I13" s="7" t="n">
        <f aca="false">IFERROR(VLOOKUP($A13,areaCercaDatiPerPosizioneSquadre,10,FALSE()),"-")</f>
        <v>467</v>
      </c>
      <c r="J13" s="7" t="n">
        <f aca="false">IFERROR(VLOOKUP($A13,areaCercaDatiPerPosizioneSquadre,11,FALSE()),"-")</f>
        <v>-48</v>
      </c>
      <c r="K13" s="7" t="str">
        <f aca="false">IFERROR(VLOOKUP($A13,areaCercaDatiPerPosizioneSquadre,15,FALSE()),"-")</f>
        <v>1-0</v>
      </c>
      <c r="L13" s="7" t="str">
        <f aca="false">IFERROR(VLOOKUP($A13,areaCercaDatiPerPosizioneSquadre,16,FALSE()),"-")</f>
        <v>1.1600</v>
      </c>
      <c r="M13" s="7" t="str">
        <f aca="false">IFERROR(VLOOKUP($A13,areaCercaDatiPerPosizioneSquadre,17,FALSE()),"-")</f>
        <v>0.8972</v>
      </c>
    </row>
    <row r="14" customFormat="false" ht="15" hidden="false" customHeight="false" outlineLevel="0" collapsed="false">
      <c r="A14" s="93" t="s">
        <v>434</v>
      </c>
      <c r="B14" s="12" t="str">
        <f aca="false">IFERROR(VLOOKUP($A14,areaCercaDatiPerPosizioneSquadre,2,FALSE()),"("&amp;$A14&amp;")")</f>
        <v>Cobra Coraggiosi</v>
      </c>
      <c r="C14" s="95" t="n">
        <f aca="false">IFERROR(VLOOKUP($A14,areaCercaDatiPerPosizioneSquadre,4,FALSE()),"-")</f>
        <v>13</v>
      </c>
      <c r="D14" s="7" t="n">
        <f aca="false">IFERROR(VLOOKUP($A14,areaCercaDatiPerPosizioneSquadre,5,FALSE()),"-")</f>
        <v>7</v>
      </c>
      <c r="E14" s="7" t="n">
        <f aca="false">IFERROR(VLOOKUP($A14,areaCercaDatiPerPosizioneSquadre,6,FALSE()),"-")</f>
        <v>3</v>
      </c>
      <c r="F14" s="7" t="n">
        <f aca="false">IFERROR(VLOOKUP($A14,areaCercaDatiPerPosizioneSquadre,7,FALSE()),"-")</f>
        <v>4</v>
      </c>
      <c r="G14" s="7" t="n">
        <f aca="false">IFERROR(VLOOKUP($A14,areaCercaDatiPerPosizioneSquadre,8,FALSE()),"-")</f>
        <v>0</v>
      </c>
      <c r="H14" s="7" t="n">
        <f aca="false">IFERROR(VLOOKUP($A14,areaCercaDatiPerPosizioneSquadre,9,FALSE()),"-")</f>
        <v>409</v>
      </c>
      <c r="I14" s="7" t="n">
        <f aca="false">IFERROR(VLOOKUP($A14,areaCercaDatiPerPosizioneSquadre,10,FALSE()),"-")</f>
        <v>423</v>
      </c>
      <c r="J14" s="7" t="n">
        <f aca="false">IFERROR(VLOOKUP($A14,areaCercaDatiPerPosizioneSquadre,11,FALSE()),"-")</f>
        <v>-14</v>
      </c>
      <c r="K14" s="7" t="str">
        <f aca="false">IFERROR(VLOOKUP($A14,areaCercaDatiPerPosizioneSquadre,15,FALSE()),"-")</f>
        <v>0-1</v>
      </c>
      <c r="L14" s="7" t="str">
        <f aca="false">IFERROR(VLOOKUP($A14,areaCercaDatiPerPosizioneSquadre,16,FALSE()),"-")</f>
        <v>0.8621</v>
      </c>
      <c r="M14" s="7" t="str">
        <f aca="false">IFERROR(VLOOKUP($A14,areaCercaDatiPerPosizioneSquadre,17,FALSE()),"-")</f>
        <v>0.9669</v>
      </c>
    </row>
    <row r="15" customFormat="false" ht="15" hidden="false" customHeight="false" outlineLevel="0" collapsed="false">
      <c r="A15" s="93" t="s">
        <v>435</v>
      </c>
      <c r="B15" s="12" t="str">
        <f aca="false">IFERROR(VLOOKUP($A15,areaCercaDatiPerPosizioneSquadre,2,FALSE()),"("&amp;$A15&amp;")")</f>
        <v>Bufali Belligeranti</v>
      </c>
      <c r="C15" s="95" t="n">
        <f aca="false">IFERROR(VLOOKUP($A15,areaCercaDatiPerPosizioneSquadre,4,FALSE()),"-")</f>
        <v>9</v>
      </c>
      <c r="D15" s="7" t="n">
        <f aca="false">IFERROR(VLOOKUP($A15,areaCercaDatiPerPosizioneSquadre,5,FALSE()),"-")</f>
        <v>7</v>
      </c>
      <c r="E15" s="7" t="n">
        <f aca="false">IFERROR(VLOOKUP($A15,areaCercaDatiPerPosizioneSquadre,6,FALSE()),"-")</f>
        <v>1</v>
      </c>
      <c r="F15" s="7" t="n">
        <f aca="false">IFERROR(VLOOKUP($A15,areaCercaDatiPerPosizioneSquadre,7,FALSE()),"-")</f>
        <v>6</v>
      </c>
      <c r="G15" s="7" t="n">
        <f aca="false">IFERROR(VLOOKUP($A15,areaCercaDatiPerPosizioneSquadre,8,FALSE()),"-")</f>
        <v>0</v>
      </c>
      <c r="H15" s="7" t="n">
        <f aca="false">IFERROR(VLOOKUP($A15,areaCercaDatiPerPosizioneSquadre,9,FALSE()),"-")</f>
        <v>431</v>
      </c>
      <c r="I15" s="7" t="n">
        <f aca="false">IFERROR(VLOOKUP($A15,areaCercaDatiPerPosizioneSquadre,10,FALSE()),"-")</f>
        <v>472</v>
      </c>
      <c r="J15" s="7" t="n">
        <f aca="false">IFERROR(VLOOKUP($A15,areaCercaDatiPerPosizioneSquadre,11,FALSE()),"-")</f>
        <v>-41</v>
      </c>
      <c r="K15" s="7" t="str">
        <f aca="false">IFERROR(VLOOKUP($A15,areaCercaDatiPerPosizioneSquadre,15,FALSE()),"-")</f>
        <v>1-0</v>
      </c>
      <c r="L15" s="7" t="str">
        <f aca="false">IFERROR(VLOOKUP($A15,areaCercaDatiPerPosizioneSquadre,16,FALSE()),"-")</f>
        <v>1.5417</v>
      </c>
      <c r="M15" s="7" t="str">
        <f aca="false">IFERROR(VLOOKUP($A15,areaCercaDatiPerPosizioneSquadre,17,FALSE()),"-")</f>
        <v>0.9131</v>
      </c>
    </row>
    <row r="16" customFormat="false" ht="15" hidden="false" customHeight="false" outlineLevel="0" collapsed="false">
      <c r="A16" s="93" t="s">
        <v>436</v>
      </c>
      <c r="B16" s="12" t="str">
        <f aca="false">IFERROR(VLOOKUP($A16,areaCercaDatiPerPosizioneSquadre,2,FALSE()),"("&amp;$A16&amp;")")</f>
        <v>Delfini Dispettosi</v>
      </c>
      <c r="C16" s="95" t="n">
        <f aca="false">IFERROR(VLOOKUP($A16,areaCercaDatiPerPosizioneSquadre,4,FALSE()),"-")</f>
        <v>9</v>
      </c>
      <c r="D16" s="7" t="n">
        <f aca="false">IFERROR(VLOOKUP($A16,areaCercaDatiPerPosizioneSquadre,5,FALSE()),"-")</f>
        <v>7</v>
      </c>
      <c r="E16" s="7" t="n">
        <f aca="false">IFERROR(VLOOKUP($A16,areaCercaDatiPerPosizioneSquadre,6,FALSE()),"-")</f>
        <v>1</v>
      </c>
      <c r="F16" s="7" t="n">
        <f aca="false">IFERROR(VLOOKUP($A16,areaCercaDatiPerPosizioneSquadre,7,FALSE()),"-")</f>
        <v>6</v>
      </c>
      <c r="G16" s="7" t="n">
        <f aca="false">IFERROR(VLOOKUP($A16,areaCercaDatiPerPosizioneSquadre,8,FALSE()),"-")</f>
        <v>0</v>
      </c>
      <c r="H16" s="7" t="n">
        <f aca="false">IFERROR(VLOOKUP($A16,areaCercaDatiPerPosizioneSquadre,9,FALSE()),"-")</f>
        <v>390</v>
      </c>
      <c r="I16" s="7" t="n">
        <f aca="false">IFERROR(VLOOKUP($A16,areaCercaDatiPerPosizioneSquadre,10,FALSE()),"-")</f>
        <v>518</v>
      </c>
      <c r="J16" s="7" t="n">
        <f aca="false">IFERROR(VLOOKUP($A16,areaCercaDatiPerPosizioneSquadre,11,FALSE()),"-")</f>
        <v>-128</v>
      </c>
      <c r="K16" s="7" t="str">
        <f aca="false">IFERROR(VLOOKUP($A16,areaCercaDatiPerPosizioneSquadre,15,FALSE()),"-")</f>
        <v>0-1</v>
      </c>
      <c r="L16" s="7" t="str">
        <f aca="false">IFERROR(VLOOKUP($A16,areaCercaDatiPerPosizioneSquadre,16,FALSE()),"-")</f>
        <v>0.6486</v>
      </c>
      <c r="M16" s="7" t="str">
        <f aca="false">IFERROR(VLOOKUP($A16,areaCercaDatiPerPosizioneSquadre,17,FALSE()),"-")</f>
        <v>0.7529</v>
      </c>
    </row>
    <row r="18" customFormat="false" ht="19.5" hidden="false" customHeight="true" outlineLevel="0" collapsed="false">
      <c r="A18" s="96" t="str">
        <f aca="false">"CLASSIFICA - GIRONE B"</f>
        <v>CLASSIFICA - GIRONE B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</row>
    <row r="19" customFormat="false" ht="25.5" hidden="false" customHeight="true" outlineLevel="0" collapsed="false">
      <c r="A19" s="97" t="s">
        <v>419</v>
      </c>
      <c r="B19" s="97" t="s">
        <v>420</v>
      </c>
      <c r="C19" s="97" t="s">
        <v>421</v>
      </c>
      <c r="D19" s="97" t="s">
        <v>422</v>
      </c>
      <c r="E19" s="97"/>
      <c r="F19" s="97"/>
      <c r="G19" s="97"/>
      <c r="H19" s="97" t="s">
        <v>423</v>
      </c>
      <c r="I19" s="97"/>
      <c r="J19" s="97"/>
      <c r="K19" s="97" t="s">
        <v>424</v>
      </c>
      <c r="L19" s="97" t="s">
        <v>425</v>
      </c>
      <c r="M19" s="97" t="s">
        <v>426</v>
      </c>
    </row>
    <row r="20" customFormat="false" ht="15" hidden="false" customHeight="false" outlineLevel="0" collapsed="false">
      <c r="A20" s="97"/>
      <c r="B20" s="97"/>
      <c r="C20" s="97"/>
      <c r="D20" s="98" t="s">
        <v>151</v>
      </c>
      <c r="E20" s="98" t="s">
        <v>427</v>
      </c>
      <c r="F20" s="98" t="s">
        <v>419</v>
      </c>
      <c r="G20" s="98" t="s">
        <v>134</v>
      </c>
      <c r="H20" s="98" t="s">
        <v>428</v>
      </c>
      <c r="I20" s="98" t="s">
        <v>429</v>
      </c>
      <c r="J20" s="98" t="s">
        <v>430</v>
      </c>
      <c r="K20" s="97"/>
      <c r="L20" s="97"/>
      <c r="M20" s="97"/>
    </row>
    <row r="21" customFormat="false" ht="15" hidden="false" customHeight="false" outlineLevel="0" collapsed="false">
      <c r="A21" s="99" t="s">
        <v>399</v>
      </c>
      <c r="B21" s="100" t="str">
        <f aca="false">IFERROR(VLOOKUP($A21,areaCercaDatiPerPosizioneSquadre,2,FALSE()),"("&amp;$A21&amp;")")</f>
        <v>Rinoceronti Ribelli</v>
      </c>
      <c r="C21" s="95" t="n">
        <f aca="false">IFERROR(VLOOKUP($A21,areaCercaDatiPerPosizioneSquadre,4,FALSE()),"-")</f>
        <v>19</v>
      </c>
      <c r="D21" s="7" t="n">
        <f aca="false">IFERROR(VLOOKUP($A21,areaCercaDatiPerPosizioneSquadre,5,FALSE()),"-")</f>
        <v>7</v>
      </c>
      <c r="E21" s="7" t="n">
        <f aca="false">IFERROR(VLOOKUP($A21,areaCercaDatiPerPosizioneSquadre,6,FALSE()),"-")</f>
        <v>6</v>
      </c>
      <c r="F21" s="7" t="n">
        <f aca="false">IFERROR(VLOOKUP($A21,areaCercaDatiPerPosizioneSquadre,7,FALSE()),"-")</f>
        <v>1</v>
      </c>
      <c r="G21" s="7" t="n">
        <f aca="false">IFERROR(VLOOKUP($A21,areaCercaDatiPerPosizioneSquadre,8,FALSE()),"-")</f>
        <v>0</v>
      </c>
      <c r="H21" s="7" t="n">
        <f aca="false">IFERROR(VLOOKUP($A21,areaCercaDatiPerPosizioneSquadre,9,FALSE()),"-")</f>
        <v>502</v>
      </c>
      <c r="I21" s="7" t="n">
        <f aca="false">IFERROR(VLOOKUP($A21,areaCercaDatiPerPosizioneSquadre,10,FALSE()),"-")</f>
        <v>370</v>
      </c>
      <c r="J21" s="7" t="n">
        <f aca="false">IFERROR(VLOOKUP($A21,areaCercaDatiPerPosizioneSquadre,11,FALSE()),"-")</f>
        <v>132</v>
      </c>
      <c r="K21" s="7" t="str">
        <f aca="false">IFERROR(VLOOKUP($A21,areaCercaDatiPerPosizioneSquadre,15,FALSE()),"-")</f>
        <v>-</v>
      </c>
      <c r="L21" s="7" t="str">
        <f aca="false">IFERROR(VLOOKUP($A21,areaCercaDatiPerPosizioneSquadre,16,FALSE()),"-")</f>
        <v>-</v>
      </c>
      <c r="M21" s="7" t="str">
        <f aca="false">IFERROR(VLOOKUP($A21,areaCercaDatiPerPosizioneSquadre,17,FALSE()),"-")</f>
        <v>1.3568</v>
      </c>
    </row>
    <row r="22" customFormat="false" ht="15" hidden="false" customHeight="false" outlineLevel="0" collapsed="false">
      <c r="A22" s="99" t="s">
        <v>410</v>
      </c>
      <c r="B22" s="100" t="str">
        <f aca="false">IFERROR(VLOOKUP($A22,areaCercaDatiPerPosizioneSquadre,2,FALSE()),"("&amp;$A22&amp;")")</f>
        <v>Lupi Lucenti</v>
      </c>
      <c r="C22" s="95" t="n">
        <f aca="false">IFERROR(VLOOKUP($A22,areaCercaDatiPerPosizioneSquadre,4,FALSE()),"-")</f>
        <v>17</v>
      </c>
      <c r="D22" s="7" t="n">
        <f aca="false">IFERROR(VLOOKUP($A22,areaCercaDatiPerPosizioneSquadre,5,FALSE()),"-")</f>
        <v>7</v>
      </c>
      <c r="E22" s="7" t="n">
        <f aca="false">IFERROR(VLOOKUP($A22,areaCercaDatiPerPosizioneSquadre,6,FALSE()),"-")</f>
        <v>5</v>
      </c>
      <c r="F22" s="7" t="n">
        <f aca="false">IFERROR(VLOOKUP($A22,areaCercaDatiPerPosizioneSquadre,7,FALSE()),"-")</f>
        <v>2</v>
      </c>
      <c r="G22" s="7" t="n">
        <f aca="false">IFERROR(VLOOKUP($A22,areaCercaDatiPerPosizioneSquadre,8,FALSE()),"-")</f>
        <v>0</v>
      </c>
      <c r="H22" s="7" t="n">
        <f aca="false">IFERROR(VLOOKUP($A22,areaCercaDatiPerPosizioneSquadre,9,FALSE()),"-")</f>
        <v>485</v>
      </c>
      <c r="I22" s="7" t="n">
        <f aca="false">IFERROR(VLOOKUP($A22,areaCercaDatiPerPosizioneSquadre,10,FALSE()),"-")</f>
        <v>389</v>
      </c>
      <c r="J22" s="7" t="n">
        <f aca="false">IFERROR(VLOOKUP($A22,areaCercaDatiPerPosizioneSquadre,11,FALSE()),"-")</f>
        <v>96</v>
      </c>
      <c r="K22" s="7" t="str">
        <f aca="false">IFERROR(VLOOKUP($A22,areaCercaDatiPerPosizioneSquadre,15,FALSE()),"-")</f>
        <v>1-0</v>
      </c>
      <c r="L22" s="7" t="str">
        <f aca="false">IFERROR(VLOOKUP($A22,areaCercaDatiPerPosizioneSquadre,16,FALSE()),"-")</f>
        <v>1.2083</v>
      </c>
      <c r="M22" s="7" t="str">
        <f aca="false">IFERROR(VLOOKUP($A22,areaCercaDatiPerPosizioneSquadre,17,FALSE()),"-")</f>
        <v>1.2468</v>
      </c>
    </row>
    <row r="23" customFormat="false" ht="15" hidden="false" customHeight="false" outlineLevel="0" collapsed="false">
      <c r="A23" s="99" t="s">
        <v>437</v>
      </c>
      <c r="B23" s="12" t="str">
        <f aca="false">IFERROR(VLOOKUP($A23,areaCercaDatiPerPosizioneSquadre,2,FALSE()),"("&amp;$A23&amp;")")</f>
        <v>Marmotte Maldestre</v>
      </c>
      <c r="C23" s="95" t="n">
        <f aca="false">IFERROR(VLOOKUP($A23,areaCercaDatiPerPosizioneSquadre,4,FALSE()),"-")</f>
        <v>17</v>
      </c>
      <c r="D23" s="7" t="n">
        <f aca="false">IFERROR(VLOOKUP($A23,areaCercaDatiPerPosizioneSquadre,5,FALSE()),"-")</f>
        <v>7</v>
      </c>
      <c r="E23" s="7" t="n">
        <f aca="false">IFERROR(VLOOKUP($A23,areaCercaDatiPerPosizioneSquadre,6,FALSE()),"-")</f>
        <v>5</v>
      </c>
      <c r="F23" s="7" t="n">
        <f aca="false">IFERROR(VLOOKUP($A23,areaCercaDatiPerPosizioneSquadre,7,FALSE()),"-")</f>
        <v>2</v>
      </c>
      <c r="G23" s="7" t="n">
        <f aca="false">IFERROR(VLOOKUP($A23,areaCercaDatiPerPosizioneSquadre,8,FALSE()),"-")</f>
        <v>0</v>
      </c>
      <c r="H23" s="7" t="n">
        <f aca="false">IFERROR(VLOOKUP($A23,areaCercaDatiPerPosizioneSquadre,9,FALSE()),"-")</f>
        <v>489</v>
      </c>
      <c r="I23" s="7" t="n">
        <f aca="false">IFERROR(VLOOKUP($A23,areaCercaDatiPerPosizioneSquadre,10,FALSE()),"-")</f>
        <v>380</v>
      </c>
      <c r="J23" s="7" t="n">
        <f aca="false">IFERROR(VLOOKUP($A23,areaCercaDatiPerPosizioneSquadre,11,FALSE()),"-")</f>
        <v>109</v>
      </c>
      <c r="K23" s="7" t="str">
        <f aca="false">IFERROR(VLOOKUP($A23,areaCercaDatiPerPosizioneSquadre,15,FALSE()),"-")</f>
        <v>0-1</v>
      </c>
      <c r="L23" s="7" t="str">
        <f aca="false">IFERROR(VLOOKUP($A23,areaCercaDatiPerPosizioneSquadre,16,FALSE()),"-")</f>
        <v>0.8276</v>
      </c>
      <c r="M23" s="7" t="str">
        <f aca="false">IFERROR(VLOOKUP($A23,areaCercaDatiPerPosizioneSquadre,17,FALSE()),"-")</f>
        <v>1.2868</v>
      </c>
    </row>
    <row r="24" customFormat="false" ht="15" hidden="false" customHeight="false" outlineLevel="0" collapsed="false">
      <c r="A24" s="99" t="s">
        <v>438</v>
      </c>
      <c r="B24" s="12" t="str">
        <f aca="false">IFERROR(VLOOKUP($A24,areaCercaDatiPerPosizioneSquadre,2,FALSE()),"("&amp;$A24&amp;")")</f>
        <v>Salamandre Scaltre</v>
      </c>
      <c r="C24" s="95" t="n">
        <f aca="false">IFERROR(VLOOKUP($A24,areaCercaDatiPerPosizioneSquadre,4,FALSE()),"-")</f>
        <v>15</v>
      </c>
      <c r="D24" s="7" t="n">
        <f aca="false">IFERROR(VLOOKUP($A24,areaCercaDatiPerPosizioneSquadre,5,FALSE()),"-")</f>
        <v>7</v>
      </c>
      <c r="E24" s="7" t="n">
        <f aca="false">IFERROR(VLOOKUP($A24,areaCercaDatiPerPosizioneSquadre,6,FALSE()),"-")</f>
        <v>4</v>
      </c>
      <c r="F24" s="7" t="n">
        <f aca="false">IFERROR(VLOOKUP($A24,areaCercaDatiPerPosizioneSquadre,7,FALSE()),"-")</f>
        <v>3</v>
      </c>
      <c r="G24" s="7" t="n">
        <f aca="false">IFERROR(VLOOKUP($A24,areaCercaDatiPerPosizioneSquadre,8,FALSE()),"-")</f>
        <v>0</v>
      </c>
      <c r="H24" s="7" t="n">
        <f aca="false">IFERROR(VLOOKUP($A24,areaCercaDatiPerPosizioneSquadre,9,FALSE()),"-")</f>
        <v>445</v>
      </c>
      <c r="I24" s="7" t="n">
        <f aca="false">IFERROR(VLOOKUP($A24,areaCercaDatiPerPosizioneSquadre,10,FALSE()),"-")</f>
        <v>455</v>
      </c>
      <c r="J24" s="7" t="n">
        <f aca="false">IFERROR(VLOOKUP($A24,areaCercaDatiPerPosizioneSquadre,11,FALSE()),"-")</f>
        <v>-10</v>
      </c>
      <c r="K24" s="7" t="str">
        <f aca="false">IFERROR(VLOOKUP($A24,areaCercaDatiPerPosizioneSquadre,15,FALSE()),"-")</f>
        <v>-</v>
      </c>
      <c r="L24" s="7" t="str">
        <f aca="false">IFERROR(VLOOKUP($A24,areaCercaDatiPerPosizioneSquadre,16,FALSE()),"-")</f>
        <v>-</v>
      </c>
      <c r="M24" s="7" t="str">
        <f aca="false">IFERROR(VLOOKUP($A24,areaCercaDatiPerPosizioneSquadre,17,FALSE()),"-")</f>
        <v>0.9780</v>
      </c>
    </row>
    <row r="25" customFormat="false" ht="15" hidden="false" customHeight="false" outlineLevel="0" collapsed="false">
      <c r="A25" s="99" t="s">
        <v>439</v>
      </c>
      <c r="B25" s="12" t="str">
        <f aca="false">IFERROR(VLOOKUP($A25,areaCercaDatiPerPosizioneSquadre,2,FALSE()),"("&amp;$A25&amp;")")</f>
        <v>Pantere Pungenti</v>
      </c>
      <c r="C25" s="95" t="n">
        <f aca="false">IFERROR(VLOOKUP($A25,areaCercaDatiPerPosizioneSquadre,4,FALSE()),"-")</f>
        <v>13</v>
      </c>
      <c r="D25" s="7" t="n">
        <f aca="false">IFERROR(VLOOKUP($A25,areaCercaDatiPerPosizioneSquadre,5,FALSE()),"-")</f>
        <v>7</v>
      </c>
      <c r="E25" s="7" t="n">
        <f aca="false">IFERROR(VLOOKUP($A25,areaCercaDatiPerPosizioneSquadre,6,FALSE()),"-")</f>
        <v>3</v>
      </c>
      <c r="F25" s="7" t="n">
        <f aca="false">IFERROR(VLOOKUP($A25,areaCercaDatiPerPosizioneSquadre,7,FALSE()),"-")</f>
        <v>4</v>
      </c>
      <c r="G25" s="7" t="n">
        <f aca="false">IFERROR(VLOOKUP($A25,areaCercaDatiPerPosizioneSquadre,8,FALSE()),"-")</f>
        <v>0</v>
      </c>
      <c r="H25" s="7" t="n">
        <f aca="false">IFERROR(VLOOKUP($A25,areaCercaDatiPerPosizioneSquadre,9,FALSE()),"-")</f>
        <v>416</v>
      </c>
      <c r="I25" s="7" t="n">
        <f aca="false">IFERROR(VLOOKUP($A25,areaCercaDatiPerPosizioneSquadre,10,FALSE()),"-")</f>
        <v>433</v>
      </c>
      <c r="J25" s="7" t="n">
        <f aca="false">IFERROR(VLOOKUP($A25,areaCercaDatiPerPosizioneSquadre,11,FALSE()),"-")</f>
        <v>-17</v>
      </c>
      <c r="K25" s="7" t="str">
        <f aca="false">IFERROR(VLOOKUP($A25,areaCercaDatiPerPosizioneSquadre,15,FALSE()),"-")</f>
        <v>1-0</v>
      </c>
      <c r="L25" s="7" t="str">
        <f aca="false">IFERROR(VLOOKUP($A25,areaCercaDatiPerPosizioneSquadre,16,FALSE()),"-")</f>
        <v>1.0526</v>
      </c>
      <c r="M25" s="7" t="str">
        <f aca="false">IFERROR(VLOOKUP($A25,areaCercaDatiPerPosizioneSquadre,17,FALSE()),"-")</f>
        <v>0.9607</v>
      </c>
    </row>
    <row r="26" customFormat="false" ht="15" hidden="false" customHeight="false" outlineLevel="0" collapsed="false">
      <c r="A26" s="99" t="s">
        <v>440</v>
      </c>
      <c r="B26" s="12" t="str">
        <f aca="false">IFERROR(VLOOKUP($A26,areaCercaDatiPerPosizioneSquadre,2,FALSE()),"("&amp;$A26&amp;")")</f>
        <v>Quaglie Quiete</v>
      </c>
      <c r="C26" s="95" t="n">
        <f aca="false">IFERROR(VLOOKUP($A26,areaCercaDatiPerPosizioneSquadre,4,FALSE()),"-")</f>
        <v>13</v>
      </c>
      <c r="D26" s="7" t="n">
        <f aca="false">IFERROR(VLOOKUP($A26,areaCercaDatiPerPosizioneSquadre,5,FALSE()),"-")</f>
        <v>7</v>
      </c>
      <c r="E26" s="7" t="n">
        <f aca="false">IFERROR(VLOOKUP($A26,areaCercaDatiPerPosizioneSquadre,6,FALSE()),"-")</f>
        <v>3</v>
      </c>
      <c r="F26" s="7" t="n">
        <f aca="false">IFERROR(VLOOKUP($A26,areaCercaDatiPerPosizioneSquadre,7,FALSE()),"-")</f>
        <v>4</v>
      </c>
      <c r="G26" s="7" t="n">
        <f aca="false">IFERROR(VLOOKUP($A26,areaCercaDatiPerPosizioneSquadre,8,FALSE()),"-")</f>
        <v>0</v>
      </c>
      <c r="H26" s="7" t="n">
        <f aca="false">IFERROR(VLOOKUP($A26,areaCercaDatiPerPosizioneSquadre,9,FALSE()),"-")</f>
        <v>412</v>
      </c>
      <c r="I26" s="7" t="n">
        <f aca="false">IFERROR(VLOOKUP($A26,areaCercaDatiPerPosizioneSquadre,10,FALSE()),"-")</f>
        <v>461</v>
      </c>
      <c r="J26" s="7" t="n">
        <f aca="false">IFERROR(VLOOKUP($A26,areaCercaDatiPerPosizioneSquadre,11,FALSE()),"-")</f>
        <v>-49</v>
      </c>
      <c r="K26" s="7" t="str">
        <f aca="false">IFERROR(VLOOKUP($A26,areaCercaDatiPerPosizioneSquadre,15,FALSE()),"-")</f>
        <v>0-1</v>
      </c>
      <c r="L26" s="7" t="str">
        <f aca="false">IFERROR(VLOOKUP($A26,areaCercaDatiPerPosizioneSquadre,16,FALSE()),"-")</f>
        <v>0.9500</v>
      </c>
      <c r="M26" s="7" t="str">
        <f aca="false">IFERROR(VLOOKUP($A26,areaCercaDatiPerPosizioneSquadre,17,FALSE()),"-")</f>
        <v>0.8937</v>
      </c>
    </row>
    <row r="27" customFormat="false" ht="15" hidden="false" customHeight="false" outlineLevel="0" collapsed="false">
      <c r="A27" s="99" t="s">
        <v>441</v>
      </c>
      <c r="B27" s="12" t="str">
        <f aca="false">IFERROR(VLOOKUP($A27,areaCercaDatiPerPosizioneSquadre,2,FALSE()),"("&amp;$A27&amp;")")</f>
        <v>Narvali Nobili</v>
      </c>
      <c r="C27" s="95" t="n">
        <f aca="false">IFERROR(VLOOKUP($A27,areaCercaDatiPerPosizioneSquadre,4,FALSE()),"-")</f>
        <v>11</v>
      </c>
      <c r="D27" s="7" t="n">
        <f aca="false">IFERROR(VLOOKUP($A27,areaCercaDatiPerPosizioneSquadre,5,FALSE()),"-")</f>
        <v>7</v>
      </c>
      <c r="E27" s="7" t="n">
        <f aca="false">IFERROR(VLOOKUP($A27,areaCercaDatiPerPosizioneSquadre,6,FALSE()),"-")</f>
        <v>2</v>
      </c>
      <c r="F27" s="7" t="n">
        <f aca="false">IFERROR(VLOOKUP($A27,areaCercaDatiPerPosizioneSquadre,7,FALSE()),"-")</f>
        <v>5</v>
      </c>
      <c r="G27" s="7" t="n">
        <f aca="false">IFERROR(VLOOKUP($A27,areaCercaDatiPerPosizioneSquadre,8,FALSE()),"-")</f>
        <v>0</v>
      </c>
      <c r="H27" s="7" t="n">
        <f aca="false">IFERROR(VLOOKUP($A27,areaCercaDatiPerPosizioneSquadre,9,FALSE()),"-")</f>
        <v>399</v>
      </c>
      <c r="I27" s="7" t="n">
        <f aca="false">IFERROR(VLOOKUP($A27,areaCercaDatiPerPosizioneSquadre,10,FALSE()),"-")</f>
        <v>489</v>
      </c>
      <c r="J27" s="7" t="n">
        <f aca="false">IFERROR(VLOOKUP($A27,areaCercaDatiPerPosizioneSquadre,11,FALSE()),"-")</f>
        <v>-90</v>
      </c>
      <c r="K27" s="7" t="str">
        <f aca="false">IFERROR(VLOOKUP($A27,areaCercaDatiPerPosizioneSquadre,15,FALSE()),"-")</f>
        <v>-</v>
      </c>
      <c r="L27" s="7" t="str">
        <f aca="false">IFERROR(VLOOKUP($A27,areaCercaDatiPerPosizioneSquadre,16,FALSE()),"-")</f>
        <v>-</v>
      </c>
      <c r="M27" s="7" t="str">
        <f aca="false">IFERROR(VLOOKUP($A27,areaCercaDatiPerPosizioneSquadre,17,FALSE()),"-")</f>
        <v>0.8160</v>
      </c>
    </row>
    <row r="28" customFormat="false" ht="15" hidden="false" customHeight="false" outlineLevel="0" collapsed="false">
      <c r="A28" s="99" t="s">
        <v>442</v>
      </c>
      <c r="B28" s="12" t="str">
        <f aca="false">IFERROR(VLOOKUP($A28,areaCercaDatiPerPosizioneSquadre,2,FALSE()),"("&amp;$A28&amp;")")</f>
        <v>Orsi Ostinati</v>
      </c>
      <c r="C28" s="95" t="n">
        <f aca="false">IFERROR(VLOOKUP($A28,areaCercaDatiPerPosizioneSquadre,4,FALSE()),"-")</f>
        <v>7</v>
      </c>
      <c r="D28" s="7" t="n">
        <f aca="false">IFERROR(VLOOKUP($A28,areaCercaDatiPerPosizioneSquadre,5,FALSE()),"-")</f>
        <v>7</v>
      </c>
      <c r="E28" s="7" t="n">
        <f aca="false">IFERROR(VLOOKUP($A28,areaCercaDatiPerPosizioneSquadre,6,FALSE()),"-")</f>
        <v>0</v>
      </c>
      <c r="F28" s="7" t="n">
        <f aca="false">IFERROR(VLOOKUP($A28,areaCercaDatiPerPosizioneSquadre,7,FALSE()),"-")</f>
        <v>7</v>
      </c>
      <c r="G28" s="7" t="n">
        <f aca="false">IFERROR(VLOOKUP($A28,areaCercaDatiPerPosizioneSquadre,8,FALSE()),"-")</f>
        <v>0</v>
      </c>
      <c r="H28" s="7" t="n">
        <f aca="false">IFERROR(VLOOKUP($A28,areaCercaDatiPerPosizioneSquadre,9,FALSE()),"-")</f>
        <v>336</v>
      </c>
      <c r="I28" s="7" t="n">
        <f aca="false">IFERROR(VLOOKUP($A28,areaCercaDatiPerPosizioneSquadre,10,FALSE()),"-")</f>
        <v>507</v>
      </c>
      <c r="J28" s="7" t="n">
        <f aca="false">IFERROR(VLOOKUP($A28,areaCercaDatiPerPosizioneSquadre,11,FALSE()),"-")</f>
        <v>-171</v>
      </c>
      <c r="K28" s="7" t="str">
        <f aca="false">IFERROR(VLOOKUP($A28,areaCercaDatiPerPosizioneSquadre,15,FALSE()),"-")</f>
        <v>-</v>
      </c>
      <c r="L28" s="7" t="str">
        <f aca="false">IFERROR(VLOOKUP($A28,areaCercaDatiPerPosizioneSquadre,16,FALSE()),"-")</f>
        <v>-</v>
      </c>
      <c r="M28" s="7" t="str">
        <f aca="false">IFERROR(VLOOKUP($A28,areaCercaDatiPerPosizioneSquadre,17,FALSE()),"-")</f>
        <v>0.6627</v>
      </c>
    </row>
    <row r="30" customFormat="false" ht="19.5" hidden="false" customHeight="true" outlineLevel="0" collapsed="false">
      <c r="A30" s="101" t="str">
        <f aca="false">"CLASSIFICA - GIRONE C"</f>
        <v>CLASSIFICA - GIRONE C</v>
      </c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</row>
    <row r="31" customFormat="false" ht="25.5" hidden="false" customHeight="true" outlineLevel="0" collapsed="false">
      <c r="A31" s="102" t="s">
        <v>419</v>
      </c>
      <c r="B31" s="102" t="s">
        <v>420</v>
      </c>
      <c r="C31" s="102" t="s">
        <v>421</v>
      </c>
      <c r="D31" s="102" t="s">
        <v>422</v>
      </c>
      <c r="E31" s="102"/>
      <c r="F31" s="102"/>
      <c r="G31" s="102"/>
      <c r="H31" s="102" t="s">
        <v>423</v>
      </c>
      <c r="I31" s="102"/>
      <c r="J31" s="102"/>
      <c r="K31" s="102" t="s">
        <v>424</v>
      </c>
      <c r="L31" s="102" t="s">
        <v>425</v>
      </c>
      <c r="M31" s="102" t="s">
        <v>426</v>
      </c>
    </row>
    <row r="32" customFormat="false" ht="15" hidden="false" customHeight="false" outlineLevel="0" collapsed="false">
      <c r="A32" s="102"/>
      <c r="B32" s="102"/>
      <c r="C32" s="102"/>
      <c r="D32" s="103" t="s">
        <v>151</v>
      </c>
      <c r="E32" s="103" t="s">
        <v>427</v>
      </c>
      <c r="F32" s="103" t="s">
        <v>419</v>
      </c>
      <c r="G32" s="103" t="s">
        <v>134</v>
      </c>
      <c r="H32" s="103" t="s">
        <v>428</v>
      </c>
      <c r="I32" s="103" t="s">
        <v>429</v>
      </c>
      <c r="J32" s="103" t="s">
        <v>430</v>
      </c>
      <c r="K32" s="102"/>
      <c r="L32" s="102"/>
      <c r="M32" s="102"/>
    </row>
    <row r="33" customFormat="false" ht="15" hidden="false" customHeight="false" outlineLevel="0" collapsed="false">
      <c r="A33" s="104" t="s">
        <v>401</v>
      </c>
      <c r="B33" s="105" t="str">
        <f aca="false">IFERROR(VLOOKUP($A33,areaCercaDatiPerPosizioneSquadre,2,FALSE()),"("&amp;$A33&amp;")")</f>
        <v>Zebre Zelanti</v>
      </c>
      <c r="C33" s="95" t="n">
        <f aca="false">IFERROR(VLOOKUP($A33,areaCercaDatiPerPosizioneSquadre,4,FALSE()),"-")</f>
        <v>21</v>
      </c>
      <c r="D33" s="7" t="n">
        <f aca="false">IFERROR(VLOOKUP($A33,areaCercaDatiPerPosizioneSquadre,5,FALSE()),"-")</f>
        <v>7</v>
      </c>
      <c r="E33" s="7" t="n">
        <f aca="false">IFERROR(VLOOKUP($A33,areaCercaDatiPerPosizioneSquadre,6,FALSE()),"-")</f>
        <v>7</v>
      </c>
      <c r="F33" s="7" t="n">
        <f aca="false">IFERROR(VLOOKUP($A33,areaCercaDatiPerPosizioneSquadre,7,FALSE()),"-")</f>
        <v>0</v>
      </c>
      <c r="G33" s="7" t="n">
        <f aca="false">IFERROR(VLOOKUP($A33,areaCercaDatiPerPosizioneSquadre,8,FALSE()),"-")</f>
        <v>0</v>
      </c>
      <c r="H33" s="7" t="n">
        <f aca="false">IFERROR(VLOOKUP($A33,areaCercaDatiPerPosizioneSquadre,9,FALSE()),"-")</f>
        <v>500</v>
      </c>
      <c r="I33" s="7" t="n">
        <f aca="false">IFERROR(VLOOKUP($A33,areaCercaDatiPerPosizioneSquadre,10,FALSE()),"-")</f>
        <v>410</v>
      </c>
      <c r="J33" s="7" t="n">
        <f aca="false">IFERROR(VLOOKUP($A33,areaCercaDatiPerPosizioneSquadre,11,FALSE()),"-")</f>
        <v>90</v>
      </c>
      <c r="K33" s="7" t="str">
        <f aca="false">IFERROR(VLOOKUP($A33,areaCercaDatiPerPosizioneSquadre,15,FALSE()),"-")</f>
        <v>-</v>
      </c>
      <c r="L33" s="7" t="str">
        <f aca="false">IFERROR(VLOOKUP($A33,areaCercaDatiPerPosizioneSquadre,16,FALSE()),"-")</f>
        <v>-</v>
      </c>
      <c r="M33" s="7" t="str">
        <f aca="false">IFERROR(VLOOKUP($A33,areaCercaDatiPerPosizioneSquadre,17,FALSE()),"-")</f>
        <v>1.2195</v>
      </c>
    </row>
    <row r="34" customFormat="false" ht="15" hidden="false" customHeight="false" outlineLevel="0" collapsed="false">
      <c r="A34" s="104" t="s">
        <v>408</v>
      </c>
      <c r="B34" s="105" t="str">
        <f aca="false">IFERROR(VLOOKUP($A34,areaCercaDatiPerPosizioneSquadre,2,FALSE()),"("&amp;$A34&amp;")")</f>
        <v>Tigri Tenaci</v>
      </c>
      <c r="C34" s="95" t="n">
        <f aca="false">IFERROR(VLOOKUP($A34,areaCercaDatiPerPosizioneSquadre,4,FALSE()),"-")</f>
        <v>19</v>
      </c>
      <c r="D34" s="7" t="n">
        <f aca="false">IFERROR(VLOOKUP($A34,areaCercaDatiPerPosizioneSquadre,5,FALSE()),"-")</f>
        <v>7</v>
      </c>
      <c r="E34" s="7" t="n">
        <f aca="false">IFERROR(VLOOKUP($A34,areaCercaDatiPerPosizioneSquadre,6,FALSE()),"-")</f>
        <v>6</v>
      </c>
      <c r="F34" s="7" t="n">
        <f aca="false">IFERROR(VLOOKUP($A34,areaCercaDatiPerPosizioneSquadre,7,FALSE()),"-")</f>
        <v>1</v>
      </c>
      <c r="G34" s="7" t="n">
        <f aca="false">IFERROR(VLOOKUP($A34,areaCercaDatiPerPosizioneSquadre,8,FALSE()),"-")</f>
        <v>0</v>
      </c>
      <c r="H34" s="7" t="n">
        <f aca="false">IFERROR(VLOOKUP($A34,areaCercaDatiPerPosizioneSquadre,9,FALSE()),"-")</f>
        <v>493</v>
      </c>
      <c r="I34" s="7" t="n">
        <f aca="false">IFERROR(VLOOKUP($A34,areaCercaDatiPerPosizioneSquadre,10,FALSE()),"-")</f>
        <v>384</v>
      </c>
      <c r="J34" s="7" t="n">
        <f aca="false">IFERROR(VLOOKUP($A34,areaCercaDatiPerPosizioneSquadre,11,FALSE()),"-")</f>
        <v>109</v>
      </c>
      <c r="K34" s="7" t="str">
        <f aca="false">IFERROR(VLOOKUP($A34,areaCercaDatiPerPosizioneSquadre,15,FALSE()),"-")</f>
        <v>-</v>
      </c>
      <c r="L34" s="7" t="str">
        <f aca="false">IFERROR(VLOOKUP($A34,areaCercaDatiPerPosizioneSquadre,16,FALSE()),"-")</f>
        <v>-</v>
      </c>
      <c r="M34" s="7" t="str">
        <f aca="false">IFERROR(VLOOKUP($A34,areaCercaDatiPerPosizioneSquadre,17,FALSE()),"-")</f>
        <v>1.2839</v>
      </c>
    </row>
    <row r="35" customFormat="false" ht="15" hidden="false" customHeight="false" outlineLevel="0" collapsed="false">
      <c r="A35" s="104" t="s">
        <v>443</v>
      </c>
      <c r="B35" s="12" t="str">
        <f aca="false">IFERROR(VLOOKUP($A35,areaCercaDatiPerPosizioneSquadre,2,FALSE()),"("&amp;$A35&amp;")")</f>
        <v>Albatri Astuti</v>
      </c>
      <c r="C35" s="95" t="n">
        <f aca="false">IFERROR(VLOOKUP($A35,areaCercaDatiPerPosizioneSquadre,4,FALSE()),"-")</f>
        <v>17</v>
      </c>
      <c r="D35" s="7" t="n">
        <f aca="false">IFERROR(VLOOKUP($A35,areaCercaDatiPerPosizioneSquadre,5,FALSE()),"-")</f>
        <v>7</v>
      </c>
      <c r="E35" s="7" t="n">
        <f aca="false">IFERROR(VLOOKUP($A35,areaCercaDatiPerPosizioneSquadre,6,FALSE()),"-")</f>
        <v>5</v>
      </c>
      <c r="F35" s="7" t="n">
        <f aca="false">IFERROR(VLOOKUP($A35,areaCercaDatiPerPosizioneSquadre,7,FALSE()),"-")</f>
        <v>2</v>
      </c>
      <c r="G35" s="7" t="n">
        <f aca="false">IFERROR(VLOOKUP($A35,areaCercaDatiPerPosizioneSquadre,8,FALSE()),"-")</f>
        <v>0</v>
      </c>
      <c r="H35" s="7" t="n">
        <f aca="false">IFERROR(VLOOKUP($A35,areaCercaDatiPerPosizioneSquadre,9,FALSE()),"-")</f>
        <v>440</v>
      </c>
      <c r="I35" s="7" t="n">
        <f aca="false">IFERROR(VLOOKUP($A35,areaCercaDatiPerPosizioneSquadre,10,FALSE()),"-")</f>
        <v>416</v>
      </c>
      <c r="J35" s="7" t="n">
        <f aca="false">IFERROR(VLOOKUP($A35,areaCercaDatiPerPosizioneSquadre,11,FALSE()),"-")</f>
        <v>24</v>
      </c>
      <c r="K35" s="7" t="str">
        <f aca="false">IFERROR(VLOOKUP($A35,areaCercaDatiPerPosizioneSquadre,15,FALSE()),"-")</f>
        <v>-</v>
      </c>
      <c r="L35" s="7" t="str">
        <f aca="false">IFERROR(VLOOKUP($A35,areaCercaDatiPerPosizioneSquadre,16,FALSE()),"-")</f>
        <v>-</v>
      </c>
      <c r="M35" s="7" t="str">
        <f aca="false">IFERROR(VLOOKUP($A35,areaCercaDatiPerPosizioneSquadre,17,FALSE()),"-")</f>
        <v>1.0577</v>
      </c>
    </row>
    <row r="36" customFormat="false" ht="15" hidden="false" customHeight="false" outlineLevel="0" collapsed="false">
      <c r="A36" s="104" t="s">
        <v>444</v>
      </c>
      <c r="B36" s="12" t="str">
        <f aca="false">IFERROR(VLOOKUP($A36,areaCercaDatiPerPosizioneSquadre,2,FALSE()),"("&amp;$A36&amp;")")</f>
        <v>Bisonti Baldanzosi</v>
      </c>
      <c r="C36" s="95" t="n">
        <f aca="false">IFERROR(VLOOKUP($A36,areaCercaDatiPerPosizioneSquadre,4,FALSE()),"-")</f>
        <v>13</v>
      </c>
      <c r="D36" s="7" t="n">
        <f aca="false">IFERROR(VLOOKUP($A36,areaCercaDatiPerPosizioneSquadre,5,FALSE()),"-")</f>
        <v>7</v>
      </c>
      <c r="E36" s="7" t="n">
        <f aca="false">IFERROR(VLOOKUP($A36,areaCercaDatiPerPosizioneSquadre,6,FALSE()),"-")</f>
        <v>3</v>
      </c>
      <c r="F36" s="7" t="n">
        <f aca="false">IFERROR(VLOOKUP($A36,areaCercaDatiPerPosizioneSquadre,7,FALSE()),"-")</f>
        <v>4</v>
      </c>
      <c r="G36" s="7" t="n">
        <f aca="false">IFERROR(VLOOKUP($A36,areaCercaDatiPerPosizioneSquadre,8,FALSE()),"-")</f>
        <v>0</v>
      </c>
      <c r="H36" s="7" t="n">
        <f aca="false">IFERROR(VLOOKUP($A36,areaCercaDatiPerPosizioneSquadre,9,FALSE()),"-")</f>
        <v>417</v>
      </c>
      <c r="I36" s="7" t="n">
        <f aca="false">IFERROR(VLOOKUP($A36,areaCercaDatiPerPosizioneSquadre,10,FALSE()),"-")</f>
        <v>381</v>
      </c>
      <c r="J36" s="7" t="n">
        <f aca="false">IFERROR(VLOOKUP($A36,areaCercaDatiPerPosizioneSquadre,11,FALSE()),"-")</f>
        <v>36</v>
      </c>
      <c r="K36" s="7" t="str">
        <f aca="false">IFERROR(VLOOKUP($A36,areaCercaDatiPerPosizioneSquadre,15,FALSE()),"-")</f>
        <v>1-0</v>
      </c>
      <c r="L36" s="7" t="str">
        <f aca="false">IFERROR(VLOOKUP($A36,areaCercaDatiPerPosizioneSquadre,16,FALSE()),"-")</f>
        <v>1.1154</v>
      </c>
      <c r="M36" s="7" t="str">
        <f aca="false">IFERROR(VLOOKUP($A36,areaCercaDatiPerPosizioneSquadre,17,FALSE()),"-")</f>
        <v>1.0945</v>
      </c>
    </row>
    <row r="37" customFormat="false" ht="15" hidden="false" customHeight="false" outlineLevel="0" collapsed="false">
      <c r="A37" s="104" t="s">
        <v>445</v>
      </c>
      <c r="B37" s="12" t="str">
        <f aca="false">IFERROR(VLOOKUP($A37,areaCercaDatiPerPosizioneSquadre,2,FALSE()),"("&amp;$A37&amp;")")</f>
        <v>Cinghiali Caparbi</v>
      </c>
      <c r="C37" s="95" t="n">
        <f aca="false">IFERROR(VLOOKUP($A37,areaCercaDatiPerPosizioneSquadre,4,FALSE()),"-")</f>
        <v>13</v>
      </c>
      <c r="D37" s="7" t="n">
        <f aca="false">IFERROR(VLOOKUP($A37,areaCercaDatiPerPosizioneSquadre,5,FALSE()),"-")</f>
        <v>7</v>
      </c>
      <c r="E37" s="7" t="n">
        <f aca="false">IFERROR(VLOOKUP($A37,areaCercaDatiPerPosizioneSquadre,6,FALSE()),"-")</f>
        <v>3</v>
      </c>
      <c r="F37" s="7" t="n">
        <f aca="false">IFERROR(VLOOKUP($A37,areaCercaDatiPerPosizioneSquadre,7,FALSE()),"-")</f>
        <v>4</v>
      </c>
      <c r="G37" s="7" t="n">
        <f aca="false">IFERROR(VLOOKUP($A37,areaCercaDatiPerPosizioneSquadre,8,FALSE()),"-")</f>
        <v>0</v>
      </c>
      <c r="H37" s="7" t="n">
        <f aca="false">IFERROR(VLOOKUP($A37,areaCercaDatiPerPosizioneSquadre,9,FALSE()),"-")</f>
        <v>436</v>
      </c>
      <c r="I37" s="7" t="n">
        <f aca="false">IFERROR(VLOOKUP($A37,areaCercaDatiPerPosizioneSquadre,10,FALSE()),"-")</f>
        <v>393</v>
      </c>
      <c r="J37" s="7" t="n">
        <f aca="false">IFERROR(VLOOKUP($A37,areaCercaDatiPerPosizioneSquadre,11,FALSE()),"-")</f>
        <v>43</v>
      </c>
      <c r="K37" s="7" t="str">
        <f aca="false">IFERROR(VLOOKUP($A37,areaCercaDatiPerPosizioneSquadre,15,FALSE()),"-")</f>
        <v>0-1</v>
      </c>
      <c r="L37" s="7" t="str">
        <f aca="false">IFERROR(VLOOKUP($A37,areaCercaDatiPerPosizioneSquadre,16,FALSE()),"-")</f>
        <v>0.8966</v>
      </c>
      <c r="M37" s="7" t="str">
        <f aca="false">IFERROR(VLOOKUP($A37,areaCercaDatiPerPosizioneSquadre,17,FALSE()),"-")</f>
        <v>1.1094</v>
      </c>
    </row>
    <row r="38" customFormat="false" ht="15" hidden="false" customHeight="false" outlineLevel="0" collapsed="false">
      <c r="A38" s="104" t="s">
        <v>446</v>
      </c>
      <c r="B38" s="12" t="str">
        <f aca="false">IFERROR(VLOOKUP($A38,areaCercaDatiPerPosizioneSquadre,2,FALSE()),"("&amp;$A38&amp;")")</f>
        <v>Upupe Umoristiche</v>
      </c>
      <c r="C38" s="95" t="n">
        <f aca="false">IFERROR(VLOOKUP($A38,areaCercaDatiPerPosizioneSquadre,4,FALSE()),"-")</f>
        <v>11</v>
      </c>
      <c r="D38" s="7" t="n">
        <f aca="false">IFERROR(VLOOKUP($A38,areaCercaDatiPerPosizioneSquadre,5,FALSE()),"-")</f>
        <v>7</v>
      </c>
      <c r="E38" s="7" t="n">
        <f aca="false">IFERROR(VLOOKUP($A38,areaCercaDatiPerPosizioneSquadre,6,FALSE()),"-")</f>
        <v>2</v>
      </c>
      <c r="F38" s="7" t="n">
        <f aca="false">IFERROR(VLOOKUP($A38,areaCercaDatiPerPosizioneSquadre,7,FALSE()),"-")</f>
        <v>5</v>
      </c>
      <c r="G38" s="7" t="n">
        <f aca="false">IFERROR(VLOOKUP($A38,areaCercaDatiPerPosizioneSquadre,8,FALSE()),"-")</f>
        <v>0</v>
      </c>
      <c r="H38" s="7" t="n">
        <f aca="false">IFERROR(VLOOKUP($A38,areaCercaDatiPerPosizioneSquadre,9,FALSE()),"-")</f>
        <v>409</v>
      </c>
      <c r="I38" s="7" t="n">
        <f aca="false">IFERROR(VLOOKUP($A38,areaCercaDatiPerPosizioneSquadre,10,FALSE()),"-")</f>
        <v>444</v>
      </c>
      <c r="J38" s="7" t="n">
        <f aca="false">IFERROR(VLOOKUP($A38,areaCercaDatiPerPosizioneSquadre,11,FALSE()),"-")</f>
        <v>-35</v>
      </c>
      <c r="K38" s="7" t="str">
        <f aca="false">IFERROR(VLOOKUP($A38,areaCercaDatiPerPosizioneSquadre,15,FALSE()),"-")</f>
        <v>-</v>
      </c>
      <c r="L38" s="7" t="str">
        <f aca="false">IFERROR(VLOOKUP($A38,areaCercaDatiPerPosizioneSquadre,16,FALSE()),"-")</f>
        <v>-</v>
      </c>
      <c r="M38" s="7" t="str">
        <f aca="false">IFERROR(VLOOKUP($A38,areaCercaDatiPerPosizioneSquadre,17,FALSE()),"-")</f>
        <v>0.9212</v>
      </c>
    </row>
    <row r="39" customFormat="false" ht="15" hidden="false" customHeight="false" outlineLevel="0" collapsed="false">
      <c r="A39" s="104" t="s">
        <v>447</v>
      </c>
      <c r="B39" s="12" t="str">
        <f aca="false">IFERROR(VLOOKUP($A39,areaCercaDatiPerPosizioneSquadre,2,FALSE()),"("&amp;$A39&amp;")")</f>
        <v>Dromedari Danzanti</v>
      </c>
      <c r="C39" s="95" t="n">
        <f aca="false">IFERROR(VLOOKUP($A39,areaCercaDatiPerPosizioneSquadre,4,FALSE()),"-")</f>
        <v>9</v>
      </c>
      <c r="D39" s="7" t="n">
        <f aca="false">IFERROR(VLOOKUP($A39,areaCercaDatiPerPosizioneSquadre,5,FALSE()),"-")</f>
        <v>7</v>
      </c>
      <c r="E39" s="7" t="n">
        <f aca="false">IFERROR(VLOOKUP($A39,areaCercaDatiPerPosizioneSquadre,6,FALSE()),"-")</f>
        <v>1</v>
      </c>
      <c r="F39" s="7" t="n">
        <f aca="false">IFERROR(VLOOKUP($A39,areaCercaDatiPerPosizioneSquadre,7,FALSE()),"-")</f>
        <v>6</v>
      </c>
      <c r="G39" s="7" t="n">
        <f aca="false">IFERROR(VLOOKUP($A39,areaCercaDatiPerPosizioneSquadre,8,FALSE()),"-")</f>
        <v>0</v>
      </c>
      <c r="H39" s="7" t="n">
        <f aca="false">IFERROR(VLOOKUP($A39,areaCercaDatiPerPosizioneSquadre,9,FALSE()),"-")</f>
        <v>342</v>
      </c>
      <c r="I39" s="7" t="n">
        <f aca="false">IFERROR(VLOOKUP($A39,areaCercaDatiPerPosizioneSquadre,10,FALSE()),"-")</f>
        <v>486</v>
      </c>
      <c r="J39" s="7" t="n">
        <f aca="false">IFERROR(VLOOKUP($A39,areaCercaDatiPerPosizioneSquadre,11,FALSE()),"-")</f>
        <v>-144</v>
      </c>
      <c r="K39" s="7" t="str">
        <f aca="false">IFERROR(VLOOKUP($A39,areaCercaDatiPerPosizioneSquadre,15,FALSE()),"-")</f>
        <v>1-0</v>
      </c>
      <c r="L39" s="7" t="str">
        <f aca="false">IFERROR(VLOOKUP($A39,areaCercaDatiPerPosizioneSquadre,16,FALSE()),"-")</f>
        <v>1.0781</v>
      </c>
      <c r="M39" s="7" t="str">
        <f aca="false">IFERROR(VLOOKUP($A39,areaCercaDatiPerPosizioneSquadre,17,FALSE()),"-")</f>
        <v>0.7037</v>
      </c>
    </row>
    <row r="40" customFormat="false" ht="15" hidden="false" customHeight="false" outlineLevel="0" collapsed="false">
      <c r="A40" s="104" t="s">
        <v>448</v>
      </c>
      <c r="B40" s="12" t="str">
        <f aca="false">IFERROR(VLOOKUP($A40,areaCercaDatiPerPosizioneSquadre,2,FALSE()),"("&amp;$A40&amp;")")</f>
        <v>Vipere Vivaci</v>
      </c>
      <c r="C40" s="95" t="n">
        <f aca="false">IFERROR(VLOOKUP($A40,areaCercaDatiPerPosizioneSquadre,4,FALSE()),"-")</f>
        <v>9</v>
      </c>
      <c r="D40" s="7" t="n">
        <f aca="false">IFERROR(VLOOKUP($A40,areaCercaDatiPerPosizioneSquadre,5,FALSE()),"-")</f>
        <v>7</v>
      </c>
      <c r="E40" s="7" t="n">
        <f aca="false">IFERROR(VLOOKUP($A40,areaCercaDatiPerPosizioneSquadre,6,FALSE()),"-")</f>
        <v>1</v>
      </c>
      <c r="F40" s="7" t="n">
        <f aca="false">IFERROR(VLOOKUP($A40,areaCercaDatiPerPosizioneSquadre,7,FALSE()),"-")</f>
        <v>6</v>
      </c>
      <c r="G40" s="7" t="n">
        <f aca="false">IFERROR(VLOOKUP($A40,areaCercaDatiPerPosizioneSquadre,8,FALSE()),"-")</f>
        <v>0</v>
      </c>
      <c r="H40" s="7" t="n">
        <f aca="false">IFERROR(VLOOKUP($A40,areaCercaDatiPerPosizioneSquadre,9,FALSE()),"-")</f>
        <v>386</v>
      </c>
      <c r="I40" s="7" t="n">
        <f aca="false">IFERROR(VLOOKUP($A40,areaCercaDatiPerPosizioneSquadre,10,FALSE()),"-")</f>
        <v>509</v>
      </c>
      <c r="J40" s="7" t="n">
        <f aca="false">IFERROR(VLOOKUP($A40,areaCercaDatiPerPosizioneSquadre,11,FALSE()),"-")</f>
        <v>-123</v>
      </c>
      <c r="K40" s="7" t="str">
        <f aca="false">IFERROR(VLOOKUP($A40,areaCercaDatiPerPosizioneSquadre,15,FALSE()),"-")</f>
        <v>0-1</v>
      </c>
      <c r="L40" s="7" t="str">
        <f aca="false">IFERROR(VLOOKUP($A40,areaCercaDatiPerPosizioneSquadre,16,FALSE()),"-")</f>
        <v>0.9275</v>
      </c>
      <c r="M40" s="7" t="str">
        <f aca="false">IFERROR(VLOOKUP($A40,areaCercaDatiPerPosizioneSquadre,17,FALSE()),"-")</f>
        <v>0.7583</v>
      </c>
    </row>
    <row r="42" customFormat="false" ht="19.5" hidden="false" customHeight="true" outlineLevel="0" collapsed="false">
      <c r="A42" s="106" t="str">
        <f aca="false">"CLASSIFICA - GIRONE D"</f>
        <v>CLASSIFICA - GIRONE D</v>
      </c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</row>
    <row r="43" customFormat="false" ht="25.5" hidden="false" customHeight="true" outlineLevel="0" collapsed="false">
      <c r="A43" s="107" t="s">
        <v>419</v>
      </c>
      <c r="B43" s="107" t="s">
        <v>420</v>
      </c>
      <c r="C43" s="107" t="s">
        <v>421</v>
      </c>
      <c r="D43" s="107" t="s">
        <v>422</v>
      </c>
      <c r="E43" s="107"/>
      <c r="F43" s="107"/>
      <c r="G43" s="107"/>
      <c r="H43" s="107" t="s">
        <v>423</v>
      </c>
      <c r="I43" s="107"/>
      <c r="J43" s="107"/>
      <c r="K43" s="107" t="s">
        <v>424</v>
      </c>
      <c r="L43" s="107" t="s">
        <v>425</v>
      </c>
      <c r="M43" s="107" t="s">
        <v>426</v>
      </c>
    </row>
    <row r="44" customFormat="false" ht="15" hidden="false" customHeight="false" outlineLevel="0" collapsed="false">
      <c r="A44" s="107"/>
      <c r="B44" s="107"/>
      <c r="C44" s="107"/>
      <c r="D44" s="108" t="s">
        <v>151</v>
      </c>
      <c r="E44" s="108" t="s">
        <v>427</v>
      </c>
      <c r="F44" s="108" t="s">
        <v>419</v>
      </c>
      <c r="G44" s="108" t="s">
        <v>134</v>
      </c>
      <c r="H44" s="108" t="s">
        <v>428</v>
      </c>
      <c r="I44" s="108" t="s">
        <v>429</v>
      </c>
      <c r="J44" s="108" t="s">
        <v>430</v>
      </c>
      <c r="K44" s="107"/>
      <c r="L44" s="107"/>
      <c r="M44" s="107"/>
    </row>
    <row r="45" customFormat="false" ht="15" hidden="false" customHeight="false" outlineLevel="0" collapsed="false">
      <c r="A45" s="109" t="s">
        <v>403</v>
      </c>
      <c r="B45" s="110" t="str">
        <f aca="false">IFERROR(VLOOKUP($A45,areaCercaDatiPerPosizioneSquadre,2,FALSE()),"("&amp;$A45&amp;")")</f>
        <v>Elefanti Esuberanti</v>
      </c>
      <c r="C45" s="95" t="n">
        <f aca="false">IFERROR(VLOOKUP($A45,areaCercaDatiPerPosizioneSquadre,4,FALSE()),"-")</f>
        <v>21</v>
      </c>
      <c r="D45" s="7" t="n">
        <f aca="false">IFERROR(VLOOKUP($A45,areaCercaDatiPerPosizioneSquadre,5,FALSE()),"-")</f>
        <v>7</v>
      </c>
      <c r="E45" s="7" t="n">
        <f aca="false">IFERROR(VLOOKUP($A45,areaCercaDatiPerPosizioneSquadre,6,FALSE()),"-")</f>
        <v>7</v>
      </c>
      <c r="F45" s="7" t="n">
        <f aca="false">IFERROR(VLOOKUP($A45,areaCercaDatiPerPosizioneSquadre,7,FALSE()),"-")</f>
        <v>0</v>
      </c>
      <c r="G45" s="7" t="n">
        <f aca="false">IFERROR(VLOOKUP($A45,areaCercaDatiPerPosizioneSquadre,8,FALSE()),"-")</f>
        <v>0</v>
      </c>
      <c r="H45" s="7" t="n">
        <f aca="false">IFERROR(VLOOKUP($A45,areaCercaDatiPerPosizioneSquadre,9,FALSE()),"-")</f>
        <v>486</v>
      </c>
      <c r="I45" s="7" t="n">
        <f aca="false">IFERROR(VLOOKUP($A45,areaCercaDatiPerPosizioneSquadre,10,FALSE()),"-")</f>
        <v>375</v>
      </c>
      <c r="J45" s="7" t="n">
        <f aca="false">IFERROR(VLOOKUP($A45,areaCercaDatiPerPosizioneSquadre,11,FALSE()),"-")</f>
        <v>111</v>
      </c>
      <c r="K45" s="7" t="str">
        <f aca="false">IFERROR(VLOOKUP($A45,areaCercaDatiPerPosizioneSquadre,15,FALSE()),"-")</f>
        <v>-</v>
      </c>
      <c r="L45" s="7" t="str">
        <f aca="false">IFERROR(VLOOKUP($A45,areaCercaDatiPerPosizioneSquadre,16,FALSE()),"-")</f>
        <v>-</v>
      </c>
      <c r="M45" s="7" t="str">
        <f aca="false">IFERROR(VLOOKUP($A45,areaCercaDatiPerPosizioneSquadre,17,FALSE()),"-")</f>
        <v>1.2960</v>
      </c>
    </row>
    <row r="46" customFormat="false" ht="15" hidden="false" customHeight="false" outlineLevel="0" collapsed="false">
      <c r="A46" s="109" t="s">
        <v>406</v>
      </c>
      <c r="B46" s="110" t="str">
        <f aca="false">IFERROR(VLOOKUP($A46,areaCercaDatiPerPosizioneSquadre,2,FALSE()),"("&amp;$A46&amp;")")</f>
        <v>Lontre Loquaci</v>
      </c>
      <c r="C46" s="95" t="n">
        <f aca="false">IFERROR(VLOOKUP($A46,areaCercaDatiPerPosizioneSquadre,4,FALSE()),"-")</f>
        <v>19</v>
      </c>
      <c r="D46" s="7" t="n">
        <f aca="false">IFERROR(VLOOKUP($A46,areaCercaDatiPerPosizioneSquadre,5,FALSE()),"-")</f>
        <v>7</v>
      </c>
      <c r="E46" s="7" t="n">
        <f aca="false">IFERROR(VLOOKUP($A46,areaCercaDatiPerPosizioneSquadre,6,FALSE()),"-")</f>
        <v>6</v>
      </c>
      <c r="F46" s="7" t="n">
        <f aca="false">IFERROR(VLOOKUP($A46,areaCercaDatiPerPosizioneSquadre,7,FALSE()),"-")</f>
        <v>1</v>
      </c>
      <c r="G46" s="7" t="n">
        <f aca="false">IFERROR(VLOOKUP($A46,areaCercaDatiPerPosizioneSquadre,8,FALSE()),"-")</f>
        <v>0</v>
      </c>
      <c r="H46" s="7" t="n">
        <f aca="false">IFERROR(VLOOKUP($A46,areaCercaDatiPerPosizioneSquadre,9,FALSE()),"-")</f>
        <v>489</v>
      </c>
      <c r="I46" s="7" t="n">
        <f aca="false">IFERROR(VLOOKUP($A46,areaCercaDatiPerPosizioneSquadre,10,FALSE()),"-")</f>
        <v>377</v>
      </c>
      <c r="J46" s="7" t="n">
        <f aca="false">IFERROR(VLOOKUP($A46,areaCercaDatiPerPosizioneSquadre,11,FALSE()),"-")</f>
        <v>112</v>
      </c>
      <c r="K46" s="7" t="str">
        <f aca="false">IFERROR(VLOOKUP($A46,areaCercaDatiPerPosizioneSquadre,15,FALSE()),"-")</f>
        <v>-</v>
      </c>
      <c r="L46" s="7" t="str">
        <f aca="false">IFERROR(VLOOKUP($A46,areaCercaDatiPerPosizioneSquadre,16,FALSE()),"-")</f>
        <v>-</v>
      </c>
      <c r="M46" s="7" t="str">
        <f aca="false">IFERROR(VLOOKUP($A46,areaCercaDatiPerPosizioneSquadre,17,FALSE()),"-")</f>
        <v>1.2971</v>
      </c>
    </row>
    <row r="47" customFormat="false" ht="15" hidden="false" customHeight="false" outlineLevel="0" collapsed="false">
      <c r="A47" s="109" t="s">
        <v>449</v>
      </c>
      <c r="B47" s="12" t="str">
        <f aca="false">IFERROR(VLOOKUP($A47,areaCercaDatiPerPosizioneSquadre,2,FALSE()),"("&amp;$A47&amp;")")</f>
        <v>Iguane Impavide</v>
      </c>
      <c r="C47" s="95" t="n">
        <f aca="false">IFERROR(VLOOKUP($A47,areaCercaDatiPerPosizioneSquadre,4,FALSE()),"-")</f>
        <v>17</v>
      </c>
      <c r="D47" s="7" t="n">
        <f aca="false">IFERROR(VLOOKUP($A47,areaCercaDatiPerPosizioneSquadre,5,FALSE()),"-")</f>
        <v>7</v>
      </c>
      <c r="E47" s="7" t="n">
        <f aca="false">IFERROR(VLOOKUP($A47,areaCercaDatiPerPosizioneSquadre,6,FALSE()),"-")</f>
        <v>5</v>
      </c>
      <c r="F47" s="7" t="n">
        <f aca="false">IFERROR(VLOOKUP($A47,areaCercaDatiPerPosizioneSquadre,7,FALSE()),"-")</f>
        <v>2</v>
      </c>
      <c r="G47" s="7" t="n">
        <f aca="false">IFERROR(VLOOKUP($A47,areaCercaDatiPerPosizioneSquadre,8,FALSE()),"-")</f>
        <v>0</v>
      </c>
      <c r="H47" s="7" t="n">
        <f aca="false">IFERROR(VLOOKUP($A47,areaCercaDatiPerPosizioneSquadre,9,FALSE()),"-")</f>
        <v>475</v>
      </c>
      <c r="I47" s="7" t="n">
        <f aca="false">IFERROR(VLOOKUP($A47,areaCercaDatiPerPosizioneSquadre,10,FALSE()),"-")</f>
        <v>350</v>
      </c>
      <c r="J47" s="7" t="n">
        <f aca="false">IFERROR(VLOOKUP($A47,areaCercaDatiPerPosizioneSquadre,11,FALSE()),"-")</f>
        <v>125</v>
      </c>
      <c r="K47" s="7" t="str">
        <f aca="false">IFERROR(VLOOKUP($A47,areaCercaDatiPerPosizioneSquadre,15,FALSE()),"-")</f>
        <v>-</v>
      </c>
      <c r="L47" s="7" t="str">
        <f aca="false">IFERROR(VLOOKUP($A47,areaCercaDatiPerPosizioneSquadre,16,FALSE()),"-")</f>
        <v>-</v>
      </c>
      <c r="M47" s="7" t="str">
        <f aca="false">IFERROR(VLOOKUP($A47,areaCercaDatiPerPosizioneSquadre,17,FALSE()),"-")</f>
        <v>1.3571</v>
      </c>
    </row>
    <row r="48" customFormat="false" ht="15" hidden="false" customHeight="false" outlineLevel="0" collapsed="false">
      <c r="A48" s="109" t="s">
        <v>450</v>
      </c>
      <c r="B48" s="12" t="str">
        <f aca="false">IFERROR(VLOOKUP($A48,areaCercaDatiPerPosizioneSquadre,2,FALSE()),"("&amp;$A48&amp;")")</f>
        <v>Fenicotteri Focosi</v>
      </c>
      <c r="C48" s="95" t="n">
        <f aca="false">IFERROR(VLOOKUP($A48,areaCercaDatiPerPosizioneSquadre,4,FALSE()),"-")</f>
        <v>15</v>
      </c>
      <c r="D48" s="7" t="n">
        <f aca="false">IFERROR(VLOOKUP($A48,areaCercaDatiPerPosizioneSquadre,5,FALSE()),"-")</f>
        <v>7</v>
      </c>
      <c r="E48" s="7" t="n">
        <f aca="false">IFERROR(VLOOKUP($A48,areaCercaDatiPerPosizioneSquadre,6,FALSE()),"-")</f>
        <v>4</v>
      </c>
      <c r="F48" s="7" t="n">
        <f aca="false">IFERROR(VLOOKUP($A48,areaCercaDatiPerPosizioneSquadre,7,FALSE()),"-")</f>
        <v>3</v>
      </c>
      <c r="G48" s="7" t="n">
        <f aca="false">IFERROR(VLOOKUP($A48,areaCercaDatiPerPosizioneSquadre,8,FALSE()),"-")</f>
        <v>0</v>
      </c>
      <c r="H48" s="7" t="n">
        <f aca="false">IFERROR(VLOOKUP($A48,areaCercaDatiPerPosizioneSquadre,9,FALSE()),"-")</f>
        <v>445</v>
      </c>
      <c r="I48" s="7" t="n">
        <f aca="false">IFERROR(VLOOKUP($A48,areaCercaDatiPerPosizioneSquadre,10,FALSE()),"-")</f>
        <v>429</v>
      </c>
      <c r="J48" s="7" t="n">
        <f aca="false">IFERROR(VLOOKUP($A48,areaCercaDatiPerPosizioneSquadre,11,FALSE()),"-")</f>
        <v>16</v>
      </c>
      <c r="K48" s="7" t="str">
        <f aca="false">IFERROR(VLOOKUP($A48,areaCercaDatiPerPosizioneSquadre,15,FALSE()),"-")</f>
        <v>-</v>
      </c>
      <c r="L48" s="7" t="str">
        <f aca="false">IFERROR(VLOOKUP($A48,areaCercaDatiPerPosizioneSquadre,16,FALSE()),"-")</f>
        <v>-</v>
      </c>
      <c r="M48" s="7" t="str">
        <f aca="false">IFERROR(VLOOKUP($A48,areaCercaDatiPerPosizioneSquadre,17,FALSE()),"-")</f>
        <v>1.0373</v>
      </c>
    </row>
    <row r="49" customFormat="false" ht="15" hidden="false" customHeight="false" outlineLevel="0" collapsed="false">
      <c r="A49" s="109" t="s">
        <v>451</v>
      </c>
      <c r="B49" s="12" t="str">
        <f aca="false">IFERROR(VLOOKUP($A49,areaCercaDatiPerPosizioneSquadre,2,FALSE()),"("&amp;$A49&amp;")")</f>
        <v>Manguste Mordaci</v>
      </c>
      <c r="C49" s="95" t="n">
        <f aca="false">IFERROR(VLOOKUP($A49,areaCercaDatiPerPosizioneSquadre,4,FALSE()),"-")</f>
        <v>13</v>
      </c>
      <c r="D49" s="7" t="n">
        <f aca="false">IFERROR(VLOOKUP($A49,areaCercaDatiPerPosizioneSquadre,5,FALSE()),"-")</f>
        <v>7</v>
      </c>
      <c r="E49" s="7" t="n">
        <f aca="false">IFERROR(VLOOKUP($A49,areaCercaDatiPerPosizioneSquadre,6,FALSE()),"-")</f>
        <v>3</v>
      </c>
      <c r="F49" s="7" t="n">
        <f aca="false">IFERROR(VLOOKUP($A49,areaCercaDatiPerPosizioneSquadre,7,FALSE()),"-")</f>
        <v>4</v>
      </c>
      <c r="G49" s="7" t="n">
        <f aca="false">IFERROR(VLOOKUP($A49,areaCercaDatiPerPosizioneSquadre,8,FALSE()),"-")</f>
        <v>0</v>
      </c>
      <c r="H49" s="7" t="n">
        <f aca="false">IFERROR(VLOOKUP($A49,areaCercaDatiPerPosizioneSquadre,9,FALSE()),"-")</f>
        <v>424</v>
      </c>
      <c r="I49" s="7" t="n">
        <f aca="false">IFERROR(VLOOKUP($A49,areaCercaDatiPerPosizioneSquadre,10,FALSE()),"-")</f>
        <v>420</v>
      </c>
      <c r="J49" s="7" t="n">
        <f aca="false">IFERROR(VLOOKUP($A49,areaCercaDatiPerPosizioneSquadre,11,FALSE()),"-")</f>
        <v>4</v>
      </c>
      <c r="K49" s="7" t="str">
        <f aca="false">IFERROR(VLOOKUP($A49,areaCercaDatiPerPosizioneSquadre,15,FALSE()),"-")</f>
        <v>-</v>
      </c>
      <c r="L49" s="7" t="str">
        <f aca="false">IFERROR(VLOOKUP($A49,areaCercaDatiPerPosizioneSquadre,16,FALSE()),"-")</f>
        <v>-</v>
      </c>
      <c r="M49" s="7" t="str">
        <f aca="false">IFERROR(VLOOKUP($A49,areaCercaDatiPerPosizioneSquadre,17,FALSE()),"-")</f>
        <v>1.0095</v>
      </c>
    </row>
    <row r="50" customFormat="false" ht="15" hidden="false" customHeight="false" outlineLevel="0" collapsed="false">
      <c r="A50" s="109" t="s">
        <v>452</v>
      </c>
      <c r="B50" s="12" t="str">
        <f aca="false">IFERROR(VLOOKUP($A50,areaCercaDatiPerPosizioneSquadre,2,FALSE()),"("&amp;$A50&amp;")")</f>
        <v>Otarie Ottimiste</v>
      </c>
      <c r="C50" s="95" t="n">
        <f aca="false">IFERROR(VLOOKUP($A50,areaCercaDatiPerPosizioneSquadre,4,FALSE()),"-")</f>
        <v>9</v>
      </c>
      <c r="D50" s="7" t="n">
        <f aca="false">IFERROR(VLOOKUP($A50,areaCercaDatiPerPosizioneSquadre,5,FALSE()),"-")</f>
        <v>7</v>
      </c>
      <c r="E50" s="7" t="n">
        <f aca="false">IFERROR(VLOOKUP($A50,areaCercaDatiPerPosizioneSquadre,6,FALSE()),"-")</f>
        <v>1</v>
      </c>
      <c r="F50" s="7" t="n">
        <f aca="false">IFERROR(VLOOKUP($A50,areaCercaDatiPerPosizioneSquadre,7,FALSE()),"-")</f>
        <v>6</v>
      </c>
      <c r="G50" s="7" t="n">
        <f aca="false">IFERROR(VLOOKUP($A50,areaCercaDatiPerPosizioneSquadre,8,FALSE()),"-")</f>
        <v>0</v>
      </c>
      <c r="H50" s="7" t="n">
        <f aca="false">IFERROR(VLOOKUP($A50,areaCercaDatiPerPosizioneSquadre,9,FALSE()),"-")</f>
        <v>377</v>
      </c>
      <c r="I50" s="7" t="n">
        <f aca="false">IFERROR(VLOOKUP($A50,areaCercaDatiPerPosizioneSquadre,10,FALSE()),"-")</f>
        <v>470</v>
      </c>
      <c r="J50" s="7" t="n">
        <f aca="false">IFERROR(VLOOKUP($A50,areaCercaDatiPerPosizioneSquadre,11,FALSE()),"-")</f>
        <v>-93</v>
      </c>
      <c r="K50" s="7" t="str">
        <f aca="false">IFERROR(VLOOKUP($A50,areaCercaDatiPerPosizioneSquadre,15,FALSE()),"-")</f>
        <v>1-1</v>
      </c>
      <c r="L50" s="7" t="str">
        <f aca="false">IFERROR(VLOOKUP($A50,areaCercaDatiPerPosizioneSquadre,16,FALSE()),"-")</f>
        <v>1.0431</v>
      </c>
      <c r="M50" s="7" t="str">
        <f aca="false">IFERROR(VLOOKUP($A50,areaCercaDatiPerPosizioneSquadre,17,FALSE()),"-")</f>
        <v>0.8021</v>
      </c>
    </row>
    <row r="51" customFormat="false" ht="15" hidden="false" customHeight="false" outlineLevel="0" collapsed="false">
      <c r="A51" s="109" t="s">
        <v>453</v>
      </c>
      <c r="B51" s="12" t="str">
        <f aca="false">IFERROR(VLOOKUP($A51,areaCercaDatiPerPosizioneSquadre,2,FALSE()),"("&amp;$A51&amp;")")</f>
        <v>Nutrie Nervose</v>
      </c>
      <c r="C51" s="95" t="n">
        <f aca="false">IFERROR(VLOOKUP($A51,areaCercaDatiPerPosizioneSquadre,4,FALSE()),"-")</f>
        <v>9</v>
      </c>
      <c r="D51" s="7" t="n">
        <f aca="false">IFERROR(VLOOKUP($A51,areaCercaDatiPerPosizioneSquadre,5,FALSE()),"-")</f>
        <v>7</v>
      </c>
      <c r="E51" s="7" t="n">
        <f aca="false">IFERROR(VLOOKUP($A51,areaCercaDatiPerPosizioneSquadre,6,FALSE()),"-")</f>
        <v>1</v>
      </c>
      <c r="F51" s="7" t="n">
        <f aca="false">IFERROR(VLOOKUP($A51,areaCercaDatiPerPosizioneSquadre,7,FALSE()),"-")</f>
        <v>6</v>
      </c>
      <c r="G51" s="7" t="n">
        <f aca="false">IFERROR(VLOOKUP($A51,areaCercaDatiPerPosizioneSquadre,8,FALSE()),"-")</f>
        <v>0</v>
      </c>
      <c r="H51" s="7" t="n">
        <f aca="false">IFERROR(VLOOKUP($A51,areaCercaDatiPerPosizioneSquadre,9,FALSE()),"-")</f>
        <v>363</v>
      </c>
      <c r="I51" s="7" t="n">
        <f aca="false">IFERROR(VLOOKUP($A51,areaCercaDatiPerPosizioneSquadre,10,FALSE()),"-")</f>
        <v>479</v>
      </c>
      <c r="J51" s="7" t="n">
        <f aca="false">IFERROR(VLOOKUP($A51,areaCercaDatiPerPosizioneSquadre,11,FALSE()),"-")</f>
        <v>-116</v>
      </c>
      <c r="K51" s="7" t="str">
        <f aca="false">IFERROR(VLOOKUP($A51,areaCercaDatiPerPosizioneSquadre,15,FALSE()),"-")</f>
        <v>1-1</v>
      </c>
      <c r="L51" s="7" t="str">
        <f aca="false">IFERROR(VLOOKUP($A51,areaCercaDatiPerPosizioneSquadre,16,FALSE()),"-")</f>
        <v>0.9919</v>
      </c>
      <c r="M51" s="7" t="str">
        <f aca="false">IFERROR(VLOOKUP($A51,areaCercaDatiPerPosizioneSquadre,17,FALSE()),"-")</f>
        <v>0.7578</v>
      </c>
    </row>
    <row r="52" customFormat="false" ht="15" hidden="false" customHeight="false" outlineLevel="0" collapsed="false">
      <c r="A52" s="109" t="s">
        <v>454</v>
      </c>
      <c r="B52" s="12" t="str">
        <f aca="false">IFERROR(VLOOKUP($A52,areaCercaDatiPerPosizioneSquadre,2,FALSE()),"("&amp;$A52&amp;")")</f>
        <v>Ghepardi Guizzanti</v>
      </c>
      <c r="C52" s="95" t="n">
        <f aca="false">IFERROR(VLOOKUP($A52,areaCercaDatiPerPosizioneSquadre,4,FALSE()),"-")</f>
        <v>9</v>
      </c>
      <c r="D52" s="7" t="n">
        <f aca="false">IFERROR(VLOOKUP($A52,areaCercaDatiPerPosizioneSquadre,5,FALSE()),"-")</f>
        <v>7</v>
      </c>
      <c r="E52" s="7" t="n">
        <f aca="false">IFERROR(VLOOKUP($A52,areaCercaDatiPerPosizioneSquadre,6,FALSE()),"-")</f>
        <v>1</v>
      </c>
      <c r="F52" s="7" t="n">
        <f aca="false">IFERROR(VLOOKUP($A52,areaCercaDatiPerPosizioneSquadre,7,FALSE()),"-")</f>
        <v>6</v>
      </c>
      <c r="G52" s="7" t="n">
        <f aca="false">IFERROR(VLOOKUP($A52,areaCercaDatiPerPosizioneSquadre,8,FALSE()),"-")</f>
        <v>0</v>
      </c>
      <c r="H52" s="7" t="n">
        <f aca="false">IFERROR(VLOOKUP($A52,areaCercaDatiPerPosizioneSquadre,9,FALSE()),"-")</f>
        <v>339</v>
      </c>
      <c r="I52" s="7" t="n">
        <f aca="false">IFERROR(VLOOKUP($A52,areaCercaDatiPerPosizioneSquadre,10,FALSE()),"-")</f>
        <v>498</v>
      </c>
      <c r="J52" s="7" t="n">
        <f aca="false">IFERROR(VLOOKUP($A52,areaCercaDatiPerPosizioneSquadre,11,FALSE()),"-")</f>
        <v>-159</v>
      </c>
      <c r="K52" s="7" t="str">
        <f aca="false">IFERROR(VLOOKUP($A52,areaCercaDatiPerPosizioneSquadre,15,FALSE()),"-")</f>
        <v>1-1</v>
      </c>
      <c r="L52" s="7" t="str">
        <f aca="false">IFERROR(VLOOKUP($A52,areaCercaDatiPerPosizioneSquadre,16,FALSE()),"-")</f>
        <v>0.9688</v>
      </c>
      <c r="M52" s="7" t="str">
        <f aca="false">IFERROR(VLOOKUP($A52,areaCercaDatiPerPosizioneSquadre,17,FALSE()),"-")</f>
        <v>0.6807</v>
      </c>
    </row>
    <row r="54" customFormat="false" ht="19.5" hidden="false" customHeight="true" outlineLevel="0" collapsed="false">
      <c r="A54" s="111" t="str">
        <f aca="false">"CLASSIFICA - GIRONE E"</f>
        <v>CLASSIFICA - GIRONE E</v>
      </c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</row>
    <row r="55" customFormat="false" ht="25.5" hidden="false" customHeight="true" outlineLevel="0" collapsed="false">
      <c r="A55" s="112" t="s">
        <v>419</v>
      </c>
      <c r="B55" s="112" t="s">
        <v>420</v>
      </c>
      <c r="C55" s="112" t="s">
        <v>421</v>
      </c>
      <c r="D55" s="112" t="s">
        <v>422</v>
      </c>
      <c r="E55" s="112"/>
      <c r="F55" s="112"/>
      <c r="G55" s="112"/>
      <c r="H55" s="112" t="s">
        <v>423</v>
      </c>
      <c r="I55" s="112"/>
      <c r="J55" s="112"/>
      <c r="K55" s="112" t="s">
        <v>424</v>
      </c>
      <c r="L55" s="112" t="s">
        <v>425</v>
      </c>
      <c r="M55" s="112" t="s">
        <v>426</v>
      </c>
    </row>
    <row r="56" customFormat="false" ht="15" hidden="false" customHeight="false" outlineLevel="0" collapsed="false">
      <c r="A56" s="112"/>
      <c r="B56" s="112"/>
      <c r="C56" s="112"/>
      <c r="D56" s="113" t="s">
        <v>151</v>
      </c>
      <c r="E56" s="113" t="s">
        <v>427</v>
      </c>
      <c r="F56" s="113" t="s">
        <v>419</v>
      </c>
      <c r="G56" s="113" t="s">
        <v>134</v>
      </c>
      <c r="H56" s="113" t="s">
        <v>428</v>
      </c>
      <c r="I56" s="113" t="s">
        <v>429</v>
      </c>
      <c r="J56" s="113" t="s">
        <v>430</v>
      </c>
      <c r="K56" s="112"/>
      <c r="L56" s="112"/>
      <c r="M56" s="112"/>
    </row>
    <row r="57" customFormat="false" ht="15" hidden="false" customHeight="false" outlineLevel="0" collapsed="false">
      <c r="A57" s="114" t="s">
        <v>405</v>
      </c>
      <c r="B57" s="115" t="str">
        <f aca="false">IFERROR(VLOOKUP($A57,areaCercaDatiPerPosizioneSquadre,2,FALSE()),"("&amp;$A57&amp;")")</f>
        <v>Tassi Turbolenti</v>
      </c>
      <c r="C57" s="95" t="n">
        <f aca="false">IFERROR(VLOOKUP($A57,areaCercaDatiPerPosizioneSquadre,4,FALSE()),"-")</f>
        <v>19</v>
      </c>
      <c r="D57" s="7" t="n">
        <f aca="false">IFERROR(VLOOKUP($A57,areaCercaDatiPerPosizioneSquadre,5,FALSE()),"-")</f>
        <v>7</v>
      </c>
      <c r="E57" s="7" t="n">
        <f aca="false">IFERROR(VLOOKUP($A57,areaCercaDatiPerPosizioneSquadre,6,FALSE()),"-")</f>
        <v>6</v>
      </c>
      <c r="F57" s="7" t="n">
        <f aca="false">IFERROR(VLOOKUP($A57,areaCercaDatiPerPosizioneSquadre,7,FALSE()),"-")</f>
        <v>1</v>
      </c>
      <c r="G57" s="7" t="n">
        <f aca="false">IFERROR(VLOOKUP($A57,areaCercaDatiPerPosizioneSquadre,8,FALSE()),"-")</f>
        <v>0</v>
      </c>
      <c r="H57" s="7" t="n">
        <f aca="false">IFERROR(VLOOKUP($A57,areaCercaDatiPerPosizioneSquadre,9,FALSE()),"-")</f>
        <v>478</v>
      </c>
      <c r="I57" s="7" t="n">
        <f aca="false">IFERROR(VLOOKUP($A57,areaCercaDatiPerPosizioneSquadre,10,FALSE()),"-")</f>
        <v>385</v>
      </c>
      <c r="J57" s="7" t="n">
        <f aca="false">IFERROR(VLOOKUP($A57,areaCercaDatiPerPosizioneSquadre,11,FALSE()),"-")</f>
        <v>93</v>
      </c>
      <c r="K57" s="7" t="str">
        <f aca="false">IFERROR(VLOOKUP($A57,areaCercaDatiPerPosizioneSquadre,15,FALSE()),"-")</f>
        <v>1-1</v>
      </c>
      <c r="L57" s="7" t="str">
        <f aca="false">IFERROR(VLOOKUP($A57,areaCercaDatiPerPosizioneSquadre,16,FALSE()),"-")</f>
        <v>1.1624</v>
      </c>
      <c r="M57" s="7" t="str">
        <f aca="false">IFERROR(VLOOKUP($A57,areaCercaDatiPerPosizioneSquadre,17,FALSE()),"-")</f>
        <v>1.2416</v>
      </c>
    </row>
    <row r="58" customFormat="false" ht="15" hidden="false" customHeight="false" outlineLevel="0" collapsed="false">
      <c r="A58" s="114" t="s">
        <v>404</v>
      </c>
      <c r="B58" s="115" t="str">
        <f aca="false">IFERROR(VLOOKUP($A58,areaCercaDatiPerPosizioneSquadre,2,FALSE()),"("&amp;$A58&amp;")")</f>
        <v>Zibetti Zuccherini</v>
      </c>
      <c r="C58" s="95" t="n">
        <f aca="false">IFERROR(VLOOKUP($A58,areaCercaDatiPerPosizioneSquadre,4,FALSE()),"-")</f>
        <v>19</v>
      </c>
      <c r="D58" s="7" t="n">
        <f aca="false">IFERROR(VLOOKUP($A58,areaCercaDatiPerPosizioneSquadre,5,FALSE()),"-")</f>
        <v>7</v>
      </c>
      <c r="E58" s="7" t="n">
        <f aca="false">IFERROR(VLOOKUP($A58,areaCercaDatiPerPosizioneSquadre,6,FALSE()),"-")</f>
        <v>6</v>
      </c>
      <c r="F58" s="7" t="n">
        <f aca="false">IFERROR(VLOOKUP($A58,areaCercaDatiPerPosizioneSquadre,7,FALSE()),"-")</f>
        <v>1</v>
      </c>
      <c r="G58" s="7" t="n">
        <f aca="false">IFERROR(VLOOKUP($A58,areaCercaDatiPerPosizioneSquadre,8,FALSE()),"-")</f>
        <v>0</v>
      </c>
      <c r="H58" s="7" t="n">
        <f aca="false">IFERROR(VLOOKUP($A58,areaCercaDatiPerPosizioneSquadre,9,FALSE()),"-")</f>
        <v>508</v>
      </c>
      <c r="I58" s="7" t="n">
        <f aca="false">IFERROR(VLOOKUP($A58,areaCercaDatiPerPosizioneSquadre,10,FALSE()),"-")</f>
        <v>402</v>
      </c>
      <c r="J58" s="7" t="n">
        <f aca="false">IFERROR(VLOOKUP($A58,areaCercaDatiPerPosizioneSquadre,11,FALSE()),"-")</f>
        <v>106</v>
      </c>
      <c r="K58" s="7" t="str">
        <f aca="false">IFERROR(VLOOKUP($A58,areaCercaDatiPerPosizioneSquadre,15,FALSE()),"-")</f>
        <v>1-1</v>
      </c>
      <c r="L58" s="7" t="str">
        <f aca="false">IFERROR(VLOOKUP($A58,areaCercaDatiPerPosizioneSquadre,16,FALSE()),"-")</f>
        <v>1.0738</v>
      </c>
      <c r="M58" s="7" t="str">
        <f aca="false">IFERROR(VLOOKUP($A58,areaCercaDatiPerPosizioneSquadre,17,FALSE()),"-")</f>
        <v>1.2637</v>
      </c>
    </row>
    <row r="59" customFormat="false" ht="15" hidden="false" customHeight="false" outlineLevel="0" collapsed="false">
      <c r="A59" s="114" t="s">
        <v>455</v>
      </c>
      <c r="B59" s="12" t="str">
        <f aca="false">IFERROR(VLOOKUP($A59,areaCercaDatiPerPosizioneSquadre,2,FALSE()),"("&amp;$A59&amp;")")</f>
        <v>Scoiattoli Scattanti</v>
      </c>
      <c r="C59" s="95" t="n">
        <f aca="false">IFERROR(VLOOKUP($A59,areaCercaDatiPerPosizioneSquadre,4,FALSE()),"-")</f>
        <v>19</v>
      </c>
      <c r="D59" s="7" t="n">
        <f aca="false">IFERROR(VLOOKUP($A59,areaCercaDatiPerPosizioneSquadre,5,FALSE()),"-")</f>
        <v>7</v>
      </c>
      <c r="E59" s="7" t="n">
        <f aca="false">IFERROR(VLOOKUP($A59,areaCercaDatiPerPosizioneSquadre,6,FALSE()),"-")</f>
        <v>6</v>
      </c>
      <c r="F59" s="7" t="n">
        <f aca="false">IFERROR(VLOOKUP($A59,areaCercaDatiPerPosizioneSquadre,7,FALSE()),"-")</f>
        <v>1</v>
      </c>
      <c r="G59" s="7" t="n">
        <f aca="false">IFERROR(VLOOKUP($A59,areaCercaDatiPerPosizioneSquadre,8,FALSE()),"-")</f>
        <v>0</v>
      </c>
      <c r="H59" s="7" t="n">
        <f aca="false">IFERROR(VLOOKUP($A59,areaCercaDatiPerPosizioneSquadre,9,FALSE()),"-")</f>
        <v>485</v>
      </c>
      <c r="I59" s="7" t="n">
        <f aca="false">IFERROR(VLOOKUP($A59,areaCercaDatiPerPosizioneSquadre,10,FALSE()),"-")</f>
        <v>430</v>
      </c>
      <c r="J59" s="7" t="n">
        <f aca="false">IFERROR(VLOOKUP($A59,areaCercaDatiPerPosizioneSquadre,11,FALSE()),"-")</f>
        <v>55</v>
      </c>
      <c r="K59" s="7" t="str">
        <f aca="false">IFERROR(VLOOKUP($A59,areaCercaDatiPerPosizioneSquadre,15,FALSE()),"-")</f>
        <v>1-1</v>
      </c>
      <c r="L59" s="7" t="str">
        <f aca="false">IFERROR(VLOOKUP($A59,areaCercaDatiPerPosizioneSquadre,16,FALSE()),"-")</f>
        <v>0.8228</v>
      </c>
      <c r="M59" s="7" t="str">
        <f aca="false">IFERROR(VLOOKUP($A59,areaCercaDatiPerPosizioneSquadre,17,FALSE()),"-")</f>
        <v>1.1279</v>
      </c>
    </row>
    <row r="60" customFormat="false" ht="15" hidden="false" customHeight="false" outlineLevel="0" collapsed="false">
      <c r="A60" s="114" t="s">
        <v>456</v>
      </c>
      <c r="B60" s="12" t="str">
        <f aca="false">IFERROR(VLOOKUP($A60,areaCercaDatiPerPosizioneSquadre,2,FALSE()),"("&amp;$A60&amp;")")</f>
        <v>Volpi Vorticose</v>
      </c>
      <c r="C60" s="95" t="n">
        <f aca="false">IFERROR(VLOOKUP($A60,areaCercaDatiPerPosizioneSquadre,4,FALSE()),"-")</f>
        <v>15</v>
      </c>
      <c r="D60" s="7" t="n">
        <f aca="false">IFERROR(VLOOKUP($A60,areaCercaDatiPerPosizioneSquadre,5,FALSE()),"-")</f>
        <v>7</v>
      </c>
      <c r="E60" s="7" t="n">
        <f aca="false">IFERROR(VLOOKUP($A60,areaCercaDatiPerPosizioneSquadre,6,FALSE()),"-")</f>
        <v>4</v>
      </c>
      <c r="F60" s="7" t="n">
        <f aca="false">IFERROR(VLOOKUP($A60,areaCercaDatiPerPosizioneSquadre,7,FALSE()),"-")</f>
        <v>3</v>
      </c>
      <c r="G60" s="7" t="n">
        <f aca="false">IFERROR(VLOOKUP($A60,areaCercaDatiPerPosizioneSquadre,8,FALSE()),"-")</f>
        <v>0</v>
      </c>
      <c r="H60" s="7" t="n">
        <f aca="false">IFERROR(VLOOKUP($A60,areaCercaDatiPerPosizioneSquadre,9,FALSE()),"-")</f>
        <v>449</v>
      </c>
      <c r="I60" s="7" t="n">
        <f aca="false">IFERROR(VLOOKUP($A60,areaCercaDatiPerPosizioneSquadre,10,FALSE()),"-")</f>
        <v>408</v>
      </c>
      <c r="J60" s="7" t="n">
        <f aca="false">IFERROR(VLOOKUP($A60,areaCercaDatiPerPosizioneSquadre,11,FALSE()),"-")</f>
        <v>41</v>
      </c>
      <c r="K60" s="7" t="str">
        <f aca="false">IFERROR(VLOOKUP($A60,areaCercaDatiPerPosizioneSquadre,15,FALSE()),"-")</f>
        <v>-</v>
      </c>
      <c r="L60" s="7" t="str">
        <f aca="false">IFERROR(VLOOKUP($A60,areaCercaDatiPerPosizioneSquadre,16,FALSE()),"-")</f>
        <v>-</v>
      </c>
      <c r="M60" s="7" t="str">
        <f aca="false">IFERROR(VLOOKUP($A60,areaCercaDatiPerPosizioneSquadre,17,FALSE()),"-")</f>
        <v>1.1005</v>
      </c>
    </row>
    <row r="61" customFormat="false" ht="15" hidden="false" customHeight="false" outlineLevel="0" collapsed="false">
      <c r="A61" s="114" t="s">
        <v>457</v>
      </c>
      <c r="B61" s="12" t="str">
        <f aca="false">IFERROR(VLOOKUP($A61,areaCercaDatiPerPosizioneSquadre,2,FALSE()),"("&amp;$A61&amp;")")</f>
        <v>Quetzal Quotidiani</v>
      </c>
      <c r="C61" s="95" t="n">
        <f aca="false">IFERROR(VLOOKUP($A61,areaCercaDatiPerPosizioneSquadre,4,FALSE()),"-")</f>
        <v>13</v>
      </c>
      <c r="D61" s="7" t="n">
        <f aca="false">IFERROR(VLOOKUP($A61,areaCercaDatiPerPosizioneSquadre,5,FALSE()),"-")</f>
        <v>7</v>
      </c>
      <c r="E61" s="7" t="n">
        <f aca="false">IFERROR(VLOOKUP($A61,areaCercaDatiPerPosizioneSquadre,6,FALSE()),"-")</f>
        <v>3</v>
      </c>
      <c r="F61" s="7" t="n">
        <f aca="false">IFERROR(VLOOKUP($A61,areaCercaDatiPerPosizioneSquadre,7,FALSE()),"-")</f>
        <v>4</v>
      </c>
      <c r="G61" s="7" t="n">
        <f aca="false">IFERROR(VLOOKUP($A61,areaCercaDatiPerPosizioneSquadre,8,FALSE()),"-")</f>
        <v>0</v>
      </c>
      <c r="H61" s="7" t="n">
        <f aca="false">IFERROR(VLOOKUP($A61,areaCercaDatiPerPosizioneSquadre,9,FALSE()),"-")</f>
        <v>459</v>
      </c>
      <c r="I61" s="7" t="n">
        <f aca="false">IFERROR(VLOOKUP($A61,areaCercaDatiPerPosizioneSquadre,10,FALSE()),"-")</f>
        <v>435</v>
      </c>
      <c r="J61" s="7" t="n">
        <f aca="false">IFERROR(VLOOKUP($A61,areaCercaDatiPerPosizioneSquadre,11,FALSE()),"-")</f>
        <v>24</v>
      </c>
      <c r="K61" s="7" t="str">
        <f aca="false">IFERROR(VLOOKUP($A61,areaCercaDatiPerPosizioneSquadre,15,FALSE()),"-")</f>
        <v>-</v>
      </c>
      <c r="L61" s="7" t="str">
        <f aca="false">IFERROR(VLOOKUP($A61,areaCercaDatiPerPosizioneSquadre,16,FALSE()),"-")</f>
        <v>-</v>
      </c>
      <c r="M61" s="7" t="str">
        <f aca="false">IFERROR(VLOOKUP($A61,areaCercaDatiPerPosizioneSquadre,17,FALSE()),"-")</f>
        <v>1.0552</v>
      </c>
    </row>
    <row r="62" customFormat="false" ht="15" hidden="false" customHeight="false" outlineLevel="0" collapsed="false">
      <c r="A62" s="114" t="s">
        <v>458</v>
      </c>
      <c r="B62" s="12" t="str">
        <f aca="false">IFERROR(VLOOKUP($A62,areaCercaDatiPerPosizioneSquadre,2,FALSE()),"("&amp;$A62&amp;")")</f>
        <v>Pipistrelli Pensierosi</v>
      </c>
      <c r="C62" s="95" t="n">
        <f aca="false">IFERROR(VLOOKUP($A62,areaCercaDatiPerPosizioneSquadre,4,FALSE()),"-")</f>
        <v>11</v>
      </c>
      <c r="D62" s="7" t="n">
        <f aca="false">IFERROR(VLOOKUP($A62,areaCercaDatiPerPosizioneSquadre,5,FALSE()),"-")</f>
        <v>7</v>
      </c>
      <c r="E62" s="7" t="n">
        <f aca="false">IFERROR(VLOOKUP($A62,areaCercaDatiPerPosizioneSquadre,6,FALSE()),"-")</f>
        <v>2</v>
      </c>
      <c r="F62" s="7" t="n">
        <f aca="false">IFERROR(VLOOKUP($A62,areaCercaDatiPerPosizioneSquadre,7,FALSE()),"-")</f>
        <v>5</v>
      </c>
      <c r="G62" s="7" t="n">
        <f aca="false">IFERROR(VLOOKUP($A62,areaCercaDatiPerPosizioneSquadre,8,FALSE()),"-")</f>
        <v>0</v>
      </c>
      <c r="H62" s="7" t="n">
        <f aca="false">IFERROR(VLOOKUP($A62,areaCercaDatiPerPosizioneSquadre,9,FALSE()),"-")</f>
        <v>424</v>
      </c>
      <c r="I62" s="7" t="n">
        <f aca="false">IFERROR(VLOOKUP($A62,areaCercaDatiPerPosizioneSquadre,10,FALSE()),"-")</f>
        <v>462</v>
      </c>
      <c r="J62" s="7" t="n">
        <f aca="false">IFERROR(VLOOKUP($A62,areaCercaDatiPerPosizioneSquadre,11,FALSE()),"-")</f>
        <v>-38</v>
      </c>
      <c r="K62" s="7" t="str">
        <f aca="false">IFERROR(VLOOKUP($A62,areaCercaDatiPerPosizioneSquadre,15,FALSE()),"-")</f>
        <v>-</v>
      </c>
      <c r="L62" s="7" t="str">
        <f aca="false">IFERROR(VLOOKUP($A62,areaCercaDatiPerPosizioneSquadre,16,FALSE()),"-")</f>
        <v>-</v>
      </c>
      <c r="M62" s="7" t="str">
        <f aca="false">IFERROR(VLOOKUP($A62,areaCercaDatiPerPosizioneSquadre,17,FALSE()),"-")</f>
        <v>0.9177</v>
      </c>
    </row>
    <row r="63" customFormat="false" ht="15" hidden="false" customHeight="false" outlineLevel="0" collapsed="false">
      <c r="A63" s="114" t="s">
        <v>459</v>
      </c>
      <c r="B63" s="12" t="str">
        <f aca="false">IFERROR(VLOOKUP($A63,areaCercaDatiPerPosizioneSquadre,2,FALSE()),"("&amp;$A63&amp;")")</f>
        <v>Ricci Rissosi</v>
      </c>
      <c r="C63" s="95" t="n">
        <f aca="false">IFERROR(VLOOKUP($A63,areaCercaDatiPerPosizioneSquadre,4,FALSE()),"-")</f>
        <v>9</v>
      </c>
      <c r="D63" s="7" t="n">
        <f aca="false">IFERROR(VLOOKUP($A63,areaCercaDatiPerPosizioneSquadre,5,FALSE()),"-")</f>
        <v>7</v>
      </c>
      <c r="E63" s="7" t="n">
        <f aca="false">IFERROR(VLOOKUP($A63,areaCercaDatiPerPosizioneSquadre,6,FALSE()),"-")</f>
        <v>1</v>
      </c>
      <c r="F63" s="7" t="n">
        <f aca="false">IFERROR(VLOOKUP($A63,areaCercaDatiPerPosizioneSquadre,7,FALSE()),"-")</f>
        <v>6</v>
      </c>
      <c r="G63" s="7" t="n">
        <f aca="false">IFERROR(VLOOKUP($A63,areaCercaDatiPerPosizioneSquadre,8,FALSE()),"-")</f>
        <v>0</v>
      </c>
      <c r="H63" s="7" t="n">
        <f aca="false">IFERROR(VLOOKUP($A63,areaCercaDatiPerPosizioneSquadre,9,FALSE()),"-")</f>
        <v>409</v>
      </c>
      <c r="I63" s="7" t="n">
        <f aca="false">IFERROR(VLOOKUP($A63,areaCercaDatiPerPosizioneSquadre,10,FALSE()),"-")</f>
        <v>497</v>
      </c>
      <c r="J63" s="7" t="n">
        <f aca="false">IFERROR(VLOOKUP($A63,areaCercaDatiPerPosizioneSquadre,11,FALSE()),"-")</f>
        <v>-88</v>
      </c>
      <c r="K63" s="7" t="str">
        <f aca="false">IFERROR(VLOOKUP($A63,areaCercaDatiPerPosizioneSquadre,15,FALSE()),"-")</f>
        <v>-</v>
      </c>
      <c r="L63" s="7" t="str">
        <f aca="false">IFERROR(VLOOKUP($A63,areaCercaDatiPerPosizioneSquadre,16,FALSE()),"-")</f>
        <v>-</v>
      </c>
      <c r="M63" s="7" t="str">
        <f aca="false">IFERROR(VLOOKUP($A63,areaCercaDatiPerPosizioneSquadre,17,FALSE()),"-")</f>
        <v>0.8229</v>
      </c>
    </row>
    <row r="64" customFormat="false" ht="15" hidden="false" customHeight="false" outlineLevel="0" collapsed="false">
      <c r="A64" s="114" t="s">
        <v>460</v>
      </c>
      <c r="B64" s="12" t="str">
        <f aca="false">IFERROR(VLOOKUP($A64,areaCercaDatiPerPosizioneSquadre,2,FALSE()),"("&amp;$A64&amp;")")</f>
        <v>Uistiti Ubiqui</v>
      </c>
      <c r="C64" s="95" t="n">
        <f aca="false">IFERROR(VLOOKUP($A64,areaCercaDatiPerPosizioneSquadre,4,FALSE()),"-")</f>
        <v>7</v>
      </c>
      <c r="D64" s="7" t="n">
        <f aca="false">IFERROR(VLOOKUP($A64,areaCercaDatiPerPosizioneSquadre,5,FALSE()),"-")</f>
        <v>7</v>
      </c>
      <c r="E64" s="7" t="n">
        <f aca="false">IFERROR(VLOOKUP($A64,areaCercaDatiPerPosizioneSquadre,6,FALSE()),"-")</f>
        <v>0</v>
      </c>
      <c r="F64" s="7" t="n">
        <f aca="false">IFERROR(VLOOKUP($A64,areaCercaDatiPerPosizioneSquadre,7,FALSE()),"-")</f>
        <v>7</v>
      </c>
      <c r="G64" s="7" t="n">
        <f aca="false">IFERROR(VLOOKUP($A64,areaCercaDatiPerPosizioneSquadre,8,FALSE()),"-")</f>
        <v>0</v>
      </c>
      <c r="H64" s="7" t="n">
        <f aca="false">IFERROR(VLOOKUP($A64,areaCercaDatiPerPosizioneSquadre,9,FALSE()),"-")</f>
        <v>322</v>
      </c>
      <c r="I64" s="7" t="n">
        <f aca="false">IFERROR(VLOOKUP($A64,areaCercaDatiPerPosizioneSquadre,10,FALSE()),"-")</f>
        <v>515</v>
      </c>
      <c r="J64" s="7" t="n">
        <f aca="false">IFERROR(VLOOKUP($A64,areaCercaDatiPerPosizioneSquadre,11,FALSE()),"-")</f>
        <v>-193</v>
      </c>
      <c r="K64" s="7" t="str">
        <f aca="false">IFERROR(VLOOKUP($A64,areaCercaDatiPerPosizioneSquadre,15,FALSE()),"-")</f>
        <v>-</v>
      </c>
      <c r="L64" s="7" t="str">
        <f aca="false">IFERROR(VLOOKUP($A64,areaCercaDatiPerPosizioneSquadre,16,FALSE()),"-")</f>
        <v>-</v>
      </c>
      <c r="M64" s="7" t="str">
        <f aca="false">IFERROR(VLOOKUP($A64,areaCercaDatiPerPosizioneSquadre,17,FALSE()),"-")</f>
        <v>0.6252</v>
      </c>
    </row>
    <row r="66" customFormat="false" ht="19.5" hidden="false" customHeight="true" outlineLevel="0" collapsed="false">
      <c r="A66" s="116" t="str">
        <f aca="false">"CLASSIFICA - GIRONE F"</f>
        <v>CLASSIFICA - GIRONE F</v>
      </c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</row>
    <row r="67" customFormat="false" ht="25.5" hidden="false" customHeight="true" outlineLevel="0" collapsed="false">
      <c r="A67" s="117" t="s">
        <v>419</v>
      </c>
      <c r="B67" s="117" t="s">
        <v>420</v>
      </c>
      <c r="C67" s="117" t="s">
        <v>421</v>
      </c>
      <c r="D67" s="117" t="s">
        <v>422</v>
      </c>
      <c r="E67" s="117"/>
      <c r="F67" s="117"/>
      <c r="G67" s="117"/>
      <c r="H67" s="117" t="s">
        <v>423</v>
      </c>
      <c r="I67" s="117"/>
      <c r="J67" s="117"/>
      <c r="K67" s="117" t="s">
        <v>424</v>
      </c>
      <c r="L67" s="117" t="s">
        <v>425</v>
      </c>
      <c r="M67" s="117" t="s">
        <v>426</v>
      </c>
    </row>
    <row r="68" customFormat="false" ht="15" hidden="false" customHeight="false" outlineLevel="0" collapsed="false">
      <c r="A68" s="117"/>
      <c r="B68" s="117"/>
      <c r="C68" s="117"/>
      <c r="D68" s="118" t="s">
        <v>151</v>
      </c>
      <c r="E68" s="118" t="s">
        <v>427</v>
      </c>
      <c r="F68" s="118" t="s">
        <v>419</v>
      </c>
      <c r="G68" s="118" t="s">
        <v>134</v>
      </c>
      <c r="H68" s="118" t="s">
        <v>428</v>
      </c>
      <c r="I68" s="118" t="s">
        <v>429</v>
      </c>
      <c r="J68" s="118" t="s">
        <v>430</v>
      </c>
      <c r="K68" s="117"/>
      <c r="L68" s="117"/>
      <c r="M68" s="117"/>
    </row>
    <row r="69" customFormat="false" ht="15" hidden="false" customHeight="false" outlineLevel="0" collapsed="false">
      <c r="A69" s="119" t="s">
        <v>407</v>
      </c>
      <c r="B69" s="120" t="str">
        <f aca="false">IFERROR(VLOOKUP($A69,areaCercaDatiPerPosizioneSquadre,2,FALSE()),"("&amp;$A69&amp;")")</f>
        <v>Donnole Determinate</v>
      </c>
      <c r="C69" s="95" t="n">
        <f aca="false">IFERROR(VLOOKUP($A69,areaCercaDatiPerPosizioneSquadre,4,FALSE()),"-")</f>
        <v>19</v>
      </c>
      <c r="D69" s="7" t="n">
        <f aca="false">IFERROR(VLOOKUP($A69,areaCercaDatiPerPosizioneSquadre,5,FALSE()),"-")</f>
        <v>7</v>
      </c>
      <c r="E69" s="7" t="n">
        <f aca="false">IFERROR(VLOOKUP($A69,areaCercaDatiPerPosizioneSquadre,6,FALSE()),"-")</f>
        <v>6</v>
      </c>
      <c r="F69" s="7" t="n">
        <f aca="false">IFERROR(VLOOKUP($A69,areaCercaDatiPerPosizioneSquadre,7,FALSE()),"-")</f>
        <v>1</v>
      </c>
      <c r="G69" s="7" t="n">
        <f aca="false">IFERROR(VLOOKUP($A69,areaCercaDatiPerPosizioneSquadre,8,FALSE()),"-")</f>
        <v>0</v>
      </c>
      <c r="H69" s="7" t="n">
        <f aca="false">IFERROR(VLOOKUP($A69,areaCercaDatiPerPosizioneSquadre,9,FALSE()),"-")</f>
        <v>481</v>
      </c>
      <c r="I69" s="7" t="n">
        <f aca="false">IFERROR(VLOOKUP($A69,areaCercaDatiPerPosizioneSquadre,10,FALSE()),"-")</f>
        <v>374</v>
      </c>
      <c r="J69" s="7" t="n">
        <f aca="false">IFERROR(VLOOKUP($A69,areaCercaDatiPerPosizioneSquadre,11,FALSE()),"-")</f>
        <v>107</v>
      </c>
      <c r="K69" s="7" t="str">
        <f aca="false">IFERROR(VLOOKUP($A69,areaCercaDatiPerPosizioneSquadre,15,FALSE()),"-")</f>
        <v>1-0</v>
      </c>
      <c r="L69" s="7" t="str">
        <f aca="false">IFERROR(VLOOKUP($A69,areaCercaDatiPerPosizioneSquadre,16,FALSE()),"-")</f>
        <v>1.1967</v>
      </c>
      <c r="M69" s="7" t="str">
        <f aca="false">IFERROR(VLOOKUP($A69,areaCercaDatiPerPosizioneSquadre,17,FALSE()),"-")</f>
        <v>1.2861</v>
      </c>
    </row>
    <row r="70" customFormat="false" ht="15" hidden="false" customHeight="false" outlineLevel="0" collapsed="false">
      <c r="A70" s="119" t="s">
        <v>402</v>
      </c>
      <c r="B70" s="120" t="str">
        <f aca="false">IFERROR(VLOOKUP($A70,areaCercaDatiPerPosizioneSquadre,2,FALSE()),"("&amp;$A70&amp;")")</f>
        <v>Iene Ilari</v>
      </c>
      <c r="C70" s="95" t="n">
        <f aca="false">IFERROR(VLOOKUP($A70,areaCercaDatiPerPosizioneSquadre,4,FALSE()),"-")</f>
        <v>19</v>
      </c>
      <c r="D70" s="7" t="n">
        <f aca="false">IFERROR(VLOOKUP($A70,areaCercaDatiPerPosizioneSquadre,5,FALSE()),"-")</f>
        <v>7</v>
      </c>
      <c r="E70" s="7" t="n">
        <f aca="false">IFERROR(VLOOKUP($A70,areaCercaDatiPerPosizioneSquadre,6,FALSE()),"-")</f>
        <v>6</v>
      </c>
      <c r="F70" s="7" t="n">
        <f aca="false">IFERROR(VLOOKUP($A70,areaCercaDatiPerPosizioneSquadre,7,FALSE()),"-")</f>
        <v>1</v>
      </c>
      <c r="G70" s="7" t="n">
        <f aca="false">IFERROR(VLOOKUP($A70,areaCercaDatiPerPosizioneSquadre,8,FALSE()),"-")</f>
        <v>0</v>
      </c>
      <c r="H70" s="7" t="n">
        <f aca="false">IFERROR(VLOOKUP($A70,areaCercaDatiPerPosizioneSquadre,9,FALSE()),"-")</f>
        <v>486</v>
      </c>
      <c r="I70" s="7" t="n">
        <f aca="false">IFERROR(VLOOKUP($A70,areaCercaDatiPerPosizioneSquadre,10,FALSE()),"-")</f>
        <v>401</v>
      </c>
      <c r="J70" s="7" t="n">
        <f aca="false">IFERROR(VLOOKUP($A70,areaCercaDatiPerPosizioneSquadre,11,FALSE()),"-")</f>
        <v>85</v>
      </c>
      <c r="K70" s="7" t="str">
        <f aca="false">IFERROR(VLOOKUP($A70,areaCercaDatiPerPosizioneSquadre,15,FALSE()),"-")</f>
        <v>0-1</v>
      </c>
      <c r="L70" s="7" t="str">
        <f aca="false">IFERROR(VLOOKUP($A70,areaCercaDatiPerPosizioneSquadre,16,FALSE()),"-")</f>
        <v>0.8356</v>
      </c>
      <c r="M70" s="7" t="str">
        <f aca="false">IFERROR(VLOOKUP($A70,areaCercaDatiPerPosizioneSquadre,17,FALSE()),"-")</f>
        <v>1.2120</v>
      </c>
    </row>
    <row r="71" customFormat="false" ht="15" hidden="false" customHeight="false" outlineLevel="0" collapsed="false">
      <c r="A71" s="119" t="s">
        <v>461</v>
      </c>
      <c r="B71" s="12" t="str">
        <f aca="false">IFERROR(VLOOKUP($A71,areaCercaDatiPerPosizioneSquadre,2,FALSE()),"("&amp;$A71&amp;")")</f>
        <v>Gufi Golosi</v>
      </c>
      <c r="C71" s="95" t="n">
        <f aca="false">IFERROR(VLOOKUP($A71,areaCercaDatiPerPosizioneSquadre,4,FALSE()),"-")</f>
        <v>17</v>
      </c>
      <c r="D71" s="7" t="n">
        <f aca="false">IFERROR(VLOOKUP($A71,areaCercaDatiPerPosizioneSquadre,5,FALSE()),"-")</f>
        <v>7</v>
      </c>
      <c r="E71" s="7" t="n">
        <f aca="false">IFERROR(VLOOKUP($A71,areaCercaDatiPerPosizioneSquadre,6,FALSE()),"-")</f>
        <v>5</v>
      </c>
      <c r="F71" s="7" t="n">
        <f aca="false">IFERROR(VLOOKUP($A71,areaCercaDatiPerPosizioneSquadre,7,FALSE()),"-")</f>
        <v>2</v>
      </c>
      <c r="G71" s="7" t="n">
        <f aca="false">IFERROR(VLOOKUP($A71,areaCercaDatiPerPosizioneSquadre,8,FALSE()),"-")</f>
        <v>0</v>
      </c>
      <c r="H71" s="7" t="n">
        <f aca="false">IFERROR(VLOOKUP($A71,areaCercaDatiPerPosizioneSquadre,9,FALSE()),"-")</f>
        <v>410</v>
      </c>
      <c r="I71" s="7" t="n">
        <f aca="false">IFERROR(VLOOKUP($A71,areaCercaDatiPerPosizioneSquadre,10,FALSE()),"-")</f>
        <v>417</v>
      </c>
      <c r="J71" s="7" t="n">
        <f aca="false">IFERROR(VLOOKUP($A71,areaCercaDatiPerPosizioneSquadre,11,FALSE()),"-")</f>
        <v>-7</v>
      </c>
      <c r="K71" s="7" t="str">
        <f aca="false">IFERROR(VLOOKUP($A71,areaCercaDatiPerPosizioneSquadre,15,FALSE()),"-")</f>
        <v>-</v>
      </c>
      <c r="L71" s="7" t="str">
        <f aca="false">IFERROR(VLOOKUP($A71,areaCercaDatiPerPosizioneSquadre,16,FALSE()),"-")</f>
        <v>-</v>
      </c>
      <c r="M71" s="7" t="str">
        <f aca="false">IFERROR(VLOOKUP($A71,areaCercaDatiPerPosizioneSquadre,17,FALSE()),"-")</f>
        <v>0.9832</v>
      </c>
    </row>
    <row r="72" customFormat="false" ht="15" hidden="false" customHeight="false" outlineLevel="0" collapsed="false">
      <c r="A72" s="119" t="s">
        <v>462</v>
      </c>
      <c r="B72" s="12" t="str">
        <f aca="false">IFERROR(VLOOKUP($A72,areaCercaDatiPerPosizioneSquadre,2,FALSE()),"("&amp;$A72&amp;")")</f>
        <v>Emu Energici</v>
      </c>
      <c r="C72" s="95" t="n">
        <f aca="false">IFERROR(VLOOKUP($A72,areaCercaDatiPerPosizioneSquadre,4,FALSE()),"-")</f>
        <v>15</v>
      </c>
      <c r="D72" s="7" t="n">
        <f aca="false">IFERROR(VLOOKUP($A72,areaCercaDatiPerPosizioneSquadre,5,FALSE()),"-")</f>
        <v>7</v>
      </c>
      <c r="E72" s="7" t="n">
        <f aca="false">IFERROR(VLOOKUP($A72,areaCercaDatiPerPosizioneSquadre,6,FALSE()),"-")</f>
        <v>4</v>
      </c>
      <c r="F72" s="7" t="n">
        <f aca="false">IFERROR(VLOOKUP($A72,areaCercaDatiPerPosizioneSquadre,7,FALSE()),"-")</f>
        <v>3</v>
      </c>
      <c r="G72" s="7" t="n">
        <f aca="false">IFERROR(VLOOKUP($A72,areaCercaDatiPerPosizioneSquadre,8,FALSE()),"-")</f>
        <v>0</v>
      </c>
      <c r="H72" s="7" t="n">
        <f aca="false">IFERROR(VLOOKUP($A72,areaCercaDatiPerPosizioneSquadre,9,FALSE()),"-")</f>
        <v>456</v>
      </c>
      <c r="I72" s="7" t="n">
        <f aca="false">IFERROR(VLOOKUP($A72,areaCercaDatiPerPosizioneSquadre,10,FALSE()),"-")</f>
        <v>367</v>
      </c>
      <c r="J72" s="7" t="n">
        <f aca="false">IFERROR(VLOOKUP($A72,areaCercaDatiPerPosizioneSquadre,11,FALSE()),"-")</f>
        <v>89</v>
      </c>
      <c r="K72" s="7" t="str">
        <f aca="false">IFERROR(VLOOKUP($A72,areaCercaDatiPerPosizioneSquadre,15,FALSE()),"-")</f>
        <v>-</v>
      </c>
      <c r="L72" s="7" t="str">
        <f aca="false">IFERROR(VLOOKUP($A72,areaCercaDatiPerPosizioneSquadre,16,FALSE()),"-")</f>
        <v>-</v>
      </c>
      <c r="M72" s="7" t="str">
        <f aca="false">IFERROR(VLOOKUP($A72,areaCercaDatiPerPosizioneSquadre,17,FALSE()),"-")</f>
        <v>1.2425</v>
      </c>
    </row>
    <row r="73" customFormat="false" ht="15" hidden="false" customHeight="false" outlineLevel="0" collapsed="false">
      <c r="A73" s="119" t="s">
        <v>463</v>
      </c>
      <c r="B73" s="12" t="str">
        <f aca="false">IFERROR(VLOOKUP($A73,areaCercaDatiPerPosizioneSquadre,2,FALSE()),"("&amp;$A73&amp;")")</f>
        <v>Camaleonti Caotici</v>
      </c>
      <c r="C73" s="95" t="n">
        <f aca="false">IFERROR(VLOOKUP($A73,areaCercaDatiPerPosizioneSquadre,4,FALSE()),"-")</f>
        <v>13</v>
      </c>
      <c r="D73" s="7" t="n">
        <f aca="false">IFERROR(VLOOKUP($A73,areaCercaDatiPerPosizioneSquadre,5,FALSE()),"-")</f>
        <v>7</v>
      </c>
      <c r="E73" s="7" t="n">
        <f aca="false">IFERROR(VLOOKUP($A73,areaCercaDatiPerPosizioneSquadre,6,FALSE()),"-")</f>
        <v>3</v>
      </c>
      <c r="F73" s="7" t="n">
        <f aca="false">IFERROR(VLOOKUP($A73,areaCercaDatiPerPosizioneSquadre,7,FALSE()),"-")</f>
        <v>4</v>
      </c>
      <c r="G73" s="7" t="n">
        <f aca="false">IFERROR(VLOOKUP($A73,areaCercaDatiPerPosizioneSquadre,8,FALSE()),"-")</f>
        <v>0</v>
      </c>
      <c r="H73" s="7" t="n">
        <f aca="false">IFERROR(VLOOKUP($A73,areaCercaDatiPerPosizioneSquadre,9,FALSE()),"-")</f>
        <v>416</v>
      </c>
      <c r="I73" s="7" t="n">
        <f aca="false">IFERROR(VLOOKUP($A73,areaCercaDatiPerPosizioneSquadre,10,FALSE()),"-")</f>
        <v>422</v>
      </c>
      <c r="J73" s="7" t="n">
        <f aca="false">IFERROR(VLOOKUP($A73,areaCercaDatiPerPosizioneSquadre,11,FALSE()),"-")</f>
        <v>-6</v>
      </c>
      <c r="K73" s="7" t="str">
        <f aca="false">IFERROR(VLOOKUP($A73,areaCercaDatiPerPosizioneSquadre,15,FALSE()),"-")</f>
        <v>-</v>
      </c>
      <c r="L73" s="7" t="str">
        <f aca="false">IFERROR(VLOOKUP($A73,areaCercaDatiPerPosizioneSquadre,16,FALSE()),"-")</f>
        <v>-</v>
      </c>
      <c r="M73" s="7" t="str">
        <f aca="false">IFERROR(VLOOKUP($A73,areaCercaDatiPerPosizioneSquadre,17,FALSE()),"-")</f>
        <v>0.9858</v>
      </c>
    </row>
    <row r="74" customFormat="false" ht="15" hidden="false" customHeight="false" outlineLevel="0" collapsed="false">
      <c r="A74" s="119" t="s">
        <v>464</v>
      </c>
      <c r="B74" s="12" t="str">
        <f aca="false">IFERROR(VLOOKUP($A74,areaCercaDatiPerPosizioneSquadre,2,FALSE()),"("&amp;$A74&amp;")")</f>
        <v>Foche Frenetiche</v>
      </c>
      <c r="C74" s="95" t="n">
        <f aca="false">IFERROR(VLOOKUP($A74,areaCercaDatiPerPosizioneSquadre,4,FALSE()),"-")</f>
        <v>11</v>
      </c>
      <c r="D74" s="7" t="n">
        <f aca="false">IFERROR(VLOOKUP($A74,areaCercaDatiPerPosizioneSquadre,5,FALSE()),"-")</f>
        <v>7</v>
      </c>
      <c r="E74" s="7" t="n">
        <f aca="false">IFERROR(VLOOKUP($A74,areaCercaDatiPerPosizioneSquadre,6,FALSE()),"-")</f>
        <v>2</v>
      </c>
      <c r="F74" s="7" t="n">
        <f aca="false">IFERROR(VLOOKUP($A74,areaCercaDatiPerPosizioneSquadre,7,FALSE()),"-")</f>
        <v>5</v>
      </c>
      <c r="G74" s="7" t="n">
        <f aca="false">IFERROR(VLOOKUP($A74,areaCercaDatiPerPosizioneSquadre,8,FALSE()),"-")</f>
        <v>0</v>
      </c>
      <c r="H74" s="7" t="n">
        <f aca="false">IFERROR(VLOOKUP($A74,areaCercaDatiPerPosizioneSquadre,9,FALSE()),"-")</f>
        <v>377</v>
      </c>
      <c r="I74" s="7" t="n">
        <f aca="false">IFERROR(VLOOKUP($A74,areaCercaDatiPerPosizioneSquadre,10,FALSE()),"-")</f>
        <v>450</v>
      </c>
      <c r="J74" s="7" t="n">
        <f aca="false">IFERROR(VLOOKUP($A74,areaCercaDatiPerPosizioneSquadre,11,FALSE()),"-")</f>
        <v>-73</v>
      </c>
      <c r="K74" s="7" t="str">
        <f aca="false">IFERROR(VLOOKUP($A74,areaCercaDatiPerPosizioneSquadre,15,FALSE()),"-")</f>
        <v>-</v>
      </c>
      <c r="L74" s="7" t="str">
        <f aca="false">IFERROR(VLOOKUP($A74,areaCercaDatiPerPosizioneSquadre,16,FALSE()),"-")</f>
        <v>-</v>
      </c>
      <c r="M74" s="7" t="str">
        <f aca="false">IFERROR(VLOOKUP($A74,areaCercaDatiPerPosizioneSquadre,17,FALSE()),"-")</f>
        <v>0.8378</v>
      </c>
    </row>
    <row r="75" customFormat="false" ht="15" hidden="false" customHeight="false" outlineLevel="0" collapsed="false">
      <c r="A75" s="119" t="s">
        <v>465</v>
      </c>
      <c r="B75" s="12" t="str">
        <f aca="false">IFERROR(VLOOKUP($A75,areaCercaDatiPerPosizioneSquadre,2,FALSE()),"("&amp;$A75&amp;")")</f>
        <v>Balene Bizzarre</v>
      </c>
      <c r="C75" s="95" t="n">
        <f aca="false">IFERROR(VLOOKUP($A75,areaCercaDatiPerPosizioneSquadre,4,FALSE()),"-")</f>
        <v>9</v>
      </c>
      <c r="D75" s="7" t="n">
        <f aca="false">IFERROR(VLOOKUP($A75,areaCercaDatiPerPosizioneSquadre,5,FALSE()),"-")</f>
        <v>7</v>
      </c>
      <c r="E75" s="7" t="n">
        <f aca="false">IFERROR(VLOOKUP($A75,areaCercaDatiPerPosizioneSquadre,6,FALSE()),"-")</f>
        <v>1</v>
      </c>
      <c r="F75" s="7" t="n">
        <f aca="false">IFERROR(VLOOKUP($A75,areaCercaDatiPerPosizioneSquadre,7,FALSE()),"-")</f>
        <v>6</v>
      </c>
      <c r="G75" s="7" t="n">
        <f aca="false">IFERROR(VLOOKUP($A75,areaCercaDatiPerPosizioneSquadre,8,FALSE()),"-")</f>
        <v>0</v>
      </c>
      <c r="H75" s="7" t="n">
        <f aca="false">IFERROR(VLOOKUP($A75,areaCercaDatiPerPosizioneSquadre,9,FALSE()),"-")</f>
        <v>387</v>
      </c>
      <c r="I75" s="7" t="n">
        <f aca="false">IFERROR(VLOOKUP($A75,areaCercaDatiPerPosizioneSquadre,10,FALSE()),"-")</f>
        <v>467</v>
      </c>
      <c r="J75" s="7" t="n">
        <f aca="false">IFERROR(VLOOKUP($A75,areaCercaDatiPerPosizioneSquadre,11,FALSE()),"-")</f>
        <v>-80</v>
      </c>
      <c r="K75" s="7" t="str">
        <f aca="false">IFERROR(VLOOKUP($A75,areaCercaDatiPerPosizioneSquadre,15,FALSE()),"-")</f>
        <v>1-0</v>
      </c>
      <c r="L75" s="7" t="str">
        <f aca="false">IFERROR(VLOOKUP($A75,areaCercaDatiPerPosizioneSquadre,16,FALSE()),"-")</f>
        <v>1.1034</v>
      </c>
      <c r="M75" s="7" t="str">
        <f aca="false">IFERROR(VLOOKUP($A75,areaCercaDatiPerPosizioneSquadre,17,FALSE()),"-")</f>
        <v>0.8287</v>
      </c>
    </row>
    <row r="76" customFormat="false" ht="15" hidden="false" customHeight="false" outlineLevel="0" collapsed="false">
      <c r="A76" s="119" t="s">
        <v>466</v>
      </c>
      <c r="B76" s="12" t="str">
        <f aca="false">IFERROR(VLOOKUP($A76,areaCercaDatiPerPosizioneSquadre,2,FALSE()),"("&amp;$A76&amp;")")</f>
        <v>Antilopi Ardite</v>
      </c>
      <c r="C76" s="95" t="n">
        <f aca="false">IFERROR(VLOOKUP($A76,areaCercaDatiPerPosizioneSquadre,4,FALSE()),"-")</f>
        <v>9</v>
      </c>
      <c r="D76" s="7" t="n">
        <f aca="false">IFERROR(VLOOKUP($A76,areaCercaDatiPerPosizioneSquadre,5,FALSE()),"-")</f>
        <v>7</v>
      </c>
      <c r="E76" s="7" t="n">
        <f aca="false">IFERROR(VLOOKUP($A76,areaCercaDatiPerPosizioneSquadre,6,FALSE()),"-")</f>
        <v>1</v>
      </c>
      <c r="F76" s="7" t="n">
        <f aca="false">IFERROR(VLOOKUP($A76,areaCercaDatiPerPosizioneSquadre,7,FALSE()),"-")</f>
        <v>6</v>
      </c>
      <c r="G76" s="7" t="n">
        <f aca="false">IFERROR(VLOOKUP($A76,areaCercaDatiPerPosizioneSquadre,8,FALSE()),"-")</f>
        <v>0</v>
      </c>
      <c r="H76" s="7" t="n">
        <f aca="false">IFERROR(VLOOKUP($A76,areaCercaDatiPerPosizioneSquadre,9,FALSE()),"-")</f>
        <v>367</v>
      </c>
      <c r="I76" s="7" t="n">
        <f aca="false">IFERROR(VLOOKUP($A76,areaCercaDatiPerPosizioneSquadre,10,FALSE()),"-")</f>
        <v>482</v>
      </c>
      <c r="J76" s="7" t="n">
        <f aca="false">IFERROR(VLOOKUP($A76,areaCercaDatiPerPosizioneSquadre,11,FALSE()),"-")</f>
        <v>-115</v>
      </c>
      <c r="K76" s="7" t="str">
        <f aca="false">IFERROR(VLOOKUP($A76,areaCercaDatiPerPosizioneSquadre,15,FALSE()),"-")</f>
        <v>0-1</v>
      </c>
      <c r="L76" s="7" t="str">
        <f aca="false">IFERROR(VLOOKUP($A76,areaCercaDatiPerPosizioneSquadre,16,FALSE()),"-")</f>
        <v>0.9063</v>
      </c>
      <c r="M76" s="7" t="str">
        <f aca="false">IFERROR(VLOOKUP($A76,areaCercaDatiPerPosizioneSquadre,17,FALSE()),"-")</f>
        <v>0.7614</v>
      </c>
    </row>
    <row r="78" customFormat="false" ht="19.5" hidden="false" customHeight="true" outlineLevel="0" collapsed="false">
      <c r="A78" s="121" t="str">
        <f aca="false">"CLASSIFICA - GIRONE G"</f>
        <v>CLASSIFICA - GIRONE G</v>
      </c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</row>
    <row r="79" customFormat="false" ht="25.5" hidden="false" customHeight="true" outlineLevel="0" collapsed="false">
      <c r="A79" s="122" t="s">
        <v>419</v>
      </c>
      <c r="B79" s="122" t="s">
        <v>420</v>
      </c>
      <c r="C79" s="122" t="s">
        <v>421</v>
      </c>
      <c r="D79" s="122" t="s">
        <v>422</v>
      </c>
      <c r="E79" s="122"/>
      <c r="F79" s="122"/>
      <c r="G79" s="122"/>
      <c r="H79" s="122" t="s">
        <v>423</v>
      </c>
      <c r="I79" s="122"/>
      <c r="J79" s="122"/>
      <c r="K79" s="122" t="s">
        <v>424</v>
      </c>
      <c r="L79" s="122" t="s">
        <v>425</v>
      </c>
      <c r="M79" s="122" t="s">
        <v>426</v>
      </c>
    </row>
    <row r="80" customFormat="false" ht="15" hidden="false" customHeight="false" outlineLevel="0" collapsed="false">
      <c r="A80" s="122"/>
      <c r="B80" s="122"/>
      <c r="C80" s="122"/>
      <c r="D80" s="123" t="s">
        <v>151</v>
      </c>
      <c r="E80" s="123" t="s">
        <v>427</v>
      </c>
      <c r="F80" s="123" t="s">
        <v>419</v>
      </c>
      <c r="G80" s="123" t="s">
        <v>134</v>
      </c>
      <c r="H80" s="123" t="s">
        <v>428</v>
      </c>
      <c r="I80" s="123" t="s">
        <v>429</v>
      </c>
      <c r="J80" s="123" t="s">
        <v>430</v>
      </c>
      <c r="K80" s="122"/>
      <c r="L80" s="122"/>
      <c r="M80" s="122"/>
    </row>
    <row r="81" customFormat="false" ht="15" hidden="false" customHeight="false" outlineLevel="0" collapsed="false">
      <c r="A81" s="124" t="s">
        <v>409</v>
      </c>
      <c r="B81" s="125" t="str">
        <f aca="false">IFERROR(VLOOKUP($A81,areaCercaDatiPerPosizioneSquadre,2,FALSE()),"("&amp;$A81&amp;")")</f>
        <v>Pinguini Prodigiosi</v>
      </c>
      <c r="C81" s="95" t="n">
        <f aca="false">IFERROR(VLOOKUP($A81,areaCercaDatiPerPosizioneSquadre,4,FALSE()),"-")</f>
        <v>21</v>
      </c>
      <c r="D81" s="7" t="n">
        <f aca="false">IFERROR(VLOOKUP($A81,areaCercaDatiPerPosizioneSquadre,5,FALSE()),"-")</f>
        <v>7</v>
      </c>
      <c r="E81" s="7" t="n">
        <f aca="false">IFERROR(VLOOKUP($A81,areaCercaDatiPerPosizioneSquadre,6,FALSE()),"-")</f>
        <v>7</v>
      </c>
      <c r="F81" s="7" t="n">
        <f aca="false">IFERROR(VLOOKUP($A81,areaCercaDatiPerPosizioneSquadre,7,FALSE()),"-")</f>
        <v>0</v>
      </c>
      <c r="G81" s="7" t="n">
        <f aca="false">IFERROR(VLOOKUP($A81,areaCercaDatiPerPosizioneSquadre,8,FALSE()),"-")</f>
        <v>0</v>
      </c>
      <c r="H81" s="7" t="n">
        <f aca="false">IFERROR(VLOOKUP($A81,areaCercaDatiPerPosizioneSquadre,9,FALSE()),"-")</f>
        <v>521</v>
      </c>
      <c r="I81" s="7" t="n">
        <f aca="false">IFERROR(VLOOKUP($A81,areaCercaDatiPerPosizioneSquadre,10,FALSE()),"-")</f>
        <v>336</v>
      </c>
      <c r="J81" s="7" t="n">
        <f aca="false">IFERROR(VLOOKUP($A81,areaCercaDatiPerPosizioneSquadre,11,FALSE()),"-")</f>
        <v>185</v>
      </c>
      <c r="K81" s="7" t="str">
        <f aca="false">IFERROR(VLOOKUP($A81,areaCercaDatiPerPosizioneSquadre,15,FALSE()),"-")</f>
        <v>-</v>
      </c>
      <c r="L81" s="7" t="str">
        <f aca="false">IFERROR(VLOOKUP($A81,areaCercaDatiPerPosizioneSquadre,16,FALSE()),"-")</f>
        <v>-</v>
      </c>
      <c r="M81" s="7" t="str">
        <f aca="false">IFERROR(VLOOKUP($A81,areaCercaDatiPerPosizioneSquadre,17,FALSE()),"-")</f>
        <v>1.5506</v>
      </c>
    </row>
    <row r="82" customFormat="false" ht="15" hidden="false" customHeight="false" outlineLevel="0" collapsed="false">
      <c r="A82" s="124" t="s">
        <v>400</v>
      </c>
      <c r="B82" s="125" t="str">
        <f aca="false">IFERROR(VLOOKUP($A82,areaCercaDatiPerPosizioneSquadre,2,FALSE()),"("&amp;$A82&amp;")")</f>
        <v>Struzzi Strepitosi</v>
      </c>
      <c r="C82" s="95" t="n">
        <f aca="false">IFERROR(VLOOKUP($A82,areaCercaDatiPerPosizioneSquadre,4,FALSE()),"-")</f>
        <v>19</v>
      </c>
      <c r="D82" s="7" t="n">
        <f aca="false">IFERROR(VLOOKUP($A82,areaCercaDatiPerPosizioneSquadre,5,FALSE()),"-")</f>
        <v>7</v>
      </c>
      <c r="E82" s="7" t="n">
        <f aca="false">IFERROR(VLOOKUP($A82,areaCercaDatiPerPosizioneSquadre,6,FALSE()),"-")</f>
        <v>6</v>
      </c>
      <c r="F82" s="7" t="n">
        <f aca="false">IFERROR(VLOOKUP($A82,areaCercaDatiPerPosizioneSquadre,7,FALSE()),"-")</f>
        <v>1</v>
      </c>
      <c r="G82" s="7" t="n">
        <f aca="false">IFERROR(VLOOKUP($A82,areaCercaDatiPerPosizioneSquadre,8,FALSE()),"-")</f>
        <v>0</v>
      </c>
      <c r="H82" s="7" t="n">
        <f aca="false">IFERROR(VLOOKUP($A82,areaCercaDatiPerPosizioneSquadre,9,FALSE()),"-")</f>
        <v>467</v>
      </c>
      <c r="I82" s="7" t="n">
        <f aca="false">IFERROR(VLOOKUP($A82,areaCercaDatiPerPosizioneSquadre,10,FALSE()),"-")</f>
        <v>377</v>
      </c>
      <c r="J82" s="7" t="n">
        <f aca="false">IFERROR(VLOOKUP($A82,areaCercaDatiPerPosizioneSquadre,11,FALSE()),"-")</f>
        <v>90</v>
      </c>
      <c r="K82" s="7" t="str">
        <f aca="false">IFERROR(VLOOKUP($A82,areaCercaDatiPerPosizioneSquadre,15,FALSE()),"-")</f>
        <v>-</v>
      </c>
      <c r="L82" s="7" t="str">
        <f aca="false">IFERROR(VLOOKUP($A82,areaCercaDatiPerPosizioneSquadre,16,FALSE()),"-")</f>
        <v>-</v>
      </c>
      <c r="M82" s="7" t="str">
        <f aca="false">IFERROR(VLOOKUP($A82,areaCercaDatiPerPosizioneSquadre,17,FALSE()),"-")</f>
        <v>1.2387</v>
      </c>
    </row>
    <row r="83" customFormat="false" ht="15" hidden="false" customHeight="false" outlineLevel="0" collapsed="false">
      <c r="A83" s="124" t="s">
        <v>467</v>
      </c>
      <c r="B83" s="12" t="str">
        <f aca="false">IFERROR(VLOOKUP($A83,areaCercaDatiPerPosizioneSquadre,2,FALSE()),"("&amp;$A83&amp;")")</f>
        <v>Leopardi Leggiadri</v>
      </c>
      <c r="C83" s="95" t="n">
        <f aca="false">IFERROR(VLOOKUP($A83,areaCercaDatiPerPosizioneSquadre,4,FALSE()),"-")</f>
        <v>15</v>
      </c>
      <c r="D83" s="7" t="n">
        <f aca="false">IFERROR(VLOOKUP($A83,areaCercaDatiPerPosizioneSquadre,5,FALSE()),"-")</f>
        <v>7</v>
      </c>
      <c r="E83" s="7" t="n">
        <f aca="false">IFERROR(VLOOKUP($A83,areaCercaDatiPerPosizioneSquadre,6,FALSE()),"-")</f>
        <v>4</v>
      </c>
      <c r="F83" s="7" t="n">
        <f aca="false">IFERROR(VLOOKUP($A83,areaCercaDatiPerPosizioneSquadre,7,FALSE()),"-")</f>
        <v>3</v>
      </c>
      <c r="G83" s="7" t="n">
        <f aca="false">IFERROR(VLOOKUP($A83,areaCercaDatiPerPosizioneSquadre,8,FALSE()),"-")</f>
        <v>0</v>
      </c>
      <c r="H83" s="7" t="n">
        <f aca="false">IFERROR(VLOOKUP($A83,areaCercaDatiPerPosizioneSquadre,9,FALSE()),"-")</f>
        <v>419</v>
      </c>
      <c r="I83" s="7" t="n">
        <f aca="false">IFERROR(VLOOKUP($A83,areaCercaDatiPerPosizioneSquadre,10,FALSE()),"-")</f>
        <v>444</v>
      </c>
      <c r="J83" s="7" t="n">
        <f aca="false">IFERROR(VLOOKUP($A83,areaCercaDatiPerPosizioneSquadre,11,FALSE()),"-")</f>
        <v>-25</v>
      </c>
      <c r="K83" s="7" t="str">
        <f aca="false">IFERROR(VLOOKUP($A83,areaCercaDatiPerPosizioneSquadre,15,FALSE()),"-")</f>
        <v>1-0</v>
      </c>
      <c r="L83" s="7" t="str">
        <f aca="false">IFERROR(VLOOKUP($A83,areaCercaDatiPerPosizioneSquadre,16,FALSE()),"-")</f>
        <v>1.1364</v>
      </c>
      <c r="M83" s="7" t="str">
        <f aca="false">IFERROR(VLOOKUP($A83,areaCercaDatiPerPosizioneSquadre,17,FALSE()),"-")</f>
        <v>0.9437</v>
      </c>
    </row>
    <row r="84" customFormat="false" ht="15" hidden="false" customHeight="false" outlineLevel="0" collapsed="false">
      <c r="A84" s="124" t="s">
        <v>468</v>
      </c>
      <c r="B84" s="12" t="str">
        <f aca="false">IFERROR(VLOOKUP($A84,areaCercaDatiPerPosizioneSquadre,2,FALSE()),"("&amp;$A84&amp;")")</f>
        <v>Meduse Malandrine</v>
      </c>
      <c r="C84" s="95" t="n">
        <f aca="false">IFERROR(VLOOKUP($A84,areaCercaDatiPerPosizioneSquadre,4,FALSE()),"-")</f>
        <v>15</v>
      </c>
      <c r="D84" s="7" t="n">
        <f aca="false">IFERROR(VLOOKUP($A84,areaCercaDatiPerPosizioneSquadre,5,FALSE()),"-")</f>
        <v>7</v>
      </c>
      <c r="E84" s="7" t="n">
        <f aca="false">IFERROR(VLOOKUP($A84,areaCercaDatiPerPosizioneSquadre,6,FALSE()),"-")</f>
        <v>4</v>
      </c>
      <c r="F84" s="7" t="n">
        <f aca="false">IFERROR(VLOOKUP($A84,areaCercaDatiPerPosizioneSquadre,7,FALSE()),"-")</f>
        <v>3</v>
      </c>
      <c r="G84" s="7" t="n">
        <f aca="false">IFERROR(VLOOKUP($A84,areaCercaDatiPerPosizioneSquadre,8,FALSE()),"-")</f>
        <v>0</v>
      </c>
      <c r="H84" s="7" t="n">
        <f aca="false">IFERROR(VLOOKUP($A84,areaCercaDatiPerPosizioneSquadre,9,FALSE()),"-")</f>
        <v>410</v>
      </c>
      <c r="I84" s="7" t="n">
        <f aca="false">IFERROR(VLOOKUP($A84,areaCercaDatiPerPosizioneSquadre,10,FALSE()),"-")</f>
        <v>438</v>
      </c>
      <c r="J84" s="7" t="n">
        <f aca="false">IFERROR(VLOOKUP($A84,areaCercaDatiPerPosizioneSquadre,11,FALSE()),"-")</f>
        <v>-28</v>
      </c>
      <c r="K84" s="7" t="str">
        <f aca="false">IFERROR(VLOOKUP($A84,areaCercaDatiPerPosizioneSquadre,15,FALSE()),"-")</f>
        <v>0-1</v>
      </c>
      <c r="L84" s="7" t="str">
        <f aca="false">IFERROR(VLOOKUP($A84,areaCercaDatiPerPosizioneSquadre,16,FALSE()),"-")</f>
        <v>0.8800</v>
      </c>
      <c r="M84" s="7" t="str">
        <f aca="false">IFERROR(VLOOKUP($A84,areaCercaDatiPerPosizioneSquadre,17,FALSE()),"-")</f>
        <v>0.9361</v>
      </c>
    </row>
    <row r="85" customFormat="false" ht="15" hidden="false" customHeight="false" outlineLevel="0" collapsed="false">
      <c r="A85" s="124" t="s">
        <v>469</v>
      </c>
      <c r="B85" s="12" t="str">
        <f aca="false">IFERROR(VLOOKUP($A85,areaCercaDatiPerPosizioneSquadre,2,FALSE()),"("&amp;$A85&amp;")")</f>
        <v>Koala Kolossali</v>
      </c>
      <c r="C85" s="95" t="n">
        <f aca="false">IFERROR(VLOOKUP($A85,areaCercaDatiPerPosizioneSquadre,4,FALSE()),"-")</f>
        <v>13</v>
      </c>
      <c r="D85" s="7" t="n">
        <f aca="false">IFERROR(VLOOKUP($A85,areaCercaDatiPerPosizioneSquadre,5,FALSE()),"-")</f>
        <v>7</v>
      </c>
      <c r="E85" s="7" t="n">
        <f aca="false">IFERROR(VLOOKUP($A85,areaCercaDatiPerPosizioneSquadre,6,FALSE()),"-")</f>
        <v>3</v>
      </c>
      <c r="F85" s="7" t="n">
        <f aca="false">IFERROR(VLOOKUP($A85,areaCercaDatiPerPosizioneSquadre,7,FALSE()),"-")</f>
        <v>4</v>
      </c>
      <c r="G85" s="7" t="n">
        <f aca="false">IFERROR(VLOOKUP($A85,areaCercaDatiPerPosizioneSquadre,8,FALSE()),"-")</f>
        <v>0</v>
      </c>
      <c r="H85" s="7" t="n">
        <f aca="false">IFERROR(VLOOKUP($A85,areaCercaDatiPerPosizioneSquadre,9,FALSE()),"-")</f>
        <v>408</v>
      </c>
      <c r="I85" s="7" t="n">
        <f aca="false">IFERROR(VLOOKUP($A85,areaCercaDatiPerPosizioneSquadre,10,FALSE()),"-")</f>
        <v>423</v>
      </c>
      <c r="J85" s="7" t="n">
        <f aca="false">IFERROR(VLOOKUP($A85,areaCercaDatiPerPosizioneSquadre,11,FALSE()),"-")</f>
        <v>-15</v>
      </c>
      <c r="K85" s="7" t="str">
        <f aca="false">IFERROR(VLOOKUP($A85,areaCercaDatiPerPosizioneSquadre,15,FALSE()),"-")</f>
        <v>-</v>
      </c>
      <c r="L85" s="7" t="str">
        <f aca="false">IFERROR(VLOOKUP($A85,areaCercaDatiPerPosizioneSquadre,16,FALSE()),"-")</f>
        <v>-</v>
      </c>
      <c r="M85" s="7" t="str">
        <f aca="false">IFERROR(VLOOKUP($A85,areaCercaDatiPerPosizioneSquadre,17,FALSE()),"-")</f>
        <v>0.9645</v>
      </c>
    </row>
    <row r="86" customFormat="false" ht="15" hidden="false" customHeight="false" outlineLevel="0" collapsed="false">
      <c r="A86" s="124" t="s">
        <v>470</v>
      </c>
      <c r="B86" s="12" t="str">
        <f aca="false">IFERROR(VLOOKUP($A86,areaCercaDatiPerPosizioneSquadre,2,FALSE()),"("&amp;$A86&amp;")")</f>
        <v>Orangotanghi Operosi</v>
      </c>
      <c r="C86" s="95" t="n">
        <f aca="false">IFERROR(VLOOKUP($A86,areaCercaDatiPerPosizioneSquadre,4,FALSE()),"-")</f>
        <v>11</v>
      </c>
      <c r="D86" s="7" t="n">
        <f aca="false">IFERROR(VLOOKUP($A86,areaCercaDatiPerPosizioneSquadre,5,FALSE()),"-")</f>
        <v>7</v>
      </c>
      <c r="E86" s="7" t="n">
        <f aca="false">IFERROR(VLOOKUP($A86,areaCercaDatiPerPosizioneSquadre,6,FALSE()),"-")</f>
        <v>2</v>
      </c>
      <c r="F86" s="7" t="n">
        <f aca="false">IFERROR(VLOOKUP($A86,areaCercaDatiPerPosizioneSquadre,7,FALSE()),"-")</f>
        <v>5</v>
      </c>
      <c r="G86" s="7" t="n">
        <f aca="false">IFERROR(VLOOKUP($A86,areaCercaDatiPerPosizioneSquadre,8,FALSE()),"-")</f>
        <v>0</v>
      </c>
      <c r="H86" s="7" t="n">
        <f aca="false">IFERROR(VLOOKUP($A86,areaCercaDatiPerPosizioneSquadre,9,FALSE()),"-")</f>
        <v>419</v>
      </c>
      <c r="I86" s="7" t="n">
        <f aca="false">IFERROR(VLOOKUP($A86,areaCercaDatiPerPosizioneSquadre,10,FALSE()),"-")</f>
        <v>445</v>
      </c>
      <c r="J86" s="7" t="n">
        <f aca="false">IFERROR(VLOOKUP($A86,areaCercaDatiPerPosizioneSquadre,11,FALSE()),"-")</f>
        <v>-26</v>
      </c>
      <c r="K86" s="7" t="str">
        <f aca="false">IFERROR(VLOOKUP($A86,areaCercaDatiPerPosizioneSquadre,15,FALSE()),"-")</f>
        <v>-</v>
      </c>
      <c r="L86" s="7" t="str">
        <f aca="false">IFERROR(VLOOKUP($A86,areaCercaDatiPerPosizioneSquadre,16,FALSE()),"-")</f>
        <v>-</v>
      </c>
      <c r="M86" s="7" t="str">
        <f aca="false">IFERROR(VLOOKUP($A86,areaCercaDatiPerPosizioneSquadre,17,FALSE()),"-")</f>
        <v>0.9416</v>
      </c>
    </row>
    <row r="87" customFormat="false" ht="15" hidden="false" customHeight="false" outlineLevel="0" collapsed="false">
      <c r="A87" s="124" t="s">
        <v>471</v>
      </c>
      <c r="B87" s="12" t="str">
        <f aca="false">IFERROR(VLOOKUP($A87,areaCercaDatiPerPosizioneSquadre,2,FALSE()),"("&amp;$A87&amp;")")</f>
        <v>Renne Rocambolesche</v>
      </c>
      <c r="C87" s="95" t="n">
        <f aca="false">IFERROR(VLOOKUP($A87,areaCercaDatiPerPosizioneSquadre,4,FALSE()),"-")</f>
        <v>9</v>
      </c>
      <c r="D87" s="7" t="n">
        <f aca="false">IFERROR(VLOOKUP($A87,areaCercaDatiPerPosizioneSquadre,5,FALSE()),"-")</f>
        <v>7</v>
      </c>
      <c r="E87" s="7" t="n">
        <f aca="false">IFERROR(VLOOKUP($A87,areaCercaDatiPerPosizioneSquadre,6,FALSE()),"-")</f>
        <v>1</v>
      </c>
      <c r="F87" s="7" t="n">
        <f aca="false">IFERROR(VLOOKUP($A87,areaCercaDatiPerPosizioneSquadre,7,FALSE()),"-")</f>
        <v>6</v>
      </c>
      <c r="G87" s="7" t="n">
        <f aca="false">IFERROR(VLOOKUP($A87,areaCercaDatiPerPosizioneSquadre,8,FALSE()),"-")</f>
        <v>0</v>
      </c>
      <c r="H87" s="7" t="n">
        <f aca="false">IFERROR(VLOOKUP($A87,areaCercaDatiPerPosizioneSquadre,9,FALSE()),"-")</f>
        <v>371</v>
      </c>
      <c r="I87" s="7" t="n">
        <f aca="false">IFERROR(VLOOKUP($A87,areaCercaDatiPerPosizioneSquadre,10,FALSE()),"-")</f>
        <v>459</v>
      </c>
      <c r="J87" s="7" t="n">
        <f aca="false">IFERROR(VLOOKUP($A87,areaCercaDatiPerPosizioneSquadre,11,FALSE()),"-")</f>
        <v>-88</v>
      </c>
      <c r="K87" s="7" t="str">
        <f aca="false">IFERROR(VLOOKUP($A87,areaCercaDatiPerPosizioneSquadre,15,FALSE()),"-")</f>
        <v>1-0</v>
      </c>
      <c r="L87" s="7" t="str">
        <f aca="false">IFERROR(VLOOKUP($A87,areaCercaDatiPerPosizioneSquadre,16,FALSE()),"-")</f>
        <v>1.2333</v>
      </c>
      <c r="M87" s="7" t="str">
        <f aca="false">IFERROR(VLOOKUP($A87,areaCercaDatiPerPosizioneSquadre,17,FALSE()),"-")</f>
        <v>0.8083</v>
      </c>
    </row>
    <row r="88" customFormat="false" ht="15" hidden="false" customHeight="false" outlineLevel="0" collapsed="false">
      <c r="A88" s="124" t="s">
        <v>472</v>
      </c>
      <c r="B88" s="12" t="str">
        <f aca="false">IFERROR(VLOOKUP($A88,areaCercaDatiPerPosizioneSquadre,2,FALSE()),"("&amp;$A88&amp;")")</f>
        <v>Nandu Nottambuli</v>
      </c>
      <c r="C88" s="95" t="n">
        <f aca="false">IFERROR(VLOOKUP($A88,areaCercaDatiPerPosizioneSquadre,4,FALSE()),"-")</f>
        <v>9</v>
      </c>
      <c r="D88" s="7" t="n">
        <f aca="false">IFERROR(VLOOKUP($A88,areaCercaDatiPerPosizioneSquadre,5,FALSE()),"-")</f>
        <v>7</v>
      </c>
      <c r="E88" s="7" t="n">
        <f aca="false">IFERROR(VLOOKUP($A88,areaCercaDatiPerPosizioneSquadre,6,FALSE()),"-")</f>
        <v>1</v>
      </c>
      <c r="F88" s="7" t="n">
        <f aca="false">IFERROR(VLOOKUP($A88,areaCercaDatiPerPosizioneSquadre,7,FALSE()),"-")</f>
        <v>6</v>
      </c>
      <c r="G88" s="7" t="n">
        <f aca="false">IFERROR(VLOOKUP($A88,areaCercaDatiPerPosizioneSquadre,8,FALSE()),"-")</f>
        <v>0</v>
      </c>
      <c r="H88" s="7" t="n">
        <f aca="false">IFERROR(VLOOKUP($A88,areaCercaDatiPerPosizioneSquadre,9,FALSE()),"-")</f>
        <v>397</v>
      </c>
      <c r="I88" s="7" t="n">
        <f aca="false">IFERROR(VLOOKUP($A88,areaCercaDatiPerPosizioneSquadre,10,FALSE()),"-")</f>
        <v>490</v>
      </c>
      <c r="J88" s="7" t="n">
        <f aca="false">IFERROR(VLOOKUP($A88,areaCercaDatiPerPosizioneSquadre,11,FALSE()),"-")</f>
        <v>-93</v>
      </c>
      <c r="K88" s="7" t="str">
        <f aca="false">IFERROR(VLOOKUP($A88,areaCercaDatiPerPosizioneSquadre,15,FALSE()),"-")</f>
        <v>0-1</v>
      </c>
      <c r="L88" s="7" t="str">
        <f aca="false">IFERROR(VLOOKUP($A88,areaCercaDatiPerPosizioneSquadre,16,FALSE()),"-")</f>
        <v>0.8108</v>
      </c>
      <c r="M88" s="7" t="str">
        <f aca="false">IFERROR(VLOOKUP($A88,areaCercaDatiPerPosizioneSquadre,17,FALSE()),"-")</f>
        <v>0.8102</v>
      </c>
    </row>
    <row r="90" customFormat="false" ht="19.5" hidden="false" customHeight="true" outlineLevel="0" collapsed="false">
      <c r="A90" s="126" t="str">
        <f aca="false">"CLASSIFICA - GIRONE H"</f>
        <v>CLASSIFICA - GIRONE H</v>
      </c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</row>
    <row r="91" customFormat="false" ht="25.5" hidden="false" customHeight="true" outlineLevel="0" collapsed="false">
      <c r="A91" s="127" t="s">
        <v>419</v>
      </c>
      <c r="B91" s="127" t="s">
        <v>420</v>
      </c>
      <c r="C91" s="127" t="s">
        <v>421</v>
      </c>
      <c r="D91" s="127" t="s">
        <v>422</v>
      </c>
      <c r="E91" s="127"/>
      <c r="F91" s="127"/>
      <c r="G91" s="127"/>
      <c r="H91" s="127" t="s">
        <v>423</v>
      </c>
      <c r="I91" s="127"/>
      <c r="J91" s="127"/>
      <c r="K91" s="127" t="s">
        <v>424</v>
      </c>
      <c r="L91" s="127" t="s">
        <v>425</v>
      </c>
      <c r="M91" s="127" t="s">
        <v>426</v>
      </c>
    </row>
    <row r="92" customFormat="false" ht="15" hidden="false" customHeight="false" outlineLevel="0" collapsed="false">
      <c r="A92" s="127"/>
      <c r="B92" s="127"/>
      <c r="C92" s="127"/>
      <c r="D92" s="128" t="s">
        <v>151</v>
      </c>
      <c r="E92" s="128" t="s">
        <v>427</v>
      </c>
      <c r="F92" s="128" t="s">
        <v>419</v>
      </c>
      <c r="G92" s="128" t="s">
        <v>134</v>
      </c>
      <c r="H92" s="128" t="s">
        <v>428</v>
      </c>
      <c r="I92" s="128" t="s">
        <v>429</v>
      </c>
      <c r="J92" s="128" t="s">
        <v>430</v>
      </c>
      <c r="K92" s="127"/>
      <c r="L92" s="127"/>
      <c r="M92" s="127"/>
    </row>
    <row r="93" customFormat="false" ht="15" hidden="false" customHeight="false" outlineLevel="0" collapsed="false">
      <c r="A93" s="129" t="s">
        <v>411</v>
      </c>
      <c r="B93" s="130" t="str">
        <f aca="false">IFERROR(VLOOKUP($A93,areaCercaDatiPerPosizioneSquadre,2,FALSE()),"("&amp;$A93&amp;")")</f>
        <v>Zanzare Zampettanti</v>
      </c>
      <c r="C93" s="95" t="n">
        <f aca="false">IFERROR(VLOOKUP($A93,areaCercaDatiPerPosizioneSquadre,4,FALSE()),"-")</f>
        <v>21</v>
      </c>
      <c r="D93" s="7" t="n">
        <f aca="false">IFERROR(VLOOKUP($A93,areaCercaDatiPerPosizioneSquadre,5,FALSE()),"-")</f>
        <v>7</v>
      </c>
      <c r="E93" s="7" t="n">
        <f aca="false">IFERROR(VLOOKUP($A93,areaCercaDatiPerPosizioneSquadre,6,FALSE()),"-")</f>
        <v>7</v>
      </c>
      <c r="F93" s="7" t="n">
        <f aca="false">IFERROR(VLOOKUP($A93,areaCercaDatiPerPosizioneSquadre,7,FALSE()),"-")</f>
        <v>0</v>
      </c>
      <c r="G93" s="7" t="n">
        <f aca="false">IFERROR(VLOOKUP($A93,areaCercaDatiPerPosizioneSquadre,8,FALSE()),"-")</f>
        <v>0</v>
      </c>
      <c r="H93" s="7" t="n">
        <f aca="false">IFERROR(VLOOKUP($A93,areaCercaDatiPerPosizioneSquadre,9,FALSE()),"-")</f>
        <v>489</v>
      </c>
      <c r="I93" s="7" t="n">
        <f aca="false">IFERROR(VLOOKUP($A93,areaCercaDatiPerPosizioneSquadre,10,FALSE()),"-")</f>
        <v>361</v>
      </c>
      <c r="J93" s="7" t="n">
        <f aca="false">IFERROR(VLOOKUP($A93,areaCercaDatiPerPosizioneSquadre,11,FALSE()),"-")</f>
        <v>128</v>
      </c>
      <c r="K93" s="7" t="str">
        <f aca="false">IFERROR(VLOOKUP($A93,areaCercaDatiPerPosizioneSquadre,15,FALSE()),"-")</f>
        <v>-</v>
      </c>
      <c r="L93" s="7" t="str">
        <f aca="false">IFERROR(VLOOKUP($A93,areaCercaDatiPerPosizioneSquadre,16,FALSE()),"-")</f>
        <v>-</v>
      </c>
      <c r="M93" s="7" t="str">
        <f aca="false">IFERROR(VLOOKUP($A93,areaCercaDatiPerPosizioneSquadre,17,FALSE()),"-")</f>
        <v>1.3546</v>
      </c>
    </row>
    <row r="94" customFormat="false" ht="15" hidden="false" customHeight="false" outlineLevel="0" collapsed="false">
      <c r="A94" s="129" t="s">
        <v>398</v>
      </c>
      <c r="B94" s="130" t="str">
        <f aca="false">IFERROR(VLOOKUP($A94,areaCercaDatiPerPosizioneSquadre,2,FALSE()),"("&amp;$A94&amp;")")</f>
        <v>Urubu Urlanti</v>
      </c>
      <c r="C94" s="95" t="n">
        <f aca="false">IFERROR(VLOOKUP($A94,areaCercaDatiPerPosizioneSquadre,4,FALSE()),"-")</f>
        <v>19</v>
      </c>
      <c r="D94" s="7" t="n">
        <f aca="false">IFERROR(VLOOKUP($A94,areaCercaDatiPerPosizioneSquadre,5,FALSE()),"-")</f>
        <v>7</v>
      </c>
      <c r="E94" s="7" t="n">
        <f aca="false">IFERROR(VLOOKUP($A94,areaCercaDatiPerPosizioneSquadre,6,FALSE()),"-")</f>
        <v>6</v>
      </c>
      <c r="F94" s="7" t="n">
        <f aca="false">IFERROR(VLOOKUP($A94,areaCercaDatiPerPosizioneSquadre,7,FALSE()),"-")</f>
        <v>1</v>
      </c>
      <c r="G94" s="7" t="n">
        <f aca="false">IFERROR(VLOOKUP($A94,areaCercaDatiPerPosizioneSquadre,8,FALSE()),"-")</f>
        <v>0</v>
      </c>
      <c r="H94" s="7" t="n">
        <f aca="false">IFERROR(VLOOKUP($A94,areaCercaDatiPerPosizioneSquadre,9,FALSE()),"-")</f>
        <v>457</v>
      </c>
      <c r="I94" s="7" t="n">
        <f aca="false">IFERROR(VLOOKUP($A94,areaCercaDatiPerPosizioneSquadre,10,FALSE()),"-")</f>
        <v>393</v>
      </c>
      <c r="J94" s="7" t="n">
        <f aca="false">IFERROR(VLOOKUP($A94,areaCercaDatiPerPosizioneSquadre,11,FALSE()),"-")</f>
        <v>64</v>
      </c>
      <c r="K94" s="7" t="str">
        <f aca="false">IFERROR(VLOOKUP($A94,areaCercaDatiPerPosizioneSquadre,15,FALSE()),"-")</f>
        <v>-</v>
      </c>
      <c r="L94" s="7" t="str">
        <f aca="false">IFERROR(VLOOKUP($A94,areaCercaDatiPerPosizioneSquadre,16,FALSE()),"-")</f>
        <v>-</v>
      </c>
      <c r="M94" s="7" t="str">
        <f aca="false">IFERROR(VLOOKUP($A94,areaCercaDatiPerPosizioneSquadre,17,FALSE()),"-")</f>
        <v>1.1628</v>
      </c>
    </row>
    <row r="95" customFormat="false" ht="15" hidden="false" customHeight="false" outlineLevel="0" collapsed="false">
      <c r="A95" s="129" t="s">
        <v>473</v>
      </c>
      <c r="B95" s="12" t="str">
        <f aca="false">IFERROR(VLOOKUP($A95,areaCercaDatiPerPosizioneSquadre,2,FALSE()),"("&amp;$A95&amp;")")</f>
        <v>Tartarughe Testarde</v>
      </c>
      <c r="C95" s="95" t="n">
        <f aca="false">IFERROR(VLOOKUP($A95,areaCercaDatiPerPosizioneSquadre,4,FALSE()),"-")</f>
        <v>17</v>
      </c>
      <c r="D95" s="7" t="n">
        <f aca="false">IFERROR(VLOOKUP($A95,areaCercaDatiPerPosizioneSquadre,5,FALSE()),"-")</f>
        <v>7</v>
      </c>
      <c r="E95" s="7" t="n">
        <f aca="false">IFERROR(VLOOKUP($A95,areaCercaDatiPerPosizioneSquadre,6,FALSE()),"-")</f>
        <v>5</v>
      </c>
      <c r="F95" s="7" t="n">
        <f aca="false">IFERROR(VLOOKUP($A95,areaCercaDatiPerPosizioneSquadre,7,FALSE()),"-")</f>
        <v>2</v>
      </c>
      <c r="G95" s="7" t="n">
        <f aca="false">IFERROR(VLOOKUP($A95,areaCercaDatiPerPosizioneSquadre,8,FALSE()),"-")</f>
        <v>0</v>
      </c>
      <c r="H95" s="7" t="n">
        <f aca="false">IFERROR(VLOOKUP($A95,areaCercaDatiPerPosizioneSquadre,9,FALSE()),"-")</f>
        <v>467</v>
      </c>
      <c r="I95" s="7" t="n">
        <f aca="false">IFERROR(VLOOKUP($A95,areaCercaDatiPerPosizioneSquadre,10,FALSE()),"-")</f>
        <v>380</v>
      </c>
      <c r="J95" s="7" t="n">
        <f aca="false">IFERROR(VLOOKUP($A95,areaCercaDatiPerPosizioneSquadre,11,FALSE()),"-")</f>
        <v>87</v>
      </c>
      <c r="K95" s="7" t="str">
        <f aca="false">IFERROR(VLOOKUP($A95,areaCercaDatiPerPosizioneSquadre,15,FALSE()),"-")</f>
        <v>-</v>
      </c>
      <c r="L95" s="7" t="str">
        <f aca="false">IFERROR(VLOOKUP($A95,areaCercaDatiPerPosizioneSquadre,16,FALSE()),"-")</f>
        <v>-</v>
      </c>
      <c r="M95" s="7" t="str">
        <f aca="false">IFERROR(VLOOKUP($A95,areaCercaDatiPerPosizioneSquadre,17,FALSE()),"-")</f>
        <v>1.2289</v>
      </c>
    </row>
    <row r="96" customFormat="false" ht="15" hidden="false" customHeight="false" outlineLevel="0" collapsed="false">
      <c r="A96" s="129" t="s">
        <v>474</v>
      </c>
      <c r="B96" s="12" t="str">
        <f aca="false">IFERROR(VLOOKUP($A96,areaCercaDatiPerPosizioneSquadre,2,FALSE()),"("&amp;$A96&amp;")")</f>
        <v>Draghi Dinamici</v>
      </c>
      <c r="C96" s="95" t="n">
        <f aca="false">IFERROR(VLOOKUP($A96,areaCercaDatiPerPosizioneSquadre,4,FALSE()),"-")</f>
        <v>13</v>
      </c>
      <c r="D96" s="7" t="n">
        <f aca="false">IFERROR(VLOOKUP($A96,areaCercaDatiPerPosizioneSquadre,5,FALSE()),"-")</f>
        <v>7</v>
      </c>
      <c r="E96" s="7" t="n">
        <f aca="false">IFERROR(VLOOKUP($A96,areaCercaDatiPerPosizioneSquadre,6,FALSE()),"-")</f>
        <v>3</v>
      </c>
      <c r="F96" s="7" t="n">
        <f aca="false">IFERROR(VLOOKUP($A96,areaCercaDatiPerPosizioneSquadre,7,FALSE()),"-")</f>
        <v>4</v>
      </c>
      <c r="G96" s="7" t="n">
        <f aca="false">IFERROR(VLOOKUP($A96,areaCercaDatiPerPosizioneSquadre,8,FALSE()),"-")</f>
        <v>0</v>
      </c>
      <c r="H96" s="7" t="n">
        <f aca="false">IFERROR(VLOOKUP($A96,areaCercaDatiPerPosizioneSquadre,9,FALSE()),"-")</f>
        <v>441</v>
      </c>
      <c r="I96" s="7" t="n">
        <f aca="false">IFERROR(VLOOKUP($A96,areaCercaDatiPerPosizioneSquadre,10,FALSE()),"-")</f>
        <v>475</v>
      </c>
      <c r="J96" s="7" t="n">
        <f aca="false">IFERROR(VLOOKUP($A96,areaCercaDatiPerPosizioneSquadre,11,FALSE()),"-")</f>
        <v>-34</v>
      </c>
      <c r="K96" s="7" t="str">
        <f aca="false">IFERROR(VLOOKUP($A96,areaCercaDatiPerPosizioneSquadre,15,FALSE()),"-")</f>
        <v>1-0</v>
      </c>
      <c r="L96" s="7" t="str">
        <f aca="false">IFERROR(VLOOKUP($A96,areaCercaDatiPerPosizioneSquadre,16,FALSE()),"-")</f>
        <v>1.0857</v>
      </c>
      <c r="M96" s="7" t="str">
        <f aca="false">IFERROR(VLOOKUP($A96,areaCercaDatiPerPosizioneSquadre,17,FALSE()),"-")</f>
        <v>0.9284</v>
      </c>
    </row>
    <row r="97" customFormat="false" ht="15" hidden="false" customHeight="false" outlineLevel="0" collapsed="false">
      <c r="A97" s="129" t="s">
        <v>475</v>
      </c>
      <c r="B97" s="12" t="str">
        <f aca="false">IFERROR(VLOOKUP($A97,areaCercaDatiPerPosizioneSquadre,2,FALSE()),"("&amp;$A97&amp;")")</f>
        <v>Visoni Vigorosi</v>
      </c>
      <c r="C97" s="95" t="n">
        <f aca="false">IFERROR(VLOOKUP($A97,areaCercaDatiPerPosizioneSquadre,4,FALSE()),"-")</f>
        <v>13</v>
      </c>
      <c r="D97" s="7" t="n">
        <f aca="false">IFERROR(VLOOKUP($A97,areaCercaDatiPerPosizioneSquadre,5,FALSE()),"-")</f>
        <v>7</v>
      </c>
      <c r="E97" s="7" t="n">
        <f aca="false">IFERROR(VLOOKUP($A97,areaCercaDatiPerPosizioneSquadre,6,FALSE()),"-")</f>
        <v>3</v>
      </c>
      <c r="F97" s="7" t="n">
        <f aca="false">IFERROR(VLOOKUP($A97,areaCercaDatiPerPosizioneSquadre,7,FALSE()),"-")</f>
        <v>4</v>
      </c>
      <c r="G97" s="7" t="n">
        <f aca="false">IFERROR(VLOOKUP($A97,areaCercaDatiPerPosizioneSquadre,8,FALSE()),"-")</f>
        <v>0</v>
      </c>
      <c r="H97" s="7" t="n">
        <f aca="false">IFERROR(VLOOKUP($A97,areaCercaDatiPerPosizioneSquadre,9,FALSE()),"-")</f>
        <v>438</v>
      </c>
      <c r="I97" s="7" t="n">
        <f aca="false">IFERROR(VLOOKUP($A97,areaCercaDatiPerPosizioneSquadre,10,FALSE()),"-")</f>
        <v>481</v>
      </c>
      <c r="J97" s="7" t="n">
        <f aca="false">IFERROR(VLOOKUP($A97,areaCercaDatiPerPosizioneSquadre,11,FALSE()),"-")</f>
        <v>-43</v>
      </c>
      <c r="K97" s="7" t="str">
        <f aca="false">IFERROR(VLOOKUP($A97,areaCercaDatiPerPosizioneSquadre,15,FALSE()),"-")</f>
        <v>0-1</v>
      </c>
      <c r="L97" s="7" t="str">
        <f aca="false">IFERROR(VLOOKUP($A97,areaCercaDatiPerPosizioneSquadre,16,FALSE()),"-")</f>
        <v>0.9211</v>
      </c>
      <c r="M97" s="7" t="str">
        <f aca="false">IFERROR(VLOOKUP($A97,areaCercaDatiPerPosizioneSquadre,17,FALSE()),"-")</f>
        <v>0.9106</v>
      </c>
    </row>
    <row r="98" customFormat="false" ht="15" hidden="false" customHeight="false" outlineLevel="0" collapsed="false">
      <c r="A98" s="129" t="s">
        <v>476</v>
      </c>
      <c r="B98" s="12" t="str">
        <f aca="false">IFERROR(VLOOKUP($A98,areaCercaDatiPerPosizioneSquadre,2,FALSE()),"("&amp;$A98&amp;")")</f>
        <v>Aquile Audaci</v>
      </c>
      <c r="C98" s="95" t="n">
        <f aca="false">IFERROR(VLOOKUP($A98,areaCercaDatiPerPosizioneSquadre,4,FALSE()),"-")</f>
        <v>11</v>
      </c>
      <c r="D98" s="7" t="n">
        <f aca="false">IFERROR(VLOOKUP($A98,areaCercaDatiPerPosizioneSquadre,5,FALSE()),"-")</f>
        <v>7</v>
      </c>
      <c r="E98" s="7" t="n">
        <f aca="false">IFERROR(VLOOKUP($A98,areaCercaDatiPerPosizioneSquadre,6,FALSE()),"-")</f>
        <v>2</v>
      </c>
      <c r="F98" s="7" t="n">
        <f aca="false">IFERROR(VLOOKUP($A98,areaCercaDatiPerPosizioneSquadre,7,FALSE()),"-")</f>
        <v>5</v>
      </c>
      <c r="G98" s="7" t="n">
        <f aca="false">IFERROR(VLOOKUP($A98,areaCercaDatiPerPosizioneSquadre,8,FALSE()),"-")</f>
        <v>0</v>
      </c>
      <c r="H98" s="7" t="n">
        <f aca="false">IFERROR(VLOOKUP($A98,areaCercaDatiPerPosizioneSquadre,9,FALSE()),"-")</f>
        <v>431</v>
      </c>
      <c r="I98" s="7" t="n">
        <f aca="false">IFERROR(VLOOKUP($A98,areaCercaDatiPerPosizioneSquadre,10,FALSE()),"-")</f>
        <v>414</v>
      </c>
      <c r="J98" s="7" t="n">
        <f aca="false">IFERROR(VLOOKUP($A98,areaCercaDatiPerPosizioneSquadre,11,FALSE()),"-")</f>
        <v>17</v>
      </c>
      <c r="K98" s="7" t="str">
        <f aca="false">IFERROR(VLOOKUP($A98,areaCercaDatiPerPosizioneSquadre,15,FALSE()),"-")</f>
        <v>-</v>
      </c>
      <c r="L98" s="7" t="str">
        <f aca="false">IFERROR(VLOOKUP($A98,areaCercaDatiPerPosizioneSquadre,16,FALSE()),"-")</f>
        <v>-</v>
      </c>
      <c r="M98" s="7" t="str">
        <f aca="false">IFERROR(VLOOKUP($A98,areaCercaDatiPerPosizioneSquadre,17,FALSE()),"-")</f>
        <v>1.0411</v>
      </c>
    </row>
    <row r="99" customFormat="false" ht="15" hidden="false" customHeight="false" outlineLevel="0" collapsed="false">
      <c r="A99" s="129" t="s">
        <v>477</v>
      </c>
      <c r="B99" s="12" t="str">
        <f aca="false">IFERROR(VLOOKUP($A99,areaCercaDatiPerPosizioneSquadre,2,FALSE()),"("&amp;$A99&amp;")")</f>
        <v>Castori Cocciuti</v>
      </c>
      <c r="C99" s="95" t="n">
        <f aca="false">IFERROR(VLOOKUP($A99,areaCercaDatiPerPosizioneSquadre,4,FALSE()),"-")</f>
        <v>9</v>
      </c>
      <c r="D99" s="7" t="n">
        <f aca="false">IFERROR(VLOOKUP($A99,areaCercaDatiPerPosizioneSquadre,5,FALSE()),"-")</f>
        <v>7</v>
      </c>
      <c r="E99" s="7" t="n">
        <f aca="false">IFERROR(VLOOKUP($A99,areaCercaDatiPerPosizioneSquadre,6,FALSE()),"-")</f>
        <v>1</v>
      </c>
      <c r="F99" s="7" t="n">
        <f aca="false">IFERROR(VLOOKUP($A99,areaCercaDatiPerPosizioneSquadre,7,FALSE()),"-")</f>
        <v>6</v>
      </c>
      <c r="G99" s="7" t="n">
        <f aca="false">IFERROR(VLOOKUP($A99,areaCercaDatiPerPosizioneSquadre,8,FALSE()),"-")</f>
        <v>0</v>
      </c>
      <c r="H99" s="7" t="n">
        <f aca="false">IFERROR(VLOOKUP($A99,areaCercaDatiPerPosizioneSquadre,9,FALSE()),"-")</f>
        <v>370</v>
      </c>
      <c r="I99" s="7" t="n">
        <f aca="false">IFERROR(VLOOKUP($A99,areaCercaDatiPerPosizioneSquadre,10,FALSE()),"-")</f>
        <v>480</v>
      </c>
      <c r="J99" s="7" t="n">
        <f aca="false">IFERROR(VLOOKUP($A99,areaCercaDatiPerPosizioneSquadre,11,FALSE()),"-")</f>
        <v>-110</v>
      </c>
      <c r="K99" s="7" t="str">
        <f aca="false">IFERROR(VLOOKUP($A99,areaCercaDatiPerPosizioneSquadre,15,FALSE()),"-")</f>
        <v>1-0</v>
      </c>
      <c r="L99" s="7" t="str">
        <f aca="false">IFERROR(VLOOKUP($A99,areaCercaDatiPerPosizioneSquadre,16,FALSE()),"-")</f>
        <v>1.2917</v>
      </c>
      <c r="M99" s="7" t="str">
        <f aca="false">IFERROR(VLOOKUP($A99,areaCercaDatiPerPosizioneSquadre,17,FALSE()),"-")</f>
        <v>0.7708</v>
      </c>
    </row>
    <row r="100" customFormat="false" ht="15" hidden="false" customHeight="false" outlineLevel="0" collapsed="false">
      <c r="A100" s="129" t="s">
        <v>478</v>
      </c>
      <c r="B100" s="12" t="str">
        <f aca="false">IFERROR(VLOOKUP($A100,areaCercaDatiPerPosizioneSquadre,2,FALSE()),"("&amp;$A100&amp;")")</f>
        <v>Bradipi Brillanti</v>
      </c>
      <c r="C100" s="95" t="n">
        <f aca="false">IFERROR(VLOOKUP($A100,areaCercaDatiPerPosizioneSquadre,4,FALSE()),"-")</f>
        <v>9</v>
      </c>
      <c r="D100" s="7" t="n">
        <f aca="false">IFERROR(VLOOKUP($A100,areaCercaDatiPerPosizioneSquadre,5,FALSE()),"-")</f>
        <v>7</v>
      </c>
      <c r="E100" s="7" t="n">
        <f aca="false">IFERROR(VLOOKUP($A100,areaCercaDatiPerPosizioneSquadre,6,FALSE()),"-")</f>
        <v>1</v>
      </c>
      <c r="F100" s="7" t="n">
        <f aca="false">IFERROR(VLOOKUP($A100,areaCercaDatiPerPosizioneSquadre,7,FALSE()),"-")</f>
        <v>6</v>
      </c>
      <c r="G100" s="7" t="n">
        <f aca="false">IFERROR(VLOOKUP($A100,areaCercaDatiPerPosizioneSquadre,8,FALSE()),"-")</f>
        <v>0</v>
      </c>
      <c r="H100" s="7" t="n">
        <f aca="false">IFERROR(VLOOKUP($A100,areaCercaDatiPerPosizioneSquadre,9,FALSE()),"-")</f>
        <v>399</v>
      </c>
      <c r="I100" s="7" t="n">
        <f aca="false">IFERROR(VLOOKUP($A100,areaCercaDatiPerPosizioneSquadre,10,FALSE()),"-")</f>
        <v>508</v>
      </c>
      <c r="J100" s="7" t="n">
        <f aca="false">IFERROR(VLOOKUP($A100,areaCercaDatiPerPosizioneSquadre,11,FALSE()),"-")</f>
        <v>-109</v>
      </c>
      <c r="K100" s="7" t="str">
        <f aca="false">IFERROR(VLOOKUP($A100,areaCercaDatiPerPosizioneSquadre,15,FALSE()),"-")</f>
        <v>0-1</v>
      </c>
      <c r="L100" s="7" t="str">
        <f aca="false">IFERROR(VLOOKUP($A100,areaCercaDatiPerPosizioneSquadre,16,FALSE()),"-")</f>
        <v>0.7742</v>
      </c>
      <c r="M100" s="7" t="str">
        <f aca="false">IFERROR(VLOOKUP($A100,areaCercaDatiPerPosizioneSquadre,17,FALSE()),"-")</f>
        <v>0.7854</v>
      </c>
    </row>
    <row r="102" customFormat="false" ht="15" hidden="false" customHeight="false" outlineLevel="0" collapsed="false">
      <c r="A102" s="34" t="s">
        <v>479</v>
      </c>
    </row>
  </sheetData>
  <mergeCells count="74">
    <mergeCell ref="A1:H2"/>
    <mergeCell ref="A3:H3"/>
    <mergeCell ref="A6:M6"/>
    <mergeCell ref="A7:A8"/>
    <mergeCell ref="B7:B8"/>
    <mergeCell ref="C7:C8"/>
    <mergeCell ref="D7:G7"/>
    <mergeCell ref="H7:J7"/>
    <mergeCell ref="K7:K8"/>
    <mergeCell ref="L7:L8"/>
    <mergeCell ref="M7:M8"/>
    <mergeCell ref="A18:M18"/>
    <mergeCell ref="A19:A20"/>
    <mergeCell ref="B19:B20"/>
    <mergeCell ref="C19:C20"/>
    <mergeCell ref="D19:G19"/>
    <mergeCell ref="H19:J19"/>
    <mergeCell ref="K19:K20"/>
    <mergeCell ref="L19:L20"/>
    <mergeCell ref="M19:M20"/>
    <mergeCell ref="A30:M30"/>
    <mergeCell ref="A31:A32"/>
    <mergeCell ref="B31:B32"/>
    <mergeCell ref="C31:C32"/>
    <mergeCell ref="D31:G31"/>
    <mergeCell ref="H31:J31"/>
    <mergeCell ref="K31:K32"/>
    <mergeCell ref="L31:L32"/>
    <mergeCell ref="M31:M32"/>
    <mergeCell ref="A42:M42"/>
    <mergeCell ref="A43:A44"/>
    <mergeCell ref="B43:B44"/>
    <mergeCell ref="C43:C44"/>
    <mergeCell ref="D43:G43"/>
    <mergeCell ref="H43:J43"/>
    <mergeCell ref="K43:K44"/>
    <mergeCell ref="L43:L44"/>
    <mergeCell ref="M43:M44"/>
    <mergeCell ref="A54:M54"/>
    <mergeCell ref="A55:A56"/>
    <mergeCell ref="B55:B56"/>
    <mergeCell ref="C55:C56"/>
    <mergeCell ref="D55:G55"/>
    <mergeCell ref="H55:J55"/>
    <mergeCell ref="K55:K56"/>
    <mergeCell ref="L55:L56"/>
    <mergeCell ref="M55:M56"/>
    <mergeCell ref="A66:M66"/>
    <mergeCell ref="A67:A68"/>
    <mergeCell ref="B67:B68"/>
    <mergeCell ref="C67:C68"/>
    <mergeCell ref="D67:G67"/>
    <mergeCell ref="H67:J67"/>
    <mergeCell ref="K67:K68"/>
    <mergeCell ref="L67:L68"/>
    <mergeCell ref="M67:M68"/>
    <mergeCell ref="A78:M78"/>
    <mergeCell ref="A79:A80"/>
    <mergeCell ref="B79:B80"/>
    <mergeCell ref="C79:C80"/>
    <mergeCell ref="D79:G79"/>
    <mergeCell ref="H79:J79"/>
    <mergeCell ref="K79:K80"/>
    <mergeCell ref="L79:L80"/>
    <mergeCell ref="M79:M80"/>
    <mergeCell ref="A90:M90"/>
    <mergeCell ref="A91:A92"/>
    <mergeCell ref="B91:B92"/>
    <mergeCell ref="C91:C92"/>
    <mergeCell ref="D91:G91"/>
    <mergeCell ref="H91:J91"/>
    <mergeCell ref="K91:K92"/>
    <mergeCell ref="L91:L92"/>
    <mergeCell ref="M91:M9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A64"/>
    <pageSetUpPr fitToPage="true"/>
  </sheetPr>
  <dimension ref="A1:C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35" t="str">
        <f aca="false">constNomeCampionato&amp;""</f>
        <v>Campionato Baskin Demo - ESEMPIO COMPILATO 64 Squadre</v>
      </c>
      <c r="B1" s="35"/>
      <c r="C1" s="35"/>
    </row>
    <row r="2" customFormat="false" ht="15" hidden="false" customHeight="false" outlineLevel="0" collapsed="false">
      <c r="A2" s="35"/>
      <c r="B2" s="35"/>
      <c r="C2" s="35"/>
    </row>
    <row r="3" customFormat="false" ht="17.35" hidden="false" customHeight="false" outlineLevel="0" collapsed="false">
      <c r="A3" s="85" t="str">
        <f aca="false">"Classifica finale - Stagione "&amp;constStagionaCampionato</f>
        <v>Classifica finale - Stagione 2026/2027</v>
      </c>
      <c r="B3" s="85"/>
      <c r="C3" s="85"/>
    </row>
    <row r="6" customFormat="false" ht="15" hidden="false" customHeight="false" outlineLevel="0" collapsed="false">
      <c r="A6" s="131" t="s">
        <v>480</v>
      </c>
      <c r="B6" s="131" t="s">
        <v>4</v>
      </c>
      <c r="C6" s="131" t="s">
        <v>481</v>
      </c>
    </row>
    <row r="7" customFormat="false" ht="15" hidden="false" customHeight="false" outlineLevel="0" collapsed="false">
      <c r="A7" s="132" t="n">
        <v>1</v>
      </c>
      <c r="B7" s="133" t="str">
        <f aca="false">Playoff!AA61</f>
        <v>Anaconde Arrabbiate</v>
      </c>
      <c r="C7" s="134" t="s">
        <v>482</v>
      </c>
    </row>
    <row r="8" customFormat="false" ht="15" hidden="false" customHeight="false" outlineLevel="0" collapsed="false">
      <c r="A8" s="132" t="n">
        <v>2</v>
      </c>
      <c r="B8" s="133" t="str">
        <f aca="false">Playoff!AB61</f>
        <v>Tigri Tenaci</v>
      </c>
      <c r="C8" s="134" t="s">
        <v>483</v>
      </c>
    </row>
    <row r="9" customFormat="false" ht="15" hidden="false" customHeight="false" outlineLevel="0" collapsed="false">
      <c r="A9" s="132" t="n">
        <v>3</v>
      </c>
      <c r="B9" s="133" t="str">
        <f aca="false">Playoff!AA58</f>
        <v>Pinguini Prodigiosi</v>
      </c>
      <c r="C9" s="134" t="s">
        <v>484</v>
      </c>
    </row>
    <row r="10" customFormat="false" ht="15" hidden="false" customHeight="false" outlineLevel="0" collapsed="false">
      <c r="A10" s="132" t="n">
        <v>4</v>
      </c>
      <c r="B10" s="133" t="str">
        <f aca="false">Playoff!AB58</f>
        <v>Zibetti Zuccherini</v>
      </c>
      <c r="C10" s="134" t="s">
        <v>485</v>
      </c>
    </row>
    <row r="11" customFormat="false" ht="15" hidden="false" customHeight="false" outlineLevel="0" collapsed="false">
      <c r="A11" s="132" t="n">
        <v>5</v>
      </c>
      <c r="B11" s="8" t="str">
        <f aca="false">Playoff!AB36</f>
        <v>Zanzare Zampettanti</v>
      </c>
      <c r="C11" s="134" t="s">
        <v>486</v>
      </c>
    </row>
    <row r="12" customFormat="false" ht="15" hidden="false" customHeight="false" outlineLevel="0" collapsed="false">
      <c r="A12" s="132" t="n">
        <v>5</v>
      </c>
      <c r="B12" s="8" t="str">
        <f aca="false">Playoff!AB39</f>
        <v>Rinoceronti Ribelli</v>
      </c>
      <c r="C12" s="134" t="s">
        <v>486</v>
      </c>
    </row>
    <row r="13" customFormat="false" ht="15" hidden="false" customHeight="false" outlineLevel="0" collapsed="false">
      <c r="A13" s="132" t="n">
        <v>5</v>
      </c>
      <c r="B13" s="8" t="str">
        <f aca="false">Playoff!AB42</f>
        <v>Iene Ilari</v>
      </c>
      <c r="C13" s="134" t="s">
        <v>486</v>
      </c>
    </row>
    <row r="14" customFormat="false" ht="15" hidden="false" customHeight="false" outlineLevel="0" collapsed="false">
      <c r="A14" s="132" t="n">
        <v>5</v>
      </c>
      <c r="B14" s="8" t="str">
        <f aca="false">Playoff!AB45</f>
        <v>Tassi Turbolenti</v>
      </c>
      <c r="C14" s="134" t="s">
        <v>486</v>
      </c>
    </row>
    <row r="15" customFormat="false" ht="15" hidden="false" customHeight="false" outlineLevel="0" collapsed="false">
      <c r="A15" s="132" t="n">
        <v>9</v>
      </c>
      <c r="B15" s="8" t="str">
        <f aca="false">Playoff!AB10</f>
        <v>Urubu Urlanti</v>
      </c>
      <c r="C15" s="134" t="s">
        <v>487</v>
      </c>
    </row>
    <row r="16" customFormat="false" ht="15" hidden="false" customHeight="false" outlineLevel="0" collapsed="false">
      <c r="A16" s="132" t="n">
        <v>9</v>
      </c>
      <c r="B16" s="8" t="str">
        <f aca="false">Playoff!AB13</f>
        <v>Struzzi Strepitosi</v>
      </c>
      <c r="C16" s="134" t="s">
        <v>487</v>
      </c>
    </row>
    <row r="17" customFormat="false" ht="15" hidden="false" customHeight="false" outlineLevel="0" collapsed="false">
      <c r="A17" s="132" t="n">
        <v>9</v>
      </c>
      <c r="B17" s="8" t="str">
        <f aca="false">Playoff!AB16</f>
        <v>Zebre Zelanti</v>
      </c>
      <c r="C17" s="134" t="s">
        <v>487</v>
      </c>
    </row>
    <row r="18" customFormat="false" ht="15" hidden="false" customHeight="false" outlineLevel="0" collapsed="false">
      <c r="A18" s="132" t="n">
        <v>9</v>
      </c>
      <c r="B18" s="8" t="str">
        <f aca="false">Playoff!AB19</f>
        <v>Elefanti Esuberanti</v>
      </c>
      <c r="C18" s="134" t="s">
        <v>487</v>
      </c>
    </row>
    <row r="19" customFormat="false" ht="15" hidden="false" customHeight="false" outlineLevel="0" collapsed="false">
      <c r="A19" s="132" t="n">
        <v>9</v>
      </c>
      <c r="B19" s="8" t="str">
        <f aca="false">Playoff!AB22</f>
        <v>Lontre Loquaci</v>
      </c>
      <c r="C19" s="134" t="s">
        <v>487</v>
      </c>
    </row>
    <row r="20" customFormat="false" ht="15" hidden="false" customHeight="false" outlineLevel="0" collapsed="false">
      <c r="A20" s="132" t="n">
        <v>9</v>
      </c>
      <c r="B20" s="8" t="str">
        <f aca="false">Playoff!AB25</f>
        <v>Donnole Determinate</v>
      </c>
      <c r="C20" s="134" t="s">
        <v>487</v>
      </c>
    </row>
    <row r="21" customFormat="false" ht="15" hidden="false" customHeight="false" outlineLevel="0" collapsed="false">
      <c r="A21" s="132" t="n">
        <v>9</v>
      </c>
      <c r="B21" s="8" t="str">
        <f aca="false">Playoff!AB28</f>
        <v>Lupi Lucenti</v>
      </c>
      <c r="C21" s="134" t="s">
        <v>487</v>
      </c>
    </row>
    <row r="22" customFormat="false" ht="15" hidden="false" customHeight="false" outlineLevel="0" collapsed="false">
      <c r="A22" s="132" t="n">
        <v>9</v>
      </c>
      <c r="B22" s="8" t="str">
        <f aca="false">Playoff!AB31</f>
        <v>Falchi Furiosi</v>
      </c>
      <c r="C22" s="134" t="s">
        <v>487</v>
      </c>
    </row>
    <row r="23" customFormat="false" ht="15" hidden="false" customHeight="false" outlineLevel="0" collapsed="false">
      <c r="A23" s="132" t="n">
        <v>17</v>
      </c>
      <c r="B23" s="8" t="str">
        <f aca="false">IFERROR(VLOOKUP("A3",areaCercaDatiPerPosizioneSquadre,2,FALSE()),"(A3)")</f>
        <v>Ippopotami Iracondi</v>
      </c>
      <c r="C23" s="134" t="s">
        <v>488</v>
      </c>
    </row>
    <row r="24" customFormat="false" ht="15" hidden="false" customHeight="false" outlineLevel="0" collapsed="false">
      <c r="A24" s="132" t="n">
        <v>17</v>
      </c>
      <c r="B24" s="8" t="str">
        <f aca="false">IFERROR(VLOOKUP("A4",areaCercaDatiPerPosizioneSquadre,2,FALSE()),"(A4)")</f>
        <v>Ermellini Eleganti</v>
      </c>
      <c r="C24" s="134" t="s">
        <v>489</v>
      </c>
    </row>
    <row r="25" customFormat="false" ht="15" hidden="false" customHeight="false" outlineLevel="0" collapsed="false">
      <c r="A25" s="132" t="n">
        <v>17</v>
      </c>
      <c r="B25" s="8" t="str">
        <f aca="false">IFERROR(VLOOKUP("A5",areaCercaDatiPerPosizioneSquadre,2,FALSE()),"(A5)")</f>
        <v>Gazzelle Gagliarde</v>
      </c>
      <c r="C25" s="134" t="s">
        <v>490</v>
      </c>
    </row>
    <row r="26" customFormat="false" ht="15" hidden="false" customHeight="false" outlineLevel="0" collapsed="false">
      <c r="A26" s="132" t="n">
        <v>17</v>
      </c>
      <c r="B26" s="8" t="str">
        <f aca="false">IFERROR(VLOOKUP("A6",areaCercaDatiPerPosizioneSquadre,2,FALSE()),"(A6)")</f>
        <v>Cobra Coraggiosi</v>
      </c>
      <c r="C26" s="134" t="s">
        <v>491</v>
      </c>
    </row>
    <row r="27" customFormat="false" ht="15" hidden="false" customHeight="false" outlineLevel="0" collapsed="false">
      <c r="A27" s="132" t="n">
        <v>17</v>
      </c>
      <c r="B27" s="8" t="str">
        <f aca="false">IFERROR(VLOOKUP("A7",areaCercaDatiPerPosizioneSquadre,2,FALSE()),"(A7)")</f>
        <v>Bufali Belligeranti</v>
      </c>
      <c r="C27" s="134" t="s">
        <v>492</v>
      </c>
    </row>
    <row r="28" customFormat="false" ht="15" hidden="false" customHeight="false" outlineLevel="0" collapsed="false">
      <c r="A28" s="132" t="n">
        <v>17</v>
      </c>
      <c r="B28" s="8" t="str">
        <f aca="false">IFERROR(VLOOKUP("A8",areaCercaDatiPerPosizioneSquadre,2,FALSE()),"(A8)")</f>
        <v>Delfini Dispettosi</v>
      </c>
      <c r="C28" s="134" t="s">
        <v>493</v>
      </c>
    </row>
    <row r="29" customFormat="false" ht="15" hidden="false" customHeight="false" outlineLevel="0" collapsed="false">
      <c r="A29" s="132" t="n">
        <v>17</v>
      </c>
      <c r="B29" s="8" t="str">
        <f aca="false">IFERROR(VLOOKUP("B3",areaCercaDatiPerPosizioneSquadre,2,FALSE()),"(B3)")</f>
        <v>Marmotte Maldestre</v>
      </c>
      <c r="C29" s="134" t="s">
        <v>494</v>
      </c>
    </row>
    <row r="30" customFormat="false" ht="15" hidden="false" customHeight="false" outlineLevel="0" collapsed="false">
      <c r="A30" s="132" t="n">
        <v>17</v>
      </c>
      <c r="B30" s="8" t="str">
        <f aca="false">IFERROR(VLOOKUP("B4",areaCercaDatiPerPosizioneSquadre,2,FALSE()),"(B4)")</f>
        <v>Salamandre Scaltre</v>
      </c>
      <c r="C30" s="134" t="s">
        <v>495</v>
      </c>
    </row>
    <row r="31" customFormat="false" ht="15" hidden="false" customHeight="false" outlineLevel="0" collapsed="false">
      <c r="A31" s="132" t="n">
        <v>17</v>
      </c>
      <c r="B31" s="8" t="str">
        <f aca="false">IFERROR(VLOOKUP("B5",areaCercaDatiPerPosizioneSquadre,2,FALSE()),"(B5)")</f>
        <v>Pantere Pungenti</v>
      </c>
      <c r="C31" s="134" t="s">
        <v>496</v>
      </c>
    </row>
    <row r="32" customFormat="false" ht="15" hidden="false" customHeight="false" outlineLevel="0" collapsed="false">
      <c r="A32" s="132" t="n">
        <v>17</v>
      </c>
      <c r="B32" s="8" t="str">
        <f aca="false">IFERROR(VLOOKUP("B6",areaCercaDatiPerPosizioneSquadre,2,FALSE()),"(B6)")</f>
        <v>Quaglie Quiete</v>
      </c>
      <c r="C32" s="134" t="s">
        <v>497</v>
      </c>
    </row>
    <row r="33" customFormat="false" ht="15" hidden="false" customHeight="false" outlineLevel="0" collapsed="false">
      <c r="A33" s="132" t="n">
        <v>17</v>
      </c>
      <c r="B33" s="8" t="str">
        <f aca="false">IFERROR(VLOOKUP("B7",areaCercaDatiPerPosizioneSquadre,2,FALSE()),"(B7)")</f>
        <v>Narvali Nobili</v>
      </c>
      <c r="C33" s="134" t="s">
        <v>498</v>
      </c>
    </row>
    <row r="34" customFormat="false" ht="15" hidden="false" customHeight="false" outlineLevel="0" collapsed="false">
      <c r="A34" s="132" t="n">
        <v>17</v>
      </c>
      <c r="B34" s="8" t="str">
        <f aca="false">IFERROR(VLOOKUP("B8",areaCercaDatiPerPosizioneSquadre,2,FALSE()),"(B8)")</f>
        <v>Orsi Ostinati</v>
      </c>
      <c r="C34" s="134" t="s">
        <v>499</v>
      </c>
    </row>
    <row r="35" customFormat="false" ht="15" hidden="false" customHeight="false" outlineLevel="0" collapsed="false">
      <c r="A35" s="132" t="n">
        <v>17</v>
      </c>
      <c r="B35" s="8" t="str">
        <f aca="false">IFERROR(VLOOKUP("C3",areaCercaDatiPerPosizioneSquadre,2,FALSE()),"(C3)")</f>
        <v>Albatri Astuti</v>
      </c>
      <c r="C35" s="134" t="s">
        <v>500</v>
      </c>
    </row>
    <row r="36" customFormat="false" ht="15" hidden="false" customHeight="false" outlineLevel="0" collapsed="false">
      <c r="A36" s="132" t="n">
        <v>17</v>
      </c>
      <c r="B36" s="8" t="str">
        <f aca="false">IFERROR(VLOOKUP("C4",areaCercaDatiPerPosizioneSquadre,2,FALSE()),"(C4)")</f>
        <v>Bisonti Baldanzosi</v>
      </c>
      <c r="C36" s="134" t="s">
        <v>501</v>
      </c>
    </row>
    <row r="37" customFormat="false" ht="15" hidden="false" customHeight="false" outlineLevel="0" collapsed="false">
      <c r="A37" s="132" t="n">
        <v>17</v>
      </c>
      <c r="B37" s="8" t="str">
        <f aca="false">IFERROR(VLOOKUP("C5",areaCercaDatiPerPosizioneSquadre,2,FALSE()),"(C5)")</f>
        <v>Cinghiali Caparbi</v>
      </c>
      <c r="C37" s="134" t="s">
        <v>502</v>
      </c>
    </row>
    <row r="38" customFormat="false" ht="15" hidden="false" customHeight="false" outlineLevel="0" collapsed="false">
      <c r="A38" s="132" t="n">
        <v>17</v>
      </c>
      <c r="B38" s="8" t="str">
        <f aca="false">IFERROR(VLOOKUP("C6",areaCercaDatiPerPosizioneSquadre,2,FALSE()),"(C6)")</f>
        <v>Upupe Umoristiche</v>
      </c>
      <c r="C38" s="134" t="s">
        <v>503</v>
      </c>
    </row>
    <row r="39" customFormat="false" ht="15" hidden="false" customHeight="false" outlineLevel="0" collapsed="false">
      <c r="A39" s="132" t="n">
        <v>17</v>
      </c>
      <c r="B39" s="8" t="str">
        <f aca="false">IFERROR(VLOOKUP("C7",areaCercaDatiPerPosizioneSquadre,2,FALSE()),"(C7)")</f>
        <v>Dromedari Danzanti</v>
      </c>
      <c r="C39" s="134" t="s">
        <v>504</v>
      </c>
    </row>
    <row r="40" customFormat="false" ht="15" hidden="false" customHeight="false" outlineLevel="0" collapsed="false">
      <c r="A40" s="132" t="n">
        <v>17</v>
      </c>
      <c r="B40" s="8" t="str">
        <f aca="false">IFERROR(VLOOKUP("C8",areaCercaDatiPerPosizioneSquadre,2,FALSE()),"(C8)")</f>
        <v>Vipere Vivaci</v>
      </c>
      <c r="C40" s="134" t="s">
        <v>505</v>
      </c>
    </row>
    <row r="41" customFormat="false" ht="15" hidden="false" customHeight="false" outlineLevel="0" collapsed="false">
      <c r="A41" s="132" t="n">
        <v>17</v>
      </c>
      <c r="B41" s="8" t="str">
        <f aca="false">IFERROR(VLOOKUP("D3",areaCercaDatiPerPosizioneSquadre,2,FALSE()),"(D3)")</f>
        <v>Iguane Impavide</v>
      </c>
      <c r="C41" s="134" t="s">
        <v>506</v>
      </c>
    </row>
    <row r="42" customFormat="false" ht="15" hidden="false" customHeight="false" outlineLevel="0" collapsed="false">
      <c r="A42" s="132" t="n">
        <v>17</v>
      </c>
      <c r="B42" s="8" t="str">
        <f aca="false">IFERROR(VLOOKUP("D4",areaCercaDatiPerPosizioneSquadre,2,FALSE()),"(D4)")</f>
        <v>Fenicotteri Focosi</v>
      </c>
      <c r="C42" s="134" t="s">
        <v>507</v>
      </c>
    </row>
    <row r="43" customFormat="false" ht="15" hidden="false" customHeight="false" outlineLevel="0" collapsed="false">
      <c r="A43" s="132" t="n">
        <v>17</v>
      </c>
      <c r="B43" s="8" t="str">
        <f aca="false">IFERROR(VLOOKUP("D5",areaCercaDatiPerPosizioneSquadre,2,FALSE()),"(D5)")</f>
        <v>Manguste Mordaci</v>
      </c>
      <c r="C43" s="134" t="s">
        <v>508</v>
      </c>
    </row>
    <row r="44" customFormat="false" ht="15" hidden="false" customHeight="false" outlineLevel="0" collapsed="false">
      <c r="A44" s="132" t="n">
        <v>17</v>
      </c>
      <c r="B44" s="8" t="str">
        <f aca="false">IFERROR(VLOOKUP("D6",areaCercaDatiPerPosizioneSquadre,2,FALSE()),"(D6)")</f>
        <v>Otarie Ottimiste</v>
      </c>
      <c r="C44" s="134" t="s">
        <v>509</v>
      </c>
    </row>
    <row r="45" customFormat="false" ht="15" hidden="false" customHeight="false" outlineLevel="0" collapsed="false">
      <c r="A45" s="132" t="n">
        <v>17</v>
      </c>
      <c r="B45" s="8" t="str">
        <f aca="false">IFERROR(VLOOKUP("D7",areaCercaDatiPerPosizioneSquadre,2,FALSE()),"(D7)")</f>
        <v>Nutrie Nervose</v>
      </c>
      <c r="C45" s="134" t="s">
        <v>510</v>
      </c>
    </row>
    <row r="46" customFormat="false" ht="15" hidden="false" customHeight="false" outlineLevel="0" collapsed="false">
      <c r="A46" s="132" t="n">
        <v>17</v>
      </c>
      <c r="B46" s="8" t="str">
        <f aca="false">IFERROR(VLOOKUP("D8",areaCercaDatiPerPosizioneSquadre,2,FALSE()),"(D8)")</f>
        <v>Ghepardi Guizzanti</v>
      </c>
      <c r="C46" s="134" t="s">
        <v>511</v>
      </c>
    </row>
    <row r="47" customFormat="false" ht="15" hidden="false" customHeight="false" outlineLevel="0" collapsed="false">
      <c r="A47" s="132" t="n">
        <v>17</v>
      </c>
      <c r="B47" s="8" t="str">
        <f aca="false">IFERROR(VLOOKUP("E3",areaCercaDatiPerPosizioneSquadre,2,FALSE()),"(E3)")</f>
        <v>Scoiattoli Scattanti</v>
      </c>
      <c r="C47" s="134" t="s">
        <v>512</v>
      </c>
    </row>
    <row r="48" customFormat="false" ht="15" hidden="false" customHeight="false" outlineLevel="0" collapsed="false">
      <c r="A48" s="132" t="n">
        <v>17</v>
      </c>
      <c r="B48" s="8" t="str">
        <f aca="false">IFERROR(VLOOKUP("E4",areaCercaDatiPerPosizioneSquadre,2,FALSE()),"(E4)")</f>
        <v>Volpi Vorticose</v>
      </c>
      <c r="C48" s="134" t="s">
        <v>513</v>
      </c>
    </row>
    <row r="49" customFormat="false" ht="15" hidden="false" customHeight="false" outlineLevel="0" collapsed="false">
      <c r="A49" s="132" t="n">
        <v>17</v>
      </c>
      <c r="B49" s="8" t="str">
        <f aca="false">IFERROR(VLOOKUP("E5",areaCercaDatiPerPosizioneSquadre,2,FALSE()),"(E5)")</f>
        <v>Quetzal Quotidiani</v>
      </c>
      <c r="C49" s="134" t="s">
        <v>514</v>
      </c>
    </row>
    <row r="50" customFormat="false" ht="15" hidden="false" customHeight="false" outlineLevel="0" collapsed="false">
      <c r="A50" s="132" t="n">
        <v>17</v>
      </c>
      <c r="B50" s="8" t="str">
        <f aca="false">IFERROR(VLOOKUP("E6",areaCercaDatiPerPosizioneSquadre,2,FALSE()),"(E6)")</f>
        <v>Pipistrelli Pensierosi</v>
      </c>
      <c r="C50" s="134" t="s">
        <v>515</v>
      </c>
    </row>
    <row r="51" customFormat="false" ht="15" hidden="false" customHeight="false" outlineLevel="0" collapsed="false">
      <c r="A51" s="132" t="n">
        <v>17</v>
      </c>
      <c r="B51" s="8" t="str">
        <f aca="false">IFERROR(VLOOKUP("E7",areaCercaDatiPerPosizioneSquadre,2,FALSE()),"(E7)")</f>
        <v>Ricci Rissosi</v>
      </c>
      <c r="C51" s="134" t="s">
        <v>516</v>
      </c>
    </row>
    <row r="52" customFormat="false" ht="15" hidden="false" customHeight="false" outlineLevel="0" collapsed="false">
      <c r="A52" s="132" t="n">
        <v>17</v>
      </c>
      <c r="B52" s="8" t="str">
        <f aca="false">IFERROR(VLOOKUP("E8",areaCercaDatiPerPosizioneSquadre,2,FALSE()),"(E8)")</f>
        <v>Uistiti Ubiqui</v>
      </c>
      <c r="C52" s="134" t="s">
        <v>517</v>
      </c>
    </row>
    <row r="53" customFormat="false" ht="15" hidden="false" customHeight="false" outlineLevel="0" collapsed="false">
      <c r="A53" s="132" t="n">
        <v>17</v>
      </c>
      <c r="B53" s="8" t="str">
        <f aca="false">IFERROR(VLOOKUP("F3",areaCercaDatiPerPosizioneSquadre,2,FALSE()),"(F3)")</f>
        <v>Gufi Golosi</v>
      </c>
      <c r="C53" s="134" t="s">
        <v>518</v>
      </c>
    </row>
    <row r="54" customFormat="false" ht="15" hidden="false" customHeight="false" outlineLevel="0" collapsed="false">
      <c r="A54" s="132" t="n">
        <v>17</v>
      </c>
      <c r="B54" s="8" t="str">
        <f aca="false">IFERROR(VLOOKUP("F4",areaCercaDatiPerPosizioneSquadre,2,FALSE()),"(F4)")</f>
        <v>Emu Energici</v>
      </c>
      <c r="C54" s="134" t="s">
        <v>519</v>
      </c>
    </row>
    <row r="55" customFormat="false" ht="15" hidden="false" customHeight="false" outlineLevel="0" collapsed="false">
      <c r="A55" s="132" t="n">
        <v>17</v>
      </c>
      <c r="B55" s="8" t="str">
        <f aca="false">IFERROR(VLOOKUP("F5",areaCercaDatiPerPosizioneSquadre,2,FALSE()),"(F5)")</f>
        <v>Camaleonti Caotici</v>
      </c>
      <c r="C55" s="134" t="s">
        <v>520</v>
      </c>
    </row>
    <row r="56" customFormat="false" ht="15" hidden="false" customHeight="false" outlineLevel="0" collapsed="false">
      <c r="A56" s="132" t="n">
        <v>17</v>
      </c>
      <c r="B56" s="8" t="str">
        <f aca="false">IFERROR(VLOOKUP("F6",areaCercaDatiPerPosizioneSquadre,2,FALSE()),"(F6)")</f>
        <v>Foche Frenetiche</v>
      </c>
      <c r="C56" s="134" t="s">
        <v>521</v>
      </c>
    </row>
    <row r="57" customFormat="false" ht="15" hidden="false" customHeight="false" outlineLevel="0" collapsed="false">
      <c r="A57" s="132" t="n">
        <v>17</v>
      </c>
      <c r="B57" s="8" t="str">
        <f aca="false">IFERROR(VLOOKUP("F7",areaCercaDatiPerPosizioneSquadre,2,FALSE()),"(F7)")</f>
        <v>Balene Bizzarre</v>
      </c>
      <c r="C57" s="134" t="s">
        <v>522</v>
      </c>
    </row>
    <row r="58" customFormat="false" ht="15" hidden="false" customHeight="false" outlineLevel="0" collapsed="false">
      <c r="A58" s="132" t="n">
        <v>17</v>
      </c>
      <c r="B58" s="8" t="str">
        <f aca="false">IFERROR(VLOOKUP("F8",areaCercaDatiPerPosizioneSquadre,2,FALSE()),"(F8)")</f>
        <v>Antilopi Ardite</v>
      </c>
      <c r="C58" s="134" t="s">
        <v>523</v>
      </c>
    </row>
    <row r="59" customFormat="false" ht="15" hidden="false" customHeight="false" outlineLevel="0" collapsed="false">
      <c r="A59" s="132" t="n">
        <v>17</v>
      </c>
      <c r="B59" s="8" t="str">
        <f aca="false">IFERROR(VLOOKUP("G3",areaCercaDatiPerPosizioneSquadre,2,FALSE()),"(G3)")</f>
        <v>Leopardi Leggiadri</v>
      </c>
      <c r="C59" s="134" t="s">
        <v>524</v>
      </c>
    </row>
    <row r="60" customFormat="false" ht="15" hidden="false" customHeight="false" outlineLevel="0" collapsed="false">
      <c r="A60" s="132" t="n">
        <v>17</v>
      </c>
      <c r="B60" s="8" t="str">
        <f aca="false">IFERROR(VLOOKUP("G4",areaCercaDatiPerPosizioneSquadre,2,FALSE()),"(G4)")</f>
        <v>Meduse Malandrine</v>
      </c>
      <c r="C60" s="134" t="s">
        <v>525</v>
      </c>
    </row>
    <row r="61" customFormat="false" ht="15" hidden="false" customHeight="false" outlineLevel="0" collapsed="false">
      <c r="A61" s="132" t="n">
        <v>17</v>
      </c>
      <c r="B61" s="8" t="str">
        <f aca="false">IFERROR(VLOOKUP("G5",areaCercaDatiPerPosizioneSquadre,2,FALSE()),"(G5)")</f>
        <v>Koala Kolossali</v>
      </c>
      <c r="C61" s="134" t="s">
        <v>526</v>
      </c>
    </row>
    <row r="62" customFormat="false" ht="15" hidden="false" customHeight="false" outlineLevel="0" collapsed="false">
      <c r="A62" s="132" t="n">
        <v>17</v>
      </c>
      <c r="B62" s="8" t="str">
        <f aca="false">IFERROR(VLOOKUP("G6",areaCercaDatiPerPosizioneSquadre,2,FALSE()),"(G6)")</f>
        <v>Orangotanghi Operosi</v>
      </c>
      <c r="C62" s="134" t="s">
        <v>527</v>
      </c>
    </row>
    <row r="63" customFormat="false" ht="15" hidden="false" customHeight="false" outlineLevel="0" collapsed="false">
      <c r="A63" s="132" t="n">
        <v>17</v>
      </c>
      <c r="B63" s="8" t="str">
        <f aca="false">IFERROR(VLOOKUP("G7",areaCercaDatiPerPosizioneSquadre,2,FALSE()),"(G7)")</f>
        <v>Renne Rocambolesche</v>
      </c>
      <c r="C63" s="134" t="s">
        <v>528</v>
      </c>
    </row>
    <row r="64" customFormat="false" ht="15" hidden="false" customHeight="false" outlineLevel="0" collapsed="false">
      <c r="A64" s="132" t="n">
        <v>17</v>
      </c>
      <c r="B64" s="8" t="str">
        <f aca="false">IFERROR(VLOOKUP("G8",areaCercaDatiPerPosizioneSquadre,2,FALSE()),"(G8)")</f>
        <v>Nandu Nottambuli</v>
      </c>
      <c r="C64" s="134" t="s">
        <v>529</v>
      </c>
    </row>
    <row r="65" customFormat="false" ht="15" hidden="false" customHeight="false" outlineLevel="0" collapsed="false">
      <c r="A65" s="132" t="n">
        <v>17</v>
      </c>
      <c r="B65" s="8" t="str">
        <f aca="false">IFERROR(VLOOKUP("H3",areaCercaDatiPerPosizioneSquadre,2,FALSE()),"(H3)")</f>
        <v>Tartarughe Testarde</v>
      </c>
      <c r="C65" s="134" t="s">
        <v>530</v>
      </c>
    </row>
    <row r="66" customFormat="false" ht="15" hidden="false" customHeight="false" outlineLevel="0" collapsed="false">
      <c r="A66" s="132" t="n">
        <v>17</v>
      </c>
      <c r="B66" s="8" t="str">
        <f aca="false">IFERROR(VLOOKUP("H4",areaCercaDatiPerPosizioneSquadre,2,FALSE()),"(H4)")</f>
        <v>Draghi Dinamici</v>
      </c>
      <c r="C66" s="134" t="s">
        <v>531</v>
      </c>
    </row>
    <row r="67" customFormat="false" ht="15" hidden="false" customHeight="false" outlineLevel="0" collapsed="false">
      <c r="A67" s="132" t="n">
        <v>17</v>
      </c>
      <c r="B67" s="8" t="str">
        <f aca="false">IFERROR(VLOOKUP("H5",areaCercaDatiPerPosizioneSquadre,2,FALSE()),"(H5)")</f>
        <v>Visoni Vigorosi</v>
      </c>
      <c r="C67" s="134" t="s">
        <v>532</v>
      </c>
    </row>
    <row r="68" customFormat="false" ht="15" hidden="false" customHeight="false" outlineLevel="0" collapsed="false">
      <c r="A68" s="132" t="n">
        <v>17</v>
      </c>
      <c r="B68" s="8" t="str">
        <f aca="false">IFERROR(VLOOKUP("H6",areaCercaDatiPerPosizioneSquadre,2,FALSE()),"(H6)")</f>
        <v>Aquile Audaci</v>
      </c>
      <c r="C68" s="134" t="s">
        <v>533</v>
      </c>
    </row>
    <row r="69" customFormat="false" ht="15" hidden="false" customHeight="false" outlineLevel="0" collapsed="false">
      <c r="A69" s="132" t="n">
        <v>17</v>
      </c>
      <c r="B69" s="8" t="str">
        <f aca="false">IFERROR(VLOOKUP("H7",areaCercaDatiPerPosizioneSquadre,2,FALSE()),"(H7)")</f>
        <v>Castori Cocciuti</v>
      </c>
      <c r="C69" s="134" t="s">
        <v>534</v>
      </c>
    </row>
    <row r="70" customFormat="false" ht="15" hidden="false" customHeight="false" outlineLevel="0" collapsed="false">
      <c r="A70" s="132" t="n">
        <v>17</v>
      </c>
      <c r="B70" s="8" t="str">
        <f aca="false">IFERROR(VLOOKUP("H8",areaCercaDatiPerPosizioneSquadre,2,FALSE()),"(H8)")</f>
        <v>Bradipi Brillanti</v>
      </c>
      <c r="C70" s="134" t="s">
        <v>535</v>
      </c>
    </row>
    <row r="72" customFormat="false" ht="15" hidden="false" customHeight="false" outlineLevel="0" collapsed="false">
      <c r="A72" s="34" t="s">
        <v>536</v>
      </c>
    </row>
  </sheetData>
  <mergeCells count="2">
    <mergeCell ref="A1:C2"/>
    <mergeCell ref="A3:C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true"/>
  </sheetPr>
  <dimension ref="A1:R8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false" outlineLevel="0" max="14" min="13" style="0" width="22"/>
    <col collapsed="false" customWidth="true" hidden="false" outlineLevel="0" max="15" min="15" style="0" width="24"/>
    <col collapsed="false" customWidth="true" hidden="false" outlineLevel="0" max="18" min="16" style="0" width="22"/>
  </cols>
  <sheetData>
    <row r="1" customFormat="false" ht="15" hidden="false" customHeight="false" outlineLevel="0" collapsed="false">
      <c r="A1" s="35" t="str">
        <f aca="false">constNomeCampionato&amp;""</f>
        <v>Campionato Baskin Demo - ESEMPIO COMPILATO 64 Squadre</v>
      </c>
      <c r="B1" s="35"/>
      <c r="C1" s="35"/>
      <c r="D1" s="35"/>
    </row>
    <row r="2" customFormat="false" ht="15" hidden="false" customHeight="false" outlineLevel="0" collapsed="false">
      <c r="A2" s="35"/>
      <c r="B2" s="35"/>
      <c r="C2" s="35"/>
      <c r="D2" s="35"/>
    </row>
    <row r="3" customFormat="false" ht="17.35" hidden="false" customHeight="false" outlineLevel="0" collapsed="false">
      <c r="A3" s="85" t="str">
        <f aca="false">"DESIGNAZIONI - Stagione "&amp;constStagionaCampionato</f>
        <v>DESIGNAZIONI - Stagione 2026/2027</v>
      </c>
      <c r="B3" s="85"/>
      <c r="C3" s="85"/>
      <c r="D3" s="85"/>
    </row>
    <row r="8" customFormat="false" ht="19.5" hidden="false" customHeight="true" outlineLevel="0" collapsed="false">
      <c r="A8" s="38" t="str">
        <f aca="false">IF('Calendario A'!A8="","",'Calendario A'!A8)</f>
        <v>1A</v>
      </c>
      <c r="B8" s="39" t="str">
        <f aca="false">IF('Calendario A'!B8="","",'Calendario A'!B8)</f>
        <v>GIORNATA I - GIRONE A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135" t="s">
        <v>537</v>
      </c>
      <c r="N8" s="135"/>
      <c r="O8" s="135"/>
      <c r="P8" s="135" t="s">
        <v>538</v>
      </c>
      <c r="Q8" s="135"/>
      <c r="R8" s="135"/>
    </row>
    <row r="9" customFormat="false" ht="13.5" hidden="false" customHeight="true" outlineLevel="0" collapsed="false">
      <c r="A9" s="40" t="s">
        <v>334</v>
      </c>
      <c r="B9" s="40" t="s">
        <v>317</v>
      </c>
      <c r="C9" s="40"/>
      <c r="D9" s="40" t="s">
        <v>324</v>
      </c>
      <c r="E9" s="40"/>
      <c r="F9" s="40" t="s">
        <v>335</v>
      </c>
      <c r="G9" s="40" t="s">
        <v>336</v>
      </c>
      <c r="H9" s="40" t="s">
        <v>337</v>
      </c>
      <c r="I9" s="40"/>
      <c r="J9" s="40" t="s">
        <v>338</v>
      </c>
      <c r="K9" s="40"/>
      <c r="L9" s="40"/>
      <c r="M9" s="136" t="s">
        <v>539</v>
      </c>
      <c r="N9" s="136" t="s">
        <v>540</v>
      </c>
      <c r="O9" s="136" t="s">
        <v>541</v>
      </c>
      <c r="P9" s="136" t="s">
        <v>542</v>
      </c>
      <c r="Q9" s="136" t="s">
        <v>543</v>
      </c>
      <c r="R9" s="136" t="s">
        <v>544</v>
      </c>
    </row>
    <row r="10" customFormat="false" ht="21.75" hidden="false" customHeight="true" outlineLevel="0" collapsed="false">
      <c r="A10" s="41" t="n">
        <f aca="false">IF('Calendario A'!A10="","",'Calendario A'!A10)</f>
        <v>1</v>
      </c>
      <c r="B10" s="42" t="str">
        <f aca="false">IF('Calendario A'!B10="","",'Calendario A'!B10)</f>
        <v>Anaconde Arrabbiate</v>
      </c>
      <c r="C10" s="43" t="str">
        <f aca="false">IF('Calendario A'!C10="","",'Calendario A'!C10)</f>
        <v>A01</v>
      </c>
      <c r="D10" s="42" t="str">
        <f aca="false">IF('Calendario A'!D10="","",'Calendario A'!D10)</f>
        <v>Ippopotami Iracondi</v>
      </c>
      <c r="E10" s="43" t="str">
        <f aca="false">IF('Calendario A'!E10="","",'Calendario A'!E10)</f>
        <v>A08</v>
      </c>
      <c r="F10" s="44" t="n">
        <f aca="false">IF('Calendario A'!F10="","",'Calendario A'!F10)</f>
        <v>46313.3958333333</v>
      </c>
      <c r="G10" s="44"/>
      <c r="H10" s="44"/>
      <c r="I10" s="44"/>
      <c r="J10" s="137" t="n">
        <f aca="false">IF('Calendario A'!J10="","",'Calendario A'!J10)</f>
        <v>73</v>
      </c>
      <c r="K10" s="138" t="s">
        <v>339</v>
      </c>
      <c r="L10" s="137" t="n">
        <f aca="false">IF('Calendario A'!L10="","",'Calendario A'!L10)</f>
        <v>50</v>
      </c>
      <c r="M10" s="139"/>
      <c r="N10" s="139"/>
      <c r="O10" s="139"/>
      <c r="P10" s="139"/>
      <c r="Q10" s="139"/>
      <c r="R10" s="139"/>
    </row>
    <row r="11" customFormat="false" ht="15" hidden="false" customHeight="true" outlineLevel="0" collapsed="false">
      <c r="A11" s="41"/>
      <c r="B11" s="48" t="str">
        <f aca="false">IF('Calendario A'!B11="","",'Calendario A'!B11)</f>
        <v>PalaAnaconde, Via dello Sport 1, Anacondeopoli AE</v>
      </c>
      <c r="C11" s="48"/>
      <c r="D11" s="48"/>
      <c r="E11" s="48"/>
      <c r="F11" s="48"/>
      <c r="G11" s="48"/>
      <c r="H11" s="48"/>
      <c r="I11" s="43" t="str">
        <f aca="false">IF('Calendario A'!I11="","",'Calendario A'!I11)</f>
        <v>A01</v>
      </c>
      <c r="J11" s="137"/>
      <c r="K11" s="137"/>
      <c r="L11" s="137"/>
      <c r="M11" s="137"/>
      <c r="N11" s="137"/>
      <c r="O11" s="137"/>
      <c r="P11" s="137"/>
      <c r="Q11" s="137"/>
      <c r="R11" s="137"/>
    </row>
    <row r="12" customFormat="false" ht="13.5" hidden="false" customHeight="true" outlineLevel="0" collapsed="false">
      <c r="A12" s="40" t="s">
        <v>334</v>
      </c>
      <c r="B12" s="40" t="s">
        <v>317</v>
      </c>
      <c r="C12" s="40"/>
      <c r="D12" s="40" t="s">
        <v>324</v>
      </c>
      <c r="E12" s="40"/>
      <c r="F12" s="40" t="s">
        <v>335</v>
      </c>
      <c r="G12" s="40" t="s">
        <v>336</v>
      </c>
      <c r="H12" s="40" t="s">
        <v>337</v>
      </c>
      <c r="I12" s="40"/>
      <c r="J12" s="40" t="s">
        <v>338</v>
      </c>
      <c r="K12" s="40"/>
      <c r="L12" s="40"/>
      <c r="M12" s="136" t="s">
        <v>539</v>
      </c>
      <c r="N12" s="136" t="s">
        <v>540</v>
      </c>
      <c r="O12" s="136" t="s">
        <v>541</v>
      </c>
      <c r="P12" s="136" t="s">
        <v>542</v>
      </c>
      <c r="Q12" s="136" t="s">
        <v>543</v>
      </c>
      <c r="R12" s="136" t="s">
        <v>544</v>
      </c>
    </row>
    <row r="13" customFormat="false" ht="21.75" hidden="false" customHeight="true" outlineLevel="0" collapsed="false">
      <c r="A13" s="41" t="n">
        <f aca="false">IF('Calendario A'!A13="","",'Calendario A'!A13)</f>
        <v>2</v>
      </c>
      <c r="B13" s="42" t="str">
        <f aca="false">IF('Calendario A'!B13="","",'Calendario A'!B13)</f>
        <v>Gazzelle Gagliarde</v>
      </c>
      <c r="C13" s="43" t="str">
        <f aca="false">IF('Calendario A'!C13="","",'Calendario A'!C13)</f>
        <v>A07</v>
      </c>
      <c r="D13" s="42" t="str">
        <f aca="false">IF('Calendario A'!D13="","",'Calendario A'!D13)</f>
        <v>Bufali Belligeranti</v>
      </c>
      <c r="E13" s="43" t="str">
        <f aca="false">IF('Calendario A'!E13="","",'Calendario A'!E13)</f>
        <v>A02</v>
      </c>
      <c r="F13" s="44" t="n">
        <f aca="false">IF('Calendario A'!F13="","",'Calendario A'!F13)</f>
        <v>46313.4791666667</v>
      </c>
      <c r="G13" s="44"/>
      <c r="H13" s="44"/>
      <c r="I13" s="44"/>
      <c r="J13" s="137" t="n">
        <f aca="false">IF('Calendario A'!J13="","",'Calendario A'!J13)</f>
        <v>74</v>
      </c>
      <c r="K13" s="138" t="s">
        <v>339</v>
      </c>
      <c r="L13" s="137" t="n">
        <f aca="false">IF('Calendario A'!L13="","",'Calendario A'!L13)</f>
        <v>68</v>
      </c>
      <c r="M13" s="139"/>
      <c r="N13" s="139"/>
      <c r="O13" s="139"/>
      <c r="P13" s="139"/>
      <c r="Q13" s="139"/>
      <c r="R13" s="139"/>
    </row>
    <row r="14" customFormat="false" ht="15" hidden="false" customHeight="true" outlineLevel="0" collapsed="false">
      <c r="A14" s="41"/>
      <c r="B14" s="48" t="str">
        <f aca="false">IF('Calendario A'!B14="","",'Calendario A'!B14)</f>
        <v>PalaAnaconde, Via dello Sport 1, Anacondeopoli AE</v>
      </c>
      <c r="C14" s="48"/>
      <c r="D14" s="48"/>
      <c r="E14" s="48"/>
      <c r="F14" s="48"/>
      <c r="G14" s="48"/>
      <c r="H14" s="48"/>
      <c r="I14" s="43" t="str">
        <f aca="false">IF('Calendario A'!I14="","",'Calendario A'!I14)</f>
        <v>A01</v>
      </c>
      <c r="J14" s="137"/>
      <c r="K14" s="137"/>
      <c r="L14" s="137"/>
      <c r="M14" s="137"/>
      <c r="N14" s="137"/>
      <c r="O14" s="137"/>
      <c r="P14" s="137"/>
      <c r="Q14" s="137"/>
      <c r="R14" s="137"/>
    </row>
    <row r="15" customFormat="false" ht="13.5" hidden="false" customHeight="true" outlineLevel="0" collapsed="false">
      <c r="A15" s="40" t="s">
        <v>334</v>
      </c>
      <c r="B15" s="40" t="s">
        <v>317</v>
      </c>
      <c r="C15" s="40"/>
      <c r="D15" s="40" t="s">
        <v>324</v>
      </c>
      <c r="E15" s="40"/>
      <c r="F15" s="40" t="s">
        <v>335</v>
      </c>
      <c r="G15" s="40" t="s">
        <v>336</v>
      </c>
      <c r="H15" s="40" t="s">
        <v>337</v>
      </c>
      <c r="I15" s="40"/>
      <c r="J15" s="40" t="s">
        <v>338</v>
      </c>
      <c r="K15" s="40"/>
      <c r="L15" s="40"/>
      <c r="M15" s="136" t="s">
        <v>539</v>
      </c>
      <c r="N15" s="136" t="s">
        <v>540</v>
      </c>
      <c r="O15" s="136" t="s">
        <v>541</v>
      </c>
      <c r="P15" s="136" t="s">
        <v>542</v>
      </c>
      <c r="Q15" s="136" t="s">
        <v>543</v>
      </c>
      <c r="R15" s="136" t="s">
        <v>544</v>
      </c>
    </row>
    <row r="16" customFormat="false" ht="21.75" hidden="false" customHeight="true" outlineLevel="0" collapsed="false">
      <c r="A16" s="41" t="n">
        <f aca="false">IF('Calendario A'!A16="","",'Calendario A'!A16)</f>
        <v>3</v>
      </c>
      <c r="B16" s="42" t="str">
        <f aca="false">IF('Calendario A'!B16="","",'Calendario A'!B16)</f>
        <v>Cobra Coraggiosi</v>
      </c>
      <c r="C16" s="43" t="str">
        <f aca="false">IF('Calendario A'!C16="","",'Calendario A'!C16)</f>
        <v>A03</v>
      </c>
      <c r="D16" s="42" t="str">
        <f aca="false">IF('Calendario A'!D16="","",'Calendario A'!D16)</f>
        <v>Falchi Furiosi</v>
      </c>
      <c r="E16" s="43" t="str">
        <f aca="false">IF('Calendario A'!E16="","",'Calendario A'!E16)</f>
        <v>A06</v>
      </c>
      <c r="F16" s="44" t="n">
        <f aca="false">IF('Calendario A'!F16="","",'Calendario A'!F16)</f>
        <v>46313.625</v>
      </c>
      <c r="G16" s="44"/>
      <c r="H16" s="44"/>
      <c r="I16" s="44"/>
      <c r="J16" s="137" t="n">
        <f aca="false">IF('Calendario A'!J16="","",'Calendario A'!J16)</f>
        <v>50</v>
      </c>
      <c r="K16" s="138" t="s">
        <v>339</v>
      </c>
      <c r="L16" s="137" t="n">
        <f aca="false">IF('Calendario A'!L16="","",'Calendario A'!L16)</f>
        <v>67</v>
      </c>
      <c r="M16" s="139"/>
      <c r="N16" s="139"/>
      <c r="O16" s="139"/>
      <c r="P16" s="139"/>
      <c r="Q16" s="139"/>
      <c r="R16" s="139"/>
    </row>
    <row r="17" customFormat="false" ht="15" hidden="false" customHeight="true" outlineLevel="0" collapsed="false">
      <c r="A17" s="41"/>
      <c r="B17" s="48" t="str">
        <f aca="false">IF('Calendario A'!B17="","",'Calendario A'!B17)</f>
        <v>PalaAnaconde, Via dello Sport 1, Anacondeopoli AE</v>
      </c>
      <c r="C17" s="48"/>
      <c r="D17" s="48"/>
      <c r="E17" s="48"/>
      <c r="F17" s="48"/>
      <c r="G17" s="48"/>
      <c r="H17" s="48"/>
      <c r="I17" s="43" t="str">
        <f aca="false">IF('Calendario A'!I17="","",'Calendario A'!I17)</f>
        <v>A01</v>
      </c>
      <c r="J17" s="137"/>
      <c r="K17" s="137"/>
      <c r="L17" s="137"/>
      <c r="M17" s="137"/>
      <c r="N17" s="137"/>
      <c r="O17" s="137"/>
      <c r="P17" s="137"/>
      <c r="Q17" s="137"/>
      <c r="R17" s="137"/>
    </row>
    <row r="18" customFormat="false" ht="13.5" hidden="false" customHeight="true" outlineLevel="0" collapsed="false">
      <c r="A18" s="40" t="s">
        <v>334</v>
      </c>
      <c r="B18" s="40" t="s">
        <v>317</v>
      </c>
      <c r="C18" s="40"/>
      <c r="D18" s="40" t="s">
        <v>324</v>
      </c>
      <c r="E18" s="40"/>
      <c r="F18" s="40" t="s">
        <v>335</v>
      </c>
      <c r="G18" s="40" t="s">
        <v>336</v>
      </c>
      <c r="H18" s="40" t="s">
        <v>337</v>
      </c>
      <c r="I18" s="40"/>
      <c r="J18" s="40" t="s">
        <v>338</v>
      </c>
      <c r="K18" s="40"/>
      <c r="L18" s="40"/>
      <c r="M18" s="136" t="s">
        <v>539</v>
      </c>
      <c r="N18" s="136" t="s">
        <v>540</v>
      </c>
      <c r="O18" s="136" t="s">
        <v>541</v>
      </c>
      <c r="P18" s="136" t="s">
        <v>542</v>
      </c>
      <c r="Q18" s="136" t="s">
        <v>543</v>
      </c>
      <c r="R18" s="136" t="s">
        <v>544</v>
      </c>
    </row>
    <row r="19" customFormat="false" ht="21.75" hidden="false" customHeight="true" outlineLevel="0" collapsed="false">
      <c r="A19" s="41" t="n">
        <f aca="false">IF('Calendario A'!A19="","",'Calendario A'!A19)</f>
        <v>4</v>
      </c>
      <c r="B19" s="42" t="str">
        <f aca="false">IF('Calendario A'!B19="","",'Calendario A'!B19)</f>
        <v>Ermellini Eleganti</v>
      </c>
      <c r="C19" s="43" t="str">
        <f aca="false">IF('Calendario A'!C19="","",'Calendario A'!C19)</f>
        <v>A05</v>
      </c>
      <c r="D19" s="42" t="str">
        <f aca="false">IF('Calendario A'!D19="","",'Calendario A'!D19)</f>
        <v>Delfini Dispettosi</v>
      </c>
      <c r="E19" s="43" t="str">
        <f aca="false">IF('Calendario A'!E19="","",'Calendario A'!E19)</f>
        <v>A04</v>
      </c>
      <c r="F19" s="44" t="n">
        <f aca="false">IF('Calendario A'!F19="","",'Calendario A'!F19)</f>
        <v>46313.7083333333</v>
      </c>
      <c r="G19" s="44"/>
      <c r="H19" s="44"/>
      <c r="I19" s="44"/>
      <c r="J19" s="137" t="n">
        <f aca="false">IF('Calendario A'!J19="","",'Calendario A'!J19)</f>
        <v>71</v>
      </c>
      <c r="K19" s="138" t="s">
        <v>339</v>
      </c>
      <c r="L19" s="137" t="n">
        <f aca="false">IF('Calendario A'!L19="","",'Calendario A'!L19)</f>
        <v>50</v>
      </c>
      <c r="M19" s="139"/>
      <c r="N19" s="139"/>
      <c r="O19" s="139"/>
      <c r="P19" s="139"/>
      <c r="Q19" s="139"/>
      <c r="R19" s="139"/>
    </row>
    <row r="20" customFormat="false" ht="15" hidden="false" customHeight="true" outlineLevel="0" collapsed="false">
      <c r="A20" s="41"/>
      <c r="B20" s="48" t="str">
        <f aca="false">IF('Calendario A'!B20="","",'Calendario A'!B20)</f>
        <v>PalaAnaconde, Via dello Sport 1, Anacondeopoli AE</v>
      </c>
      <c r="C20" s="48"/>
      <c r="D20" s="48"/>
      <c r="E20" s="48"/>
      <c r="F20" s="48"/>
      <c r="G20" s="48"/>
      <c r="H20" s="48"/>
      <c r="I20" s="43" t="str">
        <f aca="false">IF('Calendario A'!I20="","",'Calendario A'!I20)</f>
        <v>A01</v>
      </c>
      <c r="J20" s="137"/>
      <c r="K20" s="137"/>
      <c r="L20" s="137"/>
      <c r="M20" s="137"/>
      <c r="N20" s="137"/>
      <c r="O20" s="137"/>
      <c r="P20" s="137"/>
      <c r="Q20" s="137"/>
      <c r="R20" s="137"/>
    </row>
    <row r="22" customFormat="false" ht="19.5" hidden="false" customHeight="true" outlineLevel="0" collapsed="false">
      <c r="A22" s="38" t="str">
        <f aca="false">IF('Calendario A'!A22="","",'Calendario A'!A22)</f>
        <v>2A</v>
      </c>
      <c r="B22" s="39" t="str">
        <f aca="false">IF('Calendario A'!B22="","",'Calendario A'!B22)</f>
        <v>GIORNATA II - GIRONE A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135" t="s">
        <v>537</v>
      </c>
      <c r="N22" s="135"/>
      <c r="O22" s="135"/>
      <c r="P22" s="135" t="s">
        <v>538</v>
      </c>
      <c r="Q22" s="135"/>
      <c r="R22" s="135"/>
    </row>
    <row r="23" customFormat="false" ht="13.5" hidden="false" customHeight="true" outlineLevel="0" collapsed="false">
      <c r="A23" s="40" t="s">
        <v>334</v>
      </c>
      <c r="B23" s="40" t="s">
        <v>317</v>
      </c>
      <c r="C23" s="40"/>
      <c r="D23" s="40" t="s">
        <v>324</v>
      </c>
      <c r="E23" s="40"/>
      <c r="F23" s="40" t="s">
        <v>335</v>
      </c>
      <c r="G23" s="40" t="s">
        <v>336</v>
      </c>
      <c r="H23" s="40" t="s">
        <v>337</v>
      </c>
      <c r="I23" s="40"/>
      <c r="J23" s="40" t="s">
        <v>338</v>
      </c>
      <c r="K23" s="40"/>
      <c r="L23" s="40"/>
      <c r="M23" s="136" t="s">
        <v>539</v>
      </c>
      <c r="N23" s="136" t="s">
        <v>540</v>
      </c>
      <c r="O23" s="136" t="s">
        <v>541</v>
      </c>
      <c r="P23" s="136" t="s">
        <v>542</v>
      </c>
      <c r="Q23" s="136" t="s">
        <v>543</v>
      </c>
      <c r="R23" s="136" t="s">
        <v>544</v>
      </c>
    </row>
    <row r="24" customFormat="false" ht="21.75" hidden="false" customHeight="true" outlineLevel="0" collapsed="false">
      <c r="A24" s="41" t="n">
        <f aca="false">IF('Calendario A'!A24="","",'Calendario A'!A24)</f>
        <v>5</v>
      </c>
      <c r="B24" s="42" t="str">
        <f aca="false">IF('Calendario A'!B24="","",'Calendario A'!B24)</f>
        <v>Gazzelle Gagliarde</v>
      </c>
      <c r="C24" s="43" t="str">
        <f aca="false">IF('Calendario A'!C24="","",'Calendario A'!C24)</f>
        <v>A07</v>
      </c>
      <c r="D24" s="42" t="str">
        <f aca="false">IF('Calendario A'!D24="","",'Calendario A'!D24)</f>
        <v>Anaconde Arrabbiate</v>
      </c>
      <c r="E24" s="43" t="str">
        <f aca="false">IF('Calendario A'!E24="","",'Calendario A'!E24)</f>
        <v>A01</v>
      </c>
      <c r="F24" s="44" t="n">
        <f aca="false">IF('Calendario A'!F24="","",'Calendario A'!F24)</f>
        <v>46334.3958333333</v>
      </c>
      <c r="G24" s="44"/>
      <c r="H24" s="44"/>
      <c r="I24" s="44"/>
      <c r="J24" s="137" t="n">
        <f aca="false">IF('Calendario A'!J24="","",'Calendario A'!J24)</f>
        <v>60</v>
      </c>
      <c r="K24" s="138" t="s">
        <v>339</v>
      </c>
      <c r="L24" s="137" t="n">
        <f aca="false">IF('Calendario A'!L24="","",'Calendario A'!L24)</f>
        <v>69</v>
      </c>
      <c r="M24" s="139"/>
      <c r="N24" s="139"/>
      <c r="O24" s="139"/>
      <c r="P24" s="139"/>
      <c r="Q24" s="139"/>
      <c r="R24" s="139"/>
    </row>
    <row r="25" customFormat="false" ht="15" hidden="false" customHeight="true" outlineLevel="0" collapsed="false">
      <c r="A25" s="41"/>
      <c r="B25" s="48" t="str">
        <f aca="false">IF('Calendario A'!B25="","",'Calendario A'!B25)</f>
        <v>PalaBufali, Via dello Sport 2, Bufaliopoli BI</v>
      </c>
      <c r="C25" s="48"/>
      <c r="D25" s="48"/>
      <c r="E25" s="48"/>
      <c r="F25" s="48"/>
      <c r="G25" s="48"/>
      <c r="H25" s="48"/>
      <c r="I25" s="43" t="str">
        <f aca="false">IF('Calendario A'!I25="","",'Calendario A'!I25)</f>
        <v>A02</v>
      </c>
      <c r="J25" s="137"/>
      <c r="K25" s="137"/>
      <c r="L25" s="137"/>
      <c r="M25" s="137"/>
      <c r="N25" s="137"/>
      <c r="O25" s="137"/>
      <c r="P25" s="137"/>
      <c r="Q25" s="137"/>
      <c r="R25" s="137"/>
    </row>
    <row r="26" customFormat="false" ht="13.5" hidden="false" customHeight="true" outlineLevel="0" collapsed="false">
      <c r="A26" s="40" t="s">
        <v>334</v>
      </c>
      <c r="B26" s="40" t="s">
        <v>317</v>
      </c>
      <c r="C26" s="40"/>
      <c r="D26" s="40" t="s">
        <v>324</v>
      </c>
      <c r="E26" s="40"/>
      <c r="F26" s="40" t="s">
        <v>335</v>
      </c>
      <c r="G26" s="40" t="s">
        <v>336</v>
      </c>
      <c r="H26" s="40" t="s">
        <v>337</v>
      </c>
      <c r="I26" s="40"/>
      <c r="J26" s="40" t="s">
        <v>338</v>
      </c>
      <c r="K26" s="40"/>
      <c r="L26" s="40"/>
      <c r="M26" s="136" t="s">
        <v>539</v>
      </c>
      <c r="N26" s="136" t="s">
        <v>540</v>
      </c>
      <c r="O26" s="136" t="s">
        <v>541</v>
      </c>
      <c r="P26" s="136" t="s">
        <v>542</v>
      </c>
      <c r="Q26" s="136" t="s">
        <v>543</v>
      </c>
      <c r="R26" s="136" t="s">
        <v>544</v>
      </c>
    </row>
    <row r="27" customFormat="false" ht="21.75" hidden="false" customHeight="true" outlineLevel="0" collapsed="false">
      <c r="A27" s="41" t="n">
        <f aca="false">IF('Calendario A'!A27="","",'Calendario A'!A27)</f>
        <v>6</v>
      </c>
      <c r="B27" s="42" t="str">
        <f aca="false">IF('Calendario A'!B27="","",'Calendario A'!B27)</f>
        <v>Ippopotami Iracondi</v>
      </c>
      <c r="C27" s="43" t="str">
        <f aca="false">IF('Calendario A'!C27="","",'Calendario A'!C27)</f>
        <v>A08</v>
      </c>
      <c r="D27" s="42" t="str">
        <f aca="false">IF('Calendario A'!D27="","",'Calendario A'!D27)</f>
        <v>Falchi Furiosi</v>
      </c>
      <c r="E27" s="43" t="str">
        <f aca="false">IF('Calendario A'!E27="","",'Calendario A'!E27)</f>
        <v>A06</v>
      </c>
      <c r="F27" s="44" t="n">
        <f aca="false">IF('Calendario A'!F27="","",'Calendario A'!F27)</f>
        <v>46334.4791666667</v>
      </c>
      <c r="G27" s="44"/>
      <c r="H27" s="44"/>
      <c r="I27" s="44"/>
      <c r="J27" s="137" t="n">
        <f aca="false">IF('Calendario A'!J27="","",'Calendario A'!J27)</f>
        <v>48</v>
      </c>
      <c r="K27" s="138" t="s">
        <v>339</v>
      </c>
      <c r="L27" s="137" t="n">
        <f aca="false">IF('Calendario A'!L27="","",'Calendario A'!L27)</f>
        <v>75</v>
      </c>
      <c r="M27" s="139"/>
      <c r="N27" s="139"/>
      <c r="O27" s="139"/>
      <c r="P27" s="139"/>
      <c r="Q27" s="139"/>
      <c r="R27" s="139"/>
    </row>
    <row r="28" customFormat="false" ht="15" hidden="false" customHeight="true" outlineLevel="0" collapsed="false">
      <c r="A28" s="41"/>
      <c r="B28" s="48" t="str">
        <f aca="false">IF('Calendario A'!B28="","",'Calendario A'!B28)</f>
        <v>PalaBufali, Via dello Sport 2, Bufaliopoli BI</v>
      </c>
      <c r="C28" s="48"/>
      <c r="D28" s="48"/>
      <c r="E28" s="48"/>
      <c r="F28" s="48"/>
      <c r="G28" s="48"/>
      <c r="H28" s="48"/>
      <c r="I28" s="43" t="str">
        <f aca="false">IF('Calendario A'!I28="","",'Calendario A'!I28)</f>
        <v>A02</v>
      </c>
      <c r="J28" s="137"/>
      <c r="K28" s="137"/>
      <c r="L28" s="137"/>
      <c r="M28" s="137"/>
      <c r="N28" s="137"/>
      <c r="O28" s="137"/>
      <c r="P28" s="137"/>
      <c r="Q28" s="137"/>
      <c r="R28" s="137"/>
    </row>
    <row r="29" customFormat="false" ht="13.5" hidden="false" customHeight="true" outlineLevel="0" collapsed="false">
      <c r="A29" s="40" t="s">
        <v>334</v>
      </c>
      <c r="B29" s="40" t="s">
        <v>317</v>
      </c>
      <c r="C29" s="40"/>
      <c r="D29" s="40" t="s">
        <v>324</v>
      </c>
      <c r="E29" s="40"/>
      <c r="F29" s="40" t="s">
        <v>335</v>
      </c>
      <c r="G29" s="40" t="s">
        <v>336</v>
      </c>
      <c r="H29" s="40" t="s">
        <v>337</v>
      </c>
      <c r="I29" s="40"/>
      <c r="J29" s="40" t="s">
        <v>338</v>
      </c>
      <c r="K29" s="40"/>
      <c r="L29" s="40"/>
      <c r="M29" s="136" t="s">
        <v>539</v>
      </c>
      <c r="N29" s="136" t="s">
        <v>540</v>
      </c>
      <c r="O29" s="136" t="s">
        <v>541</v>
      </c>
      <c r="P29" s="136" t="s">
        <v>542</v>
      </c>
      <c r="Q29" s="136" t="s">
        <v>543</v>
      </c>
      <c r="R29" s="136" t="s">
        <v>544</v>
      </c>
    </row>
    <row r="30" customFormat="false" ht="21.75" hidden="false" customHeight="true" outlineLevel="0" collapsed="false">
      <c r="A30" s="41" t="n">
        <f aca="false">IF('Calendario A'!A30="","",'Calendario A'!A30)</f>
        <v>7</v>
      </c>
      <c r="B30" s="42" t="str">
        <f aca="false">IF('Calendario A'!B30="","",'Calendario A'!B30)</f>
        <v>Ermellini Eleganti</v>
      </c>
      <c r="C30" s="43" t="str">
        <f aca="false">IF('Calendario A'!C30="","",'Calendario A'!C30)</f>
        <v>A05</v>
      </c>
      <c r="D30" s="42" t="str">
        <f aca="false">IF('Calendario A'!D30="","",'Calendario A'!D30)</f>
        <v>Bufali Belligeranti</v>
      </c>
      <c r="E30" s="43" t="str">
        <f aca="false">IF('Calendario A'!E30="","",'Calendario A'!E30)</f>
        <v>A02</v>
      </c>
      <c r="F30" s="44" t="n">
        <f aca="false">IF('Calendario A'!F30="","",'Calendario A'!F30)</f>
        <v>46334.625</v>
      </c>
      <c r="G30" s="44"/>
      <c r="H30" s="44"/>
      <c r="I30" s="44"/>
      <c r="J30" s="137" t="n">
        <f aca="false">IF('Calendario A'!J30="","",'Calendario A'!J30)</f>
        <v>70</v>
      </c>
      <c r="K30" s="138" t="s">
        <v>339</v>
      </c>
      <c r="L30" s="137" t="n">
        <f aca="false">IF('Calendario A'!L30="","",'Calendario A'!L30)</f>
        <v>54</v>
      </c>
      <c r="M30" s="139"/>
      <c r="N30" s="139"/>
      <c r="O30" s="139"/>
      <c r="P30" s="139"/>
      <c r="Q30" s="139"/>
      <c r="R30" s="139"/>
    </row>
    <row r="31" customFormat="false" ht="15" hidden="false" customHeight="true" outlineLevel="0" collapsed="false">
      <c r="A31" s="41"/>
      <c r="B31" s="48" t="str">
        <f aca="false">IF('Calendario A'!B31="","",'Calendario A'!B31)</f>
        <v>PalaBufali, Via dello Sport 2, Bufaliopoli BI</v>
      </c>
      <c r="C31" s="48"/>
      <c r="D31" s="48"/>
      <c r="E31" s="48"/>
      <c r="F31" s="48"/>
      <c r="G31" s="48"/>
      <c r="H31" s="48"/>
      <c r="I31" s="43" t="str">
        <f aca="false">IF('Calendario A'!I31="","",'Calendario A'!I31)</f>
        <v>A02</v>
      </c>
      <c r="J31" s="137"/>
      <c r="K31" s="137"/>
      <c r="L31" s="137"/>
      <c r="M31" s="137"/>
      <c r="N31" s="137"/>
      <c r="O31" s="137"/>
      <c r="P31" s="137"/>
      <c r="Q31" s="137"/>
      <c r="R31" s="137"/>
    </row>
    <row r="32" customFormat="false" ht="13.5" hidden="false" customHeight="true" outlineLevel="0" collapsed="false">
      <c r="A32" s="40" t="s">
        <v>334</v>
      </c>
      <c r="B32" s="40" t="s">
        <v>317</v>
      </c>
      <c r="C32" s="40"/>
      <c r="D32" s="40" t="s">
        <v>324</v>
      </c>
      <c r="E32" s="40"/>
      <c r="F32" s="40" t="s">
        <v>335</v>
      </c>
      <c r="G32" s="40" t="s">
        <v>336</v>
      </c>
      <c r="H32" s="40" t="s">
        <v>337</v>
      </c>
      <c r="I32" s="40"/>
      <c r="J32" s="40" t="s">
        <v>338</v>
      </c>
      <c r="K32" s="40"/>
      <c r="L32" s="40"/>
      <c r="M32" s="136" t="s">
        <v>539</v>
      </c>
      <c r="N32" s="136" t="s">
        <v>540</v>
      </c>
      <c r="O32" s="136" t="s">
        <v>541</v>
      </c>
      <c r="P32" s="136" t="s">
        <v>542</v>
      </c>
      <c r="Q32" s="136" t="s">
        <v>543</v>
      </c>
      <c r="R32" s="136" t="s">
        <v>544</v>
      </c>
    </row>
    <row r="33" customFormat="false" ht="21.75" hidden="false" customHeight="true" outlineLevel="0" collapsed="false">
      <c r="A33" s="41" t="n">
        <f aca="false">IF('Calendario A'!A33="","",'Calendario A'!A33)</f>
        <v>8</v>
      </c>
      <c r="B33" s="42" t="str">
        <f aca="false">IF('Calendario A'!B33="","",'Calendario A'!B33)</f>
        <v>Cobra Coraggiosi</v>
      </c>
      <c r="C33" s="43" t="str">
        <f aca="false">IF('Calendario A'!C33="","",'Calendario A'!C33)</f>
        <v>A03</v>
      </c>
      <c r="D33" s="42" t="str">
        <f aca="false">IF('Calendario A'!D33="","",'Calendario A'!D33)</f>
        <v>Delfini Dispettosi</v>
      </c>
      <c r="E33" s="43" t="str">
        <f aca="false">IF('Calendario A'!E33="","",'Calendario A'!E33)</f>
        <v>A04</v>
      </c>
      <c r="F33" s="44" t="n">
        <f aca="false">IF('Calendario A'!F33="","",'Calendario A'!F33)</f>
        <v>46334.7083333333</v>
      </c>
      <c r="G33" s="44"/>
      <c r="H33" s="44"/>
      <c r="I33" s="44"/>
      <c r="J33" s="137" t="n">
        <f aca="false">IF('Calendario A'!J33="","",'Calendario A'!J33)</f>
        <v>72</v>
      </c>
      <c r="K33" s="138" t="s">
        <v>339</v>
      </c>
      <c r="L33" s="137" t="n">
        <f aca="false">IF('Calendario A'!L33="","",'Calendario A'!L33)</f>
        <v>66</v>
      </c>
      <c r="M33" s="139"/>
      <c r="N33" s="139"/>
      <c r="O33" s="139"/>
      <c r="P33" s="139"/>
      <c r="Q33" s="139"/>
      <c r="R33" s="139"/>
    </row>
    <row r="34" customFormat="false" ht="15" hidden="false" customHeight="true" outlineLevel="0" collapsed="false">
      <c r="A34" s="41"/>
      <c r="B34" s="48" t="str">
        <f aca="false">IF('Calendario A'!B34="","",'Calendario A'!B34)</f>
        <v>PalaBufali, Via dello Sport 2, Bufaliopoli BI</v>
      </c>
      <c r="C34" s="48"/>
      <c r="D34" s="48"/>
      <c r="E34" s="48"/>
      <c r="F34" s="48"/>
      <c r="G34" s="48"/>
      <c r="H34" s="48"/>
      <c r="I34" s="43" t="str">
        <f aca="false">IF('Calendario A'!I34="","",'Calendario A'!I34)</f>
        <v>A02</v>
      </c>
      <c r="J34" s="137"/>
      <c r="K34" s="137"/>
      <c r="L34" s="137"/>
      <c r="M34" s="137"/>
      <c r="N34" s="137"/>
      <c r="O34" s="137"/>
      <c r="P34" s="137"/>
      <c r="Q34" s="137"/>
      <c r="R34" s="137"/>
    </row>
    <row r="36" customFormat="false" ht="19.5" hidden="false" customHeight="true" outlineLevel="0" collapsed="false">
      <c r="A36" s="38" t="str">
        <f aca="false">IF('Calendario A'!A36="","",'Calendario A'!A36)</f>
        <v>3A</v>
      </c>
      <c r="B36" s="39" t="str">
        <f aca="false">IF('Calendario A'!B36="","",'Calendario A'!B36)</f>
        <v>GIORNATA III - GIRONE A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135" t="s">
        <v>537</v>
      </c>
      <c r="N36" s="135"/>
      <c r="O36" s="135"/>
      <c r="P36" s="135" t="s">
        <v>538</v>
      </c>
      <c r="Q36" s="135"/>
      <c r="R36" s="135"/>
    </row>
    <row r="37" customFormat="false" ht="13.5" hidden="false" customHeight="true" outlineLevel="0" collapsed="false">
      <c r="A37" s="40" t="s">
        <v>334</v>
      </c>
      <c r="B37" s="40" t="s">
        <v>317</v>
      </c>
      <c r="C37" s="40"/>
      <c r="D37" s="40" t="s">
        <v>324</v>
      </c>
      <c r="E37" s="40"/>
      <c r="F37" s="40" t="s">
        <v>335</v>
      </c>
      <c r="G37" s="40" t="s">
        <v>336</v>
      </c>
      <c r="H37" s="40" t="s">
        <v>337</v>
      </c>
      <c r="I37" s="40"/>
      <c r="J37" s="40" t="s">
        <v>338</v>
      </c>
      <c r="K37" s="40"/>
      <c r="L37" s="40"/>
      <c r="M37" s="136" t="s">
        <v>539</v>
      </c>
      <c r="N37" s="136" t="s">
        <v>540</v>
      </c>
      <c r="O37" s="136" t="s">
        <v>541</v>
      </c>
      <c r="P37" s="136" t="s">
        <v>542</v>
      </c>
      <c r="Q37" s="136" t="s">
        <v>543</v>
      </c>
      <c r="R37" s="136" t="s">
        <v>544</v>
      </c>
    </row>
    <row r="38" customFormat="false" ht="21.75" hidden="false" customHeight="true" outlineLevel="0" collapsed="false">
      <c r="A38" s="41" t="n">
        <f aca="false">IF('Calendario A'!A38="","",'Calendario A'!A38)</f>
        <v>9</v>
      </c>
      <c r="B38" s="42" t="str">
        <f aca="false">IF('Calendario A'!B38="","",'Calendario A'!B38)</f>
        <v>Anaconde Arrabbiate</v>
      </c>
      <c r="C38" s="43" t="str">
        <f aca="false">IF('Calendario A'!C38="","",'Calendario A'!C38)</f>
        <v>A01</v>
      </c>
      <c r="D38" s="42" t="str">
        <f aca="false">IF('Calendario A'!D38="","",'Calendario A'!D38)</f>
        <v>Falchi Furiosi</v>
      </c>
      <c r="E38" s="43" t="str">
        <f aca="false">IF('Calendario A'!E38="","",'Calendario A'!E38)</f>
        <v>A06</v>
      </c>
      <c r="F38" s="44" t="n">
        <f aca="false">IF('Calendario A'!F38="","",'Calendario A'!F38)</f>
        <v>46355.3958333333</v>
      </c>
      <c r="G38" s="44"/>
      <c r="H38" s="44"/>
      <c r="I38" s="44"/>
      <c r="J38" s="137" t="n">
        <f aca="false">IF('Calendario A'!J38="","",'Calendario A'!J38)</f>
        <v>65</v>
      </c>
      <c r="K38" s="138" t="s">
        <v>339</v>
      </c>
      <c r="L38" s="137" t="n">
        <f aca="false">IF('Calendario A'!L38="","",'Calendario A'!L38)</f>
        <v>51</v>
      </c>
      <c r="M38" s="139"/>
      <c r="N38" s="139"/>
      <c r="O38" s="139"/>
      <c r="P38" s="139"/>
      <c r="Q38" s="139"/>
      <c r="R38" s="139"/>
    </row>
    <row r="39" customFormat="false" ht="15" hidden="false" customHeight="true" outlineLevel="0" collapsed="false">
      <c r="A39" s="41"/>
      <c r="B39" s="48" t="str">
        <f aca="false">IF('Calendario A'!B39="","",'Calendario A'!B39)</f>
        <v>PalaCobra, Via dello Sport 3, Cobraopoli CA</v>
      </c>
      <c r="C39" s="48"/>
      <c r="D39" s="48"/>
      <c r="E39" s="48"/>
      <c r="F39" s="48"/>
      <c r="G39" s="48"/>
      <c r="H39" s="48"/>
      <c r="I39" s="43" t="str">
        <f aca="false">IF('Calendario A'!I39="","",'Calendario A'!I39)</f>
        <v>A03</v>
      </c>
      <c r="J39" s="137"/>
      <c r="K39" s="137"/>
      <c r="L39" s="137"/>
      <c r="M39" s="137"/>
      <c r="N39" s="137"/>
      <c r="O39" s="137"/>
      <c r="P39" s="137"/>
      <c r="Q39" s="137"/>
      <c r="R39" s="137"/>
    </row>
    <row r="40" customFormat="false" ht="13.5" hidden="false" customHeight="true" outlineLevel="0" collapsed="false">
      <c r="A40" s="40" t="s">
        <v>334</v>
      </c>
      <c r="B40" s="40" t="s">
        <v>317</v>
      </c>
      <c r="C40" s="40"/>
      <c r="D40" s="40" t="s">
        <v>324</v>
      </c>
      <c r="E40" s="40"/>
      <c r="F40" s="40" t="s">
        <v>335</v>
      </c>
      <c r="G40" s="40" t="s">
        <v>336</v>
      </c>
      <c r="H40" s="40" t="s">
        <v>337</v>
      </c>
      <c r="I40" s="40"/>
      <c r="J40" s="40" t="s">
        <v>338</v>
      </c>
      <c r="K40" s="40"/>
      <c r="L40" s="40"/>
      <c r="M40" s="136" t="s">
        <v>539</v>
      </c>
      <c r="N40" s="136" t="s">
        <v>540</v>
      </c>
      <c r="O40" s="136" t="s">
        <v>541</v>
      </c>
      <c r="P40" s="136" t="s">
        <v>542</v>
      </c>
      <c r="Q40" s="136" t="s">
        <v>543</v>
      </c>
      <c r="R40" s="136" t="s">
        <v>544</v>
      </c>
    </row>
    <row r="41" customFormat="false" ht="21.75" hidden="false" customHeight="true" outlineLevel="0" collapsed="false">
      <c r="A41" s="41" t="n">
        <f aca="false">IF('Calendario A'!A41="","",'Calendario A'!A41)</f>
        <v>10</v>
      </c>
      <c r="B41" s="42" t="str">
        <f aca="false">IF('Calendario A'!B41="","",'Calendario A'!B41)</f>
        <v>Ermellini Eleganti</v>
      </c>
      <c r="C41" s="43" t="str">
        <f aca="false">IF('Calendario A'!C41="","",'Calendario A'!C41)</f>
        <v>A05</v>
      </c>
      <c r="D41" s="42" t="str">
        <f aca="false">IF('Calendario A'!D41="","",'Calendario A'!D41)</f>
        <v>Gazzelle Gagliarde</v>
      </c>
      <c r="E41" s="43" t="str">
        <f aca="false">IF('Calendario A'!E41="","",'Calendario A'!E41)</f>
        <v>A07</v>
      </c>
      <c r="F41" s="44" t="n">
        <f aca="false">IF('Calendario A'!F41="","",'Calendario A'!F41)</f>
        <v>46355.4791666667</v>
      </c>
      <c r="G41" s="44"/>
      <c r="H41" s="44"/>
      <c r="I41" s="44"/>
      <c r="J41" s="137" t="n">
        <f aca="false">IF('Calendario A'!J41="","",'Calendario A'!J41)</f>
        <v>75</v>
      </c>
      <c r="K41" s="138" t="s">
        <v>339</v>
      </c>
      <c r="L41" s="137" t="n">
        <f aca="false">IF('Calendario A'!L41="","",'Calendario A'!L41)</f>
        <v>47</v>
      </c>
      <c r="M41" s="139"/>
      <c r="N41" s="139"/>
      <c r="O41" s="139"/>
      <c r="P41" s="139"/>
      <c r="Q41" s="139"/>
      <c r="R41" s="139"/>
    </row>
    <row r="42" customFormat="false" ht="15" hidden="false" customHeight="true" outlineLevel="0" collapsed="false">
      <c r="A42" s="41"/>
      <c r="B42" s="48" t="str">
        <f aca="false">IF('Calendario A'!B42="","",'Calendario A'!B42)</f>
        <v>PalaCobra, Via dello Sport 3, Cobraopoli CA</v>
      </c>
      <c r="C42" s="48"/>
      <c r="D42" s="48"/>
      <c r="E42" s="48"/>
      <c r="F42" s="48"/>
      <c r="G42" s="48"/>
      <c r="H42" s="48"/>
      <c r="I42" s="43" t="str">
        <f aca="false">IF('Calendario A'!I42="","",'Calendario A'!I42)</f>
        <v>A03</v>
      </c>
      <c r="J42" s="137"/>
      <c r="K42" s="137"/>
      <c r="L42" s="137"/>
      <c r="M42" s="137"/>
      <c r="N42" s="137"/>
      <c r="O42" s="137"/>
      <c r="P42" s="137"/>
      <c r="Q42" s="137"/>
      <c r="R42" s="137"/>
    </row>
    <row r="43" customFormat="false" ht="13.5" hidden="false" customHeight="true" outlineLevel="0" collapsed="false">
      <c r="A43" s="40" t="s">
        <v>334</v>
      </c>
      <c r="B43" s="40" t="s">
        <v>317</v>
      </c>
      <c r="C43" s="40"/>
      <c r="D43" s="40" t="s">
        <v>324</v>
      </c>
      <c r="E43" s="40"/>
      <c r="F43" s="40" t="s">
        <v>335</v>
      </c>
      <c r="G43" s="40" t="s">
        <v>336</v>
      </c>
      <c r="H43" s="40" t="s">
        <v>337</v>
      </c>
      <c r="I43" s="40"/>
      <c r="J43" s="40" t="s">
        <v>338</v>
      </c>
      <c r="K43" s="40"/>
      <c r="L43" s="40"/>
      <c r="M43" s="136" t="s">
        <v>539</v>
      </c>
      <c r="N43" s="136" t="s">
        <v>540</v>
      </c>
      <c r="O43" s="136" t="s">
        <v>541</v>
      </c>
      <c r="P43" s="136" t="s">
        <v>542</v>
      </c>
      <c r="Q43" s="136" t="s">
        <v>543</v>
      </c>
      <c r="R43" s="136" t="s">
        <v>544</v>
      </c>
    </row>
    <row r="44" customFormat="false" ht="21.75" hidden="false" customHeight="true" outlineLevel="0" collapsed="false">
      <c r="A44" s="41" t="n">
        <f aca="false">IF('Calendario A'!A44="","",'Calendario A'!A44)</f>
        <v>11</v>
      </c>
      <c r="B44" s="42" t="str">
        <f aca="false">IF('Calendario A'!B44="","",'Calendario A'!B44)</f>
        <v>Ippopotami Iracondi</v>
      </c>
      <c r="C44" s="43" t="str">
        <f aca="false">IF('Calendario A'!C44="","",'Calendario A'!C44)</f>
        <v>A08</v>
      </c>
      <c r="D44" s="42" t="str">
        <f aca="false">IF('Calendario A'!D44="","",'Calendario A'!D44)</f>
        <v>Delfini Dispettosi</v>
      </c>
      <c r="E44" s="43" t="str">
        <f aca="false">IF('Calendario A'!E44="","",'Calendario A'!E44)</f>
        <v>A04</v>
      </c>
      <c r="F44" s="44" t="n">
        <f aca="false">IF('Calendario A'!F44="","",'Calendario A'!F44)</f>
        <v>46355.625</v>
      </c>
      <c r="G44" s="44"/>
      <c r="H44" s="44"/>
      <c r="I44" s="44"/>
      <c r="J44" s="137" t="n">
        <f aca="false">IF('Calendario A'!J44="","",'Calendario A'!J44)</f>
        <v>76</v>
      </c>
      <c r="K44" s="138" t="s">
        <v>339</v>
      </c>
      <c r="L44" s="137" t="n">
        <f aca="false">IF('Calendario A'!L44="","",'Calendario A'!L44)</f>
        <v>61</v>
      </c>
      <c r="M44" s="139"/>
      <c r="N44" s="139"/>
      <c r="O44" s="139"/>
      <c r="P44" s="139"/>
      <c r="Q44" s="139"/>
      <c r="R44" s="139"/>
    </row>
    <row r="45" customFormat="false" ht="15" hidden="false" customHeight="true" outlineLevel="0" collapsed="false">
      <c r="A45" s="41"/>
      <c r="B45" s="48" t="str">
        <f aca="false">IF('Calendario A'!B45="","",'Calendario A'!B45)</f>
        <v>PalaCobra, Via dello Sport 3, Cobraopoli CA</v>
      </c>
      <c r="C45" s="48"/>
      <c r="D45" s="48"/>
      <c r="E45" s="48"/>
      <c r="F45" s="48"/>
      <c r="G45" s="48"/>
      <c r="H45" s="48"/>
      <c r="I45" s="43" t="str">
        <f aca="false">IF('Calendario A'!I45="","",'Calendario A'!I45)</f>
        <v>A03</v>
      </c>
      <c r="J45" s="137"/>
      <c r="K45" s="137"/>
      <c r="L45" s="137"/>
      <c r="M45" s="137"/>
      <c r="N45" s="137"/>
      <c r="O45" s="137"/>
      <c r="P45" s="137"/>
      <c r="Q45" s="137"/>
      <c r="R45" s="137"/>
    </row>
    <row r="46" customFormat="false" ht="13.5" hidden="false" customHeight="true" outlineLevel="0" collapsed="false">
      <c r="A46" s="40" t="s">
        <v>334</v>
      </c>
      <c r="B46" s="40" t="s">
        <v>317</v>
      </c>
      <c r="C46" s="40"/>
      <c r="D46" s="40" t="s">
        <v>324</v>
      </c>
      <c r="E46" s="40"/>
      <c r="F46" s="40" t="s">
        <v>335</v>
      </c>
      <c r="G46" s="40" t="s">
        <v>336</v>
      </c>
      <c r="H46" s="40" t="s">
        <v>337</v>
      </c>
      <c r="I46" s="40"/>
      <c r="J46" s="40" t="s">
        <v>338</v>
      </c>
      <c r="K46" s="40"/>
      <c r="L46" s="40"/>
      <c r="M46" s="136" t="s">
        <v>539</v>
      </c>
      <c r="N46" s="136" t="s">
        <v>540</v>
      </c>
      <c r="O46" s="136" t="s">
        <v>541</v>
      </c>
      <c r="P46" s="136" t="s">
        <v>542</v>
      </c>
      <c r="Q46" s="136" t="s">
        <v>543</v>
      </c>
      <c r="R46" s="136" t="s">
        <v>544</v>
      </c>
    </row>
    <row r="47" customFormat="false" ht="21.75" hidden="false" customHeight="true" outlineLevel="0" collapsed="false">
      <c r="A47" s="41" t="n">
        <f aca="false">IF('Calendario A'!A47="","",'Calendario A'!A47)</f>
        <v>12</v>
      </c>
      <c r="B47" s="42" t="str">
        <f aca="false">IF('Calendario A'!B47="","",'Calendario A'!B47)</f>
        <v>Cobra Coraggiosi</v>
      </c>
      <c r="C47" s="43" t="str">
        <f aca="false">IF('Calendario A'!C47="","",'Calendario A'!C47)</f>
        <v>A03</v>
      </c>
      <c r="D47" s="42" t="str">
        <f aca="false">IF('Calendario A'!D47="","",'Calendario A'!D47)</f>
        <v>Bufali Belligeranti</v>
      </c>
      <c r="E47" s="43" t="str">
        <f aca="false">IF('Calendario A'!E47="","",'Calendario A'!E47)</f>
        <v>A02</v>
      </c>
      <c r="F47" s="44" t="n">
        <f aca="false">IF('Calendario A'!F47="","",'Calendario A'!F47)</f>
        <v>46355.7083333333</v>
      </c>
      <c r="G47" s="44"/>
      <c r="H47" s="44"/>
      <c r="I47" s="44"/>
      <c r="J47" s="137" t="n">
        <f aca="false">IF('Calendario A'!J47="","",'Calendario A'!J47)</f>
        <v>72</v>
      </c>
      <c r="K47" s="138" t="s">
        <v>339</v>
      </c>
      <c r="L47" s="137" t="n">
        <f aca="false">IF('Calendario A'!L47="","",'Calendario A'!L47)</f>
        <v>67</v>
      </c>
      <c r="M47" s="139"/>
      <c r="N47" s="139"/>
      <c r="O47" s="139"/>
      <c r="P47" s="139"/>
      <c r="Q47" s="139"/>
      <c r="R47" s="139"/>
    </row>
    <row r="48" customFormat="false" ht="15" hidden="false" customHeight="true" outlineLevel="0" collapsed="false">
      <c r="A48" s="41"/>
      <c r="B48" s="48" t="str">
        <f aca="false">IF('Calendario A'!B48="","",'Calendario A'!B48)</f>
        <v>PalaCobra, Via dello Sport 3, Cobraopoli CA</v>
      </c>
      <c r="C48" s="48"/>
      <c r="D48" s="48"/>
      <c r="E48" s="48"/>
      <c r="F48" s="48"/>
      <c r="G48" s="48"/>
      <c r="H48" s="48"/>
      <c r="I48" s="43" t="str">
        <f aca="false">IF('Calendario A'!I48="","",'Calendario A'!I48)</f>
        <v>A03</v>
      </c>
      <c r="J48" s="137"/>
      <c r="K48" s="137"/>
      <c r="L48" s="137"/>
      <c r="M48" s="137"/>
      <c r="N48" s="137"/>
      <c r="O48" s="137"/>
      <c r="P48" s="137"/>
      <c r="Q48" s="137"/>
      <c r="R48" s="137"/>
    </row>
    <row r="50" customFormat="false" ht="19.5" hidden="false" customHeight="true" outlineLevel="0" collapsed="false">
      <c r="A50" s="38" t="str">
        <f aca="false">IF('Calendario A'!A50="","",'Calendario A'!A50)</f>
        <v>4A</v>
      </c>
      <c r="B50" s="39" t="str">
        <f aca="false">IF('Calendario A'!B50="","",'Calendario A'!B50)</f>
        <v>GIORNATA IV - GIRONE A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135" t="s">
        <v>537</v>
      </c>
      <c r="N50" s="135"/>
      <c r="O50" s="135"/>
      <c r="P50" s="135" t="s">
        <v>538</v>
      </c>
      <c r="Q50" s="135"/>
      <c r="R50" s="135"/>
    </row>
    <row r="51" customFormat="false" ht="13.5" hidden="false" customHeight="true" outlineLevel="0" collapsed="false">
      <c r="A51" s="40" t="s">
        <v>334</v>
      </c>
      <c r="B51" s="40" t="s">
        <v>317</v>
      </c>
      <c r="C51" s="40"/>
      <c r="D51" s="40" t="s">
        <v>324</v>
      </c>
      <c r="E51" s="40"/>
      <c r="F51" s="40" t="s">
        <v>335</v>
      </c>
      <c r="G51" s="40" t="s">
        <v>336</v>
      </c>
      <c r="H51" s="40" t="s">
        <v>337</v>
      </c>
      <c r="I51" s="40"/>
      <c r="J51" s="40" t="s">
        <v>338</v>
      </c>
      <c r="K51" s="40"/>
      <c r="L51" s="40"/>
      <c r="M51" s="136" t="s">
        <v>539</v>
      </c>
      <c r="N51" s="136" t="s">
        <v>540</v>
      </c>
      <c r="O51" s="136" t="s">
        <v>541</v>
      </c>
      <c r="P51" s="136" t="s">
        <v>542</v>
      </c>
      <c r="Q51" s="136" t="s">
        <v>543</v>
      </c>
      <c r="R51" s="136" t="s">
        <v>544</v>
      </c>
    </row>
    <row r="52" customFormat="false" ht="21.75" hidden="false" customHeight="true" outlineLevel="0" collapsed="false">
      <c r="A52" s="41" t="n">
        <f aca="false">IF('Calendario A'!A52="","",'Calendario A'!A52)</f>
        <v>13</v>
      </c>
      <c r="B52" s="42" t="str">
        <f aca="false">IF('Calendario A'!B52="","",'Calendario A'!B52)</f>
        <v>Ermellini Eleganti</v>
      </c>
      <c r="C52" s="43" t="str">
        <f aca="false">IF('Calendario A'!C52="","",'Calendario A'!C52)</f>
        <v>A05</v>
      </c>
      <c r="D52" s="42" t="str">
        <f aca="false">IF('Calendario A'!D52="","",'Calendario A'!D52)</f>
        <v>Anaconde Arrabbiate</v>
      </c>
      <c r="E52" s="43" t="str">
        <f aca="false">IF('Calendario A'!E52="","",'Calendario A'!E52)</f>
        <v>A01</v>
      </c>
      <c r="F52" s="44" t="n">
        <f aca="false">IF('Calendario A'!F52="","",'Calendario A'!F52)</f>
        <v>46369.3958333333</v>
      </c>
      <c r="G52" s="44"/>
      <c r="H52" s="44"/>
      <c r="I52" s="44"/>
      <c r="J52" s="137" t="n">
        <f aca="false">IF('Calendario A'!J52="","",'Calendario A'!J52)</f>
        <v>58</v>
      </c>
      <c r="K52" s="138" t="s">
        <v>339</v>
      </c>
      <c r="L52" s="137" t="n">
        <f aca="false">IF('Calendario A'!L52="","",'Calendario A'!L52)</f>
        <v>73</v>
      </c>
      <c r="M52" s="139"/>
      <c r="N52" s="139"/>
      <c r="O52" s="139"/>
      <c r="P52" s="139"/>
      <c r="Q52" s="139"/>
      <c r="R52" s="139"/>
    </row>
    <row r="53" customFormat="false" ht="15" hidden="false" customHeight="true" outlineLevel="0" collapsed="false">
      <c r="A53" s="41"/>
      <c r="B53" s="48" t="str">
        <f aca="false">IF('Calendario A'!B53="","",'Calendario A'!B53)</f>
        <v>PalaDelfini, Via dello Sport 4, Delfiniopoli DI</v>
      </c>
      <c r="C53" s="48"/>
      <c r="D53" s="48"/>
      <c r="E53" s="48"/>
      <c r="F53" s="48"/>
      <c r="G53" s="48"/>
      <c r="H53" s="48"/>
      <c r="I53" s="43" t="str">
        <f aca="false">IF('Calendario A'!I53="","",'Calendario A'!I53)</f>
        <v>A04</v>
      </c>
      <c r="J53" s="137"/>
      <c r="K53" s="137"/>
      <c r="L53" s="137"/>
      <c r="M53" s="137"/>
      <c r="N53" s="137"/>
      <c r="O53" s="137"/>
      <c r="P53" s="137"/>
      <c r="Q53" s="137"/>
      <c r="R53" s="137"/>
    </row>
    <row r="54" customFormat="false" ht="13.5" hidden="false" customHeight="true" outlineLevel="0" collapsed="false">
      <c r="A54" s="40" t="s">
        <v>334</v>
      </c>
      <c r="B54" s="40" t="s">
        <v>317</v>
      </c>
      <c r="C54" s="40"/>
      <c r="D54" s="40" t="s">
        <v>324</v>
      </c>
      <c r="E54" s="40"/>
      <c r="F54" s="40" t="s">
        <v>335</v>
      </c>
      <c r="G54" s="40" t="s">
        <v>336</v>
      </c>
      <c r="H54" s="40" t="s">
        <v>337</v>
      </c>
      <c r="I54" s="40"/>
      <c r="J54" s="40" t="s">
        <v>338</v>
      </c>
      <c r="K54" s="40"/>
      <c r="L54" s="40"/>
      <c r="M54" s="136" t="s">
        <v>539</v>
      </c>
      <c r="N54" s="136" t="s">
        <v>540</v>
      </c>
      <c r="O54" s="136" t="s">
        <v>541</v>
      </c>
      <c r="P54" s="136" t="s">
        <v>542</v>
      </c>
      <c r="Q54" s="136" t="s">
        <v>543</v>
      </c>
      <c r="R54" s="136" t="s">
        <v>544</v>
      </c>
    </row>
    <row r="55" customFormat="false" ht="21.75" hidden="false" customHeight="true" outlineLevel="0" collapsed="false">
      <c r="A55" s="41" t="n">
        <f aca="false">IF('Calendario A'!A55="","",'Calendario A'!A55)</f>
        <v>14</v>
      </c>
      <c r="B55" s="42" t="str">
        <f aca="false">IF('Calendario A'!B55="","",'Calendario A'!B55)</f>
        <v>Falchi Furiosi</v>
      </c>
      <c r="C55" s="43" t="str">
        <f aca="false">IF('Calendario A'!C55="","",'Calendario A'!C55)</f>
        <v>A06</v>
      </c>
      <c r="D55" s="42" t="str">
        <f aca="false">IF('Calendario A'!D55="","",'Calendario A'!D55)</f>
        <v>Delfini Dispettosi</v>
      </c>
      <c r="E55" s="43" t="str">
        <f aca="false">IF('Calendario A'!E55="","",'Calendario A'!E55)</f>
        <v>A04</v>
      </c>
      <c r="F55" s="44" t="n">
        <f aca="false">IF('Calendario A'!F55="","",'Calendario A'!F55)</f>
        <v>46369.4791666667</v>
      </c>
      <c r="G55" s="44"/>
      <c r="H55" s="44"/>
      <c r="I55" s="44"/>
      <c r="J55" s="137" t="n">
        <f aca="false">IF('Calendario A'!J55="","",'Calendario A'!J55)</f>
        <v>82</v>
      </c>
      <c r="K55" s="138" t="s">
        <v>339</v>
      </c>
      <c r="L55" s="137" t="n">
        <f aca="false">IF('Calendario A'!L55="","",'Calendario A'!L55)</f>
        <v>49</v>
      </c>
      <c r="M55" s="139"/>
      <c r="N55" s="139"/>
      <c r="O55" s="139"/>
      <c r="P55" s="139"/>
      <c r="Q55" s="139"/>
      <c r="R55" s="139"/>
    </row>
    <row r="56" customFormat="false" ht="15" hidden="false" customHeight="true" outlineLevel="0" collapsed="false">
      <c r="A56" s="41"/>
      <c r="B56" s="48" t="str">
        <f aca="false">IF('Calendario A'!B56="","",'Calendario A'!B56)</f>
        <v>PalaDelfini, Via dello Sport 4, Delfiniopoli DI</v>
      </c>
      <c r="C56" s="48"/>
      <c r="D56" s="48"/>
      <c r="E56" s="48"/>
      <c r="F56" s="48"/>
      <c r="G56" s="48"/>
      <c r="H56" s="48"/>
      <c r="I56" s="43" t="str">
        <f aca="false">IF('Calendario A'!I56="","",'Calendario A'!I56)</f>
        <v>A04</v>
      </c>
      <c r="J56" s="137"/>
      <c r="K56" s="137"/>
      <c r="L56" s="137"/>
      <c r="M56" s="137"/>
      <c r="N56" s="137"/>
      <c r="O56" s="137"/>
      <c r="P56" s="137"/>
      <c r="Q56" s="137"/>
      <c r="R56" s="137"/>
    </row>
    <row r="57" customFormat="false" ht="13.5" hidden="false" customHeight="true" outlineLevel="0" collapsed="false">
      <c r="A57" s="40" t="s">
        <v>334</v>
      </c>
      <c r="B57" s="40" t="s">
        <v>317</v>
      </c>
      <c r="C57" s="40"/>
      <c r="D57" s="40" t="s">
        <v>324</v>
      </c>
      <c r="E57" s="40"/>
      <c r="F57" s="40" t="s">
        <v>335</v>
      </c>
      <c r="G57" s="40" t="s">
        <v>336</v>
      </c>
      <c r="H57" s="40" t="s">
        <v>337</v>
      </c>
      <c r="I57" s="40"/>
      <c r="J57" s="40" t="s">
        <v>338</v>
      </c>
      <c r="K57" s="40"/>
      <c r="L57" s="40"/>
      <c r="M57" s="136" t="s">
        <v>539</v>
      </c>
      <c r="N57" s="136" t="s">
        <v>540</v>
      </c>
      <c r="O57" s="136" t="s">
        <v>541</v>
      </c>
      <c r="P57" s="136" t="s">
        <v>542</v>
      </c>
      <c r="Q57" s="136" t="s">
        <v>543</v>
      </c>
      <c r="R57" s="136" t="s">
        <v>544</v>
      </c>
    </row>
    <row r="58" customFormat="false" ht="21.75" hidden="false" customHeight="true" outlineLevel="0" collapsed="false">
      <c r="A58" s="41" t="n">
        <f aca="false">IF('Calendario A'!A58="","",'Calendario A'!A58)</f>
        <v>15</v>
      </c>
      <c r="B58" s="42" t="str">
        <f aca="false">IF('Calendario A'!B58="","",'Calendario A'!B58)</f>
        <v>Cobra Coraggiosi</v>
      </c>
      <c r="C58" s="43" t="str">
        <f aca="false">IF('Calendario A'!C58="","",'Calendario A'!C58)</f>
        <v>A03</v>
      </c>
      <c r="D58" s="42" t="str">
        <f aca="false">IF('Calendario A'!D58="","",'Calendario A'!D58)</f>
        <v>Gazzelle Gagliarde</v>
      </c>
      <c r="E58" s="43" t="str">
        <f aca="false">IF('Calendario A'!E58="","",'Calendario A'!E58)</f>
        <v>A07</v>
      </c>
      <c r="F58" s="44" t="n">
        <f aca="false">IF('Calendario A'!F58="","",'Calendario A'!F58)</f>
        <v>46369.625</v>
      </c>
      <c r="G58" s="44"/>
      <c r="H58" s="44"/>
      <c r="I58" s="44"/>
      <c r="J58" s="137" t="n">
        <f aca="false">IF('Calendario A'!J58="","",'Calendario A'!J58)</f>
        <v>50</v>
      </c>
      <c r="K58" s="138" t="s">
        <v>339</v>
      </c>
      <c r="L58" s="137" t="n">
        <f aca="false">IF('Calendario A'!L58="","",'Calendario A'!L58)</f>
        <v>58</v>
      </c>
      <c r="M58" s="139"/>
      <c r="N58" s="139"/>
      <c r="O58" s="139"/>
      <c r="P58" s="139"/>
      <c r="Q58" s="139"/>
      <c r="R58" s="139"/>
    </row>
    <row r="59" customFormat="false" ht="15" hidden="false" customHeight="true" outlineLevel="0" collapsed="false">
      <c r="A59" s="41"/>
      <c r="B59" s="48" t="str">
        <f aca="false">IF('Calendario A'!B59="","",'Calendario A'!B59)</f>
        <v>PalaDelfini, Via dello Sport 4, Delfiniopoli DI</v>
      </c>
      <c r="C59" s="48"/>
      <c r="D59" s="48"/>
      <c r="E59" s="48"/>
      <c r="F59" s="48"/>
      <c r="G59" s="48"/>
      <c r="H59" s="48"/>
      <c r="I59" s="43" t="str">
        <f aca="false">IF('Calendario A'!I59="","",'Calendario A'!I59)</f>
        <v>A04</v>
      </c>
      <c r="J59" s="137"/>
      <c r="K59" s="137"/>
      <c r="L59" s="137"/>
      <c r="M59" s="137"/>
      <c r="N59" s="137"/>
      <c r="O59" s="137"/>
      <c r="P59" s="137"/>
      <c r="Q59" s="137"/>
      <c r="R59" s="137"/>
    </row>
    <row r="60" customFormat="false" ht="13.5" hidden="false" customHeight="true" outlineLevel="0" collapsed="false">
      <c r="A60" s="40" t="s">
        <v>334</v>
      </c>
      <c r="B60" s="40" t="s">
        <v>317</v>
      </c>
      <c r="C60" s="40"/>
      <c r="D60" s="40" t="s">
        <v>324</v>
      </c>
      <c r="E60" s="40"/>
      <c r="F60" s="40" t="s">
        <v>335</v>
      </c>
      <c r="G60" s="40" t="s">
        <v>336</v>
      </c>
      <c r="H60" s="40" t="s">
        <v>337</v>
      </c>
      <c r="I60" s="40"/>
      <c r="J60" s="40" t="s">
        <v>338</v>
      </c>
      <c r="K60" s="40"/>
      <c r="L60" s="40"/>
      <c r="M60" s="136" t="s">
        <v>539</v>
      </c>
      <c r="N60" s="136" t="s">
        <v>540</v>
      </c>
      <c r="O60" s="136" t="s">
        <v>541</v>
      </c>
      <c r="P60" s="136" t="s">
        <v>542</v>
      </c>
      <c r="Q60" s="136" t="s">
        <v>543</v>
      </c>
      <c r="R60" s="136" t="s">
        <v>544</v>
      </c>
    </row>
    <row r="61" customFormat="false" ht="21.75" hidden="false" customHeight="true" outlineLevel="0" collapsed="false">
      <c r="A61" s="41" t="n">
        <f aca="false">IF('Calendario A'!A61="","",'Calendario A'!A61)</f>
        <v>16</v>
      </c>
      <c r="B61" s="42" t="str">
        <f aca="false">IF('Calendario A'!B61="","",'Calendario A'!B61)</f>
        <v>Ippopotami Iracondi</v>
      </c>
      <c r="C61" s="43" t="str">
        <f aca="false">IF('Calendario A'!C61="","",'Calendario A'!C61)</f>
        <v>A08</v>
      </c>
      <c r="D61" s="42" t="str">
        <f aca="false">IF('Calendario A'!D61="","",'Calendario A'!D61)</f>
        <v>Bufali Belligeranti</v>
      </c>
      <c r="E61" s="43" t="str">
        <f aca="false">IF('Calendario A'!E61="","",'Calendario A'!E61)</f>
        <v>A02</v>
      </c>
      <c r="F61" s="44" t="n">
        <f aca="false">IF('Calendario A'!F61="","",'Calendario A'!F61)</f>
        <v>46369.7083333333</v>
      </c>
      <c r="G61" s="44"/>
      <c r="H61" s="44"/>
      <c r="I61" s="44"/>
      <c r="J61" s="137" t="n">
        <f aca="false">IF('Calendario A'!J61="","",'Calendario A'!J61)</f>
        <v>61</v>
      </c>
      <c r="K61" s="138" t="s">
        <v>339</v>
      </c>
      <c r="L61" s="137" t="n">
        <f aca="false">IF('Calendario A'!L61="","",'Calendario A'!L61)</f>
        <v>49</v>
      </c>
      <c r="M61" s="139"/>
      <c r="N61" s="139"/>
      <c r="O61" s="139"/>
      <c r="P61" s="139"/>
      <c r="Q61" s="139"/>
      <c r="R61" s="139"/>
    </row>
    <row r="62" customFormat="false" ht="15" hidden="false" customHeight="true" outlineLevel="0" collapsed="false">
      <c r="A62" s="41"/>
      <c r="B62" s="48" t="str">
        <f aca="false">IF('Calendario A'!B62="","",'Calendario A'!B62)</f>
        <v>PalaDelfini, Via dello Sport 4, Delfiniopoli DI</v>
      </c>
      <c r="C62" s="48"/>
      <c r="D62" s="48"/>
      <c r="E62" s="48"/>
      <c r="F62" s="48"/>
      <c r="G62" s="48"/>
      <c r="H62" s="48"/>
      <c r="I62" s="43" t="str">
        <f aca="false">IF('Calendario A'!I62="","",'Calendario A'!I62)</f>
        <v>A04</v>
      </c>
      <c r="J62" s="137"/>
      <c r="K62" s="137"/>
      <c r="L62" s="137"/>
      <c r="M62" s="137"/>
      <c r="N62" s="137"/>
      <c r="O62" s="137"/>
      <c r="P62" s="137"/>
      <c r="Q62" s="137"/>
      <c r="R62" s="137"/>
    </row>
    <row r="64" customFormat="false" ht="19.5" hidden="false" customHeight="true" outlineLevel="0" collapsed="false">
      <c r="A64" s="38" t="str">
        <f aca="false">IF('Calendario A'!A64="","",'Calendario A'!A64)</f>
        <v>5A</v>
      </c>
      <c r="B64" s="39" t="str">
        <f aca="false">IF('Calendario A'!B64="","",'Calendario A'!B64)</f>
        <v>GIORNATA V - GIRONE A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135" t="s">
        <v>537</v>
      </c>
      <c r="N64" s="135"/>
      <c r="O64" s="135"/>
      <c r="P64" s="135" t="s">
        <v>538</v>
      </c>
      <c r="Q64" s="135"/>
      <c r="R64" s="135"/>
    </row>
    <row r="65" customFormat="false" ht="13.5" hidden="false" customHeight="true" outlineLevel="0" collapsed="false">
      <c r="A65" s="40" t="s">
        <v>334</v>
      </c>
      <c r="B65" s="40" t="s">
        <v>317</v>
      </c>
      <c r="C65" s="40"/>
      <c r="D65" s="40" t="s">
        <v>324</v>
      </c>
      <c r="E65" s="40"/>
      <c r="F65" s="40" t="s">
        <v>335</v>
      </c>
      <c r="G65" s="40" t="s">
        <v>336</v>
      </c>
      <c r="H65" s="40" t="s">
        <v>337</v>
      </c>
      <c r="I65" s="40"/>
      <c r="J65" s="40" t="s">
        <v>338</v>
      </c>
      <c r="K65" s="40"/>
      <c r="L65" s="40"/>
      <c r="M65" s="136" t="s">
        <v>539</v>
      </c>
      <c r="N65" s="136" t="s">
        <v>540</v>
      </c>
      <c r="O65" s="136" t="s">
        <v>541</v>
      </c>
      <c r="P65" s="136" t="s">
        <v>542</v>
      </c>
      <c r="Q65" s="136" t="s">
        <v>543</v>
      </c>
      <c r="R65" s="136" t="s">
        <v>544</v>
      </c>
    </row>
    <row r="66" customFormat="false" ht="21.75" hidden="false" customHeight="true" outlineLevel="0" collapsed="false">
      <c r="A66" s="41" t="n">
        <f aca="false">IF('Calendario A'!A66="","",'Calendario A'!A66)</f>
        <v>17</v>
      </c>
      <c r="B66" s="42" t="str">
        <f aca="false">IF('Calendario A'!B66="","",'Calendario A'!B66)</f>
        <v>Anaconde Arrabbiate</v>
      </c>
      <c r="C66" s="43" t="str">
        <f aca="false">IF('Calendario A'!C66="","",'Calendario A'!C66)</f>
        <v>A01</v>
      </c>
      <c r="D66" s="42" t="str">
        <f aca="false">IF('Calendario A'!D66="","",'Calendario A'!D66)</f>
        <v>Delfini Dispettosi</v>
      </c>
      <c r="E66" s="43" t="str">
        <f aca="false">IF('Calendario A'!E66="","",'Calendario A'!E66)</f>
        <v>A04</v>
      </c>
      <c r="F66" s="44" t="n">
        <f aca="false">IF('Calendario A'!F66="","",'Calendario A'!F66)</f>
        <v>46411.3958333333</v>
      </c>
      <c r="G66" s="44"/>
      <c r="H66" s="44"/>
      <c r="I66" s="44"/>
      <c r="J66" s="137" t="n">
        <f aca="false">IF('Calendario A'!J66="","",'Calendario A'!J66)</f>
        <v>93</v>
      </c>
      <c r="K66" s="138" t="s">
        <v>339</v>
      </c>
      <c r="L66" s="137" t="n">
        <f aca="false">IF('Calendario A'!L66="","",'Calendario A'!L66)</f>
        <v>50</v>
      </c>
      <c r="M66" s="139"/>
      <c r="N66" s="139"/>
      <c r="O66" s="139"/>
      <c r="P66" s="139"/>
      <c r="Q66" s="139"/>
      <c r="R66" s="139"/>
    </row>
    <row r="67" customFormat="false" ht="15" hidden="false" customHeight="true" outlineLevel="0" collapsed="false">
      <c r="A67" s="41"/>
      <c r="B67" s="48" t="str">
        <f aca="false">IF('Calendario A'!B67="","",'Calendario A'!B67)</f>
        <v>PalaErmellini, Via dello Sport 5, Ermelliniopoli EI</v>
      </c>
      <c r="C67" s="48"/>
      <c r="D67" s="48"/>
      <c r="E67" s="48"/>
      <c r="F67" s="48"/>
      <c r="G67" s="48"/>
      <c r="H67" s="48"/>
      <c r="I67" s="43" t="str">
        <f aca="false">IF('Calendario A'!I67="","",'Calendario A'!I67)</f>
        <v>A05</v>
      </c>
      <c r="J67" s="137"/>
      <c r="K67" s="137"/>
      <c r="L67" s="137"/>
      <c r="M67" s="137"/>
      <c r="N67" s="137"/>
      <c r="O67" s="137"/>
      <c r="P67" s="137"/>
      <c r="Q67" s="137"/>
      <c r="R67" s="137"/>
    </row>
    <row r="68" customFormat="false" ht="13.5" hidden="false" customHeight="true" outlineLevel="0" collapsed="false">
      <c r="A68" s="40" t="s">
        <v>334</v>
      </c>
      <c r="B68" s="40" t="s">
        <v>317</v>
      </c>
      <c r="C68" s="40"/>
      <c r="D68" s="40" t="s">
        <v>324</v>
      </c>
      <c r="E68" s="40"/>
      <c r="F68" s="40" t="s">
        <v>335</v>
      </c>
      <c r="G68" s="40" t="s">
        <v>336</v>
      </c>
      <c r="H68" s="40" t="s">
        <v>337</v>
      </c>
      <c r="I68" s="40"/>
      <c r="J68" s="40" t="s">
        <v>338</v>
      </c>
      <c r="K68" s="40"/>
      <c r="L68" s="40"/>
      <c r="M68" s="136" t="s">
        <v>539</v>
      </c>
      <c r="N68" s="136" t="s">
        <v>540</v>
      </c>
      <c r="O68" s="136" t="s">
        <v>541</v>
      </c>
      <c r="P68" s="136" t="s">
        <v>542</v>
      </c>
      <c r="Q68" s="136" t="s">
        <v>543</v>
      </c>
      <c r="R68" s="136" t="s">
        <v>544</v>
      </c>
    </row>
    <row r="69" customFormat="false" ht="21.75" hidden="false" customHeight="true" outlineLevel="0" collapsed="false">
      <c r="A69" s="41" t="n">
        <f aca="false">IF('Calendario A'!A69="","",'Calendario A'!A69)</f>
        <v>18</v>
      </c>
      <c r="B69" s="42" t="str">
        <f aca="false">IF('Calendario A'!B69="","",'Calendario A'!B69)</f>
        <v>Cobra Coraggiosi</v>
      </c>
      <c r="C69" s="43" t="str">
        <f aca="false">IF('Calendario A'!C69="","",'Calendario A'!C69)</f>
        <v>A03</v>
      </c>
      <c r="D69" s="42" t="str">
        <f aca="false">IF('Calendario A'!D69="","",'Calendario A'!D69)</f>
        <v>Ermellini Eleganti</v>
      </c>
      <c r="E69" s="43" t="str">
        <f aca="false">IF('Calendario A'!E69="","",'Calendario A'!E69)</f>
        <v>A05</v>
      </c>
      <c r="F69" s="44" t="n">
        <f aca="false">IF('Calendario A'!F69="","",'Calendario A'!F69)</f>
        <v>46411.4791666667</v>
      </c>
      <c r="G69" s="44"/>
      <c r="H69" s="44"/>
      <c r="I69" s="44"/>
      <c r="J69" s="137" t="n">
        <f aca="false">IF('Calendario A'!J69="","",'Calendario A'!J69)</f>
        <v>57</v>
      </c>
      <c r="K69" s="138" t="s">
        <v>339</v>
      </c>
      <c r="L69" s="137" t="n">
        <f aca="false">IF('Calendario A'!L69="","",'Calendario A'!L69)</f>
        <v>65</v>
      </c>
      <c r="M69" s="139"/>
      <c r="N69" s="139"/>
      <c r="O69" s="139"/>
      <c r="P69" s="139"/>
      <c r="Q69" s="139"/>
      <c r="R69" s="139"/>
    </row>
    <row r="70" customFormat="false" ht="15" hidden="false" customHeight="true" outlineLevel="0" collapsed="false">
      <c r="A70" s="41"/>
      <c r="B70" s="48" t="str">
        <f aca="false">IF('Calendario A'!B70="","",'Calendario A'!B70)</f>
        <v>PalaErmellini, Via dello Sport 5, Ermelliniopoli EI</v>
      </c>
      <c r="C70" s="48"/>
      <c r="D70" s="48"/>
      <c r="E70" s="48"/>
      <c r="F70" s="48"/>
      <c r="G70" s="48"/>
      <c r="H70" s="48"/>
      <c r="I70" s="43" t="str">
        <f aca="false">IF('Calendario A'!I70="","",'Calendario A'!I70)</f>
        <v>A05</v>
      </c>
      <c r="J70" s="137"/>
      <c r="K70" s="137"/>
      <c r="L70" s="137"/>
      <c r="M70" s="137"/>
      <c r="N70" s="137"/>
      <c r="O70" s="137"/>
      <c r="P70" s="137"/>
      <c r="Q70" s="137"/>
      <c r="R70" s="137"/>
    </row>
    <row r="71" customFormat="false" ht="13.5" hidden="false" customHeight="true" outlineLevel="0" collapsed="false">
      <c r="A71" s="40" t="s">
        <v>334</v>
      </c>
      <c r="B71" s="40" t="s">
        <v>317</v>
      </c>
      <c r="C71" s="40"/>
      <c r="D71" s="40" t="s">
        <v>324</v>
      </c>
      <c r="E71" s="40"/>
      <c r="F71" s="40" t="s">
        <v>335</v>
      </c>
      <c r="G71" s="40" t="s">
        <v>336</v>
      </c>
      <c r="H71" s="40" t="s">
        <v>337</v>
      </c>
      <c r="I71" s="40"/>
      <c r="J71" s="40" t="s">
        <v>338</v>
      </c>
      <c r="K71" s="40"/>
      <c r="L71" s="40"/>
      <c r="M71" s="136" t="s">
        <v>539</v>
      </c>
      <c r="N71" s="136" t="s">
        <v>540</v>
      </c>
      <c r="O71" s="136" t="s">
        <v>541</v>
      </c>
      <c r="P71" s="136" t="s">
        <v>542</v>
      </c>
      <c r="Q71" s="136" t="s">
        <v>543</v>
      </c>
      <c r="R71" s="136" t="s">
        <v>544</v>
      </c>
    </row>
    <row r="72" customFormat="false" ht="21.75" hidden="false" customHeight="true" outlineLevel="0" collapsed="false">
      <c r="A72" s="41" t="n">
        <f aca="false">IF('Calendario A'!A72="","",'Calendario A'!A72)</f>
        <v>19</v>
      </c>
      <c r="B72" s="42" t="str">
        <f aca="false">IF('Calendario A'!B72="","",'Calendario A'!B72)</f>
        <v>Falchi Furiosi</v>
      </c>
      <c r="C72" s="43" t="str">
        <f aca="false">IF('Calendario A'!C72="","",'Calendario A'!C72)</f>
        <v>A06</v>
      </c>
      <c r="D72" s="42" t="str">
        <f aca="false">IF('Calendario A'!D72="","",'Calendario A'!D72)</f>
        <v>Bufali Belligeranti</v>
      </c>
      <c r="E72" s="43" t="str">
        <f aca="false">IF('Calendario A'!E72="","",'Calendario A'!E72)</f>
        <v>A02</v>
      </c>
      <c r="F72" s="44" t="n">
        <f aca="false">IF('Calendario A'!F72="","",'Calendario A'!F72)</f>
        <v>46411.625</v>
      </c>
      <c r="G72" s="44"/>
      <c r="H72" s="44"/>
      <c r="I72" s="44"/>
      <c r="J72" s="137" t="n">
        <f aca="false">IF('Calendario A'!J72="","",'Calendario A'!J72)</f>
        <v>68</v>
      </c>
      <c r="K72" s="138" t="s">
        <v>339</v>
      </c>
      <c r="L72" s="137" t="n">
        <f aca="false">IF('Calendario A'!L72="","",'Calendario A'!L72)</f>
        <v>56</v>
      </c>
      <c r="M72" s="139"/>
      <c r="N72" s="139"/>
      <c r="O72" s="139"/>
      <c r="P72" s="139"/>
      <c r="Q72" s="139"/>
      <c r="R72" s="139"/>
    </row>
    <row r="73" customFormat="false" ht="15" hidden="false" customHeight="true" outlineLevel="0" collapsed="false">
      <c r="A73" s="41"/>
      <c r="B73" s="48" t="str">
        <f aca="false">IF('Calendario A'!B73="","",'Calendario A'!B73)</f>
        <v>PalaErmellini, Via dello Sport 5, Ermelliniopoli EI</v>
      </c>
      <c r="C73" s="48"/>
      <c r="D73" s="48"/>
      <c r="E73" s="48"/>
      <c r="F73" s="48"/>
      <c r="G73" s="48"/>
      <c r="H73" s="48"/>
      <c r="I73" s="43" t="str">
        <f aca="false">IF('Calendario A'!I73="","",'Calendario A'!I73)</f>
        <v>A05</v>
      </c>
      <c r="J73" s="137"/>
      <c r="K73" s="137"/>
      <c r="L73" s="137"/>
      <c r="M73" s="137"/>
      <c r="N73" s="137"/>
      <c r="O73" s="137"/>
      <c r="P73" s="137"/>
      <c r="Q73" s="137"/>
      <c r="R73" s="137"/>
    </row>
    <row r="74" customFormat="false" ht="13.5" hidden="false" customHeight="true" outlineLevel="0" collapsed="false">
      <c r="A74" s="40" t="s">
        <v>334</v>
      </c>
      <c r="B74" s="40" t="s">
        <v>317</v>
      </c>
      <c r="C74" s="40"/>
      <c r="D74" s="40" t="s">
        <v>324</v>
      </c>
      <c r="E74" s="40"/>
      <c r="F74" s="40" t="s">
        <v>335</v>
      </c>
      <c r="G74" s="40" t="s">
        <v>336</v>
      </c>
      <c r="H74" s="40" t="s">
        <v>337</v>
      </c>
      <c r="I74" s="40"/>
      <c r="J74" s="40" t="s">
        <v>338</v>
      </c>
      <c r="K74" s="40"/>
      <c r="L74" s="40"/>
      <c r="M74" s="136" t="s">
        <v>539</v>
      </c>
      <c r="N74" s="136" t="s">
        <v>540</v>
      </c>
      <c r="O74" s="136" t="s">
        <v>541</v>
      </c>
      <c r="P74" s="136" t="s">
        <v>542</v>
      </c>
      <c r="Q74" s="136" t="s">
        <v>543</v>
      </c>
      <c r="R74" s="136" t="s">
        <v>544</v>
      </c>
    </row>
    <row r="75" customFormat="false" ht="21.75" hidden="false" customHeight="true" outlineLevel="0" collapsed="false">
      <c r="A75" s="41" t="n">
        <f aca="false">IF('Calendario A'!A75="","",'Calendario A'!A75)</f>
        <v>20</v>
      </c>
      <c r="B75" s="42" t="str">
        <f aca="false">IF('Calendario A'!B75="","",'Calendario A'!B75)</f>
        <v>Ippopotami Iracondi</v>
      </c>
      <c r="C75" s="43" t="str">
        <f aca="false">IF('Calendario A'!C75="","",'Calendario A'!C75)</f>
        <v>A08</v>
      </c>
      <c r="D75" s="42" t="str">
        <f aca="false">IF('Calendario A'!D75="","",'Calendario A'!D75)</f>
        <v>Gazzelle Gagliarde</v>
      </c>
      <c r="E75" s="43" t="str">
        <f aca="false">IF('Calendario A'!E75="","",'Calendario A'!E75)</f>
        <v>A07</v>
      </c>
      <c r="F75" s="44" t="n">
        <f aca="false">IF('Calendario A'!F75="","",'Calendario A'!F75)</f>
        <v>46411.7083333333</v>
      </c>
      <c r="G75" s="44"/>
      <c r="H75" s="44"/>
      <c r="I75" s="44"/>
      <c r="J75" s="137" t="n">
        <f aca="false">IF('Calendario A'!J75="","",'Calendario A'!J75)</f>
        <v>75</v>
      </c>
      <c r="K75" s="138" t="s">
        <v>339</v>
      </c>
      <c r="L75" s="137" t="n">
        <f aca="false">IF('Calendario A'!L75="","",'Calendario A'!L75)</f>
        <v>61</v>
      </c>
      <c r="M75" s="139"/>
      <c r="N75" s="139"/>
      <c r="O75" s="139"/>
      <c r="P75" s="139"/>
      <c r="Q75" s="139"/>
      <c r="R75" s="139"/>
    </row>
    <row r="76" customFormat="false" ht="15" hidden="false" customHeight="true" outlineLevel="0" collapsed="false">
      <c r="A76" s="41"/>
      <c r="B76" s="48" t="str">
        <f aca="false">IF('Calendario A'!B76="","",'Calendario A'!B76)</f>
        <v>PalaErmellini, Via dello Sport 5, Ermelliniopoli EI</v>
      </c>
      <c r="C76" s="48"/>
      <c r="D76" s="48"/>
      <c r="E76" s="48"/>
      <c r="F76" s="48"/>
      <c r="G76" s="48"/>
      <c r="H76" s="48"/>
      <c r="I76" s="43" t="str">
        <f aca="false">IF('Calendario A'!I76="","",'Calendario A'!I76)</f>
        <v>A05</v>
      </c>
      <c r="J76" s="137"/>
      <c r="K76" s="137"/>
      <c r="L76" s="137"/>
      <c r="M76" s="137"/>
      <c r="N76" s="137"/>
      <c r="O76" s="137"/>
      <c r="P76" s="137"/>
      <c r="Q76" s="137"/>
      <c r="R76" s="137"/>
    </row>
    <row r="78" customFormat="false" ht="19.5" hidden="false" customHeight="true" outlineLevel="0" collapsed="false">
      <c r="A78" s="38" t="str">
        <f aca="false">IF('Calendario A'!A78="","",'Calendario A'!A78)</f>
        <v>6A</v>
      </c>
      <c r="B78" s="39" t="str">
        <f aca="false">IF('Calendario A'!B78="","",'Calendario A'!B78)</f>
        <v>GIORNATA VI - GIRONE A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135" t="s">
        <v>537</v>
      </c>
      <c r="N78" s="135"/>
      <c r="O78" s="135"/>
      <c r="P78" s="135" t="s">
        <v>538</v>
      </c>
      <c r="Q78" s="135"/>
      <c r="R78" s="135"/>
    </row>
    <row r="79" customFormat="false" ht="13.5" hidden="false" customHeight="true" outlineLevel="0" collapsed="false">
      <c r="A79" s="40" t="s">
        <v>334</v>
      </c>
      <c r="B79" s="40" t="s">
        <v>317</v>
      </c>
      <c r="C79" s="40"/>
      <c r="D79" s="40" t="s">
        <v>324</v>
      </c>
      <c r="E79" s="40"/>
      <c r="F79" s="40" t="s">
        <v>335</v>
      </c>
      <c r="G79" s="40" t="s">
        <v>336</v>
      </c>
      <c r="H79" s="40" t="s">
        <v>337</v>
      </c>
      <c r="I79" s="40"/>
      <c r="J79" s="40" t="s">
        <v>338</v>
      </c>
      <c r="K79" s="40"/>
      <c r="L79" s="40"/>
      <c r="M79" s="136" t="s">
        <v>539</v>
      </c>
      <c r="N79" s="136" t="s">
        <v>540</v>
      </c>
      <c r="O79" s="136" t="s">
        <v>541</v>
      </c>
      <c r="P79" s="136" t="s">
        <v>542</v>
      </c>
      <c r="Q79" s="136" t="s">
        <v>543</v>
      </c>
      <c r="R79" s="136" t="s">
        <v>544</v>
      </c>
    </row>
    <row r="80" customFormat="false" ht="21.75" hidden="false" customHeight="true" outlineLevel="0" collapsed="false">
      <c r="A80" s="41" t="n">
        <f aca="false">IF('Calendario A'!A80="","",'Calendario A'!A80)</f>
        <v>21</v>
      </c>
      <c r="B80" s="42" t="str">
        <f aca="false">IF('Calendario A'!B80="","",'Calendario A'!B80)</f>
        <v>Cobra Coraggiosi</v>
      </c>
      <c r="C80" s="43" t="str">
        <f aca="false">IF('Calendario A'!C80="","",'Calendario A'!C80)</f>
        <v>A03</v>
      </c>
      <c r="D80" s="42" t="str">
        <f aca="false">IF('Calendario A'!D80="","",'Calendario A'!D80)</f>
        <v>Anaconde Arrabbiate</v>
      </c>
      <c r="E80" s="43" t="str">
        <f aca="false">IF('Calendario A'!E80="","",'Calendario A'!E80)</f>
        <v>A01</v>
      </c>
      <c r="F80" s="44" t="n">
        <f aca="false">IF('Calendario A'!F80="","",'Calendario A'!F80)</f>
        <v>46432.3958333333</v>
      </c>
      <c r="G80" s="44"/>
      <c r="H80" s="44"/>
      <c r="I80" s="44"/>
      <c r="J80" s="137" t="n">
        <f aca="false">IF('Calendario A'!J80="","",'Calendario A'!J80)</f>
        <v>41</v>
      </c>
      <c r="K80" s="138" t="s">
        <v>339</v>
      </c>
      <c r="L80" s="137" t="n">
        <f aca="false">IF('Calendario A'!L80="","",'Calendario A'!L80)</f>
        <v>54</v>
      </c>
      <c r="M80" s="139"/>
      <c r="N80" s="139"/>
      <c r="O80" s="139"/>
      <c r="P80" s="139"/>
      <c r="Q80" s="139"/>
      <c r="R80" s="139"/>
    </row>
    <row r="81" customFormat="false" ht="15" hidden="false" customHeight="true" outlineLevel="0" collapsed="false">
      <c r="A81" s="41"/>
      <c r="B81" s="48" t="str">
        <f aca="false">IF('Calendario A'!B81="","",'Calendario A'!B81)</f>
        <v>PalaFalchi, Via dello Sport 6, Falchiopoli FI</v>
      </c>
      <c r="C81" s="48"/>
      <c r="D81" s="48"/>
      <c r="E81" s="48"/>
      <c r="F81" s="48"/>
      <c r="G81" s="48"/>
      <c r="H81" s="48"/>
      <c r="I81" s="43" t="str">
        <f aca="false">IF('Calendario A'!I81="","",'Calendario A'!I81)</f>
        <v>A06</v>
      </c>
      <c r="J81" s="137"/>
      <c r="K81" s="137"/>
      <c r="L81" s="137"/>
      <c r="M81" s="137"/>
      <c r="N81" s="137"/>
      <c r="O81" s="137"/>
      <c r="P81" s="137"/>
      <c r="Q81" s="137"/>
      <c r="R81" s="137"/>
    </row>
    <row r="82" customFormat="false" ht="13.5" hidden="false" customHeight="true" outlineLevel="0" collapsed="false">
      <c r="A82" s="40" t="s">
        <v>334</v>
      </c>
      <c r="B82" s="40" t="s">
        <v>317</v>
      </c>
      <c r="C82" s="40"/>
      <c r="D82" s="40" t="s">
        <v>324</v>
      </c>
      <c r="E82" s="40"/>
      <c r="F82" s="40" t="s">
        <v>335</v>
      </c>
      <c r="G82" s="40" t="s">
        <v>336</v>
      </c>
      <c r="H82" s="40" t="s">
        <v>337</v>
      </c>
      <c r="I82" s="40"/>
      <c r="J82" s="40" t="s">
        <v>338</v>
      </c>
      <c r="K82" s="40"/>
      <c r="L82" s="40"/>
      <c r="M82" s="136" t="s">
        <v>539</v>
      </c>
      <c r="N82" s="136" t="s">
        <v>540</v>
      </c>
      <c r="O82" s="136" t="s">
        <v>541</v>
      </c>
      <c r="P82" s="136" t="s">
        <v>542</v>
      </c>
      <c r="Q82" s="136" t="s">
        <v>543</v>
      </c>
      <c r="R82" s="136" t="s">
        <v>544</v>
      </c>
    </row>
    <row r="83" customFormat="false" ht="21.75" hidden="false" customHeight="true" outlineLevel="0" collapsed="false">
      <c r="A83" s="41" t="n">
        <f aca="false">IF('Calendario A'!A83="","",'Calendario A'!A83)</f>
        <v>22</v>
      </c>
      <c r="B83" s="42" t="str">
        <f aca="false">IF('Calendario A'!B83="","",'Calendario A'!B83)</f>
        <v>Delfini Dispettosi</v>
      </c>
      <c r="C83" s="43" t="str">
        <f aca="false">IF('Calendario A'!C83="","",'Calendario A'!C83)</f>
        <v>A04</v>
      </c>
      <c r="D83" s="42" t="str">
        <f aca="false">IF('Calendario A'!D83="","",'Calendario A'!D83)</f>
        <v>Bufali Belligeranti</v>
      </c>
      <c r="E83" s="43" t="str">
        <f aca="false">IF('Calendario A'!E83="","",'Calendario A'!E83)</f>
        <v>A02</v>
      </c>
      <c r="F83" s="44" t="n">
        <f aca="false">IF('Calendario A'!F83="","",'Calendario A'!F83)</f>
        <v>46432.4791666667</v>
      </c>
      <c r="G83" s="44"/>
      <c r="H83" s="44"/>
      <c r="I83" s="44"/>
      <c r="J83" s="137" t="n">
        <f aca="false">IF('Calendario A'!J83="","",'Calendario A'!J83)</f>
        <v>48</v>
      </c>
      <c r="K83" s="138" t="s">
        <v>339</v>
      </c>
      <c r="L83" s="137" t="n">
        <f aca="false">IF('Calendario A'!L83="","",'Calendario A'!L83)</f>
        <v>74</v>
      </c>
      <c r="M83" s="139"/>
      <c r="N83" s="139"/>
      <c r="O83" s="139"/>
      <c r="P83" s="139"/>
      <c r="Q83" s="139"/>
      <c r="R83" s="139"/>
    </row>
    <row r="84" customFormat="false" ht="15" hidden="false" customHeight="true" outlineLevel="0" collapsed="false">
      <c r="A84" s="41"/>
      <c r="B84" s="48" t="str">
        <f aca="false">IF('Calendario A'!B84="","",'Calendario A'!B84)</f>
        <v>PalaFalchi, Via dello Sport 6, Falchiopoli FI</v>
      </c>
      <c r="C84" s="48"/>
      <c r="D84" s="48"/>
      <c r="E84" s="48"/>
      <c r="F84" s="48"/>
      <c r="G84" s="48"/>
      <c r="H84" s="48"/>
      <c r="I84" s="43" t="str">
        <f aca="false">IF('Calendario A'!I84="","",'Calendario A'!I84)</f>
        <v>A06</v>
      </c>
      <c r="J84" s="137"/>
      <c r="K84" s="137"/>
      <c r="L84" s="137"/>
      <c r="M84" s="137"/>
      <c r="N84" s="137"/>
      <c r="O84" s="137"/>
      <c r="P84" s="137"/>
      <c r="Q84" s="137"/>
      <c r="R84" s="137"/>
    </row>
    <row r="85" customFormat="false" ht="13.5" hidden="false" customHeight="true" outlineLevel="0" collapsed="false">
      <c r="A85" s="40" t="s">
        <v>334</v>
      </c>
      <c r="B85" s="40" t="s">
        <v>317</v>
      </c>
      <c r="C85" s="40"/>
      <c r="D85" s="40" t="s">
        <v>324</v>
      </c>
      <c r="E85" s="40"/>
      <c r="F85" s="40" t="s">
        <v>335</v>
      </c>
      <c r="G85" s="40" t="s">
        <v>336</v>
      </c>
      <c r="H85" s="40" t="s">
        <v>337</v>
      </c>
      <c r="I85" s="40"/>
      <c r="J85" s="40" t="s">
        <v>338</v>
      </c>
      <c r="K85" s="40"/>
      <c r="L85" s="40"/>
      <c r="M85" s="136" t="s">
        <v>539</v>
      </c>
      <c r="N85" s="136" t="s">
        <v>540</v>
      </c>
      <c r="O85" s="136" t="s">
        <v>541</v>
      </c>
      <c r="P85" s="136" t="s">
        <v>542</v>
      </c>
      <c r="Q85" s="136" t="s">
        <v>543</v>
      </c>
      <c r="R85" s="136" t="s">
        <v>544</v>
      </c>
    </row>
    <row r="86" customFormat="false" ht="21.75" hidden="false" customHeight="true" outlineLevel="0" collapsed="false">
      <c r="A86" s="41" t="n">
        <f aca="false">IF('Calendario A'!A86="","",'Calendario A'!A86)</f>
        <v>23</v>
      </c>
      <c r="B86" s="42" t="str">
        <f aca="false">IF('Calendario A'!B86="","",'Calendario A'!B86)</f>
        <v>Ippopotami Iracondi</v>
      </c>
      <c r="C86" s="43" t="str">
        <f aca="false">IF('Calendario A'!C86="","",'Calendario A'!C86)</f>
        <v>A08</v>
      </c>
      <c r="D86" s="42" t="str">
        <f aca="false">IF('Calendario A'!D86="","",'Calendario A'!D86)</f>
        <v>Ermellini Eleganti</v>
      </c>
      <c r="E86" s="43" t="str">
        <f aca="false">IF('Calendario A'!E86="","",'Calendario A'!E86)</f>
        <v>A05</v>
      </c>
      <c r="F86" s="44" t="n">
        <f aca="false">IF('Calendario A'!F86="","",'Calendario A'!F86)</f>
        <v>46432.625</v>
      </c>
      <c r="G86" s="44"/>
      <c r="H86" s="44"/>
      <c r="I86" s="44"/>
      <c r="J86" s="137" t="n">
        <f aca="false">IF('Calendario A'!J86="","",'Calendario A'!J86)</f>
        <v>55</v>
      </c>
      <c r="K86" s="138" t="s">
        <v>339</v>
      </c>
      <c r="L86" s="137" t="n">
        <f aca="false">IF('Calendario A'!L86="","",'Calendario A'!L86)</f>
        <v>45</v>
      </c>
      <c r="M86" s="139"/>
      <c r="N86" s="139"/>
      <c r="O86" s="139"/>
      <c r="P86" s="139"/>
      <c r="Q86" s="139"/>
      <c r="R86" s="139"/>
    </row>
    <row r="87" customFormat="false" ht="15" hidden="false" customHeight="true" outlineLevel="0" collapsed="false">
      <c r="A87" s="41"/>
      <c r="B87" s="48" t="str">
        <f aca="false">IF('Calendario A'!B87="","",'Calendario A'!B87)</f>
        <v>PalaFalchi, Via dello Sport 6, Falchiopoli FI</v>
      </c>
      <c r="C87" s="48"/>
      <c r="D87" s="48"/>
      <c r="E87" s="48"/>
      <c r="F87" s="48"/>
      <c r="G87" s="48"/>
      <c r="H87" s="48"/>
      <c r="I87" s="43" t="str">
        <f aca="false">IF('Calendario A'!I87="","",'Calendario A'!I87)</f>
        <v>A06</v>
      </c>
      <c r="J87" s="137"/>
      <c r="K87" s="137"/>
      <c r="L87" s="137"/>
      <c r="M87" s="137"/>
      <c r="N87" s="137"/>
      <c r="O87" s="137"/>
      <c r="P87" s="137"/>
      <c r="Q87" s="137"/>
      <c r="R87" s="137"/>
    </row>
    <row r="88" customFormat="false" ht="13.5" hidden="false" customHeight="true" outlineLevel="0" collapsed="false">
      <c r="A88" s="40" t="s">
        <v>334</v>
      </c>
      <c r="B88" s="40" t="s">
        <v>317</v>
      </c>
      <c r="C88" s="40"/>
      <c r="D88" s="40" t="s">
        <v>324</v>
      </c>
      <c r="E88" s="40"/>
      <c r="F88" s="40" t="s">
        <v>335</v>
      </c>
      <c r="G88" s="40" t="s">
        <v>336</v>
      </c>
      <c r="H88" s="40" t="s">
        <v>337</v>
      </c>
      <c r="I88" s="40"/>
      <c r="J88" s="40" t="s">
        <v>338</v>
      </c>
      <c r="K88" s="40"/>
      <c r="L88" s="40"/>
      <c r="M88" s="136" t="s">
        <v>539</v>
      </c>
      <c r="N88" s="136" t="s">
        <v>540</v>
      </c>
      <c r="O88" s="136" t="s">
        <v>541</v>
      </c>
      <c r="P88" s="136" t="s">
        <v>542</v>
      </c>
      <c r="Q88" s="136" t="s">
        <v>543</v>
      </c>
      <c r="R88" s="136" t="s">
        <v>544</v>
      </c>
    </row>
    <row r="89" customFormat="false" ht="21.75" hidden="false" customHeight="true" outlineLevel="0" collapsed="false">
      <c r="A89" s="41" t="n">
        <f aca="false">IF('Calendario A'!A89="","",'Calendario A'!A89)</f>
        <v>24</v>
      </c>
      <c r="B89" s="42" t="str">
        <f aca="false">IF('Calendario A'!B89="","",'Calendario A'!B89)</f>
        <v>Falchi Furiosi</v>
      </c>
      <c r="C89" s="43" t="str">
        <f aca="false">IF('Calendario A'!C89="","",'Calendario A'!C89)</f>
        <v>A06</v>
      </c>
      <c r="D89" s="42" t="str">
        <f aca="false">IF('Calendario A'!D89="","",'Calendario A'!D89)</f>
        <v>Gazzelle Gagliarde</v>
      </c>
      <c r="E89" s="43" t="str">
        <f aca="false">IF('Calendario A'!E89="","",'Calendario A'!E89)</f>
        <v>A07</v>
      </c>
      <c r="F89" s="44" t="n">
        <f aca="false">IF('Calendario A'!F89="","",'Calendario A'!F89)</f>
        <v>46432.7083333333</v>
      </c>
      <c r="G89" s="44"/>
      <c r="H89" s="44"/>
      <c r="I89" s="44"/>
      <c r="J89" s="137" t="n">
        <f aca="false">IF('Calendario A'!J89="","",'Calendario A'!J89)</f>
        <v>64</v>
      </c>
      <c r="K89" s="138" t="s">
        <v>339</v>
      </c>
      <c r="L89" s="137" t="n">
        <f aca="false">IF('Calendario A'!L89="","",'Calendario A'!L89)</f>
        <v>69</v>
      </c>
      <c r="M89" s="139"/>
      <c r="N89" s="139"/>
      <c r="O89" s="139"/>
      <c r="P89" s="139"/>
      <c r="Q89" s="139"/>
      <c r="R89" s="139"/>
    </row>
    <row r="90" customFormat="false" ht="15" hidden="false" customHeight="true" outlineLevel="0" collapsed="false">
      <c r="A90" s="41"/>
      <c r="B90" s="48" t="str">
        <f aca="false">IF('Calendario A'!B90="","",'Calendario A'!B90)</f>
        <v>PalaFalchi, Via dello Sport 6, Falchiopoli FI</v>
      </c>
      <c r="C90" s="48"/>
      <c r="D90" s="48"/>
      <c r="E90" s="48"/>
      <c r="F90" s="48"/>
      <c r="G90" s="48"/>
      <c r="H90" s="48"/>
      <c r="I90" s="43" t="str">
        <f aca="false">IF('Calendario A'!I90="","",'Calendario A'!I90)</f>
        <v>A06</v>
      </c>
      <c r="J90" s="137"/>
      <c r="K90" s="137"/>
      <c r="L90" s="137"/>
      <c r="M90" s="137"/>
      <c r="N90" s="137"/>
      <c r="O90" s="137"/>
      <c r="P90" s="137"/>
      <c r="Q90" s="137"/>
      <c r="R90" s="137"/>
    </row>
    <row r="92" customFormat="false" ht="19.5" hidden="false" customHeight="true" outlineLevel="0" collapsed="false">
      <c r="A92" s="38" t="str">
        <f aca="false">IF('Calendario A'!A92="","",'Calendario A'!A92)</f>
        <v>7A</v>
      </c>
      <c r="B92" s="39" t="str">
        <f aca="false">IF('Calendario A'!B92="","",'Calendario A'!B92)</f>
        <v>GIORNATA VII - GIRONE A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135" t="s">
        <v>537</v>
      </c>
      <c r="N92" s="135"/>
      <c r="O92" s="135"/>
      <c r="P92" s="135" t="s">
        <v>538</v>
      </c>
      <c r="Q92" s="135"/>
      <c r="R92" s="135"/>
    </row>
    <row r="93" customFormat="false" ht="13.5" hidden="false" customHeight="true" outlineLevel="0" collapsed="false">
      <c r="A93" s="40" t="s">
        <v>334</v>
      </c>
      <c r="B93" s="40" t="s">
        <v>317</v>
      </c>
      <c r="C93" s="40"/>
      <c r="D93" s="40" t="s">
        <v>324</v>
      </c>
      <c r="E93" s="40"/>
      <c r="F93" s="40" t="s">
        <v>335</v>
      </c>
      <c r="G93" s="40" t="s">
        <v>336</v>
      </c>
      <c r="H93" s="40" t="s">
        <v>337</v>
      </c>
      <c r="I93" s="40"/>
      <c r="J93" s="40" t="s">
        <v>338</v>
      </c>
      <c r="K93" s="40"/>
      <c r="L93" s="40"/>
      <c r="M93" s="136" t="s">
        <v>539</v>
      </c>
      <c r="N93" s="136" t="s">
        <v>540</v>
      </c>
      <c r="O93" s="136" t="s">
        <v>541</v>
      </c>
      <c r="P93" s="136" t="s">
        <v>542</v>
      </c>
      <c r="Q93" s="136" t="s">
        <v>543</v>
      </c>
      <c r="R93" s="136" t="s">
        <v>544</v>
      </c>
    </row>
    <row r="94" customFormat="false" ht="21.75" hidden="false" customHeight="true" outlineLevel="0" collapsed="false">
      <c r="A94" s="41" t="n">
        <f aca="false">IF('Calendario A'!A94="","",'Calendario A'!A94)</f>
        <v>25</v>
      </c>
      <c r="B94" s="42" t="str">
        <f aca="false">IF('Calendario A'!B94="","",'Calendario A'!B94)</f>
        <v>Anaconde Arrabbiate</v>
      </c>
      <c r="C94" s="43" t="str">
        <f aca="false">IF('Calendario A'!C94="","",'Calendario A'!C94)</f>
        <v>A01</v>
      </c>
      <c r="D94" s="42" t="str">
        <f aca="false">IF('Calendario A'!D94="","",'Calendario A'!D94)</f>
        <v>Bufali Belligeranti</v>
      </c>
      <c r="E94" s="43" t="str">
        <f aca="false">IF('Calendario A'!E94="","",'Calendario A'!E94)</f>
        <v>A02</v>
      </c>
      <c r="F94" s="44" t="n">
        <f aca="false">IF('Calendario A'!F94="","",'Calendario A'!F94)</f>
        <v>46453.3958333333</v>
      </c>
      <c r="G94" s="44"/>
      <c r="H94" s="44"/>
      <c r="I94" s="44"/>
      <c r="J94" s="137" t="n">
        <f aca="false">IF('Calendario A'!J94="","",'Calendario A'!J94)</f>
        <v>79</v>
      </c>
      <c r="K94" s="138" t="s">
        <v>339</v>
      </c>
      <c r="L94" s="137" t="n">
        <f aca="false">IF('Calendario A'!L94="","",'Calendario A'!L94)</f>
        <v>63</v>
      </c>
      <c r="M94" s="139"/>
      <c r="N94" s="139"/>
      <c r="O94" s="139"/>
      <c r="P94" s="139"/>
      <c r="Q94" s="139"/>
      <c r="R94" s="139"/>
    </row>
    <row r="95" customFormat="false" ht="15" hidden="false" customHeight="true" outlineLevel="0" collapsed="false">
      <c r="A95" s="41"/>
      <c r="B95" s="48" t="str">
        <f aca="false">IF('Calendario A'!B95="","",'Calendario A'!B95)</f>
        <v>PalaGazzelle, Via dello Sport 7, Gazzelleopoli GE</v>
      </c>
      <c r="C95" s="48"/>
      <c r="D95" s="48"/>
      <c r="E95" s="48"/>
      <c r="F95" s="48"/>
      <c r="G95" s="48"/>
      <c r="H95" s="48"/>
      <c r="I95" s="43" t="str">
        <f aca="false">IF('Calendario A'!I95="","",'Calendario A'!I95)</f>
        <v>A07</v>
      </c>
      <c r="J95" s="137"/>
      <c r="K95" s="137"/>
      <c r="L95" s="137"/>
      <c r="M95" s="137"/>
      <c r="N95" s="137"/>
      <c r="O95" s="137"/>
      <c r="P95" s="137"/>
      <c r="Q95" s="137"/>
      <c r="R95" s="137"/>
    </row>
    <row r="96" customFormat="false" ht="13.5" hidden="false" customHeight="true" outlineLevel="0" collapsed="false">
      <c r="A96" s="40" t="s">
        <v>334</v>
      </c>
      <c r="B96" s="40" t="s">
        <v>317</v>
      </c>
      <c r="C96" s="40"/>
      <c r="D96" s="40" t="s">
        <v>324</v>
      </c>
      <c r="E96" s="40"/>
      <c r="F96" s="40" t="s">
        <v>335</v>
      </c>
      <c r="G96" s="40" t="s">
        <v>336</v>
      </c>
      <c r="H96" s="40" t="s">
        <v>337</v>
      </c>
      <c r="I96" s="40"/>
      <c r="J96" s="40" t="s">
        <v>338</v>
      </c>
      <c r="K96" s="40"/>
      <c r="L96" s="40"/>
      <c r="M96" s="136" t="s">
        <v>539</v>
      </c>
      <c r="N96" s="136" t="s">
        <v>540</v>
      </c>
      <c r="O96" s="136" t="s">
        <v>541</v>
      </c>
      <c r="P96" s="136" t="s">
        <v>542</v>
      </c>
      <c r="Q96" s="136" t="s">
        <v>543</v>
      </c>
      <c r="R96" s="136" t="s">
        <v>544</v>
      </c>
    </row>
    <row r="97" customFormat="false" ht="21.75" hidden="false" customHeight="true" outlineLevel="0" collapsed="false">
      <c r="A97" s="41" t="n">
        <f aca="false">IF('Calendario A'!A97="","",'Calendario A'!A97)</f>
        <v>26</v>
      </c>
      <c r="B97" s="42" t="str">
        <f aca="false">IF('Calendario A'!B97="","",'Calendario A'!B97)</f>
        <v>Ippopotami Iracondi</v>
      </c>
      <c r="C97" s="43" t="str">
        <f aca="false">IF('Calendario A'!C97="","",'Calendario A'!C97)</f>
        <v>A08</v>
      </c>
      <c r="D97" s="42" t="str">
        <f aca="false">IF('Calendario A'!D97="","",'Calendario A'!D97)</f>
        <v>Cobra Coraggiosi</v>
      </c>
      <c r="E97" s="43" t="str">
        <f aca="false">IF('Calendario A'!E97="","",'Calendario A'!E97)</f>
        <v>A03</v>
      </c>
      <c r="F97" s="44" t="n">
        <f aca="false">IF('Calendario A'!F97="","",'Calendario A'!F97)</f>
        <v>46453.4791666667</v>
      </c>
      <c r="G97" s="44"/>
      <c r="H97" s="44"/>
      <c r="I97" s="44"/>
      <c r="J97" s="137" t="n">
        <f aca="false">IF('Calendario A'!J97="","",'Calendario A'!J97)</f>
        <v>46</v>
      </c>
      <c r="K97" s="138" t="s">
        <v>339</v>
      </c>
      <c r="L97" s="137" t="n">
        <f aca="false">IF('Calendario A'!L97="","",'Calendario A'!L97)</f>
        <v>67</v>
      </c>
      <c r="M97" s="139"/>
      <c r="N97" s="139"/>
      <c r="O97" s="139"/>
      <c r="P97" s="139"/>
      <c r="Q97" s="139"/>
      <c r="R97" s="139"/>
    </row>
    <row r="98" customFormat="false" ht="15" hidden="false" customHeight="true" outlineLevel="0" collapsed="false">
      <c r="A98" s="41"/>
      <c r="B98" s="48" t="str">
        <f aca="false">IF('Calendario A'!B98="","",'Calendario A'!B98)</f>
        <v>PalaGazzelle, Via dello Sport 7, Gazzelleopoli GE</v>
      </c>
      <c r="C98" s="48"/>
      <c r="D98" s="48"/>
      <c r="E98" s="48"/>
      <c r="F98" s="48"/>
      <c r="G98" s="48"/>
      <c r="H98" s="48"/>
      <c r="I98" s="43" t="str">
        <f aca="false">IF('Calendario A'!I98="","",'Calendario A'!I98)</f>
        <v>A07</v>
      </c>
      <c r="J98" s="137"/>
      <c r="K98" s="137"/>
      <c r="L98" s="137"/>
      <c r="M98" s="137"/>
      <c r="N98" s="137"/>
      <c r="O98" s="137"/>
      <c r="P98" s="137"/>
      <c r="Q98" s="137"/>
      <c r="R98" s="137"/>
    </row>
    <row r="99" customFormat="false" ht="13.5" hidden="false" customHeight="true" outlineLevel="0" collapsed="false">
      <c r="A99" s="40" t="s">
        <v>334</v>
      </c>
      <c r="B99" s="40" t="s">
        <v>317</v>
      </c>
      <c r="C99" s="40"/>
      <c r="D99" s="40" t="s">
        <v>324</v>
      </c>
      <c r="E99" s="40"/>
      <c r="F99" s="40" t="s">
        <v>335</v>
      </c>
      <c r="G99" s="40" t="s">
        <v>336</v>
      </c>
      <c r="H99" s="40" t="s">
        <v>337</v>
      </c>
      <c r="I99" s="40"/>
      <c r="J99" s="40" t="s">
        <v>338</v>
      </c>
      <c r="K99" s="40"/>
      <c r="L99" s="40"/>
      <c r="M99" s="136" t="s">
        <v>539</v>
      </c>
      <c r="N99" s="136" t="s">
        <v>540</v>
      </c>
      <c r="O99" s="136" t="s">
        <v>541</v>
      </c>
      <c r="P99" s="136" t="s">
        <v>542</v>
      </c>
      <c r="Q99" s="136" t="s">
        <v>543</v>
      </c>
      <c r="R99" s="136" t="s">
        <v>544</v>
      </c>
    </row>
    <row r="100" customFormat="false" ht="21.75" hidden="false" customHeight="true" outlineLevel="0" collapsed="false">
      <c r="A100" s="41" t="n">
        <f aca="false">IF('Calendario A'!A100="","",'Calendario A'!A100)</f>
        <v>27</v>
      </c>
      <c r="B100" s="42" t="str">
        <f aca="false">IF('Calendario A'!B100="","",'Calendario A'!B100)</f>
        <v>Delfini Dispettosi</v>
      </c>
      <c r="C100" s="43" t="str">
        <f aca="false">IF('Calendario A'!C100="","",'Calendario A'!C100)</f>
        <v>A04</v>
      </c>
      <c r="D100" s="42" t="str">
        <f aca="false">IF('Calendario A'!D100="","",'Calendario A'!D100)</f>
        <v>Gazzelle Gagliarde</v>
      </c>
      <c r="E100" s="43" t="str">
        <f aca="false">IF('Calendario A'!E100="","",'Calendario A'!E100)</f>
        <v>A07</v>
      </c>
      <c r="F100" s="44" t="n">
        <f aca="false">IF('Calendario A'!F100="","",'Calendario A'!F100)</f>
        <v>46453.625</v>
      </c>
      <c r="G100" s="44"/>
      <c r="H100" s="44"/>
      <c r="I100" s="44"/>
      <c r="J100" s="137" t="n">
        <f aca="false">IF('Calendario A'!J100="","",'Calendario A'!J100)</f>
        <v>66</v>
      </c>
      <c r="K100" s="138" t="s">
        <v>339</v>
      </c>
      <c r="L100" s="137" t="n">
        <f aca="false">IF('Calendario A'!L100="","",'Calendario A'!L100)</f>
        <v>50</v>
      </c>
      <c r="M100" s="139"/>
      <c r="N100" s="139"/>
      <c r="O100" s="139"/>
      <c r="P100" s="139"/>
      <c r="Q100" s="139"/>
      <c r="R100" s="139"/>
    </row>
    <row r="101" customFormat="false" ht="15" hidden="false" customHeight="true" outlineLevel="0" collapsed="false">
      <c r="A101" s="41"/>
      <c r="B101" s="48" t="str">
        <f aca="false">IF('Calendario A'!B101="","",'Calendario A'!B101)</f>
        <v>PalaGazzelle, Via dello Sport 7, Gazzelleopoli GE</v>
      </c>
      <c r="C101" s="48"/>
      <c r="D101" s="48"/>
      <c r="E101" s="48"/>
      <c r="F101" s="48"/>
      <c r="G101" s="48"/>
      <c r="H101" s="48"/>
      <c r="I101" s="43" t="str">
        <f aca="false">IF('Calendario A'!I101="","",'Calendario A'!I101)</f>
        <v>A07</v>
      </c>
      <c r="J101" s="137"/>
      <c r="K101" s="137"/>
      <c r="L101" s="137"/>
      <c r="M101" s="137"/>
      <c r="N101" s="137"/>
      <c r="O101" s="137"/>
      <c r="P101" s="137"/>
      <c r="Q101" s="137"/>
      <c r="R101" s="137"/>
    </row>
    <row r="102" customFormat="false" ht="13.5" hidden="false" customHeight="true" outlineLevel="0" collapsed="false">
      <c r="A102" s="40" t="s">
        <v>334</v>
      </c>
      <c r="B102" s="40" t="s">
        <v>317</v>
      </c>
      <c r="C102" s="40"/>
      <c r="D102" s="40" t="s">
        <v>324</v>
      </c>
      <c r="E102" s="40"/>
      <c r="F102" s="40" t="s">
        <v>335</v>
      </c>
      <c r="G102" s="40" t="s">
        <v>336</v>
      </c>
      <c r="H102" s="40" t="s">
        <v>337</v>
      </c>
      <c r="I102" s="40"/>
      <c r="J102" s="40" t="s">
        <v>338</v>
      </c>
      <c r="K102" s="40"/>
      <c r="L102" s="40"/>
      <c r="M102" s="136" t="s">
        <v>539</v>
      </c>
      <c r="N102" s="136" t="s">
        <v>540</v>
      </c>
      <c r="O102" s="136" t="s">
        <v>541</v>
      </c>
      <c r="P102" s="136" t="s">
        <v>542</v>
      </c>
      <c r="Q102" s="136" t="s">
        <v>543</v>
      </c>
      <c r="R102" s="136" t="s">
        <v>544</v>
      </c>
    </row>
    <row r="103" customFormat="false" ht="21.75" hidden="false" customHeight="true" outlineLevel="0" collapsed="false">
      <c r="A103" s="41" t="n">
        <f aca="false">IF('Calendario A'!A103="","",'Calendario A'!A103)</f>
        <v>28</v>
      </c>
      <c r="B103" s="42" t="str">
        <f aca="false">IF('Calendario A'!B103="","",'Calendario A'!B103)</f>
        <v>Falchi Furiosi</v>
      </c>
      <c r="C103" s="43" t="str">
        <f aca="false">IF('Calendario A'!C103="","",'Calendario A'!C103)</f>
        <v>A06</v>
      </c>
      <c r="D103" s="42" t="str">
        <f aca="false">IF('Calendario A'!D103="","",'Calendario A'!D103)</f>
        <v>Ermellini Eleganti</v>
      </c>
      <c r="E103" s="43" t="str">
        <f aca="false">IF('Calendario A'!E103="","",'Calendario A'!E103)</f>
        <v>A05</v>
      </c>
      <c r="F103" s="44" t="n">
        <f aca="false">IF('Calendario A'!F103="","",'Calendario A'!F103)</f>
        <v>46453.7083333333</v>
      </c>
      <c r="G103" s="44"/>
      <c r="H103" s="44"/>
      <c r="I103" s="44"/>
      <c r="J103" s="137" t="n">
        <f aca="false">IF('Calendario A'!J103="","",'Calendario A'!J103)</f>
        <v>66</v>
      </c>
      <c r="K103" s="138" t="s">
        <v>339</v>
      </c>
      <c r="L103" s="137" t="n">
        <f aca="false">IF('Calendario A'!L103="","",'Calendario A'!L103)</f>
        <v>51</v>
      </c>
      <c r="M103" s="139"/>
      <c r="N103" s="139"/>
      <c r="O103" s="139"/>
      <c r="P103" s="139"/>
      <c r="Q103" s="139"/>
      <c r="R103" s="139"/>
    </row>
    <row r="104" customFormat="false" ht="15" hidden="false" customHeight="true" outlineLevel="0" collapsed="false">
      <c r="A104" s="41"/>
      <c r="B104" s="48" t="str">
        <f aca="false">IF('Calendario A'!B104="","",'Calendario A'!B104)</f>
        <v>PalaGazzelle, Via dello Sport 7, Gazzelleopoli GE</v>
      </c>
      <c r="C104" s="48"/>
      <c r="D104" s="48"/>
      <c r="E104" s="48"/>
      <c r="F104" s="48"/>
      <c r="G104" s="48"/>
      <c r="H104" s="48"/>
      <c r="I104" s="43" t="str">
        <f aca="false">IF('Calendario A'!I104="","",'Calendario A'!I104)</f>
        <v>A07</v>
      </c>
      <c r="J104" s="137"/>
      <c r="K104" s="137"/>
      <c r="L104" s="137"/>
      <c r="M104" s="137"/>
      <c r="N104" s="137"/>
      <c r="O104" s="137"/>
      <c r="P104" s="137"/>
      <c r="Q104" s="137"/>
      <c r="R104" s="137"/>
    </row>
    <row r="108" customFormat="false" ht="19.5" hidden="false" customHeight="true" outlineLevel="0" collapsed="false">
      <c r="A108" s="51" t="str">
        <f aca="false">IF('Calendario B'!A8="","",'Calendario B'!A8)</f>
        <v>1B</v>
      </c>
      <c r="B108" s="52" t="str">
        <f aca="false">IF('Calendario B'!B8="","",'Calendario B'!B8)</f>
        <v>GIORNATA I - GIRONE B</v>
      </c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140" t="s">
        <v>537</v>
      </c>
      <c r="N108" s="140"/>
      <c r="O108" s="140"/>
      <c r="P108" s="140" t="s">
        <v>538</v>
      </c>
      <c r="Q108" s="140"/>
      <c r="R108" s="140"/>
    </row>
    <row r="109" customFormat="false" ht="13.5" hidden="false" customHeight="true" outlineLevel="0" collapsed="false">
      <c r="A109" s="53" t="s">
        <v>334</v>
      </c>
      <c r="B109" s="53" t="s">
        <v>317</v>
      </c>
      <c r="C109" s="53"/>
      <c r="D109" s="53" t="s">
        <v>324</v>
      </c>
      <c r="E109" s="53"/>
      <c r="F109" s="53" t="s">
        <v>335</v>
      </c>
      <c r="G109" s="53" t="s">
        <v>336</v>
      </c>
      <c r="H109" s="53" t="s">
        <v>337</v>
      </c>
      <c r="I109" s="53"/>
      <c r="J109" s="53" t="s">
        <v>338</v>
      </c>
      <c r="K109" s="53"/>
      <c r="L109" s="53"/>
      <c r="M109" s="141" t="s">
        <v>539</v>
      </c>
      <c r="N109" s="141" t="s">
        <v>540</v>
      </c>
      <c r="O109" s="141" t="s">
        <v>541</v>
      </c>
      <c r="P109" s="141" t="s">
        <v>542</v>
      </c>
      <c r="Q109" s="141" t="s">
        <v>543</v>
      </c>
      <c r="R109" s="141" t="s">
        <v>544</v>
      </c>
    </row>
    <row r="110" customFormat="false" ht="21.75" hidden="false" customHeight="true" outlineLevel="0" collapsed="false">
      <c r="A110" s="54" t="n">
        <f aca="false">IF('Calendario B'!A10="","",'Calendario B'!A10)</f>
        <v>29</v>
      </c>
      <c r="B110" s="42" t="str">
        <f aca="false">IF('Calendario B'!B10="","",'Calendario B'!B10)</f>
        <v>Lupi Lucenti</v>
      </c>
      <c r="C110" s="43" t="str">
        <f aca="false">IF('Calendario B'!C10="","",'Calendario B'!C10)</f>
        <v>B01</v>
      </c>
      <c r="D110" s="42" t="str">
        <f aca="false">IF('Calendario B'!D10="","",'Calendario B'!D10)</f>
        <v>Salamandre Scaltre</v>
      </c>
      <c r="E110" s="43" t="str">
        <f aca="false">IF('Calendario B'!E10="","",'Calendario B'!E10)</f>
        <v>B08</v>
      </c>
      <c r="F110" s="44" t="n">
        <f aca="false">IF('Calendario B'!F10="","",'Calendario B'!F10)</f>
        <v>46313.3958333333</v>
      </c>
      <c r="G110" s="44"/>
      <c r="H110" s="44"/>
      <c r="I110" s="44"/>
      <c r="J110" s="137" t="n">
        <f aca="false">IF('Calendario B'!J10="","",'Calendario B'!J10)</f>
        <v>70</v>
      </c>
      <c r="K110" s="138" t="s">
        <v>339</v>
      </c>
      <c r="L110" s="137" t="n">
        <f aca="false">IF('Calendario B'!L10="","",'Calendario B'!L10)</f>
        <v>55</v>
      </c>
      <c r="M110" s="139"/>
      <c r="N110" s="139"/>
      <c r="O110" s="139"/>
      <c r="P110" s="139"/>
      <c r="Q110" s="139"/>
      <c r="R110" s="139"/>
    </row>
    <row r="111" customFormat="false" ht="15" hidden="false" customHeight="true" outlineLevel="0" collapsed="false">
      <c r="A111" s="54"/>
      <c r="B111" s="48" t="str">
        <f aca="false">IF('Calendario B'!B11="","",'Calendario B'!B11)</f>
        <v>PalaLupi, Via dello Sport 9, Lupiopoli LI</v>
      </c>
      <c r="C111" s="48"/>
      <c r="D111" s="48"/>
      <c r="E111" s="48"/>
      <c r="F111" s="48"/>
      <c r="G111" s="48"/>
      <c r="H111" s="48"/>
      <c r="I111" s="43" t="str">
        <f aca="false">IF('Calendario B'!I11="","",'Calendario B'!I11)</f>
        <v>B01</v>
      </c>
      <c r="J111" s="137"/>
      <c r="K111" s="137"/>
      <c r="L111" s="137"/>
      <c r="M111" s="137"/>
      <c r="N111" s="137"/>
      <c r="O111" s="137"/>
      <c r="P111" s="137"/>
      <c r="Q111" s="137"/>
      <c r="R111" s="137"/>
    </row>
    <row r="112" customFormat="false" ht="13.5" hidden="false" customHeight="true" outlineLevel="0" collapsed="false">
      <c r="A112" s="53" t="s">
        <v>334</v>
      </c>
      <c r="B112" s="53" t="s">
        <v>317</v>
      </c>
      <c r="C112" s="53"/>
      <c r="D112" s="53" t="s">
        <v>324</v>
      </c>
      <c r="E112" s="53"/>
      <c r="F112" s="53" t="s">
        <v>335</v>
      </c>
      <c r="G112" s="53" t="s">
        <v>336</v>
      </c>
      <c r="H112" s="53" t="s">
        <v>337</v>
      </c>
      <c r="I112" s="53"/>
      <c r="J112" s="53" t="s">
        <v>338</v>
      </c>
      <c r="K112" s="53"/>
      <c r="L112" s="53"/>
      <c r="M112" s="141" t="s">
        <v>539</v>
      </c>
      <c r="N112" s="141" t="s">
        <v>540</v>
      </c>
      <c r="O112" s="141" t="s">
        <v>541</v>
      </c>
      <c r="P112" s="141" t="s">
        <v>542</v>
      </c>
      <c r="Q112" s="141" t="s">
        <v>543</v>
      </c>
      <c r="R112" s="141" t="s">
        <v>544</v>
      </c>
    </row>
    <row r="113" customFormat="false" ht="21.75" hidden="false" customHeight="true" outlineLevel="0" collapsed="false">
      <c r="A113" s="54" t="n">
        <f aca="false">IF('Calendario B'!A13="","",'Calendario B'!A13)</f>
        <v>30</v>
      </c>
      <c r="B113" s="42" t="str">
        <f aca="false">IF('Calendario B'!B13="","",'Calendario B'!B13)</f>
        <v>Rinoceronti Ribelli</v>
      </c>
      <c r="C113" s="43" t="str">
        <f aca="false">IF('Calendario B'!C13="","",'Calendario B'!C13)</f>
        <v>B07</v>
      </c>
      <c r="D113" s="42" t="str">
        <f aca="false">IF('Calendario B'!D13="","",'Calendario B'!D13)</f>
        <v>Marmotte Maldestre</v>
      </c>
      <c r="E113" s="43" t="str">
        <f aca="false">IF('Calendario B'!E13="","",'Calendario B'!E13)</f>
        <v>B02</v>
      </c>
      <c r="F113" s="44" t="n">
        <f aca="false">IF('Calendario B'!F13="","",'Calendario B'!F13)</f>
        <v>46313.4791666667</v>
      </c>
      <c r="G113" s="44"/>
      <c r="H113" s="44"/>
      <c r="I113" s="44"/>
      <c r="J113" s="137" t="n">
        <f aca="false">IF('Calendario B'!J13="","",'Calendario B'!J13)</f>
        <v>50</v>
      </c>
      <c r="K113" s="138" t="s">
        <v>339</v>
      </c>
      <c r="L113" s="137" t="n">
        <f aca="false">IF('Calendario B'!L13="","",'Calendario B'!L13)</f>
        <v>71</v>
      </c>
      <c r="M113" s="139"/>
      <c r="N113" s="139"/>
      <c r="O113" s="139"/>
      <c r="P113" s="139"/>
      <c r="Q113" s="139"/>
      <c r="R113" s="139"/>
    </row>
    <row r="114" customFormat="false" ht="15" hidden="false" customHeight="true" outlineLevel="0" collapsed="false">
      <c r="A114" s="54"/>
      <c r="B114" s="48" t="str">
        <f aca="false">IF('Calendario B'!B14="","",'Calendario B'!B14)</f>
        <v>PalaLupi, Via dello Sport 9, Lupiopoli LI</v>
      </c>
      <c r="C114" s="48"/>
      <c r="D114" s="48"/>
      <c r="E114" s="48"/>
      <c r="F114" s="48"/>
      <c r="G114" s="48"/>
      <c r="H114" s="48"/>
      <c r="I114" s="43" t="str">
        <f aca="false">IF('Calendario B'!I14="","",'Calendario B'!I14)</f>
        <v>B01</v>
      </c>
      <c r="J114" s="137"/>
      <c r="K114" s="137"/>
      <c r="L114" s="137"/>
      <c r="M114" s="137"/>
      <c r="N114" s="137"/>
      <c r="O114" s="137"/>
      <c r="P114" s="137"/>
      <c r="Q114" s="137"/>
      <c r="R114" s="137"/>
    </row>
    <row r="115" customFormat="false" ht="13.5" hidden="false" customHeight="true" outlineLevel="0" collapsed="false">
      <c r="A115" s="53" t="s">
        <v>334</v>
      </c>
      <c r="B115" s="53" t="s">
        <v>317</v>
      </c>
      <c r="C115" s="53"/>
      <c r="D115" s="53" t="s">
        <v>324</v>
      </c>
      <c r="E115" s="53"/>
      <c r="F115" s="53" t="s">
        <v>335</v>
      </c>
      <c r="G115" s="53" t="s">
        <v>336</v>
      </c>
      <c r="H115" s="53" t="s">
        <v>337</v>
      </c>
      <c r="I115" s="53"/>
      <c r="J115" s="53" t="s">
        <v>338</v>
      </c>
      <c r="K115" s="53"/>
      <c r="L115" s="53"/>
      <c r="M115" s="141" t="s">
        <v>539</v>
      </c>
      <c r="N115" s="141" t="s">
        <v>540</v>
      </c>
      <c r="O115" s="141" t="s">
        <v>541</v>
      </c>
      <c r="P115" s="141" t="s">
        <v>542</v>
      </c>
      <c r="Q115" s="141" t="s">
        <v>543</v>
      </c>
      <c r="R115" s="141" t="s">
        <v>544</v>
      </c>
    </row>
    <row r="116" customFormat="false" ht="21.75" hidden="false" customHeight="true" outlineLevel="0" collapsed="false">
      <c r="A116" s="54" t="n">
        <f aca="false">IF('Calendario B'!A16="","",'Calendario B'!A16)</f>
        <v>31</v>
      </c>
      <c r="B116" s="42" t="str">
        <f aca="false">IF('Calendario B'!B16="","",'Calendario B'!B16)</f>
        <v>Narvali Nobili</v>
      </c>
      <c r="C116" s="43" t="str">
        <f aca="false">IF('Calendario B'!C16="","",'Calendario B'!C16)</f>
        <v>B03</v>
      </c>
      <c r="D116" s="42" t="str">
        <f aca="false">IF('Calendario B'!D16="","",'Calendario B'!D16)</f>
        <v>Quaglie Quiete</v>
      </c>
      <c r="E116" s="43" t="str">
        <f aca="false">IF('Calendario B'!E16="","",'Calendario B'!E16)</f>
        <v>B06</v>
      </c>
      <c r="F116" s="44" t="n">
        <f aca="false">IF('Calendario B'!F16="","",'Calendario B'!F16)</f>
        <v>46313.625</v>
      </c>
      <c r="G116" s="44"/>
      <c r="H116" s="44"/>
      <c r="I116" s="44"/>
      <c r="J116" s="137" t="n">
        <f aca="false">IF('Calendario B'!J16="","",'Calendario B'!J16)</f>
        <v>69</v>
      </c>
      <c r="K116" s="138" t="s">
        <v>339</v>
      </c>
      <c r="L116" s="137" t="n">
        <f aca="false">IF('Calendario B'!L16="","",'Calendario B'!L16)</f>
        <v>70</v>
      </c>
      <c r="M116" s="139"/>
      <c r="N116" s="139"/>
      <c r="O116" s="139"/>
      <c r="P116" s="139"/>
      <c r="Q116" s="139"/>
      <c r="R116" s="139"/>
    </row>
    <row r="117" customFormat="false" ht="15" hidden="false" customHeight="true" outlineLevel="0" collapsed="false">
      <c r="A117" s="54"/>
      <c r="B117" s="48" t="str">
        <f aca="false">IF('Calendario B'!B17="","",'Calendario B'!B17)</f>
        <v>PalaLupi, Via dello Sport 9, Lupiopoli LI</v>
      </c>
      <c r="C117" s="48"/>
      <c r="D117" s="48"/>
      <c r="E117" s="48"/>
      <c r="F117" s="48"/>
      <c r="G117" s="48"/>
      <c r="H117" s="48"/>
      <c r="I117" s="43" t="str">
        <f aca="false">IF('Calendario B'!I17="","",'Calendario B'!I17)</f>
        <v>B01</v>
      </c>
      <c r="J117" s="137"/>
      <c r="K117" s="137"/>
      <c r="L117" s="137"/>
      <c r="M117" s="137"/>
      <c r="N117" s="137"/>
      <c r="O117" s="137"/>
      <c r="P117" s="137"/>
      <c r="Q117" s="137"/>
      <c r="R117" s="137"/>
    </row>
    <row r="118" customFormat="false" ht="13.5" hidden="false" customHeight="true" outlineLevel="0" collapsed="false">
      <c r="A118" s="53" t="s">
        <v>334</v>
      </c>
      <c r="B118" s="53" t="s">
        <v>317</v>
      </c>
      <c r="C118" s="53"/>
      <c r="D118" s="53" t="s">
        <v>324</v>
      </c>
      <c r="E118" s="53"/>
      <c r="F118" s="53" t="s">
        <v>335</v>
      </c>
      <c r="G118" s="53" t="s">
        <v>336</v>
      </c>
      <c r="H118" s="53" t="s">
        <v>337</v>
      </c>
      <c r="I118" s="53"/>
      <c r="J118" s="53" t="s">
        <v>338</v>
      </c>
      <c r="K118" s="53"/>
      <c r="L118" s="53"/>
      <c r="M118" s="141" t="s">
        <v>539</v>
      </c>
      <c r="N118" s="141" t="s">
        <v>540</v>
      </c>
      <c r="O118" s="141" t="s">
        <v>541</v>
      </c>
      <c r="P118" s="141" t="s">
        <v>542</v>
      </c>
      <c r="Q118" s="141" t="s">
        <v>543</v>
      </c>
      <c r="R118" s="141" t="s">
        <v>544</v>
      </c>
    </row>
    <row r="119" customFormat="false" ht="21.75" hidden="false" customHeight="true" outlineLevel="0" collapsed="false">
      <c r="A119" s="54" t="n">
        <f aca="false">IF('Calendario B'!A19="","",'Calendario B'!A19)</f>
        <v>32</v>
      </c>
      <c r="B119" s="42" t="str">
        <f aca="false">IF('Calendario B'!B19="","",'Calendario B'!B19)</f>
        <v>Pantere Pungenti</v>
      </c>
      <c r="C119" s="43" t="str">
        <f aca="false">IF('Calendario B'!C19="","",'Calendario B'!C19)</f>
        <v>B05</v>
      </c>
      <c r="D119" s="42" t="str">
        <f aca="false">IF('Calendario B'!D19="","",'Calendario B'!D19)</f>
        <v>Orsi Ostinati</v>
      </c>
      <c r="E119" s="43" t="str">
        <f aca="false">IF('Calendario B'!E19="","",'Calendario B'!E19)</f>
        <v>B04</v>
      </c>
      <c r="F119" s="44" t="n">
        <f aca="false">IF('Calendario B'!F19="","",'Calendario B'!F19)</f>
        <v>46313.7083333333</v>
      </c>
      <c r="G119" s="44"/>
      <c r="H119" s="44"/>
      <c r="I119" s="44"/>
      <c r="J119" s="137" t="n">
        <f aca="false">IF('Calendario B'!J19="","",'Calendario B'!J19)</f>
        <v>83</v>
      </c>
      <c r="K119" s="138" t="s">
        <v>339</v>
      </c>
      <c r="L119" s="137" t="n">
        <f aca="false">IF('Calendario B'!L19="","",'Calendario B'!L19)</f>
        <v>56</v>
      </c>
      <c r="M119" s="139"/>
      <c r="N119" s="139"/>
      <c r="O119" s="139"/>
      <c r="P119" s="139"/>
      <c r="Q119" s="139"/>
      <c r="R119" s="139"/>
    </row>
    <row r="120" customFormat="false" ht="15" hidden="false" customHeight="true" outlineLevel="0" collapsed="false">
      <c r="A120" s="54"/>
      <c r="B120" s="48" t="str">
        <f aca="false">IF('Calendario B'!B20="","",'Calendario B'!B20)</f>
        <v>PalaLupi, Via dello Sport 9, Lupiopoli LI</v>
      </c>
      <c r="C120" s="48"/>
      <c r="D120" s="48"/>
      <c r="E120" s="48"/>
      <c r="F120" s="48"/>
      <c r="G120" s="48"/>
      <c r="H120" s="48"/>
      <c r="I120" s="43" t="str">
        <f aca="false">IF('Calendario B'!I20="","",'Calendario B'!I20)</f>
        <v>B01</v>
      </c>
      <c r="J120" s="137"/>
      <c r="K120" s="137"/>
      <c r="L120" s="137"/>
      <c r="M120" s="137"/>
      <c r="N120" s="137"/>
      <c r="O120" s="137"/>
      <c r="P120" s="137"/>
      <c r="Q120" s="137"/>
      <c r="R120" s="137"/>
    </row>
    <row r="122" customFormat="false" ht="19.5" hidden="false" customHeight="true" outlineLevel="0" collapsed="false">
      <c r="A122" s="51" t="str">
        <f aca="false">IF('Calendario B'!A22="","",'Calendario B'!A22)</f>
        <v>2B</v>
      </c>
      <c r="B122" s="52" t="str">
        <f aca="false">IF('Calendario B'!B22="","",'Calendario B'!B22)</f>
        <v>GIORNATA II - GIRONE B</v>
      </c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140" t="s">
        <v>537</v>
      </c>
      <c r="N122" s="140"/>
      <c r="O122" s="140"/>
      <c r="P122" s="140" t="s">
        <v>538</v>
      </c>
      <c r="Q122" s="140"/>
      <c r="R122" s="140"/>
    </row>
    <row r="123" customFormat="false" ht="13.5" hidden="false" customHeight="true" outlineLevel="0" collapsed="false">
      <c r="A123" s="53" t="s">
        <v>334</v>
      </c>
      <c r="B123" s="53" t="s">
        <v>317</v>
      </c>
      <c r="C123" s="53"/>
      <c r="D123" s="53" t="s">
        <v>324</v>
      </c>
      <c r="E123" s="53"/>
      <c r="F123" s="53" t="s">
        <v>335</v>
      </c>
      <c r="G123" s="53" t="s">
        <v>336</v>
      </c>
      <c r="H123" s="53" t="s">
        <v>337</v>
      </c>
      <c r="I123" s="53"/>
      <c r="J123" s="53" t="s">
        <v>338</v>
      </c>
      <c r="K123" s="53"/>
      <c r="L123" s="53"/>
      <c r="M123" s="141" t="s">
        <v>539</v>
      </c>
      <c r="N123" s="141" t="s">
        <v>540</v>
      </c>
      <c r="O123" s="141" t="s">
        <v>541</v>
      </c>
      <c r="P123" s="141" t="s">
        <v>542</v>
      </c>
      <c r="Q123" s="141" t="s">
        <v>543</v>
      </c>
      <c r="R123" s="141" t="s">
        <v>544</v>
      </c>
    </row>
    <row r="124" customFormat="false" ht="21.75" hidden="false" customHeight="true" outlineLevel="0" collapsed="false">
      <c r="A124" s="54" t="n">
        <f aca="false">IF('Calendario B'!A24="","",'Calendario B'!A24)</f>
        <v>33</v>
      </c>
      <c r="B124" s="42" t="str">
        <f aca="false">IF('Calendario B'!B24="","",'Calendario B'!B24)</f>
        <v>Rinoceronti Ribelli</v>
      </c>
      <c r="C124" s="43" t="str">
        <f aca="false">IF('Calendario B'!C24="","",'Calendario B'!C24)</f>
        <v>B07</v>
      </c>
      <c r="D124" s="42" t="str">
        <f aca="false">IF('Calendario B'!D24="","",'Calendario B'!D24)</f>
        <v>Lupi Lucenti</v>
      </c>
      <c r="E124" s="43" t="str">
        <f aca="false">IF('Calendario B'!E24="","",'Calendario B'!E24)</f>
        <v>B01</v>
      </c>
      <c r="F124" s="44" t="n">
        <f aca="false">IF('Calendario B'!F24="","",'Calendario B'!F24)</f>
        <v>46334.3958333333</v>
      </c>
      <c r="G124" s="44"/>
      <c r="H124" s="44"/>
      <c r="I124" s="44"/>
      <c r="J124" s="137" t="n">
        <f aca="false">IF('Calendario B'!J24="","",'Calendario B'!J24)</f>
        <v>74</v>
      </c>
      <c r="K124" s="138" t="s">
        <v>339</v>
      </c>
      <c r="L124" s="137" t="n">
        <f aca="false">IF('Calendario B'!L24="","",'Calendario B'!L24)</f>
        <v>61</v>
      </c>
      <c r="M124" s="139"/>
      <c r="N124" s="139"/>
      <c r="O124" s="139"/>
      <c r="P124" s="139"/>
      <c r="Q124" s="139"/>
      <c r="R124" s="139"/>
    </row>
    <row r="125" customFormat="false" ht="15" hidden="false" customHeight="true" outlineLevel="0" collapsed="false">
      <c r="A125" s="54"/>
      <c r="B125" s="48" t="str">
        <f aca="false">IF('Calendario B'!B25="","",'Calendario B'!B25)</f>
        <v>PalaMarmotte, Via dello Sport 10, Marmotteopoli ME</v>
      </c>
      <c r="C125" s="48"/>
      <c r="D125" s="48"/>
      <c r="E125" s="48"/>
      <c r="F125" s="48"/>
      <c r="G125" s="48"/>
      <c r="H125" s="48"/>
      <c r="I125" s="43" t="str">
        <f aca="false">IF('Calendario B'!I25="","",'Calendario B'!I25)</f>
        <v>B02</v>
      </c>
      <c r="J125" s="137"/>
      <c r="K125" s="137"/>
      <c r="L125" s="137"/>
      <c r="M125" s="137"/>
      <c r="N125" s="137"/>
      <c r="O125" s="137"/>
      <c r="P125" s="137"/>
      <c r="Q125" s="137"/>
      <c r="R125" s="137"/>
    </row>
    <row r="126" customFormat="false" ht="13.5" hidden="false" customHeight="true" outlineLevel="0" collapsed="false">
      <c r="A126" s="53" t="s">
        <v>334</v>
      </c>
      <c r="B126" s="53" t="s">
        <v>317</v>
      </c>
      <c r="C126" s="53"/>
      <c r="D126" s="53" t="s">
        <v>324</v>
      </c>
      <c r="E126" s="53"/>
      <c r="F126" s="53" t="s">
        <v>335</v>
      </c>
      <c r="G126" s="53" t="s">
        <v>336</v>
      </c>
      <c r="H126" s="53" t="s">
        <v>337</v>
      </c>
      <c r="I126" s="53"/>
      <c r="J126" s="53" t="s">
        <v>338</v>
      </c>
      <c r="K126" s="53"/>
      <c r="L126" s="53"/>
      <c r="M126" s="141" t="s">
        <v>539</v>
      </c>
      <c r="N126" s="141" t="s">
        <v>540</v>
      </c>
      <c r="O126" s="141" t="s">
        <v>541</v>
      </c>
      <c r="P126" s="141" t="s">
        <v>542</v>
      </c>
      <c r="Q126" s="141" t="s">
        <v>543</v>
      </c>
      <c r="R126" s="141" t="s">
        <v>544</v>
      </c>
    </row>
    <row r="127" customFormat="false" ht="21.75" hidden="false" customHeight="true" outlineLevel="0" collapsed="false">
      <c r="A127" s="54" t="n">
        <f aca="false">IF('Calendario B'!A27="","",'Calendario B'!A27)</f>
        <v>34</v>
      </c>
      <c r="B127" s="42" t="str">
        <f aca="false">IF('Calendario B'!B27="","",'Calendario B'!B27)</f>
        <v>Salamandre Scaltre</v>
      </c>
      <c r="C127" s="43" t="str">
        <f aca="false">IF('Calendario B'!C27="","",'Calendario B'!C27)</f>
        <v>B08</v>
      </c>
      <c r="D127" s="42" t="str">
        <f aca="false">IF('Calendario B'!D27="","",'Calendario B'!D27)</f>
        <v>Quaglie Quiete</v>
      </c>
      <c r="E127" s="43" t="str">
        <f aca="false">IF('Calendario B'!E27="","",'Calendario B'!E27)</f>
        <v>B06</v>
      </c>
      <c r="F127" s="44" t="n">
        <f aca="false">IF('Calendario B'!F27="","",'Calendario B'!F27)</f>
        <v>46334.4791666667</v>
      </c>
      <c r="G127" s="44"/>
      <c r="H127" s="44"/>
      <c r="I127" s="44"/>
      <c r="J127" s="137" t="n">
        <f aca="false">IF('Calendario B'!J27="","",'Calendario B'!J27)</f>
        <v>52</v>
      </c>
      <c r="K127" s="138" t="s">
        <v>339</v>
      </c>
      <c r="L127" s="137" t="n">
        <f aca="false">IF('Calendario B'!L27="","",'Calendario B'!L27)</f>
        <v>57</v>
      </c>
      <c r="M127" s="139"/>
      <c r="N127" s="139"/>
      <c r="O127" s="139"/>
      <c r="P127" s="139"/>
      <c r="Q127" s="139"/>
      <c r="R127" s="139"/>
    </row>
    <row r="128" customFormat="false" ht="15" hidden="false" customHeight="true" outlineLevel="0" collapsed="false">
      <c r="A128" s="54"/>
      <c r="B128" s="48" t="str">
        <f aca="false">IF('Calendario B'!B28="","",'Calendario B'!B28)</f>
        <v>PalaMarmotte, Via dello Sport 10, Marmotteopoli ME</v>
      </c>
      <c r="C128" s="48"/>
      <c r="D128" s="48"/>
      <c r="E128" s="48"/>
      <c r="F128" s="48"/>
      <c r="G128" s="48"/>
      <c r="H128" s="48"/>
      <c r="I128" s="43" t="str">
        <f aca="false">IF('Calendario B'!I28="","",'Calendario B'!I28)</f>
        <v>B02</v>
      </c>
      <c r="J128" s="137"/>
      <c r="K128" s="137"/>
      <c r="L128" s="137"/>
      <c r="M128" s="137"/>
      <c r="N128" s="137"/>
      <c r="O128" s="137"/>
      <c r="P128" s="137"/>
      <c r="Q128" s="137"/>
      <c r="R128" s="137"/>
    </row>
    <row r="129" customFormat="false" ht="13.5" hidden="false" customHeight="true" outlineLevel="0" collapsed="false">
      <c r="A129" s="53" t="s">
        <v>334</v>
      </c>
      <c r="B129" s="53" t="s">
        <v>317</v>
      </c>
      <c r="C129" s="53"/>
      <c r="D129" s="53" t="s">
        <v>324</v>
      </c>
      <c r="E129" s="53"/>
      <c r="F129" s="53" t="s">
        <v>335</v>
      </c>
      <c r="G129" s="53" t="s">
        <v>336</v>
      </c>
      <c r="H129" s="53" t="s">
        <v>337</v>
      </c>
      <c r="I129" s="53"/>
      <c r="J129" s="53" t="s">
        <v>338</v>
      </c>
      <c r="K129" s="53"/>
      <c r="L129" s="53"/>
      <c r="M129" s="141" t="s">
        <v>539</v>
      </c>
      <c r="N129" s="141" t="s">
        <v>540</v>
      </c>
      <c r="O129" s="141" t="s">
        <v>541</v>
      </c>
      <c r="P129" s="141" t="s">
        <v>542</v>
      </c>
      <c r="Q129" s="141" t="s">
        <v>543</v>
      </c>
      <c r="R129" s="141" t="s">
        <v>544</v>
      </c>
    </row>
    <row r="130" customFormat="false" ht="21.75" hidden="false" customHeight="true" outlineLevel="0" collapsed="false">
      <c r="A130" s="54" t="n">
        <f aca="false">IF('Calendario B'!A30="","",'Calendario B'!A30)</f>
        <v>35</v>
      </c>
      <c r="B130" s="42" t="str">
        <f aca="false">IF('Calendario B'!B30="","",'Calendario B'!B30)</f>
        <v>Pantere Pungenti</v>
      </c>
      <c r="C130" s="43" t="str">
        <f aca="false">IF('Calendario B'!C30="","",'Calendario B'!C30)</f>
        <v>B05</v>
      </c>
      <c r="D130" s="42" t="str">
        <f aca="false">IF('Calendario B'!D30="","",'Calendario B'!D30)</f>
        <v>Marmotte Maldestre</v>
      </c>
      <c r="E130" s="43" t="str">
        <f aca="false">IF('Calendario B'!E30="","",'Calendario B'!E30)</f>
        <v>B02</v>
      </c>
      <c r="F130" s="44" t="n">
        <f aca="false">IF('Calendario B'!F30="","",'Calendario B'!F30)</f>
        <v>46334.625</v>
      </c>
      <c r="G130" s="44"/>
      <c r="H130" s="44"/>
      <c r="I130" s="44"/>
      <c r="J130" s="137" t="n">
        <f aca="false">IF('Calendario B'!J30="","",'Calendario B'!J30)</f>
        <v>48</v>
      </c>
      <c r="K130" s="138" t="s">
        <v>339</v>
      </c>
      <c r="L130" s="137" t="n">
        <f aca="false">IF('Calendario B'!L30="","",'Calendario B'!L30)</f>
        <v>71</v>
      </c>
      <c r="M130" s="139"/>
      <c r="N130" s="139"/>
      <c r="O130" s="139"/>
      <c r="P130" s="139"/>
      <c r="Q130" s="139"/>
      <c r="R130" s="139"/>
    </row>
    <row r="131" customFormat="false" ht="15" hidden="false" customHeight="true" outlineLevel="0" collapsed="false">
      <c r="A131" s="54"/>
      <c r="B131" s="48" t="str">
        <f aca="false">IF('Calendario B'!B31="","",'Calendario B'!B31)</f>
        <v>PalaMarmotte, Via dello Sport 10, Marmotteopoli ME</v>
      </c>
      <c r="C131" s="48"/>
      <c r="D131" s="48"/>
      <c r="E131" s="48"/>
      <c r="F131" s="48"/>
      <c r="G131" s="48"/>
      <c r="H131" s="48"/>
      <c r="I131" s="43" t="str">
        <f aca="false">IF('Calendario B'!I31="","",'Calendario B'!I31)</f>
        <v>B02</v>
      </c>
      <c r="J131" s="137"/>
      <c r="K131" s="137"/>
      <c r="L131" s="137"/>
      <c r="M131" s="137"/>
      <c r="N131" s="137"/>
      <c r="O131" s="137"/>
      <c r="P131" s="137"/>
      <c r="Q131" s="137"/>
      <c r="R131" s="137"/>
    </row>
    <row r="132" customFormat="false" ht="13.5" hidden="false" customHeight="true" outlineLevel="0" collapsed="false">
      <c r="A132" s="53" t="s">
        <v>334</v>
      </c>
      <c r="B132" s="53" t="s">
        <v>317</v>
      </c>
      <c r="C132" s="53"/>
      <c r="D132" s="53" t="s">
        <v>324</v>
      </c>
      <c r="E132" s="53"/>
      <c r="F132" s="53" t="s">
        <v>335</v>
      </c>
      <c r="G132" s="53" t="s">
        <v>336</v>
      </c>
      <c r="H132" s="53" t="s">
        <v>337</v>
      </c>
      <c r="I132" s="53"/>
      <c r="J132" s="53" t="s">
        <v>338</v>
      </c>
      <c r="K132" s="53"/>
      <c r="L132" s="53"/>
      <c r="M132" s="141" t="s">
        <v>539</v>
      </c>
      <c r="N132" s="141" t="s">
        <v>540</v>
      </c>
      <c r="O132" s="141" t="s">
        <v>541</v>
      </c>
      <c r="P132" s="141" t="s">
        <v>542</v>
      </c>
      <c r="Q132" s="141" t="s">
        <v>543</v>
      </c>
      <c r="R132" s="141" t="s">
        <v>544</v>
      </c>
    </row>
    <row r="133" customFormat="false" ht="21.75" hidden="false" customHeight="true" outlineLevel="0" collapsed="false">
      <c r="A133" s="54" t="n">
        <f aca="false">IF('Calendario B'!A33="","",'Calendario B'!A33)</f>
        <v>36</v>
      </c>
      <c r="B133" s="42" t="str">
        <f aca="false">IF('Calendario B'!B33="","",'Calendario B'!B33)</f>
        <v>Narvali Nobili</v>
      </c>
      <c r="C133" s="43" t="str">
        <f aca="false">IF('Calendario B'!C33="","",'Calendario B'!C33)</f>
        <v>B03</v>
      </c>
      <c r="D133" s="42" t="str">
        <f aca="false">IF('Calendario B'!D33="","",'Calendario B'!D33)</f>
        <v>Orsi Ostinati</v>
      </c>
      <c r="E133" s="43" t="str">
        <f aca="false">IF('Calendario B'!E33="","",'Calendario B'!E33)</f>
        <v>B04</v>
      </c>
      <c r="F133" s="44" t="n">
        <f aca="false">IF('Calendario B'!F33="","",'Calendario B'!F33)</f>
        <v>46334.7083333333</v>
      </c>
      <c r="G133" s="44"/>
      <c r="H133" s="44"/>
      <c r="I133" s="44"/>
      <c r="J133" s="137" t="n">
        <f aca="false">IF('Calendario B'!J33="","",'Calendario B'!J33)</f>
        <v>72</v>
      </c>
      <c r="K133" s="138" t="s">
        <v>339</v>
      </c>
      <c r="L133" s="137" t="n">
        <f aca="false">IF('Calendario B'!L33="","",'Calendario B'!L33)</f>
        <v>60</v>
      </c>
      <c r="M133" s="139"/>
      <c r="N133" s="139"/>
      <c r="O133" s="139"/>
      <c r="P133" s="139"/>
      <c r="Q133" s="139"/>
      <c r="R133" s="139"/>
    </row>
    <row r="134" customFormat="false" ht="15" hidden="false" customHeight="true" outlineLevel="0" collapsed="false">
      <c r="A134" s="54"/>
      <c r="B134" s="48" t="str">
        <f aca="false">IF('Calendario B'!B34="","",'Calendario B'!B34)</f>
        <v>PalaMarmotte, Via dello Sport 10, Marmotteopoli ME</v>
      </c>
      <c r="C134" s="48"/>
      <c r="D134" s="48"/>
      <c r="E134" s="48"/>
      <c r="F134" s="48"/>
      <c r="G134" s="48"/>
      <c r="H134" s="48"/>
      <c r="I134" s="43" t="str">
        <f aca="false">IF('Calendario B'!I34="","",'Calendario B'!I34)</f>
        <v>B02</v>
      </c>
      <c r="J134" s="137"/>
      <c r="K134" s="137"/>
      <c r="L134" s="137"/>
      <c r="M134" s="137"/>
      <c r="N134" s="137"/>
      <c r="O134" s="137"/>
      <c r="P134" s="137"/>
      <c r="Q134" s="137"/>
      <c r="R134" s="137"/>
    </row>
    <row r="136" customFormat="false" ht="19.5" hidden="false" customHeight="true" outlineLevel="0" collapsed="false">
      <c r="A136" s="51" t="str">
        <f aca="false">IF('Calendario B'!A36="","",'Calendario B'!A36)</f>
        <v>3B</v>
      </c>
      <c r="B136" s="52" t="str">
        <f aca="false">IF('Calendario B'!B36="","",'Calendario B'!B36)</f>
        <v>GIORNATA III - GIRONE B</v>
      </c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140" t="s">
        <v>537</v>
      </c>
      <c r="N136" s="140"/>
      <c r="O136" s="140"/>
      <c r="P136" s="140" t="s">
        <v>538</v>
      </c>
      <c r="Q136" s="140"/>
      <c r="R136" s="140"/>
    </row>
    <row r="137" customFormat="false" ht="13.5" hidden="false" customHeight="true" outlineLevel="0" collapsed="false">
      <c r="A137" s="53" t="s">
        <v>334</v>
      </c>
      <c r="B137" s="53" t="s">
        <v>317</v>
      </c>
      <c r="C137" s="53"/>
      <c r="D137" s="53" t="s">
        <v>324</v>
      </c>
      <c r="E137" s="53"/>
      <c r="F137" s="53" t="s">
        <v>335</v>
      </c>
      <c r="G137" s="53" t="s">
        <v>336</v>
      </c>
      <c r="H137" s="53" t="s">
        <v>337</v>
      </c>
      <c r="I137" s="53"/>
      <c r="J137" s="53" t="s">
        <v>338</v>
      </c>
      <c r="K137" s="53"/>
      <c r="L137" s="53"/>
      <c r="M137" s="141" t="s">
        <v>539</v>
      </c>
      <c r="N137" s="141" t="s">
        <v>540</v>
      </c>
      <c r="O137" s="141" t="s">
        <v>541</v>
      </c>
      <c r="P137" s="141" t="s">
        <v>542</v>
      </c>
      <c r="Q137" s="141" t="s">
        <v>543</v>
      </c>
      <c r="R137" s="141" t="s">
        <v>544</v>
      </c>
    </row>
    <row r="138" customFormat="false" ht="21.75" hidden="false" customHeight="true" outlineLevel="0" collapsed="false">
      <c r="A138" s="54" t="n">
        <f aca="false">IF('Calendario B'!A38="","",'Calendario B'!A38)</f>
        <v>37</v>
      </c>
      <c r="B138" s="42" t="str">
        <f aca="false">IF('Calendario B'!B38="","",'Calendario B'!B38)</f>
        <v>Lupi Lucenti</v>
      </c>
      <c r="C138" s="43" t="str">
        <f aca="false">IF('Calendario B'!C38="","",'Calendario B'!C38)</f>
        <v>B01</v>
      </c>
      <c r="D138" s="42" t="str">
        <f aca="false">IF('Calendario B'!D38="","",'Calendario B'!D38)</f>
        <v>Quaglie Quiete</v>
      </c>
      <c r="E138" s="43" t="str">
        <f aca="false">IF('Calendario B'!E38="","",'Calendario B'!E38)</f>
        <v>B06</v>
      </c>
      <c r="F138" s="44" t="n">
        <f aca="false">IF('Calendario B'!F38="","",'Calendario B'!F38)</f>
        <v>46355.3958333333</v>
      </c>
      <c r="G138" s="44"/>
      <c r="H138" s="44"/>
      <c r="I138" s="44"/>
      <c r="J138" s="137" t="n">
        <f aca="false">IF('Calendario B'!J38="","",'Calendario B'!J38)</f>
        <v>83</v>
      </c>
      <c r="K138" s="138" t="s">
        <v>339</v>
      </c>
      <c r="L138" s="137" t="n">
        <f aca="false">IF('Calendario B'!L38="","",'Calendario B'!L38)</f>
        <v>57</v>
      </c>
      <c r="M138" s="139"/>
      <c r="N138" s="139"/>
      <c r="O138" s="139"/>
      <c r="P138" s="139"/>
      <c r="Q138" s="139"/>
      <c r="R138" s="139"/>
    </row>
    <row r="139" customFormat="false" ht="15" hidden="false" customHeight="true" outlineLevel="0" collapsed="false">
      <c r="A139" s="54"/>
      <c r="B139" s="48" t="str">
        <f aca="false">IF('Calendario B'!B39="","",'Calendario B'!B39)</f>
        <v>PalaNarvali, Via dello Sport 11, Narvaliopoli NI</v>
      </c>
      <c r="C139" s="48"/>
      <c r="D139" s="48"/>
      <c r="E139" s="48"/>
      <c r="F139" s="48"/>
      <c r="G139" s="48"/>
      <c r="H139" s="48"/>
      <c r="I139" s="43" t="str">
        <f aca="false">IF('Calendario B'!I39="","",'Calendario B'!I39)</f>
        <v>B03</v>
      </c>
      <c r="J139" s="137"/>
      <c r="K139" s="137"/>
      <c r="L139" s="137"/>
      <c r="M139" s="137"/>
      <c r="N139" s="137"/>
      <c r="O139" s="137"/>
      <c r="P139" s="137"/>
      <c r="Q139" s="137"/>
      <c r="R139" s="137"/>
    </row>
    <row r="140" customFormat="false" ht="13.5" hidden="false" customHeight="true" outlineLevel="0" collapsed="false">
      <c r="A140" s="53" t="s">
        <v>334</v>
      </c>
      <c r="B140" s="53" t="s">
        <v>317</v>
      </c>
      <c r="C140" s="53"/>
      <c r="D140" s="53" t="s">
        <v>324</v>
      </c>
      <c r="E140" s="53"/>
      <c r="F140" s="53" t="s">
        <v>335</v>
      </c>
      <c r="G140" s="53" t="s">
        <v>336</v>
      </c>
      <c r="H140" s="53" t="s">
        <v>337</v>
      </c>
      <c r="I140" s="53"/>
      <c r="J140" s="53" t="s">
        <v>338</v>
      </c>
      <c r="K140" s="53"/>
      <c r="L140" s="53"/>
      <c r="M140" s="141" t="s">
        <v>539</v>
      </c>
      <c r="N140" s="141" t="s">
        <v>540</v>
      </c>
      <c r="O140" s="141" t="s">
        <v>541</v>
      </c>
      <c r="P140" s="141" t="s">
        <v>542</v>
      </c>
      <c r="Q140" s="141" t="s">
        <v>543</v>
      </c>
      <c r="R140" s="141" t="s">
        <v>544</v>
      </c>
    </row>
    <row r="141" customFormat="false" ht="21.75" hidden="false" customHeight="true" outlineLevel="0" collapsed="false">
      <c r="A141" s="54" t="n">
        <f aca="false">IF('Calendario B'!A41="","",'Calendario B'!A41)</f>
        <v>38</v>
      </c>
      <c r="B141" s="42" t="str">
        <f aca="false">IF('Calendario B'!B41="","",'Calendario B'!B41)</f>
        <v>Pantere Pungenti</v>
      </c>
      <c r="C141" s="43" t="str">
        <f aca="false">IF('Calendario B'!C41="","",'Calendario B'!C41)</f>
        <v>B05</v>
      </c>
      <c r="D141" s="42" t="str">
        <f aca="false">IF('Calendario B'!D41="","",'Calendario B'!D41)</f>
        <v>Rinoceronti Ribelli</v>
      </c>
      <c r="E141" s="43" t="str">
        <f aca="false">IF('Calendario B'!E41="","",'Calendario B'!E41)</f>
        <v>B07</v>
      </c>
      <c r="F141" s="44" t="n">
        <f aca="false">IF('Calendario B'!F41="","",'Calendario B'!F41)</f>
        <v>46355.4791666667</v>
      </c>
      <c r="G141" s="44"/>
      <c r="H141" s="44"/>
      <c r="I141" s="44"/>
      <c r="J141" s="137" t="n">
        <f aca="false">IF('Calendario B'!J41="","",'Calendario B'!J41)</f>
        <v>45</v>
      </c>
      <c r="K141" s="138" t="s">
        <v>339</v>
      </c>
      <c r="L141" s="137" t="n">
        <f aca="false">IF('Calendario B'!L41="","",'Calendario B'!L41)</f>
        <v>71</v>
      </c>
      <c r="M141" s="139"/>
      <c r="N141" s="139"/>
      <c r="O141" s="139"/>
      <c r="P141" s="139"/>
      <c r="Q141" s="139"/>
      <c r="R141" s="139"/>
    </row>
    <row r="142" customFormat="false" ht="15" hidden="false" customHeight="true" outlineLevel="0" collapsed="false">
      <c r="A142" s="54"/>
      <c r="B142" s="48" t="str">
        <f aca="false">IF('Calendario B'!B42="","",'Calendario B'!B42)</f>
        <v>PalaNarvali, Via dello Sport 11, Narvaliopoli NI</v>
      </c>
      <c r="C142" s="48"/>
      <c r="D142" s="48"/>
      <c r="E142" s="48"/>
      <c r="F142" s="48"/>
      <c r="G142" s="48"/>
      <c r="H142" s="48"/>
      <c r="I142" s="43" t="str">
        <f aca="false">IF('Calendario B'!I42="","",'Calendario B'!I42)</f>
        <v>B03</v>
      </c>
      <c r="J142" s="137"/>
      <c r="K142" s="137"/>
      <c r="L142" s="137"/>
      <c r="M142" s="137"/>
      <c r="N142" s="137"/>
      <c r="O142" s="137"/>
      <c r="P142" s="137"/>
      <c r="Q142" s="137"/>
      <c r="R142" s="137"/>
    </row>
    <row r="143" customFormat="false" ht="13.5" hidden="false" customHeight="true" outlineLevel="0" collapsed="false">
      <c r="A143" s="53" t="s">
        <v>334</v>
      </c>
      <c r="B143" s="53" t="s">
        <v>317</v>
      </c>
      <c r="C143" s="53"/>
      <c r="D143" s="53" t="s">
        <v>324</v>
      </c>
      <c r="E143" s="53"/>
      <c r="F143" s="53" t="s">
        <v>335</v>
      </c>
      <c r="G143" s="53" t="s">
        <v>336</v>
      </c>
      <c r="H143" s="53" t="s">
        <v>337</v>
      </c>
      <c r="I143" s="53"/>
      <c r="J143" s="53" t="s">
        <v>338</v>
      </c>
      <c r="K143" s="53"/>
      <c r="L143" s="53"/>
      <c r="M143" s="141" t="s">
        <v>539</v>
      </c>
      <c r="N143" s="141" t="s">
        <v>540</v>
      </c>
      <c r="O143" s="141" t="s">
        <v>541</v>
      </c>
      <c r="P143" s="141" t="s">
        <v>542</v>
      </c>
      <c r="Q143" s="141" t="s">
        <v>543</v>
      </c>
      <c r="R143" s="141" t="s">
        <v>544</v>
      </c>
    </row>
    <row r="144" customFormat="false" ht="21.75" hidden="false" customHeight="true" outlineLevel="0" collapsed="false">
      <c r="A144" s="54" t="n">
        <f aca="false">IF('Calendario B'!A44="","",'Calendario B'!A44)</f>
        <v>39</v>
      </c>
      <c r="B144" s="42" t="str">
        <f aca="false">IF('Calendario B'!B44="","",'Calendario B'!B44)</f>
        <v>Salamandre Scaltre</v>
      </c>
      <c r="C144" s="43" t="str">
        <f aca="false">IF('Calendario B'!C44="","",'Calendario B'!C44)</f>
        <v>B08</v>
      </c>
      <c r="D144" s="42" t="str">
        <f aca="false">IF('Calendario B'!D44="","",'Calendario B'!D44)</f>
        <v>Orsi Ostinati</v>
      </c>
      <c r="E144" s="43" t="str">
        <f aca="false">IF('Calendario B'!E44="","",'Calendario B'!E44)</f>
        <v>B04</v>
      </c>
      <c r="F144" s="44" t="n">
        <f aca="false">IF('Calendario B'!F44="","",'Calendario B'!F44)</f>
        <v>46355.625</v>
      </c>
      <c r="G144" s="44"/>
      <c r="H144" s="44"/>
      <c r="I144" s="44"/>
      <c r="J144" s="137" t="n">
        <f aca="false">IF('Calendario B'!J44="","",'Calendario B'!J44)</f>
        <v>72</v>
      </c>
      <c r="K144" s="138" t="s">
        <v>339</v>
      </c>
      <c r="L144" s="137" t="n">
        <f aca="false">IF('Calendario B'!L44="","",'Calendario B'!L44)</f>
        <v>63</v>
      </c>
      <c r="M144" s="139"/>
      <c r="N144" s="139"/>
      <c r="O144" s="139"/>
      <c r="P144" s="139"/>
      <c r="Q144" s="139"/>
      <c r="R144" s="139"/>
    </row>
    <row r="145" customFormat="false" ht="15" hidden="false" customHeight="true" outlineLevel="0" collapsed="false">
      <c r="A145" s="54"/>
      <c r="B145" s="48" t="str">
        <f aca="false">IF('Calendario B'!B45="","",'Calendario B'!B45)</f>
        <v>PalaNarvali, Via dello Sport 11, Narvaliopoli NI</v>
      </c>
      <c r="C145" s="48"/>
      <c r="D145" s="48"/>
      <c r="E145" s="48"/>
      <c r="F145" s="48"/>
      <c r="G145" s="48"/>
      <c r="H145" s="48"/>
      <c r="I145" s="43" t="str">
        <f aca="false">IF('Calendario B'!I45="","",'Calendario B'!I45)</f>
        <v>B03</v>
      </c>
      <c r="J145" s="137"/>
      <c r="K145" s="137"/>
      <c r="L145" s="137"/>
      <c r="M145" s="137"/>
      <c r="N145" s="137"/>
      <c r="O145" s="137"/>
      <c r="P145" s="137"/>
      <c r="Q145" s="137"/>
      <c r="R145" s="137"/>
    </row>
    <row r="146" customFormat="false" ht="13.5" hidden="false" customHeight="true" outlineLevel="0" collapsed="false">
      <c r="A146" s="53" t="s">
        <v>334</v>
      </c>
      <c r="B146" s="53" t="s">
        <v>317</v>
      </c>
      <c r="C146" s="53"/>
      <c r="D146" s="53" t="s">
        <v>324</v>
      </c>
      <c r="E146" s="53"/>
      <c r="F146" s="53" t="s">
        <v>335</v>
      </c>
      <c r="G146" s="53" t="s">
        <v>336</v>
      </c>
      <c r="H146" s="53" t="s">
        <v>337</v>
      </c>
      <c r="I146" s="53"/>
      <c r="J146" s="53" t="s">
        <v>338</v>
      </c>
      <c r="K146" s="53"/>
      <c r="L146" s="53"/>
      <c r="M146" s="141" t="s">
        <v>539</v>
      </c>
      <c r="N146" s="141" t="s">
        <v>540</v>
      </c>
      <c r="O146" s="141" t="s">
        <v>541</v>
      </c>
      <c r="P146" s="141" t="s">
        <v>542</v>
      </c>
      <c r="Q146" s="141" t="s">
        <v>543</v>
      </c>
      <c r="R146" s="141" t="s">
        <v>544</v>
      </c>
    </row>
    <row r="147" customFormat="false" ht="21.75" hidden="false" customHeight="true" outlineLevel="0" collapsed="false">
      <c r="A147" s="54" t="n">
        <f aca="false">IF('Calendario B'!A47="","",'Calendario B'!A47)</f>
        <v>40</v>
      </c>
      <c r="B147" s="42" t="str">
        <f aca="false">IF('Calendario B'!B47="","",'Calendario B'!B47)</f>
        <v>Narvali Nobili</v>
      </c>
      <c r="C147" s="43" t="str">
        <f aca="false">IF('Calendario B'!C47="","",'Calendario B'!C47)</f>
        <v>B03</v>
      </c>
      <c r="D147" s="42" t="str">
        <f aca="false">IF('Calendario B'!D47="","",'Calendario B'!D47)</f>
        <v>Marmotte Maldestre</v>
      </c>
      <c r="E147" s="43" t="str">
        <f aca="false">IF('Calendario B'!E47="","",'Calendario B'!E47)</f>
        <v>B02</v>
      </c>
      <c r="F147" s="44" t="n">
        <f aca="false">IF('Calendario B'!F47="","",'Calendario B'!F47)</f>
        <v>46355.7083333333</v>
      </c>
      <c r="G147" s="44"/>
      <c r="H147" s="44"/>
      <c r="I147" s="44"/>
      <c r="J147" s="137" t="n">
        <f aca="false">IF('Calendario B'!J47="","",'Calendario B'!J47)</f>
        <v>59</v>
      </c>
      <c r="K147" s="138" t="s">
        <v>339</v>
      </c>
      <c r="L147" s="137" t="n">
        <f aca="false">IF('Calendario B'!L47="","",'Calendario B'!L47)</f>
        <v>91</v>
      </c>
      <c r="M147" s="139"/>
      <c r="N147" s="139"/>
      <c r="O147" s="139"/>
      <c r="P147" s="139"/>
      <c r="Q147" s="139"/>
      <c r="R147" s="139"/>
    </row>
    <row r="148" customFormat="false" ht="15" hidden="false" customHeight="true" outlineLevel="0" collapsed="false">
      <c r="A148" s="54"/>
      <c r="B148" s="48" t="str">
        <f aca="false">IF('Calendario B'!B48="","",'Calendario B'!B48)</f>
        <v>PalaNarvali, Via dello Sport 11, Narvaliopoli NI</v>
      </c>
      <c r="C148" s="48"/>
      <c r="D148" s="48"/>
      <c r="E148" s="48"/>
      <c r="F148" s="48"/>
      <c r="G148" s="48"/>
      <c r="H148" s="48"/>
      <c r="I148" s="43" t="str">
        <f aca="false">IF('Calendario B'!I48="","",'Calendario B'!I48)</f>
        <v>B03</v>
      </c>
      <c r="J148" s="137"/>
      <c r="K148" s="137"/>
      <c r="L148" s="137"/>
      <c r="M148" s="137"/>
      <c r="N148" s="137"/>
      <c r="O148" s="137"/>
      <c r="P148" s="137"/>
      <c r="Q148" s="137"/>
      <c r="R148" s="137"/>
    </row>
    <row r="150" customFormat="false" ht="19.5" hidden="false" customHeight="true" outlineLevel="0" collapsed="false">
      <c r="A150" s="51" t="str">
        <f aca="false">IF('Calendario B'!A50="","",'Calendario B'!A50)</f>
        <v>4B</v>
      </c>
      <c r="B150" s="52" t="str">
        <f aca="false">IF('Calendario B'!B50="","",'Calendario B'!B50)</f>
        <v>GIORNATA IV - GIRONE B</v>
      </c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140" t="s">
        <v>537</v>
      </c>
      <c r="N150" s="140"/>
      <c r="O150" s="140"/>
      <c r="P150" s="140" t="s">
        <v>538</v>
      </c>
      <c r="Q150" s="140"/>
      <c r="R150" s="140"/>
    </row>
    <row r="151" customFormat="false" ht="13.5" hidden="false" customHeight="true" outlineLevel="0" collapsed="false">
      <c r="A151" s="53" t="s">
        <v>334</v>
      </c>
      <c r="B151" s="53" t="s">
        <v>317</v>
      </c>
      <c r="C151" s="53"/>
      <c r="D151" s="53" t="s">
        <v>324</v>
      </c>
      <c r="E151" s="53"/>
      <c r="F151" s="53" t="s">
        <v>335</v>
      </c>
      <c r="G151" s="53" t="s">
        <v>336</v>
      </c>
      <c r="H151" s="53" t="s">
        <v>337</v>
      </c>
      <c r="I151" s="53"/>
      <c r="J151" s="53" t="s">
        <v>338</v>
      </c>
      <c r="K151" s="53"/>
      <c r="L151" s="53"/>
      <c r="M151" s="141" t="s">
        <v>539</v>
      </c>
      <c r="N151" s="141" t="s">
        <v>540</v>
      </c>
      <c r="O151" s="141" t="s">
        <v>541</v>
      </c>
      <c r="P151" s="141" t="s">
        <v>542</v>
      </c>
      <c r="Q151" s="141" t="s">
        <v>543</v>
      </c>
      <c r="R151" s="141" t="s">
        <v>544</v>
      </c>
    </row>
    <row r="152" customFormat="false" ht="21.75" hidden="false" customHeight="true" outlineLevel="0" collapsed="false">
      <c r="A152" s="54" t="n">
        <f aca="false">IF('Calendario B'!A52="","",'Calendario B'!A52)</f>
        <v>41</v>
      </c>
      <c r="B152" s="42" t="str">
        <f aca="false">IF('Calendario B'!B52="","",'Calendario B'!B52)</f>
        <v>Pantere Pungenti</v>
      </c>
      <c r="C152" s="43" t="str">
        <f aca="false">IF('Calendario B'!C52="","",'Calendario B'!C52)</f>
        <v>B05</v>
      </c>
      <c r="D152" s="42" t="str">
        <f aca="false">IF('Calendario B'!D52="","",'Calendario B'!D52)</f>
        <v>Lupi Lucenti</v>
      </c>
      <c r="E152" s="43" t="str">
        <f aca="false">IF('Calendario B'!E52="","",'Calendario B'!E52)</f>
        <v>B01</v>
      </c>
      <c r="F152" s="44" t="n">
        <f aca="false">IF('Calendario B'!F52="","",'Calendario B'!F52)</f>
        <v>46369.3958333333</v>
      </c>
      <c r="G152" s="44"/>
      <c r="H152" s="44"/>
      <c r="I152" s="44"/>
      <c r="J152" s="137" t="n">
        <f aca="false">IF('Calendario B'!J52="","",'Calendario B'!J52)</f>
        <v>63</v>
      </c>
      <c r="K152" s="138" t="s">
        <v>339</v>
      </c>
      <c r="L152" s="137" t="n">
        <f aca="false">IF('Calendario B'!L52="","",'Calendario B'!L52)</f>
        <v>57</v>
      </c>
      <c r="M152" s="139"/>
      <c r="N152" s="139"/>
      <c r="O152" s="139"/>
      <c r="P152" s="139"/>
      <c r="Q152" s="139"/>
      <c r="R152" s="139"/>
    </row>
    <row r="153" customFormat="false" ht="15" hidden="false" customHeight="true" outlineLevel="0" collapsed="false">
      <c r="A153" s="54"/>
      <c r="B153" s="48" t="str">
        <f aca="false">IF('Calendario B'!B53="","",'Calendario B'!B53)</f>
        <v>PalaOrsi, Via dello Sport 12, Orsiopoli OI</v>
      </c>
      <c r="C153" s="48"/>
      <c r="D153" s="48"/>
      <c r="E153" s="48"/>
      <c r="F153" s="48"/>
      <c r="G153" s="48"/>
      <c r="H153" s="48"/>
      <c r="I153" s="43" t="str">
        <f aca="false">IF('Calendario B'!I53="","",'Calendario B'!I53)</f>
        <v>B04</v>
      </c>
      <c r="J153" s="137"/>
      <c r="K153" s="137"/>
      <c r="L153" s="137"/>
      <c r="M153" s="137"/>
      <c r="N153" s="137"/>
      <c r="O153" s="137"/>
      <c r="P153" s="137"/>
      <c r="Q153" s="137"/>
      <c r="R153" s="137"/>
    </row>
    <row r="154" customFormat="false" ht="13.5" hidden="false" customHeight="true" outlineLevel="0" collapsed="false">
      <c r="A154" s="53" t="s">
        <v>334</v>
      </c>
      <c r="B154" s="53" t="s">
        <v>317</v>
      </c>
      <c r="C154" s="53"/>
      <c r="D154" s="53" t="s">
        <v>324</v>
      </c>
      <c r="E154" s="53"/>
      <c r="F154" s="53" t="s">
        <v>335</v>
      </c>
      <c r="G154" s="53" t="s">
        <v>336</v>
      </c>
      <c r="H154" s="53" t="s">
        <v>337</v>
      </c>
      <c r="I154" s="53"/>
      <c r="J154" s="53" t="s">
        <v>338</v>
      </c>
      <c r="K154" s="53"/>
      <c r="L154" s="53"/>
      <c r="M154" s="141" t="s">
        <v>539</v>
      </c>
      <c r="N154" s="141" t="s">
        <v>540</v>
      </c>
      <c r="O154" s="141" t="s">
        <v>541</v>
      </c>
      <c r="P154" s="141" t="s">
        <v>542</v>
      </c>
      <c r="Q154" s="141" t="s">
        <v>543</v>
      </c>
      <c r="R154" s="141" t="s">
        <v>544</v>
      </c>
    </row>
    <row r="155" customFormat="false" ht="21.75" hidden="false" customHeight="true" outlineLevel="0" collapsed="false">
      <c r="A155" s="54" t="n">
        <f aca="false">IF('Calendario B'!A55="","",'Calendario B'!A55)</f>
        <v>42</v>
      </c>
      <c r="B155" s="42" t="str">
        <f aca="false">IF('Calendario B'!B55="","",'Calendario B'!B55)</f>
        <v>Quaglie Quiete</v>
      </c>
      <c r="C155" s="43" t="str">
        <f aca="false">IF('Calendario B'!C55="","",'Calendario B'!C55)</f>
        <v>B06</v>
      </c>
      <c r="D155" s="42" t="str">
        <f aca="false">IF('Calendario B'!D55="","",'Calendario B'!D55)</f>
        <v>Orsi Ostinati</v>
      </c>
      <c r="E155" s="43" t="str">
        <f aca="false">IF('Calendario B'!E55="","",'Calendario B'!E55)</f>
        <v>B04</v>
      </c>
      <c r="F155" s="44" t="n">
        <f aca="false">IF('Calendario B'!F55="","",'Calendario B'!F55)</f>
        <v>46369.4791666667</v>
      </c>
      <c r="G155" s="44"/>
      <c r="H155" s="44"/>
      <c r="I155" s="44"/>
      <c r="J155" s="137" t="n">
        <f aca="false">IF('Calendario B'!J55="","",'Calendario B'!J55)</f>
        <v>62</v>
      </c>
      <c r="K155" s="138" t="s">
        <v>339</v>
      </c>
      <c r="L155" s="137" t="n">
        <f aca="false">IF('Calendario B'!L55="","",'Calendario B'!L55)</f>
        <v>44</v>
      </c>
      <c r="M155" s="139"/>
      <c r="N155" s="139"/>
      <c r="O155" s="139"/>
      <c r="P155" s="139"/>
      <c r="Q155" s="139"/>
      <c r="R155" s="139"/>
    </row>
    <row r="156" customFormat="false" ht="15" hidden="false" customHeight="true" outlineLevel="0" collapsed="false">
      <c r="A156" s="54"/>
      <c r="B156" s="48" t="str">
        <f aca="false">IF('Calendario B'!B56="","",'Calendario B'!B56)</f>
        <v>PalaOrsi, Via dello Sport 12, Orsiopoli OI</v>
      </c>
      <c r="C156" s="48"/>
      <c r="D156" s="48"/>
      <c r="E156" s="48"/>
      <c r="F156" s="48"/>
      <c r="G156" s="48"/>
      <c r="H156" s="48"/>
      <c r="I156" s="43" t="str">
        <f aca="false">IF('Calendario B'!I56="","",'Calendario B'!I56)</f>
        <v>B04</v>
      </c>
      <c r="J156" s="137"/>
      <c r="K156" s="137"/>
      <c r="L156" s="137"/>
      <c r="M156" s="137"/>
      <c r="N156" s="137"/>
      <c r="O156" s="137"/>
      <c r="P156" s="137"/>
      <c r="Q156" s="137"/>
      <c r="R156" s="137"/>
    </row>
    <row r="157" customFormat="false" ht="13.5" hidden="false" customHeight="true" outlineLevel="0" collapsed="false">
      <c r="A157" s="53" t="s">
        <v>334</v>
      </c>
      <c r="B157" s="53" t="s">
        <v>317</v>
      </c>
      <c r="C157" s="53"/>
      <c r="D157" s="53" t="s">
        <v>324</v>
      </c>
      <c r="E157" s="53"/>
      <c r="F157" s="53" t="s">
        <v>335</v>
      </c>
      <c r="G157" s="53" t="s">
        <v>336</v>
      </c>
      <c r="H157" s="53" t="s">
        <v>337</v>
      </c>
      <c r="I157" s="53"/>
      <c r="J157" s="53" t="s">
        <v>338</v>
      </c>
      <c r="K157" s="53"/>
      <c r="L157" s="53"/>
      <c r="M157" s="141" t="s">
        <v>539</v>
      </c>
      <c r="N157" s="141" t="s">
        <v>540</v>
      </c>
      <c r="O157" s="141" t="s">
        <v>541</v>
      </c>
      <c r="P157" s="141" t="s">
        <v>542</v>
      </c>
      <c r="Q157" s="141" t="s">
        <v>543</v>
      </c>
      <c r="R157" s="141" t="s">
        <v>544</v>
      </c>
    </row>
    <row r="158" customFormat="false" ht="21.75" hidden="false" customHeight="true" outlineLevel="0" collapsed="false">
      <c r="A158" s="54" t="n">
        <f aca="false">IF('Calendario B'!A58="","",'Calendario B'!A58)</f>
        <v>43</v>
      </c>
      <c r="B158" s="42" t="str">
        <f aca="false">IF('Calendario B'!B58="","",'Calendario B'!B58)</f>
        <v>Narvali Nobili</v>
      </c>
      <c r="C158" s="43" t="str">
        <f aca="false">IF('Calendario B'!C58="","",'Calendario B'!C58)</f>
        <v>B03</v>
      </c>
      <c r="D158" s="42" t="str">
        <f aca="false">IF('Calendario B'!D58="","",'Calendario B'!D58)</f>
        <v>Rinoceronti Ribelli</v>
      </c>
      <c r="E158" s="43" t="str">
        <f aca="false">IF('Calendario B'!E58="","",'Calendario B'!E58)</f>
        <v>B07</v>
      </c>
      <c r="F158" s="44" t="n">
        <f aca="false">IF('Calendario B'!F58="","",'Calendario B'!F58)</f>
        <v>46369.625</v>
      </c>
      <c r="G158" s="44"/>
      <c r="H158" s="44"/>
      <c r="I158" s="44"/>
      <c r="J158" s="137" t="n">
        <f aca="false">IF('Calendario B'!J58="","",'Calendario B'!J58)</f>
        <v>48</v>
      </c>
      <c r="K158" s="138" t="s">
        <v>339</v>
      </c>
      <c r="L158" s="137" t="n">
        <f aca="false">IF('Calendario B'!L58="","",'Calendario B'!L58)</f>
        <v>83</v>
      </c>
      <c r="M158" s="139"/>
      <c r="N158" s="139"/>
      <c r="O158" s="139"/>
      <c r="P158" s="139"/>
      <c r="Q158" s="139"/>
      <c r="R158" s="139"/>
    </row>
    <row r="159" customFormat="false" ht="15" hidden="false" customHeight="true" outlineLevel="0" collapsed="false">
      <c r="A159" s="54"/>
      <c r="B159" s="48" t="str">
        <f aca="false">IF('Calendario B'!B59="","",'Calendario B'!B59)</f>
        <v>PalaOrsi, Via dello Sport 12, Orsiopoli OI</v>
      </c>
      <c r="C159" s="48"/>
      <c r="D159" s="48"/>
      <c r="E159" s="48"/>
      <c r="F159" s="48"/>
      <c r="G159" s="48"/>
      <c r="H159" s="48"/>
      <c r="I159" s="43" t="str">
        <f aca="false">IF('Calendario B'!I59="","",'Calendario B'!I59)</f>
        <v>B04</v>
      </c>
      <c r="J159" s="137"/>
      <c r="K159" s="137"/>
      <c r="L159" s="137"/>
      <c r="M159" s="137"/>
      <c r="N159" s="137"/>
      <c r="O159" s="137"/>
      <c r="P159" s="137"/>
      <c r="Q159" s="137"/>
      <c r="R159" s="137"/>
    </row>
    <row r="160" customFormat="false" ht="13.5" hidden="false" customHeight="true" outlineLevel="0" collapsed="false">
      <c r="A160" s="53" t="s">
        <v>334</v>
      </c>
      <c r="B160" s="53" t="s">
        <v>317</v>
      </c>
      <c r="C160" s="53"/>
      <c r="D160" s="53" t="s">
        <v>324</v>
      </c>
      <c r="E160" s="53"/>
      <c r="F160" s="53" t="s">
        <v>335</v>
      </c>
      <c r="G160" s="53" t="s">
        <v>336</v>
      </c>
      <c r="H160" s="53" t="s">
        <v>337</v>
      </c>
      <c r="I160" s="53"/>
      <c r="J160" s="53" t="s">
        <v>338</v>
      </c>
      <c r="K160" s="53"/>
      <c r="L160" s="53"/>
      <c r="M160" s="141" t="s">
        <v>539</v>
      </c>
      <c r="N160" s="141" t="s">
        <v>540</v>
      </c>
      <c r="O160" s="141" t="s">
        <v>541</v>
      </c>
      <c r="P160" s="141" t="s">
        <v>542</v>
      </c>
      <c r="Q160" s="141" t="s">
        <v>543</v>
      </c>
      <c r="R160" s="141" t="s">
        <v>544</v>
      </c>
    </row>
    <row r="161" customFormat="false" ht="21.75" hidden="false" customHeight="true" outlineLevel="0" collapsed="false">
      <c r="A161" s="54" t="n">
        <f aca="false">IF('Calendario B'!A61="","",'Calendario B'!A61)</f>
        <v>44</v>
      </c>
      <c r="B161" s="42" t="str">
        <f aca="false">IF('Calendario B'!B61="","",'Calendario B'!B61)</f>
        <v>Salamandre Scaltre</v>
      </c>
      <c r="C161" s="43" t="str">
        <f aca="false">IF('Calendario B'!C61="","",'Calendario B'!C61)</f>
        <v>B08</v>
      </c>
      <c r="D161" s="42" t="str">
        <f aca="false">IF('Calendario B'!D61="","",'Calendario B'!D61)</f>
        <v>Marmotte Maldestre</v>
      </c>
      <c r="E161" s="43" t="str">
        <f aca="false">IF('Calendario B'!E61="","",'Calendario B'!E61)</f>
        <v>B02</v>
      </c>
      <c r="F161" s="44" t="n">
        <f aca="false">IF('Calendario B'!F61="","",'Calendario B'!F61)</f>
        <v>46369.7083333333</v>
      </c>
      <c r="G161" s="44"/>
      <c r="H161" s="44"/>
      <c r="I161" s="44"/>
      <c r="J161" s="137" t="n">
        <f aca="false">IF('Calendario B'!J61="","",'Calendario B'!J61)</f>
        <v>66</v>
      </c>
      <c r="K161" s="138" t="s">
        <v>339</v>
      </c>
      <c r="L161" s="137" t="n">
        <f aca="false">IF('Calendario B'!L61="","",'Calendario B'!L61)</f>
        <v>64</v>
      </c>
      <c r="M161" s="139"/>
      <c r="N161" s="139"/>
      <c r="O161" s="139"/>
      <c r="P161" s="139"/>
      <c r="Q161" s="139"/>
      <c r="R161" s="139"/>
    </row>
    <row r="162" customFormat="false" ht="15" hidden="false" customHeight="true" outlineLevel="0" collapsed="false">
      <c r="A162" s="54"/>
      <c r="B162" s="48" t="str">
        <f aca="false">IF('Calendario B'!B62="","",'Calendario B'!B62)</f>
        <v>PalaOrsi, Via dello Sport 12, Orsiopoli OI</v>
      </c>
      <c r="C162" s="48"/>
      <c r="D162" s="48"/>
      <c r="E162" s="48"/>
      <c r="F162" s="48"/>
      <c r="G162" s="48"/>
      <c r="H162" s="48"/>
      <c r="I162" s="43" t="str">
        <f aca="false">IF('Calendario B'!I62="","",'Calendario B'!I62)</f>
        <v>B04</v>
      </c>
      <c r="J162" s="137"/>
      <c r="K162" s="137"/>
      <c r="L162" s="137"/>
      <c r="M162" s="137"/>
      <c r="N162" s="137"/>
      <c r="O162" s="137"/>
      <c r="P162" s="137"/>
      <c r="Q162" s="137"/>
      <c r="R162" s="137"/>
    </row>
    <row r="164" customFormat="false" ht="19.5" hidden="false" customHeight="true" outlineLevel="0" collapsed="false">
      <c r="A164" s="51" t="str">
        <f aca="false">IF('Calendario B'!A64="","",'Calendario B'!A64)</f>
        <v>5B</v>
      </c>
      <c r="B164" s="52" t="str">
        <f aca="false">IF('Calendario B'!B64="","",'Calendario B'!B64)</f>
        <v>GIORNATA V - GIRONE B</v>
      </c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140" t="s">
        <v>537</v>
      </c>
      <c r="N164" s="140"/>
      <c r="O164" s="140"/>
      <c r="P164" s="140" t="s">
        <v>538</v>
      </c>
      <c r="Q164" s="140"/>
      <c r="R164" s="140"/>
    </row>
    <row r="165" customFormat="false" ht="13.5" hidden="false" customHeight="true" outlineLevel="0" collapsed="false">
      <c r="A165" s="53" t="s">
        <v>334</v>
      </c>
      <c r="B165" s="53" t="s">
        <v>317</v>
      </c>
      <c r="C165" s="53"/>
      <c r="D165" s="53" t="s">
        <v>324</v>
      </c>
      <c r="E165" s="53"/>
      <c r="F165" s="53" t="s">
        <v>335</v>
      </c>
      <c r="G165" s="53" t="s">
        <v>336</v>
      </c>
      <c r="H165" s="53" t="s">
        <v>337</v>
      </c>
      <c r="I165" s="53"/>
      <c r="J165" s="53" t="s">
        <v>338</v>
      </c>
      <c r="K165" s="53"/>
      <c r="L165" s="53"/>
      <c r="M165" s="141" t="s">
        <v>539</v>
      </c>
      <c r="N165" s="141" t="s">
        <v>540</v>
      </c>
      <c r="O165" s="141" t="s">
        <v>541</v>
      </c>
      <c r="P165" s="141" t="s">
        <v>542</v>
      </c>
      <c r="Q165" s="141" t="s">
        <v>543</v>
      </c>
      <c r="R165" s="141" t="s">
        <v>544</v>
      </c>
    </row>
    <row r="166" customFormat="false" ht="21.75" hidden="false" customHeight="true" outlineLevel="0" collapsed="false">
      <c r="A166" s="54" t="n">
        <f aca="false">IF('Calendario B'!A66="","",'Calendario B'!A66)</f>
        <v>45</v>
      </c>
      <c r="B166" s="42" t="str">
        <f aca="false">IF('Calendario B'!B66="","",'Calendario B'!B66)</f>
        <v>Lupi Lucenti</v>
      </c>
      <c r="C166" s="43" t="str">
        <f aca="false">IF('Calendario B'!C66="","",'Calendario B'!C66)</f>
        <v>B01</v>
      </c>
      <c r="D166" s="42" t="str">
        <f aca="false">IF('Calendario B'!D66="","",'Calendario B'!D66)</f>
        <v>Orsi Ostinati</v>
      </c>
      <c r="E166" s="43" t="str">
        <f aca="false">IF('Calendario B'!E66="","",'Calendario B'!E66)</f>
        <v>B04</v>
      </c>
      <c r="F166" s="44" t="n">
        <f aca="false">IF('Calendario B'!F66="","",'Calendario B'!F66)</f>
        <v>46411.3958333333</v>
      </c>
      <c r="G166" s="44"/>
      <c r="H166" s="44"/>
      <c r="I166" s="44"/>
      <c r="J166" s="137" t="n">
        <f aca="false">IF('Calendario B'!J66="","",'Calendario B'!J66)</f>
        <v>83</v>
      </c>
      <c r="K166" s="138" t="s">
        <v>339</v>
      </c>
      <c r="L166" s="137" t="n">
        <f aca="false">IF('Calendario B'!L66="","",'Calendario B'!L66)</f>
        <v>45</v>
      </c>
      <c r="M166" s="139"/>
      <c r="N166" s="139"/>
      <c r="O166" s="139"/>
      <c r="P166" s="139"/>
      <c r="Q166" s="139"/>
      <c r="R166" s="139"/>
    </row>
    <row r="167" customFormat="false" ht="15" hidden="false" customHeight="true" outlineLevel="0" collapsed="false">
      <c r="A167" s="54"/>
      <c r="B167" s="48" t="str">
        <f aca="false">IF('Calendario B'!B67="","",'Calendario B'!B67)</f>
        <v>PalaPantere, Via dello Sport 13, Pantereopoli PE</v>
      </c>
      <c r="C167" s="48"/>
      <c r="D167" s="48"/>
      <c r="E167" s="48"/>
      <c r="F167" s="48"/>
      <c r="G167" s="48"/>
      <c r="H167" s="48"/>
      <c r="I167" s="43" t="str">
        <f aca="false">IF('Calendario B'!I67="","",'Calendario B'!I67)</f>
        <v>B05</v>
      </c>
      <c r="J167" s="137"/>
      <c r="K167" s="137"/>
      <c r="L167" s="137"/>
      <c r="M167" s="137"/>
      <c r="N167" s="137"/>
      <c r="O167" s="137"/>
      <c r="P167" s="137"/>
      <c r="Q167" s="137"/>
      <c r="R167" s="137"/>
    </row>
    <row r="168" customFormat="false" ht="13.5" hidden="false" customHeight="true" outlineLevel="0" collapsed="false">
      <c r="A168" s="53" t="s">
        <v>334</v>
      </c>
      <c r="B168" s="53" t="s">
        <v>317</v>
      </c>
      <c r="C168" s="53"/>
      <c r="D168" s="53" t="s">
        <v>324</v>
      </c>
      <c r="E168" s="53"/>
      <c r="F168" s="53" t="s">
        <v>335</v>
      </c>
      <c r="G168" s="53" t="s">
        <v>336</v>
      </c>
      <c r="H168" s="53" t="s">
        <v>337</v>
      </c>
      <c r="I168" s="53"/>
      <c r="J168" s="53" t="s">
        <v>338</v>
      </c>
      <c r="K168" s="53"/>
      <c r="L168" s="53"/>
      <c r="M168" s="141" t="s">
        <v>539</v>
      </c>
      <c r="N168" s="141" t="s">
        <v>540</v>
      </c>
      <c r="O168" s="141" t="s">
        <v>541</v>
      </c>
      <c r="P168" s="141" t="s">
        <v>542</v>
      </c>
      <c r="Q168" s="141" t="s">
        <v>543</v>
      </c>
      <c r="R168" s="141" t="s">
        <v>544</v>
      </c>
    </row>
    <row r="169" customFormat="false" ht="21.75" hidden="false" customHeight="true" outlineLevel="0" collapsed="false">
      <c r="A169" s="54" t="n">
        <f aca="false">IF('Calendario B'!A69="","",'Calendario B'!A69)</f>
        <v>46</v>
      </c>
      <c r="B169" s="42" t="str">
        <f aca="false">IF('Calendario B'!B69="","",'Calendario B'!B69)</f>
        <v>Narvali Nobili</v>
      </c>
      <c r="C169" s="43" t="str">
        <f aca="false">IF('Calendario B'!C69="","",'Calendario B'!C69)</f>
        <v>B03</v>
      </c>
      <c r="D169" s="42" t="str">
        <f aca="false">IF('Calendario B'!D69="","",'Calendario B'!D69)</f>
        <v>Pantere Pungenti</v>
      </c>
      <c r="E169" s="43" t="str">
        <f aca="false">IF('Calendario B'!E69="","",'Calendario B'!E69)</f>
        <v>B05</v>
      </c>
      <c r="F169" s="44" t="n">
        <f aca="false">IF('Calendario B'!F69="","",'Calendario B'!F69)</f>
        <v>46411.4791666667</v>
      </c>
      <c r="G169" s="44"/>
      <c r="H169" s="44"/>
      <c r="I169" s="44"/>
      <c r="J169" s="137" t="n">
        <f aca="false">IF('Calendario B'!J69="","",'Calendario B'!J69)</f>
        <v>51</v>
      </c>
      <c r="K169" s="138" t="s">
        <v>339</v>
      </c>
      <c r="L169" s="137" t="n">
        <f aca="false">IF('Calendario B'!L69="","",'Calendario B'!L69)</f>
        <v>49</v>
      </c>
      <c r="M169" s="139"/>
      <c r="N169" s="139"/>
      <c r="O169" s="139"/>
      <c r="P169" s="139"/>
      <c r="Q169" s="139"/>
      <c r="R169" s="139"/>
    </row>
    <row r="170" customFormat="false" ht="15" hidden="false" customHeight="true" outlineLevel="0" collapsed="false">
      <c r="A170" s="54"/>
      <c r="B170" s="48" t="str">
        <f aca="false">IF('Calendario B'!B70="","",'Calendario B'!B70)</f>
        <v>PalaPantere, Via dello Sport 13, Pantereopoli PE</v>
      </c>
      <c r="C170" s="48"/>
      <c r="D170" s="48"/>
      <c r="E170" s="48"/>
      <c r="F170" s="48"/>
      <c r="G170" s="48"/>
      <c r="H170" s="48"/>
      <c r="I170" s="43" t="str">
        <f aca="false">IF('Calendario B'!I70="","",'Calendario B'!I70)</f>
        <v>B05</v>
      </c>
      <c r="J170" s="137"/>
      <c r="K170" s="137"/>
      <c r="L170" s="137"/>
      <c r="M170" s="137"/>
      <c r="N170" s="137"/>
      <c r="O170" s="137"/>
      <c r="P170" s="137"/>
      <c r="Q170" s="137"/>
      <c r="R170" s="137"/>
    </row>
    <row r="171" customFormat="false" ht="13.5" hidden="false" customHeight="true" outlineLevel="0" collapsed="false">
      <c r="A171" s="53" t="s">
        <v>334</v>
      </c>
      <c r="B171" s="53" t="s">
        <v>317</v>
      </c>
      <c r="C171" s="53"/>
      <c r="D171" s="53" t="s">
        <v>324</v>
      </c>
      <c r="E171" s="53"/>
      <c r="F171" s="53" t="s">
        <v>335</v>
      </c>
      <c r="G171" s="53" t="s">
        <v>336</v>
      </c>
      <c r="H171" s="53" t="s">
        <v>337</v>
      </c>
      <c r="I171" s="53"/>
      <c r="J171" s="53" t="s">
        <v>338</v>
      </c>
      <c r="K171" s="53"/>
      <c r="L171" s="53"/>
      <c r="M171" s="141" t="s">
        <v>539</v>
      </c>
      <c r="N171" s="141" t="s">
        <v>540</v>
      </c>
      <c r="O171" s="141" t="s">
        <v>541</v>
      </c>
      <c r="P171" s="141" t="s">
        <v>542</v>
      </c>
      <c r="Q171" s="141" t="s">
        <v>543</v>
      </c>
      <c r="R171" s="141" t="s">
        <v>544</v>
      </c>
    </row>
    <row r="172" customFormat="false" ht="21.75" hidden="false" customHeight="true" outlineLevel="0" collapsed="false">
      <c r="A172" s="54" t="n">
        <f aca="false">IF('Calendario B'!A72="","",'Calendario B'!A72)</f>
        <v>47</v>
      </c>
      <c r="B172" s="42" t="str">
        <f aca="false">IF('Calendario B'!B72="","",'Calendario B'!B72)</f>
        <v>Quaglie Quiete</v>
      </c>
      <c r="C172" s="43" t="str">
        <f aca="false">IF('Calendario B'!C72="","",'Calendario B'!C72)</f>
        <v>B06</v>
      </c>
      <c r="D172" s="42" t="str">
        <f aca="false">IF('Calendario B'!D72="","",'Calendario B'!D72)</f>
        <v>Marmotte Maldestre</v>
      </c>
      <c r="E172" s="43" t="str">
        <f aca="false">IF('Calendario B'!E72="","",'Calendario B'!E72)</f>
        <v>B02</v>
      </c>
      <c r="F172" s="44" t="n">
        <f aca="false">IF('Calendario B'!F72="","",'Calendario B'!F72)</f>
        <v>46411.625</v>
      </c>
      <c r="G172" s="44"/>
      <c r="H172" s="44"/>
      <c r="I172" s="44"/>
      <c r="J172" s="137" t="n">
        <f aca="false">IF('Calendario B'!J72="","",'Calendario B'!J72)</f>
        <v>64</v>
      </c>
      <c r="K172" s="138" t="s">
        <v>339</v>
      </c>
      <c r="L172" s="137" t="n">
        <f aca="false">IF('Calendario B'!L72="","",'Calendario B'!L72)</f>
        <v>76</v>
      </c>
      <c r="M172" s="139"/>
      <c r="N172" s="139"/>
      <c r="O172" s="139"/>
      <c r="P172" s="139"/>
      <c r="Q172" s="139"/>
      <c r="R172" s="139"/>
    </row>
    <row r="173" customFormat="false" ht="15" hidden="false" customHeight="true" outlineLevel="0" collapsed="false">
      <c r="A173" s="54"/>
      <c r="B173" s="48" t="str">
        <f aca="false">IF('Calendario B'!B73="","",'Calendario B'!B73)</f>
        <v>PalaPantere, Via dello Sport 13, Pantereopoli PE</v>
      </c>
      <c r="C173" s="48"/>
      <c r="D173" s="48"/>
      <c r="E173" s="48"/>
      <c r="F173" s="48"/>
      <c r="G173" s="48"/>
      <c r="H173" s="48"/>
      <c r="I173" s="43" t="str">
        <f aca="false">IF('Calendario B'!I73="","",'Calendario B'!I73)</f>
        <v>B05</v>
      </c>
      <c r="J173" s="137"/>
      <c r="K173" s="137"/>
      <c r="L173" s="137"/>
      <c r="M173" s="137"/>
      <c r="N173" s="137"/>
      <c r="O173" s="137"/>
      <c r="P173" s="137"/>
      <c r="Q173" s="137"/>
      <c r="R173" s="137"/>
    </row>
    <row r="174" customFormat="false" ht="13.5" hidden="false" customHeight="true" outlineLevel="0" collapsed="false">
      <c r="A174" s="53" t="s">
        <v>334</v>
      </c>
      <c r="B174" s="53" t="s">
        <v>317</v>
      </c>
      <c r="C174" s="53"/>
      <c r="D174" s="53" t="s">
        <v>324</v>
      </c>
      <c r="E174" s="53"/>
      <c r="F174" s="53" t="s">
        <v>335</v>
      </c>
      <c r="G174" s="53" t="s">
        <v>336</v>
      </c>
      <c r="H174" s="53" t="s">
        <v>337</v>
      </c>
      <c r="I174" s="53"/>
      <c r="J174" s="53" t="s">
        <v>338</v>
      </c>
      <c r="K174" s="53"/>
      <c r="L174" s="53"/>
      <c r="M174" s="141" t="s">
        <v>539</v>
      </c>
      <c r="N174" s="141" t="s">
        <v>540</v>
      </c>
      <c r="O174" s="141" t="s">
        <v>541</v>
      </c>
      <c r="P174" s="141" t="s">
        <v>542</v>
      </c>
      <c r="Q174" s="141" t="s">
        <v>543</v>
      </c>
      <c r="R174" s="141" t="s">
        <v>544</v>
      </c>
    </row>
    <row r="175" customFormat="false" ht="21.75" hidden="false" customHeight="true" outlineLevel="0" collapsed="false">
      <c r="A175" s="54" t="n">
        <f aca="false">IF('Calendario B'!A75="","",'Calendario B'!A75)</f>
        <v>48</v>
      </c>
      <c r="B175" s="42" t="str">
        <f aca="false">IF('Calendario B'!B75="","",'Calendario B'!B75)</f>
        <v>Salamandre Scaltre</v>
      </c>
      <c r="C175" s="43" t="str">
        <f aca="false">IF('Calendario B'!C75="","",'Calendario B'!C75)</f>
        <v>B08</v>
      </c>
      <c r="D175" s="42" t="str">
        <f aca="false">IF('Calendario B'!D75="","",'Calendario B'!D75)</f>
        <v>Rinoceronti Ribelli</v>
      </c>
      <c r="E175" s="43" t="str">
        <f aca="false">IF('Calendario B'!E75="","",'Calendario B'!E75)</f>
        <v>B07</v>
      </c>
      <c r="F175" s="44" t="n">
        <f aca="false">IF('Calendario B'!F75="","",'Calendario B'!F75)</f>
        <v>46411.7083333333</v>
      </c>
      <c r="G175" s="44"/>
      <c r="H175" s="44"/>
      <c r="I175" s="44"/>
      <c r="J175" s="137" t="n">
        <f aca="false">IF('Calendario B'!J75="","",'Calendario B'!J75)</f>
        <v>67</v>
      </c>
      <c r="K175" s="138" t="s">
        <v>339</v>
      </c>
      <c r="L175" s="137" t="n">
        <f aca="false">IF('Calendario B'!L75="","",'Calendario B'!L75)</f>
        <v>80</v>
      </c>
      <c r="M175" s="139"/>
      <c r="N175" s="139"/>
      <c r="O175" s="139"/>
      <c r="P175" s="139"/>
      <c r="Q175" s="139"/>
      <c r="R175" s="139"/>
    </row>
    <row r="176" customFormat="false" ht="15" hidden="false" customHeight="true" outlineLevel="0" collapsed="false">
      <c r="A176" s="54"/>
      <c r="B176" s="48" t="str">
        <f aca="false">IF('Calendario B'!B76="","",'Calendario B'!B76)</f>
        <v>PalaPantere, Via dello Sport 13, Pantereopoli PE</v>
      </c>
      <c r="C176" s="48"/>
      <c r="D176" s="48"/>
      <c r="E176" s="48"/>
      <c r="F176" s="48"/>
      <c r="G176" s="48"/>
      <c r="H176" s="48"/>
      <c r="I176" s="43" t="str">
        <f aca="false">IF('Calendario B'!I76="","",'Calendario B'!I76)</f>
        <v>B05</v>
      </c>
      <c r="J176" s="137"/>
      <c r="K176" s="137"/>
      <c r="L176" s="137"/>
      <c r="M176" s="137"/>
      <c r="N176" s="137"/>
      <c r="O176" s="137"/>
      <c r="P176" s="137"/>
      <c r="Q176" s="137"/>
      <c r="R176" s="137"/>
    </row>
    <row r="178" customFormat="false" ht="19.5" hidden="false" customHeight="true" outlineLevel="0" collapsed="false">
      <c r="A178" s="51" t="str">
        <f aca="false">IF('Calendario B'!A78="","",'Calendario B'!A78)</f>
        <v>6B</v>
      </c>
      <c r="B178" s="52" t="str">
        <f aca="false">IF('Calendario B'!B78="","",'Calendario B'!B78)</f>
        <v>GIORNATA VI - GIRONE B</v>
      </c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140" t="s">
        <v>537</v>
      </c>
      <c r="N178" s="140"/>
      <c r="O178" s="140"/>
      <c r="P178" s="140" t="s">
        <v>538</v>
      </c>
      <c r="Q178" s="140"/>
      <c r="R178" s="140"/>
    </row>
    <row r="179" customFormat="false" ht="13.5" hidden="false" customHeight="true" outlineLevel="0" collapsed="false">
      <c r="A179" s="53" t="s">
        <v>334</v>
      </c>
      <c r="B179" s="53" t="s">
        <v>317</v>
      </c>
      <c r="C179" s="53"/>
      <c r="D179" s="53" t="s">
        <v>324</v>
      </c>
      <c r="E179" s="53"/>
      <c r="F179" s="53" t="s">
        <v>335</v>
      </c>
      <c r="G179" s="53" t="s">
        <v>336</v>
      </c>
      <c r="H179" s="53" t="s">
        <v>337</v>
      </c>
      <c r="I179" s="53"/>
      <c r="J179" s="53" t="s">
        <v>338</v>
      </c>
      <c r="K179" s="53"/>
      <c r="L179" s="53"/>
      <c r="M179" s="141" t="s">
        <v>539</v>
      </c>
      <c r="N179" s="141" t="s">
        <v>540</v>
      </c>
      <c r="O179" s="141" t="s">
        <v>541</v>
      </c>
      <c r="P179" s="141" t="s">
        <v>542</v>
      </c>
      <c r="Q179" s="141" t="s">
        <v>543</v>
      </c>
      <c r="R179" s="141" t="s">
        <v>544</v>
      </c>
    </row>
    <row r="180" customFormat="false" ht="21.75" hidden="false" customHeight="true" outlineLevel="0" collapsed="false">
      <c r="A180" s="54" t="n">
        <f aca="false">IF('Calendario B'!A80="","",'Calendario B'!A80)</f>
        <v>49</v>
      </c>
      <c r="B180" s="42" t="str">
        <f aca="false">IF('Calendario B'!B80="","",'Calendario B'!B80)</f>
        <v>Narvali Nobili</v>
      </c>
      <c r="C180" s="43" t="str">
        <f aca="false">IF('Calendario B'!C80="","",'Calendario B'!C80)</f>
        <v>B03</v>
      </c>
      <c r="D180" s="42" t="str">
        <f aca="false">IF('Calendario B'!D80="","",'Calendario B'!D80)</f>
        <v>Lupi Lucenti</v>
      </c>
      <c r="E180" s="43" t="str">
        <f aca="false">IF('Calendario B'!E80="","",'Calendario B'!E80)</f>
        <v>B01</v>
      </c>
      <c r="F180" s="44" t="n">
        <f aca="false">IF('Calendario B'!F80="","",'Calendario B'!F80)</f>
        <v>46432.3958333333</v>
      </c>
      <c r="G180" s="44"/>
      <c r="H180" s="44"/>
      <c r="I180" s="44"/>
      <c r="J180" s="137" t="n">
        <f aca="false">IF('Calendario B'!J80="","",'Calendario B'!J80)</f>
        <v>47</v>
      </c>
      <c r="K180" s="138" t="s">
        <v>339</v>
      </c>
      <c r="L180" s="137" t="n">
        <f aca="false">IF('Calendario B'!L80="","",'Calendario B'!L80)</f>
        <v>73</v>
      </c>
      <c r="M180" s="139"/>
      <c r="N180" s="139"/>
      <c r="O180" s="139"/>
      <c r="P180" s="139"/>
      <c r="Q180" s="139"/>
      <c r="R180" s="139"/>
    </row>
    <row r="181" customFormat="false" ht="15" hidden="false" customHeight="true" outlineLevel="0" collapsed="false">
      <c r="A181" s="54"/>
      <c r="B181" s="48" t="str">
        <f aca="false">IF('Calendario B'!B81="","",'Calendario B'!B81)</f>
        <v>PalaQuaglie, Via dello Sport 14, Quaglieopoli QE</v>
      </c>
      <c r="C181" s="48"/>
      <c r="D181" s="48"/>
      <c r="E181" s="48"/>
      <c r="F181" s="48"/>
      <c r="G181" s="48"/>
      <c r="H181" s="48"/>
      <c r="I181" s="43" t="str">
        <f aca="false">IF('Calendario B'!I81="","",'Calendario B'!I81)</f>
        <v>B06</v>
      </c>
      <c r="J181" s="137"/>
      <c r="K181" s="137"/>
      <c r="L181" s="137"/>
      <c r="M181" s="137"/>
      <c r="N181" s="137"/>
      <c r="O181" s="137"/>
      <c r="P181" s="137"/>
      <c r="Q181" s="137"/>
      <c r="R181" s="137"/>
    </row>
    <row r="182" customFormat="false" ht="13.5" hidden="false" customHeight="true" outlineLevel="0" collapsed="false">
      <c r="A182" s="53" t="s">
        <v>334</v>
      </c>
      <c r="B182" s="53" t="s">
        <v>317</v>
      </c>
      <c r="C182" s="53"/>
      <c r="D182" s="53" t="s">
        <v>324</v>
      </c>
      <c r="E182" s="53"/>
      <c r="F182" s="53" t="s">
        <v>335</v>
      </c>
      <c r="G182" s="53" t="s">
        <v>336</v>
      </c>
      <c r="H182" s="53" t="s">
        <v>337</v>
      </c>
      <c r="I182" s="53"/>
      <c r="J182" s="53" t="s">
        <v>338</v>
      </c>
      <c r="K182" s="53"/>
      <c r="L182" s="53"/>
      <c r="M182" s="141" t="s">
        <v>539</v>
      </c>
      <c r="N182" s="141" t="s">
        <v>540</v>
      </c>
      <c r="O182" s="141" t="s">
        <v>541</v>
      </c>
      <c r="P182" s="141" t="s">
        <v>542</v>
      </c>
      <c r="Q182" s="141" t="s">
        <v>543</v>
      </c>
      <c r="R182" s="141" t="s">
        <v>544</v>
      </c>
    </row>
    <row r="183" customFormat="false" ht="21.75" hidden="false" customHeight="true" outlineLevel="0" collapsed="false">
      <c r="A183" s="54" t="n">
        <f aca="false">IF('Calendario B'!A83="","",'Calendario B'!A83)</f>
        <v>50</v>
      </c>
      <c r="B183" s="42" t="str">
        <f aca="false">IF('Calendario B'!B83="","",'Calendario B'!B83)</f>
        <v>Orsi Ostinati</v>
      </c>
      <c r="C183" s="43" t="str">
        <f aca="false">IF('Calendario B'!C83="","",'Calendario B'!C83)</f>
        <v>B04</v>
      </c>
      <c r="D183" s="42" t="str">
        <f aca="false">IF('Calendario B'!D83="","",'Calendario B'!D83)</f>
        <v>Marmotte Maldestre</v>
      </c>
      <c r="E183" s="43" t="str">
        <f aca="false">IF('Calendario B'!E83="","",'Calendario B'!E83)</f>
        <v>B02</v>
      </c>
      <c r="F183" s="44" t="n">
        <f aca="false">IF('Calendario B'!F83="","",'Calendario B'!F83)</f>
        <v>46432.4791666667</v>
      </c>
      <c r="G183" s="44"/>
      <c r="H183" s="44"/>
      <c r="I183" s="44"/>
      <c r="J183" s="137" t="n">
        <f aca="false">IF('Calendario B'!J83="","",'Calendario B'!J83)</f>
        <v>35</v>
      </c>
      <c r="K183" s="138" t="s">
        <v>339</v>
      </c>
      <c r="L183" s="137" t="n">
        <f aca="false">IF('Calendario B'!L83="","",'Calendario B'!L83)</f>
        <v>68</v>
      </c>
      <c r="M183" s="139"/>
      <c r="N183" s="139"/>
      <c r="O183" s="139"/>
      <c r="P183" s="139"/>
      <c r="Q183" s="139"/>
      <c r="R183" s="139"/>
    </row>
    <row r="184" customFormat="false" ht="15" hidden="false" customHeight="true" outlineLevel="0" collapsed="false">
      <c r="A184" s="54"/>
      <c r="B184" s="48" t="str">
        <f aca="false">IF('Calendario B'!B84="","",'Calendario B'!B84)</f>
        <v>PalaQuaglie, Via dello Sport 14, Quaglieopoli QE</v>
      </c>
      <c r="C184" s="48"/>
      <c r="D184" s="48"/>
      <c r="E184" s="48"/>
      <c r="F184" s="48"/>
      <c r="G184" s="48"/>
      <c r="H184" s="48"/>
      <c r="I184" s="43" t="str">
        <f aca="false">IF('Calendario B'!I84="","",'Calendario B'!I84)</f>
        <v>B06</v>
      </c>
      <c r="J184" s="137"/>
      <c r="K184" s="137"/>
      <c r="L184" s="137"/>
      <c r="M184" s="137"/>
      <c r="N184" s="137"/>
      <c r="O184" s="137"/>
      <c r="P184" s="137"/>
      <c r="Q184" s="137"/>
      <c r="R184" s="137"/>
    </row>
    <row r="185" customFormat="false" ht="13.5" hidden="false" customHeight="true" outlineLevel="0" collapsed="false">
      <c r="A185" s="53" t="s">
        <v>334</v>
      </c>
      <c r="B185" s="53" t="s">
        <v>317</v>
      </c>
      <c r="C185" s="53"/>
      <c r="D185" s="53" t="s">
        <v>324</v>
      </c>
      <c r="E185" s="53"/>
      <c r="F185" s="53" t="s">
        <v>335</v>
      </c>
      <c r="G185" s="53" t="s">
        <v>336</v>
      </c>
      <c r="H185" s="53" t="s">
        <v>337</v>
      </c>
      <c r="I185" s="53"/>
      <c r="J185" s="53" t="s">
        <v>338</v>
      </c>
      <c r="K185" s="53"/>
      <c r="L185" s="53"/>
      <c r="M185" s="141" t="s">
        <v>539</v>
      </c>
      <c r="N185" s="141" t="s">
        <v>540</v>
      </c>
      <c r="O185" s="141" t="s">
        <v>541</v>
      </c>
      <c r="P185" s="141" t="s">
        <v>542</v>
      </c>
      <c r="Q185" s="141" t="s">
        <v>543</v>
      </c>
      <c r="R185" s="141" t="s">
        <v>544</v>
      </c>
    </row>
    <row r="186" customFormat="false" ht="21.75" hidden="false" customHeight="true" outlineLevel="0" collapsed="false">
      <c r="A186" s="54" t="n">
        <f aca="false">IF('Calendario B'!A86="","",'Calendario B'!A86)</f>
        <v>51</v>
      </c>
      <c r="B186" s="42" t="str">
        <f aca="false">IF('Calendario B'!B86="","",'Calendario B'!B86)</f>
        <v>Salamandre Scaltre</v>
      </c>
      <c r="C186" s="43" t="str">
        <f aca="false">IF('Calendario B'!C86="","",'Calendario B'!C86)</f>
        <v>B08</v>
      </c>
      <c r="D186" s="42" t="str">
        <f aca="false">IF('Calendario B'!D86="","",'Calendario B'!D86)</f>
        <v>Pantere Pungenti</v>
      </c>
      <c r="E186" s="43" t="str">
        <f aca="false">IF('Calendario B'!E86="","",'Calendario B'!E86)</f>
        <v>B05</v>
      </c>
      <c r="F186" s="44" t="n">
        <f aca="false">IF('Calendario B'!F86="","",'Calendario B'!F86)</f>
        <v>46432.625</v>
      </c>
      <c r="G186" s="44"/>
      <c r="H186" s="44"/>
      <c r="I186" s="44"/>
      <c r="J186" s="137" t="n">
        <f aca="false">IF('Calendario B'!J86="","",'Calendario B'!J86)</f>
        <v>70</v>
      </c>
      <c r="K186" s="138" t="s">
        <v>339</v>
      </c>
      <c r="L186" s="137" t="n">
        <f aca="false">IF('Calendario B'!L86="","",'Calendario B'!L86)</f>
        <v>68</v>
      </c>
      <c r="M186" s="139"/>
      <c r="N186" s="139"/>
      <c r="O186" s="139"/>
      <c r="P186" s="139"/>
      <c r="Q186" s="139"/>
      <c r="R186" s="139"/>
    </row>
    <row r="187" customFormat="false" ht="15" hidden="false" customHeight="true" outlineLevel="0" collapsed="false">
      <c r="A187" s="54"/>
      <c r="B187" s="48" t="str">
        <f aca="false">IF('Calendario B'!B87="","",'Calendario B'!B87)</f>
        <v>PalaQuaglie, Via dello Sport 14, Quaglieopoli QE</v>
      </c>
      <c r="C187" s="48"/>
      <c r="D187" s="48"/>
      <c r="E187" s="48"/>
      <c r="F187" s="48"/>
      <c r="G187" s="48"/>
      <c r="H187" s="48"/>
      <c r="I187" s="43" t="str">
        <f aca="false">IF('Calendario B'!I87="","",'Calendario B'!I87)</f>
        <v>B06</v>
      </c>
      <c r="J187" s="137"/>
      <c r="K187" s="137"/>
      <c r="L187" s="137"/>
      <c r="M187" s="137"/>
      <c r="N187" s="137"/>
      <c r="O187" s="137"/>
      <c r="P187" s="137"/>
      <c r="Q187" s="137"/>
      <c r="R187" s="137"/>
    </row>
    <row r="188" customFormat="false" ht="13.5" hidden="false" customHeight="true" outlineLevel="0" collapsed="false">
      <c r="A188" s="53" t="s">
        <v>334</v>
      </c>
      <c r="B188" s="53" t="s">
        <v>317</v>
      </c>
      <c r="C188" s="53"/>
      <c r="D188" s="53" t="s">
        <v>324</v>
      </c>
      <c r="E188" s="53"/>
      <c r="F188" s="53" t="s">
        <v>335</v>
      </c>
      <c r="G188" s="53" t="s">
        <v>336</v>
      </c>
      <c r="H188" s="53" t="s">
        <v>337</v>
      </c>
      <c r="I188" s="53"/>
      <c r="J188" s="53" t="s">
        <v>338</v>
      </c>
      <c r="K188" s="53"/>
      <c r="L188" s="53"/>
      <c r="M188" s="141" t="s">
        <v>539</v>
      </c>
      <c r="N188" s="141" t="s">
        <v>540</v>
      </c>
      <c r="O188" s="141" t="s">
        <v>541</v>
      </c>
      <c r="P188" s="141" t="s">
        <v>542</v>
      </c>
      <c r="Q188" s="141" t="s">
        <v>543</v>
      </c>
      <c r="R188" s="141" t="s">
        <v>544</v>
      </c>
    </row>
    <row r="189" customFormat="false" ht="21.75" hidden="false" customHeight="true" outlineLevel="0" collapsed="false">
      <c r="A189" s="54" t="n">
        <f aca="false">IF('Calendario B'!A89="","",'Calendario B'!A89)</f>
        <v>52</v>
      </c>
      <c r="B189" s="42" t="str">
        <f aca="false">IF('Calendario B'!B89="","",'Calendario B'!B89)</f>
        <v>Quaglie Quiete</v>
      </c>
      <c r="C189" s="43" t="str">
        <f aca="false">IF('Calendario B'!C89="","",'Calendario B'!C89)</f>
        <v>B06</v>
      </c>
      <c r="D189" s="42" t="str">
        <f aca="false">IF('Calendario B'!D89="","",'Calendario B'!D89)</f>
        <v>Rinoceronti Ribelli</v>
      </c>
      <c r="E189" s="43" t="str">
        <f aca="false">IF('Calendario B'!E89="","",'Calendario B'!E89)</f>
        <v>B07</v>
      </c>
      <c r="F189" s="44" t="n">
        <f aca="false">IF('Calendario B'!F89="","",'Calendario B'!F89)</f>
        <v>46432.7083333333</v>
      </c>
      <c r="G189" s="44"/>
      <c r="H189" s="44"/>
      <c r="I189" s="44"/>
      <c r="J189" s="137" t="n">
        <f aca="false">IF('Calendario B'!J89="","",'Calendario B'!J89)</f>
        <v>45</v>
      </c>
      <c r="K189" s="138" t="s">
        <v>339</v>
      </c>
      <c r="L189" s="137" t="n">
        <f aca="false">IF('Calendario B'!L89="","",'Calendario B'!L89)</f>
        <v>77</v>
      </c>
      <c r="M189" s="139"/>
      <c r="N189" s="139"/>
      <c r="O189" s="139"/>
      <c r="P189" s="139"/>
      <c r="Q189" s="139"/>
      <c r="R189" s="139"/>
    </row>
    <row r="190" customFormat="false" ht="15" hidden="false" customHeight="true" outlineLevel="0" collapsed="false">
      <c r="A190" s="54"/>
      <c r="B190" s="48" t="str">
        <f aca="false">IF('Calendario B'!B90="","",'Calendario B'!B90)</f>
        <v>PalaQuaglie, Via dello Sport 14, Quaglieopoli QE</v>
      </c>
      <c r="C190" s="48"/>
      <c r="D190" s="48"/>
      <c r="E190" s="48"/>
      <c r="F190" s="48"/>
      <c r="G190" s="48"/>
      <c r="H190" s="48"/>
      <c r="I190" s="43" t="str">
        <f aca="false">IF('Calendario B'!I90="","",'Calendario B'!I90)</f>
        <v>B06</v>
      </c>
      <c r="J190" s="137"/>
      <c r="K190" s="137"/>
      <c r="L190" s="137"/>
      <c r="M190" s="137"/>
      <c r="N190" s="137"/>
      <c r="O190" s="137"/>
      <c r="P190" s="137"/>
      <c r="Q190" s="137"/>
      <c r="R190" s="137"/>
    </row>
    <row r="192" customFormat="false" ht="19.5" hidden="false" customHeight="true" outlineLevel="0" collapsed="false">
      <c r="A192" s="51" t="str">
        <f aca="false">IF('Calendario B'!A92="","",'Calendario B'!A92)</f>
        <v>7B</v>
      </c>
      <c r="B192" s="52" t="str">
        <f aca="false">IF('Calendario B'!B92="","",'Calendario B'!B92)</f>
        <v>GIORNATA VII - GIRONE B</v>
      </c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140" t="s">
        <v>537</v>
      </c>
      <c r="N192" s="140"/>
      <c r="O192" s="140"/>
      <c r="P192" s="140" t="s">
        <v>538</v>
      </c>
      <c r="Q192" s="140"/>
      <c r="R192" s="140"/>
    </row>
    <row r="193" customFormat="false" ht="13.5" hidden="false" customHeight="true" outlineLevel="0" collapsed="false">
      <c r="A193" s="53" t="s">
        <v>334</v>
      </c>
      <c r="B193" s="53" t="s">
        <v>317</v>
      </c>
      <c r="C193" s="53"/>
      <c r="D193" s="53" t="s">
        <v>324</v>
      </c>
      <c r="E193" s="53"/>
      <c r="F193" s="53" t="s">
        <v>335</v>
      </c>
      <c r="G193" s="53" t="s">
        <v>336</v>
      </c>
      <c r="H193" s="53" t="s">
        <v>337</v>
      </c>
      <c r="I193" s="53"/>
      <c r="J193" s="53" t="s">
        <v>338</v>
      </c>
      <c r="K193" s="53"/>
      <c r="L193" s="53"/>
      <c r="M193" s="141" t="s">
        <v>539</v>
      </c>
      <c r="N193" s="141" t="s">
        <v>540</v>
      </c>
      <c r="O193" s="141" t="s">
        <v>541</v>
      </c>
      <c r="P193" s="141" t="s">
        <v>542</v>
      </c>
      <c r="Q193" s="141" t="s">
        <v>543</v>
      </c>
      <c r="R193" s="141" t="s">
        <v>544</v>
      </c>
    </row>
    <row r="194" customFormat="false" ht="21.75" hidden="false" customHeight="true" outlineLevel="0" collapsed="false">
      <c r="A194" s="54" t="n">
        <f aca="false">IF('Calendario B'!A94="","",'Calendario B'!A94)</f>
        <v>53</v>
      </c>
      <c r="B194" s="42" t="str">
        <f aca="false">IF('Calendario B'!B94="","",'Calendario B'!B94)</f>
        <v>Lupi Lucenti</v>
      </c>
      <c r="C194" s="43" t="str">
        <f aca="false">IF('Calendario B'!C94="","",'Calendario B'!C94)</f>
        <v>B01</v>
      </c>
      <c r="D194" s="42" t="str">
        <f aca="false">IF('Calendario B'!D94="","",'Calendario B'!D94)</f>
        <v>Marmotte Maldestre</v>
      </c>
      <c r="E194" s="43" t="str">
        <f aca="false">IF('Calendario B'!E94="","",'Calendario B'!E94)</f>
        <v>B02</v>
      </c>
      <c r="F194" s="44" t="n">
        <f aca="false">IF('Calendario B'!F94="","",'Calendario B'!F94)</f>
        <v>46453.3958333333</v>
      </c>
      <c r="G194" s="44"/>
      <c r="H194" s="44"/>
      <c r="I194" s="44"/>
      <c r="J194" s="137" t="n">
        <f aca="false">IF('Calendario B'!J94="","",'Calendario B'!J94)</f>
        <v>58</v>
      </c>
      <c r="K194" s="138" t="s">
        <v>339</v>
      </c>
      <c r="L194" s="137" t="n">
        <f aca="false">IF('Calendario B'!L94="","",'Calendario B'!L94)</f>
        <v>48</v>
      </c>
      <c r="M194" s="139"/>
      <c r="N194" s="139"/>
      <c r="O194" s="139"/>
      <c r="P194" s="139"/>
      <c r="Q194" s="139"/>
      <c r="R194" s="139"/>
    </row>
    <row r="195" customFormat="false" ht="15" hidden="false" customHeight="true" outlineLevel="0" collapsed="false">
      <c r="A195" s="54"/>
      <c r="B195" s="48" t="str">
        <f aca="false">IF('Calendario B'!B95="","",'Calendario B'!B95)</f>
        <v>PalaRinoceronti, Via dello Sport 15, Rinocerontiopoli RI</v>
      </c>
      <c r="C195" s="48"/>
      <c r="D195" s="48"/>
      <c r="E195" s="48"/>
      <c r="F195" s="48"/>
      <c r="G195" s="48"/>
      <c r="H195" s="48"/>
      <c r="I195" s="43" t="str">
        <f aca="false">IF('Calendario B'!I95="","",'Calendario B'!I95)</f>
        <v>B07</v>
      </c>
      <c r="J195" s="137"/>
      <c r="K195" s="137"/>
      <c r="L195" s="137"/>
      <c r="M195" s="137"/>
      <c r="N195" s="137"/>
      <c r="O195" s="137"/>
      <c r="P195" s="137"/>
      <c r="Q195" s="137"/>
      <c r="R195" s="137"/>
    </row>
    <row r="196" customFormat="false" ht="13.5" hidden="false" customHeight="true" outlineLevel="0" collapsed="false">
      <c r="A196" s="53" t="s">
        <v>334</v>
      </c>
      <c r="B196" s="53" t="s">
        <v>317</v>
      </c>
      <c r="C196" s="53"/>
      <c r="D196" s="53" t="s">
        <v>324</v>
      </c>
      <c r="E196" s="53"/>
      <c r="F196" s="53" t="s">
        <v>335</v>
      </c>
      <c r="G196" s="53" t="s">
        <v>336</v>
      </c>
      <c r="H196" s="53" t="s">
        <v>337</v>
      </c>
      <c r="I196" s="53"/>
      <c r="J196" s="53" t="s">
        <v>338</v>
      </c>
      <c r="K196" s="53"/>
      <c r="L196" s="53"/>
      <c r="M196" s="141" t="s">
        <v>539</v>
      </c>
      <c r="N196" s="141" t="s">
        <v>540</v>
      </c>
      <c r="O196" s="141" t="s">
        <v>541</v>
      </c>
      <c r="P196" s="141" t="s">
        <v>542</v>
      </c>
      <c r="Q196" s="141" t="s">
        <v>543</v>
      </c>
      <c r="R196" s="141" t="s">
        <v>544</v>
      </c>
    </row>
    <row r="197" customFormat="false" ht="21.75" hidden="false" customHeight="true" outlineLevel="0" collapsed="false">
      <c r="A197" s="54" t="n">
        <f aca="false">IF('Calendario B'!A97="","",'Calendario B'!A97)</f>
        <v>54</v>
      </c>
      <c r="B197" s="42" t="str">
        <f aca="false">IF('Calendario B'!B97="","",'Calendario B'!B97)</f>
        <v>Salamandre Scaltre</v>
      </c>
      <c r="C197" s="43" t="str">
        <f aca="false">IF('Calendario B'!C97="","",'Calendario B'!C97)</f>
        <v>B08</v>
      </c>
      <c r="D197" s="42" t="str">
        <f aca="false">IF('Calendario B'!D97="","",'Calendario B'!D97)</f>
        <v>Narvali Nobili</v>
      </c>
      <c r="E197" s="43" t="str">
        <f aca="false">IF('Calendario B'!E97="","",'Calendario B'!E97)</f>
        <v>B03</v>
      </c>
      <c r="F197" s="44" t="n">
        <f aca="false">IF('Calendario B'!F97="","",'Calendario B'!F97)</f>
        <v>46453.4791666667</v>
      </c>
      <c r="G197" s="44"/>
      <c r="H197" s="44"/>
      <c r="I197" s="44"/>
      <c r="J197" s="137" t="n">
        <f aca="false">IF('Calendario B'!J97="","",'Calendario B'!J97)</f>
        <v>63</v>
      </c>
      <c r="K197" s="138" t="s">
        <v>339</v>
      </c>
      <c r="L197" s="137" t="n">
        <f aca="false">IF('Calendario B'!L97="","",'Calendario B'!L97)</f>
        <v>53</v>
      </c>
      <c r="M197" s="139"/>
      <c r="N197" s="139"/>
      <c r="O197" s="139"/>
      <c r="P197" s="139"/>
      <c r="Q197" s="139"/>
      <c r="R197" s="139"/>
    </row>
    <row r="198" customFormat="false" ht="15" hidden="false" customHeight="true" outlineLevel="0" collapsed="false">
      <c r="A198" s="54"/>
      <c r="B198" s="48" t="str">
        <f aca="false">IF('Calendario B'!B98="","",'Calendario B'!B98)</f>
        <v>PalaRinoceronti, Via dello Sport 15, Rinocerontiopoli RI</v>
      </c>
      <c r="C198" s="48"/>
      <c r="D198" s="48"/>
      <c r="E198" s="48"/>
      <c r="F198" s="48"/>
      <c r="G198" s="48"/>
      <c r="H198" s="48"/>
      <c r="I198" s="43" t="str">
        <f aca="false">IF('Calendario B'!I98="","",'Calendario B'!I98)</f>
        <v>B07</v>
      </c>
      <c r="J198" s="137"/>
      <c r="K198" s="137"/>
      <c r="L198" s="137"/>
      <c r="M198" s="137"/>
      <c r="N198" s="137"/>
      <c r="O198" s="137"/>
      <c r="P198" s="137"/>
      <c r="Q198" s="137"/>
      <c r="R198" s="137"/>
    </row>
    <row r="199" customFormat="false" ht="13.5" hidden="false" customHeight="true" outlineLevel="0" collapsed="false">
      <c r="A199" s="53" t="s">
        <v>334</v>
      </c>
      <c r="B199" s="53" t="s">
        <v>317</v>
      </c>
      <c r="C199" s="53"/>
      <c r="D199" s="53" t="s">
        <v>324</v>
      </c>
      <c r="E199" s="53"/>
      <c r="F199" s="53" t="s">
        <v>335</v>
      </c>
      <c r="G199" s="53" t="s">
        <v>336</v>
      </c>
      <c r="H199" s="53" t="s">
        <v>337</v>
      </c>
      <c r="I199" s="53"/>
      <c r="J199" s="53" t="s">
        <v>338</v>
      </c>
      <c r="K199" s="53"/>
      <c r="L199" s="53"/>
      <c r="M199" s="141" t="s">
        <v>539</v>
      </c>
      <c r="N199" s="141" t="s">
        <v>540</v>
      </c>
      <c r="O199" s="141" t="s">
        <v>541</v>
      </c>
      <c r="P199" s="141" t="s">
        <v>542</v>
      </c>
      <c r="Q199" s="141" t="s">
        <v>543</v>
      </c>
      <c r="R199" s="141" t="s">
        <v>544</v>
      </c>
    </row>
    <row r="200" customFormat="false" ht="21.75" hidden="false" customHeight="true" outlineLevel="0" collapsed="false">
      <c r="A200" s="54" t="n">
        <f aca="false">IF('Calendario B'!A100="","",'Calendario B'!A100)</f>
        <v>55</v>
      </c>
      <c r="B200" s="42" t="str">
        <f aca="false">IF('Calendario B'!B100="","",'Calendario B'!B100)</f>
        <v>Orsi Ostinati</v>
      </c>
      <c r="C200" s="43" t="str">
        <f aca="false">IF('Calendario B'!C100="","",'Calendario B'!C100)</f>
        <v>B04</v>
      </c>
      <c r="D200" s="42" t="str">
        <f aca="false">IF('Calendario B'!D100="","",'Calendario B'!D100)</f>
        <v>Rinoceronti Ribelli</v>
      </c>
      <c r="E200" s="43" t="str">
        <f aca="false">IF('Calendario B'!E100="","",'Calendario B'!E100)</f>
        <v>B07</v>
      </c>
      <c r="F200" s="44" t="n">
        <f aca="false">IF('Calendario B'!F100="","",'Calendario B'!F100)</f>
        <v>46453.625</v>
      </c>
      <c r="G200" s="44"/>
      <c r="H200" s="44"/>
      <c r="I200" s="44"/>
      <c r="J200" s="137" t="n">
        <f aca="false">IF('Calendario B'!J100="","",'Calendario B'!J100)</f>
        <v>33</v>
      </c>
      <c r="K200" s="138" t="s">
        <v>339</v>
      </c>
      <c r="L200" s="137" t="n">
        <f aca="false">IF('Calendario B'!L100="","",'Calendario B'!L100)</f>
        <v>67</v>
      </c>
      <c r="M200" s="139"/>
      <c r="N200" s="139"/>
      <c r="O200" s="139"/>
      <c r="P200" s="139"/>
      <c r="Q200" s="139"/>
      <c r="R200" s="139"/>
    </row>
    <row r="201" customFormat="false" ht="15" hidden="false" customHeight="true" outlineLevel="0" collapsed="false">
      <c r="A201" s="54"/>
      <c r="B201" s="48" t="str">
        <f aca="false">IF('Calendario B'!B101="","",'Calendario B'!B101)</f>
        <v>PalaRinoceronti, Via dello Sport 15, Rinocerontiopoli RI</v>
      </c>
      <c r="C201" s="48"/>
      <c r="D201" s="48"/>
      <c r="E201" s="48"/>
      <c r="F201" s="48"/>
      <c r="G201" s="48"/>
      <c r="H201" s="48"/>
      <c r="I201" s="43" t="str">
        <f aca="false">IF('Calendario B'!I101="","",'Calendario B'!I101)</f>
        <v>B07</v>
      </c>
      <c r="J201" s="137"/>
      <c r="K201" s="137"/>
      <c r="L201" s="137"/>
      <c r="M201" s="137"/>
      <c r="N201" s="137"/>
      <c r="O201" s="137"/>
      <c r="P201" s="137"/>
      <c r="Q201" s="137"/>
      <c r="R201" s="137"/>
    </row>
    <row r="202" customFormat="false" ht="13.5" hidden="false" customHeight="true" outlineLevel="0" collapsed="false">
      <c r="A202" s="53" t="s">
        <v>334</v>
      </c>
      <c r="B202" s="53" t="s">
        <v>317</v>
      </c>
      <c r="C202" s="53"/>
      <c r="D202" s="53" t="s">
        <v>324</v>
      </c>
      <c r="E202" s="53"/>
      <c r="F202" s="53" t="s">
        <v>335</v>
      </c>
      <c r="G202" s="53" t="s">
        <v>336</v>
      </c>
      <c r="H202" s="53" t="s">
        <v>337</v>
      </c>
      <c r="I202" s="53"/>
      <c r="J202" s="53" t="s">
        <v>338</v>
      </c>
      <c r="K202" s="53"/>
      <c r="L202" s="53"/>
      <c r="M202" s="141" t="s">
        <v>539</v>
      </c>
      <c r="N202" s="141" t="s">
        <v>540</v>
      </c>
      <c r="O202" s="141" t="s">
        <v>541</v>
      </c>
      <c r="P202" s="141" t="s">
        <v>542</v>
      </c>
      <c r="Q202" s="141" t="s">
        <v>543</v>
      </c>
      <c r="R202" s="141" t="s">
        <v>544</v>
      </c>
    </row>
    <row r="203" customFormat="false" ht="21.75" hidden="false" customHeight="true" outlineLevel="0" collapsed="false">
      <c r="A203" s="54" t="n">
        <f aca="false">IF('Calendario B'!A103="","",'Calendario B'!A103)</f>
        <v>56</v>
      </c>
      <c r="B203" s="42" t="str">
        <f aca="false">IF('Calendario B'!B103="","",'Calendario B'!B103)</f>
        <v>Quaglie Quiete</v>
      </c>
      <c r="C203" s="43" t="str">
        <f aca="false">IF('Calendario B'!C103="","",'Calendario B'!C103)</f>
        <v>B06</v>
      </c>
      <c r="D203" s="42" t="str">
        <f aca="false">IF('Calendario B'!D103="","",'Calendario B'!D103)</f>
        <v>Pantere Pungenti</v>
      </c>
      <c r="E203" s="43" t="str">
        <f aca="false">IF('Calendario B'!E103="","",'Calendario B'!E103)</f>
        <v>B05</v>
      </c>
      <c r="F203" s="44" t="n">
        <f aca="false">IF('Calendario B'!F103="","",'Calendario B'!F103)</f>
        <v>46453.7083333333</v>
      </c>
      <c r="G203" s="44"/>
      <c r="H203" s="44"/>
      <c r="I203" s="44"/>
      <c r="J203" s="137" t="n">
        <f aca="false">IF('Calendario B'!J103="","",'Calendario B'!J103)</f>
        <v>57</v>
      </c>
      <c r="K203" s="138" t="s">
        <v>339</v>
      </c>
      <c r="L203" s="137" t="n">
        <f aca="false">IF('Calendario B'!L103="","",'Calendario B'!L103)</f>
        <v>60</v>
      </c>
      <c r="M203" s="139"/>
      <c r="N203" s="139"/>
      <c r="O203" s="139"/>
      <c r="P203" s="139"/>
      <c r="Q203" s="139"/>
      <c r="R203" s="139"/>
    </row>
    <row r="204" customFormat="false" ht="15" hidden="false" customHeight="true" outlineLevel="0" collapsed="false">
      <c r="A204" s="54"/>
      <c r="B204" s="48" t="str">
        <f aca="false">IF('Calendario B'!B104="","",'Calendario B'!B104)</f>
        <v>PalaRinoceronti, Via dello Sport 15, Rinocerontiopoli RI</v>
      </c>
      <c r="C204" s="48"/>
      <c r="D204" s="48"/>
      <c r="E204" s="48"/>
      <c r="F204" s="48"/>
      <c r="G204" s="48"/>
      <c r="H204" s="48"/>
      <c r="I204" s="43" t="str">
        <f aca="false">IF('Calendario B'!I104="","",'Calendario B'!I104)</f>
        <v>B07</v>
      </c>
      <c r="J204" s="137"/>
      <c r="K204" s="137"/>
      <c r="L204" s="137"/>
      <c r="M204" s="137"/>
      <c r="N204" s="137"/>
      <c r="O204" s="137"/>
      <c r="P204" s="137"/>
      <c r="Q204" s="137"/>
      <c r="R204" s="137"/>
    </row>
    <row r="208" customFormat="false" ht="19.5" hidden="false" customHeight="true" outlineLevel="0" collapsed="false">
      <c r="A208" s="56" t="str">
        <f aca="false">IF('Calendario C'!A8="","",'Calendario C'!A8)</f>
        <v>1C</v>
      </c>
      <c r="B208" s="57" t="str">
        <f aca="false">IF('Calendario C'!B8="","",'Calendario C'!B8)</f>
        <v>GIORNATA I - GIRONE C</v>
      </c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142" t="s">
        <v>537</v>
      </c>
      <c r="N208" s="142"/>
      <c r="O208" s="142"/>
      <c r="P208" s="142" t="s">
        <v>538</v>
      </c>
      <c r="Q208" s="142"/>
      <c r="R208" s="142"/>
    </row>
    <row r="209" customFormat="false" ht="13.5" hidden="false" customHeight="true" outlineLevel="0" collapsed="false">
      <c r="A209" s="58" t="s">
        <v>334</v>
      </c>
      <c r="B209" s="58" t="s">
        <v>317</v>
      </c>
      <c r="C209" s="58"/>
      <c r="D209" s="58" t="s">
        <v>324</v>
      </c>
      <c r="E209" s="58"/>
      <c r="F209" s="58" t="s">
        <v>335</v>
      </c>
      <c r="G209" s="58" t="s">
        <v>336</v>
      </c>
      <c r="H209" s="58" t="s">
        <v>337</v>
      </c>
      <c r="I209" s="58"/>
      <c r="J209" s="58" t="s">
        <v>338</v>
      </c>
      <c r="K209" s="58"/>
      <c r="L209" s="58"/>
      <c r="M209" s="143" t="s">
        <v>539</v>
      </c>
      <c r="N209" s="143" t="s">
        <v>540</v>
      </c>
      <c r="O209" s="143" t="s">
        <v>541</v>
      </c>
      <c r="P209" s="143" t="s">
        <v>542</v>
      </c>
      <c r="Q209" s="143" t="s">
        <v>543</v>
      </c>
      <c r="R209" s="143" t="s">
        <v>544</v>
      </c>
    </row>
    <row r="210" customFormat="false" ht="21.75" hidden="false" customHeight="true" outlineLevel="0" collapsed="false">
      <c r="A210" s="59" t="n">
        <f aca="false">IF('Calendario C'!A10="","",'Calendario C'!A10)</f>
        <v>57</v>
      </c>
      <c r="B210" s="42" t="str">
        <f aca="false">IF('Calendario C'!B10="","",'Calendario C'!B10)</f>
        <v>Tigri Tenaci</v>
      </c>
      <c r="C210" s="43" t="str">
        <f aca="false">IF('Calendario C'!C10="","",'Calendario C'!C10)</f>
        <v>C01</v>
      </c>
      <c r="D210" s="42" t="str">
        <f aca="false">IF('Calendario C'!D10="","",'Calendario C'!D10)</f>
        <v>Dromedari Danzanti</v>
      </c>
      <c r="E210" s="43" t="str">
        <f aca="false">IF('Calendario C'!E10="","",'Calendario C'!E10)</f>
        <v>C08</v>
      </c>
      <c r="F210" s="44" t="n">
        <f aca="false">IF('Calendario C'!F10="","",'Calendario C'!F10)</f>
        <v>46313.3958333333</v>
      </c>
      <c r="G210" s="44"/>
      <c r="H210" s="44"/>
      <c r="I210" s="44"/>
      <c r="J210" s="137" t="n">
        <f aca="false">IF('Calendario C'!J10="","",'Calendario C'!J10)</f>
        <v>69</v>
      </c>
      <c r="K210" s="138" t="s">
        <v>339</v>
      </c>
      <c r="L210" s="137" t="n">
        <f aca="false">IF('Calendario C'!L10="","",'Calendario C'!L10)</f>
        <v>37</v>
      </c>
      <c r="M210" s="139"/>
      <c r="N210" s="139"/>
      <c r="O210" s="139"/>
      <c r="P210" s="139"/>
      <c r="Q210" s="139"/>
      <c r="R210" s="139"/>
    </row>
    <row r="211" customFormat="false" ht="15" hidden="false" customHeight="true" outlineLevel="0" collapsed="false">
      <c r="A211" s="59"/>
      <c r="B211" s="48" t="str">
        <f aca="false">IF('Calendario C'!B11="","",'Calendario C'!B11)</f>
        <v>PalaTigri, Via dello Sport 17, Tigriopoli TI</v>
      </c>
      <c r="C211" s="48"/>
      <c r="D211" s="48"/>
      <c r="E211" s="48"/>
      <c r="F211" s="48"/>
      <c r="G211" s="48"/>
      <c r="H211" s="48"/>
      <c r="I211" s="43" t="str">
        <f aca="false">IF('Calendario C'!I11="","",'Calendario C'!I11)</f>
        <v>C01</v>
      </c>
      <c r="J211" s="137"/>
      <c r="K211" s="137"/>
      <c r="L211" s="137"/>
      <c r="M211" s="137"/>
      <c r="N211" s="137"/>
      <c r="O211" s="137"/>
      <c r="P211" s="137"/>
      <c r="Q211" s="137"/>
      <c r="R211" s="137"/>
    </row>
    <row r="212" customFormat="false" ht="13.5" hidden="false" customHeight="true" outlineLevel="0" collapsed="false">
      <c r="A212" s="58" t="s">
        <v>334</v>
      </c>
      <c r="B212" s="58" t="s">
        <v>317</v>
      </c>
      <c r="C212" s="58"/>
      <c r="D212" s="58" t="s">
        <v>324</v>
      </c>
      <c r="E212" s="58"/>
      <c r="F212" s="58" t="s">
        <v>335</v>
      </c>
      <c r="G212" s="58" t="s">
        <v>336</v>
      </c>
      <c r="H212" s="58" t="s">
        <v>337</v>
      </c>
      <c r="I212" s="58"/>
      <c r="J212" s="58" t="s">
        <v>338</v>
      </c>
      <c r="K212" s="58"/>
      <c r="L212" s="58"/>
      <c r="M212" s="143" t="s">
        <v>539</v>
      </c>
      <c r="N212" s="143" t="s">
        <v>540</v>
      </c>
      <c r="O212" s="143" t="s">
        <v>541</v>
      </c>
      <c r="P212" s="143" t="s">
        <v>542</v>
      </c>
      <c r="Q212" s="143" t="s">
        <v>543</v>
      </c>
      <c r="R212" s="143" t="s">
        <v>544</v>
      </c>
    </row>
    <row r="213" customFormat="false" ht="21.75" hidden="false" customHeight="true" outlineLevel="0" collapsed="false">
      <c r="A213" s="59" t="n">
        <f aca="false">IF('Calendario C'!A13="","",'Calendario C'!A13)</f>
        <v>58</v>
      </c>
      <c r="B213" s="42" t="str">
        <f aca="false">IF('Calendario C'!B13="","",'Calendario C'!B13)</f>
        <v>Cinghiali Caparbi</v>
      </c>
      <c r="C213" s="43" t="str">
        <f aca="false">IF('Calendario C'!C13="","",'Calendario C'!C13)</f>
        <v>C07</v>
      </c>
      <c r="D213" s="42" t="str">
        <f aca="false">IF('Calendario C'!D13="","",'Calendario C'!D13)</f>
        <v>Upupe Umoristiche</v>
      </c>
      <c r="E213" s="43" t="str">
        <f aca="false">IF('Calendario C'!E13="","",'Calendario C'!E13)</f>
        <v>C02</v>
      </c>
      <c r="F213" s="44" t="n">
        <f aca="false">IF('Calendario C'!F13="","",'Calendario C'!F13)</f>
        <v>46313.4791666667</v>
      </c>
      <c r="G213" s="44"/>
      <c r="H213" s="44"/>
      <c r="I213" s="44"/>
      <c r="J213" s="137" t="n">
        <f aca="false">IF('Calendario C'!J13="","",'Calendario C'!J13)</f>
        <v>53</v>
      </c>
      <c r="K213" s="138" t="s">
        <v>339</v>
      </c>
      <c r="L213" s="137" t="n">
        <f aca="false">IF('Calendario C'!L13="","",'Calendario C'!L13)</f>
        <v>47</v>
      </c>
      <c r="M213" s="139"/>
      <c r="N213" s="139"/>
      <c r="O213" s="139"/>
      <c r="P213" s="139"/>
      <c r="Q213" s="139"/>
      <c r="R213" s="139"/>
    </row>
    <row r="214" customFormat="false" ht="15" hidden="false" customHeight="true" outlineLevel="0" collapsed="false">
      <c r="A214" s="59"/>
      <c r="B214" s="48" t="str">
        <f aca="false">IF('Calendario C'!B14="","",'Calendario C'!B14)</f>
        <v>PalaTigri, Via dello Sport 17, Tigriopoli TI</v>
      </c>
      <c r="C214" s="48"/>
      <c r="D214" s="48"/>
      <c r="E214" s="48"/>
      <c r="F214" s="48"/>
      <c r="G214" s="48"/>
      <c r="H214" s="48"/>
      <c r="I214" s="43" t="str">
        <f aca="false">IF('Calendario C'!I14="","",'Calendario C'!I14)</f>
        <v>C01</v>
      </c>
      <c r="J214" s="137"/>
      <c r="K214" s="137"/>
      <c r="L214" s="137"/>
      <c r="M214" s="137"/>
      <c r="N214" s="137"/>
      <c r="O214" s="137"/>
      <c r="P214" s="137"/>
      <c r="Q214" s="137"/>
      <c r="R214" s="137"/>
    </row>
    <row r="215" customFormat="false" ht="13.5" hidden="false" customHeight="true" outlineLevel="0" collapsed="false">
      <c r="A215" s="58" t="s">
        <v>334</v>
      </c>
      <c r="B215" s="58" t="s">
        <v>317</v>
      </c>
      <c r="C215" s="58"/>
      <c r="D215" s="58" t="s">
        <v>324</v>
      </c>
      <c r="E215" s="58"/>
      <c r="F215" s="58" t="s">
        <v>335</v>
      </c>
      <c r="G215" s="58" t="s">
        <v>336</v>
      </c>
      <c r="H215" s="58" t="s">
        <v>337</v>
      </c>
      <c r="I215" s="58"/>
      <c r="J215" s="58" t="s">
        <v>338</v>
      </c>
      <c r="K215" s="58"/>
      <c r="L215" s="58"/>
      <c r="M215" s="143" t="s">
        <v>539</v>
      </c>
      <c r="N215" s="143" t="s">
        <v>540</v>
      </c>
      <c r="O215" s="143" t="s">
        <v>541</v>
      </c>
      <c r="P215" s="143" t="s">
        <v>542</v>
      </c>
      <c r="Q215" s="143" t="s">
        <v>543</v>
      </c>
      <c r="R215" s="143" t="s">
        <v>544</v>
      </c>
    </row>
    <row r="216" customFormat="false" ht="21.75" hidden="false" customHeight="true" outlineLevel="0" collapsed="false">
      <c r="A216" s="59" t="n">
        <f aca="false">IF('Calendario C'!A16="","",'Calendario C'!A16)</f>
        <v>59</v>
      </c>
      <c r="B216" s="42" t="str">
        <f aca="false">IF('Calendario C'!B16="","",'Calendario C'!B16)</f>
        <v>Vipere Vivaci</v>
      </c>
      <c r="C216" s="43" t="str">
        <f aca="false">IF('Calendario C'!C16="","",'Calendario C'!C16)</f>
        <v>C03</v>
      </c>
      <c r="D216" s="42" t="str">
        <f aca="false">IF('Calendario C'!D16="","",'Calendario C'!D16)</f>
        <v>Bisonti Baldanzosi</v>
      </c>
      <c r="E216" s="43" t="str">
        <f aca="false">IF('Calendario C'!E16="","",'Calendario C'!E16)</f>
        <v>C06</v>
      </c>
      <c r="F216" s="44" t="n">
        <f aca="false">IF('Calendario C'!F16="","",'Calendario C'!F16)</f>
        <v>46313.625</v>
      </c>
      <c r="G216" s="44"/>
      <c r="H216" s="44"/>
      <c r="I216" s="44"/>
      <c r="J216" s="137" t="n">
        <f aca="false">IF('Calendario C'!J16="","",'Calendario C'!J16)</f>
        <v>51</v>
      </c>
      <c r="K216" s="138" t="s">
        <v>339</v>
      </c>
      <c r="L216" s="137" t="n">
        <f aca="false">IF('Calendario C'!L16="","",'Calendario C'!L16)</f>
        <v>50</v>
      </c>
      <c r="M216" s="139"/>
      <c r="N216" s="139"/>
      <c r="O216" s="139"/>
      <c r="P216" s="139"/>
      <c r="Q216" s="139"/>
      <c r="R216" s="139"/>
    </row>
    <row r="217" customFormat="false" ht="15" hidden="false" customHeight="true" outlineLevel="0" collapsed="false">
      <c r="A217" s="59"/>
      <c r="B217" s="48" t="str">
        <f aca="false">IF('Calendario C'!B17="","",'Calendario C'!B17)</f>
        <v>PalaTigri, Via dello Sport 17, Tigriopoli TI</v>
      </c>
      <c r="C217" s="48"/>
      <c r="D217" s="48"/>
      <c r="E217" s="48"/>
      <c r="F217" s="48"/>
      <c r="G217" s="48"/>
      <c r="H217" s="48"/>
      <c r="I217" s="43" t="str">
        <f aca="false">IF('Calendario C'!I17="","",'Calendario C'!I17)</f>
        <v>C01</v>
      </c>
      <c r="J217" s="137"/>
      <c r="K217" s="137"/>
      <c r="L217" s="137"/>
      <c r="M217" s="137"/>
      <c r="N217" s="137"/>
      <c r="O217" s="137"/>
      <c r="P217" s="137"/>
      <c r="Q217" s="137"/>
      <c r="R217" s="137"/>
    </row>
    <row r="218" customFormat="false" ht="13.5" hidden="false" customHeight="true" outlineLevel="0" collapsed="false">
      <c r="A218" s="58" t="s">
        <v>334</v>
      </c>
      <c r="B218" s="58" t="s">
        <v>317</v>
      </c>
      <c r="C218" s="58"/>
      <c r="D218" s="58" t="s">
        <v>324</v>
      </c>
      <c r="E218" s="58"/>
      <c r="F218" s="58" t="s">
        <v>335</v>
      </c>
      <c r="G218" s="58" t="s">
        <v>336</v>
      </c>
      <c r="H218" s="58" t="s">
        <v>337</v>
      </c>
      <c r="I218" s="58"/>
      <c r="J218" s="58" t="s">
        <v>338</v>
      </c>
      <c r="K218" s="58"/>
      <c r="L218" s="58"/>
      <c r="M218" s="143" t="s">
        <v>539</v>
      </c>
      <c r="N218" s="143" t="s">
        <v>540</v>
      </c>
      <c r="O218" s="143" t="s">
        <v>541</v>
      </c>
      <c r="P218" s="143" t="s">
        <v>542</v>
      </c>
      <c r="Q218" s="143" t="s">
        <v>543</v>
      </c>
      <c r="R218" s="143" t="s">
        <v>544</v>
      </c>
    </row>
    <row r="219" customFormat="false" ht="21.75" hidden="false" customHeight="true" outlineLevel="0" collapsed="false">
      <c r="A219" s="59" t="n">
        <f aca="false">IF('Calendario C'!A19="","",'Calendario C'!A19)</f>
        <v>60</v>
      </c>
      <c r="B219" s="42" t="str">
        <f aca="false">IF('Calendario C'!B19="","",'Calendario C'!B19)</f>
        <v>Albatri Astuti</v>
      </c>
      <c r="C219" s="43" t="str">
        <f aca="false">IF('Calendario C'!C19="","",'Calendario C'!C19)</f>
        <v>C05</v>
      </c>
      <c r="D219" s="42" t="str">
        <f aca="false">IF('Calendario C'!D19="","",'Calendario C'!D19)</f>
        <v>Zebre Zelanti</v>
      </c>
      <c r="E219" s="43" t="str">
        <f aca="false">IF('Calendario C'!E19="","",'Calendario C'!E19)</f>
        <v>C04</v>
      </c>
      <c r="F219" s="44" t="n">
        <f aca="false">IF('Calendario C'!F19="","",'Calendario C'!F19)</f>
        <v>46313.7083333333</v>
      </c>
      <c r="G219" s="44"/>
      <c r="H219" s="44"/>
      <c r="I219" s="44"/>
      <c r="J219" s="137" t="n">
        <f aca="false">IF('Calendario C'!J19="","",'Calendario C'!J19)</f>
        <v>47</v>
      </c>
      <c r="K219" s="138" t="s">
        <v>339</v>
      </c>
      <c r="L219" s="137" t="n">
        <f aca="false">IF('Calendario C'!L19="","",'Calendario C'!L19)</f>
        <v>63</v>
      </c>
      <c r="M219" s="139"/>
      <c r="N219" s="139"/>
      <c r="O219" s="139"/>
      <c r="P219" s="139"/>
      <c r="Q219" s="139"/>
      <c r="R219" s="139"/>
    </row>
    <row r="220" customFormat="false" ht="15" hidden="false" customHeight="true" outlineLevel="0" collapsed="false">
      <c r="A220" s="59"/>
      <c r="B220" s="48" t="str">
        <f aca="false">IF('Calendario C'!B20="","",'Calendario C'!B20)</f>
        <v>PalaTigri, Via dello Sport 17, Tigriopoli TI</v>
      </c>
      <c r="C220" s="48"/>
      <c r="D220" s="48"/>
      <c r="E220" s="48"/>
      <c r="F220" s="48"/>
      <c r="G220" s="48"/>
      <c r="H220" s="48"/>
      <c r="I220" s="43" t="str">
        <f aca="false">IF('Calendario C'!I20="","",'Calendario C'!I20)</f>
        <v>C01</v>
      </c>
      <c r="J220" s="137"/>
      <c r="K220" s="137"/>
      <c r="L220" s="137"/>
      <c r="M220" s="137"/>
      <c r="N220" s="137"/>
      <c r="O220" s="137"/>
      <c r="P220" s="137"/>
      <c r="Q220" s="137"/>
      <c r="R220" s="137"/>
    </row>
    <row r="222" customFormat="false" ht="19.5" hidden="false" customHeight="true" outlineLevel="0" collapsed="false">
      <c r="A222" s="56" t="str">
        <f aca="false">IF('Calendario C'!A22="","",'Calendario C'!A22)</f>
        <v>2C</v>
      </c>
      <c r="B222" s="57" t="str">
        <f aca="false">IF('Calendario C'!B22="","",'Calendario C'!B22)</f>
        <v>GIORNATA II - GIRONE C</v>
      </c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142" t="s">
        <v>537</v>
      </c>
      <c r="N222" s="142"/>
      <c r="O222" s="142"/>
      <c r="P222" s="142" t="s">
        <v>538</v>
      </c>
      <c r="Q222" s="142"/>
      <c r="R222" s="142"/>
    </row>
    <row r="223" customFormat="false" ht="13.5" hidden="false" customHeight="true" outlineLevel="0" collapsed="false">
      <c r="A223" s="58" t="s">
        <v>334</v>
      </c>
      <c r="B223" s="58" t="s">
        <v>317</v>
      </c>
      <c r="C223" s="58"/>
      <c r="D223" s="58" t="s">
        <v>324</v>
      </c>
      <c r="E223" s="58"/>
      <c r="F223" s="58" t="s">
        <v>335</v>
      </c>
      <c r="G223" s="58" t="s">
        <v>336</v>
      </c>
      <c r="H223" s="58" t="s">
        <v>337</v>
      </c>
      <c r="I223" s="58"/>
      <c r="J223" s="58" t="s">
        <v>338</v>
      </c>
      <c r="K223" s="58"/>
      <c r="L223" s="58"/>
      <c r="M223" s="143" t="s">
        <v>539</v>
      </c>
      <c r="N223" s="143" t="s">
        <v>540</v>
      </c>
      <c r="O223" s="143" t="s">
        <v>541</v>
      </c>
      <c r="P223" s="143" t="s">
        <v>542</v>
      </c>
      <c r="Q223" s="143" t="s">
        <v>543</v>
      </c>
      <c r="R223" s="143" t="s">
        <v>544</v>
      </c>
    </row>
    <row r="224" customFormat="false" ht="21.75" hidden="false" customHeight="true" outlineLevel="0" collapsed="false">
      <c r="A224" s="59" t="n">
        <f aca="false">IF('Calendario C'!A24="","",'Calendario C'!A24)</f>
        <v>61</v>
      </c>
      <c r="B224" s="42" t="str">
        <f aca="false">IF('Calendario C'!B24="","",'Calendario C'!B24)</f>
        <v>Cinghiali Caparbi</v>
      </c>
      <c r="C224" s="43" t="str">
        <f aca="false">IF('Calendario C'!C24="","",'Calendario C'!C24)</f>
        <v>C07</v>
      </c>
      <c r="D224" s="42" t="str">
        <f aca="false">IF('Calendario C'!D24="","",'Calendario C'!D24)</f>
        <v>Tigri Tenaci</v>
      </c>
      <c r="E224" s="43" t="str">
        <f aca="false">IF('Calendario C'!E24="","",'Calendario C'!E24)</f>
        <v>C01</v>
      </c>
      <c r="F224" s="44" t="n">
        <f aca="false">IF('Calendario C'!F24="","",'Calendario C'!F24)</f>
        <v>46334.3958333333</v>
      </c>
      <c r="G224" s="44"/>
      <c r="H224" s="44"/>
      <c r="I224" s="44"/>
      <c r="J224" s="137" t="n">
        <f aca="false">IF('Calendario C'!J24="","",'Calendario C'!J24)</f>
        <v>58</v>
      </c>
      <c r="K224" s="138" t="s">
        <v>339</v>
      </c>
      <c r="L224" s="137" t="n">
        <f aca="false">IF('Calendario C'!L24="","",'Calendario C'!L24)</f>
        <v>65</v>
      </c>
      <c r="M224" s="139"/>
      <c r="N224" s="139"/>
      <c r="O224" s="139"/>
      <c r="P224" s="139"/>
      <c r="Q224" s="139"/>
      <c r="R224" s="139"/>
    </row>
    <row r="225" customFormat="false" ht="15" hidden="false" customHeight="true" outlineLevel="0" collapsed="false">
      <c r="A225" s="59"/>
      <c r="B225" s="48" t="str">
        <f aca="false">IF('Calendario C'!B25="","",'Calendario C'!B25)</f>
        <v>PalaUpupe, Via dello Sport 18, Upupeopoli UE</v>
      </c>
      <c r="C225" s="48"/>
      <c r="D225" s="48"/>
      <c r="E225" s="48"/>
      <c r="F225" s="48"/>
      <c r="G225" s="48"/>
      <c r="H225" s="48"/>
      <c r="I225" s="43" t="str">
        <f aca="false">IF('Calendario C'!I25="","",'Calendario C'!I25)</f>
        <v>C02</v>
      </c>
      <c r="J225" s="137"/>
      <c r="K225" s="137"/>
      <c r="L225" s="137"/>
      <c r="M225" s="137"/>
      <c r="N225" s="137"/>
      <c r="O225" s="137"/>
      <c r="P225" s="137"/>
      <c r="Q225" s="137"/>
      <c r="R225" s="137"/>
    </row>
    <row r="226" customFormat="false" ht="13.5" hidden="false" customHeight="true" outlineLevel="0" collapsed="false">
      <c r="A226" s="58" t="s">
        <v>334</v>
      </c>
      <c r="B226" s="58" t="s">
        <v>317</v>
      </c>
      <c r="C226" s="58"/>
      <c r="D226" s="58" t="s">
        <v>324</v>
      </c>
      <c r="E226" s="58"/>
      <c r="F226" s="58" t="s">
        <v>335</v>
      </c>
      <c r="G226" s="58" t="s">
        <v>336</v>
      </c>
      <c r="H226" s="58" t="s">
        <v>337</v>
      </c>
      <c r="I226" s="58"/>
      <c r="J226" s="58" t="s">
        <v>338</v>
      </c>
      <c r="K226" s="58"/>
      <c r="L226" s="58"/>
      <c r="M226" s="143" t="s">
        <v>539</v>
      </c>
      <c r="N226" s="143" t="s">
        <v>540</v>
      </c>
      <c r="O226" s="143" t="s">
        <v>541</v>
      </c>
      <c r="P226" s="143" t="s">
        <v>542</v>
      </c>
      <c r="Q226" s="143" t="s">
        <v>543</v>
      </c>
      <c r="R226" s="143" t="s">
        <v>544</v>
      </c>
    </row>
    <row r="227" customFormat="false" ht="21.75" hidden="false" customHeight="true" outlineLevel="0" collapsed="false">
      <c r="A227" s="59" t="n">
        <f aca="false">IF('Calendario C'!A27="","",'Calendario C'!A27)</f>
        <v>62</v>
      </c>
      <c r="B227" s="42" t="str">
        <f aca="false">IF('Calendario C'!B27="","",'Calendario C'!B27)</f>
        <v>Dromedari Danzanti</v>
      </c>
      <c r="C227" s="43" t="str">
        <f aca="false">IF('Calendario C'!C27="","",'Calendario C'!C27)</f>
        <v>C08</v>
      </c>
      <c r="D227" s="42" t="str">
        <f aca="false">IF('Calendario C'!D27="","",'Calendario C'!D27)</f>
        <v>Bisonti Baldanzosi</v>
      </c>
      <c r="E227" s="43" t="str">
        <f aca="false">IF('Calendario C'!E27="","",'Calendario C'!E27)</f>
        <v>C06</v>
      </c>
      <c r="F227" s="44" t="n">
        <f aca="false">IF('Calendario C'!F27="","",'Calendario C'!F27)</f>
        <v>46334.4791666667</v>
      </c>
      <c r="G227" s="44"/>
      <c r="H227" s="44"/>
      <c r="I227" s="44"/>
      <c r="J227" s="137" t="n">
        <f aca="false">IF('Calendario C'!J27="","",'Calendario C'!J27)</f>
        <v>44</v>
      </c>
      <c r="K227" s="138" t="s">
        <v>339</v>
      </c>
      <c r="L227" s="137" t="n">
        <f aca="false">IF('Calendario C'!L27="","",'Calendario C'!L27)</f>
        <v>79</v>
      </c>
      <c r="M227" s="139"/>
      <c r="N227" s="139"/>
      <c r="O227" s="139"/>
      <c r="P227" s="139"/>
      <c r="Q227" s="139"/>
      <c r="R227" s="139"/>
    </row>
    <row r="228" customFormat="false" ht="15" hidden="false" customHeight="true" outlineLevel="0" collapsed="false">
      <c r="A228" s="59"/>
      <c r="B228" s="48" t="str">
        <f aca="false">IF('Calendario C'!B28="","",'Calendario C'!B28)</f>
        <v>PalaUpupe, Via dello Sport 18, Upupeopoli UE</v>
      </c>
      <c r="C228" s="48"/>
      <c r="D228" s="48"/>
      <c r="E228" s="48"/>
      <c r="F228" s="48"/>
      <c r="G228" s="48"/>
      <c r="H228" s="48"/>
      <c r="I228" s="43" t="str">
        <f aca="false">IF('Calendario C'!I28="","",'Calendario C'!I28)</f>
        <v>C02</v>
      </c>
      <c r="J228" s="137"/>
      <c r="K228" s="137"/>
      <c r="L228" s="137"/>
      <c r="M228" s="137"/>
      <c r="N228" s="137"/>
      <c r="O228" s="137"/>
      <c r="P228" s="137"/>
      <c r="Q228" s="137"/>
      <c r="R228" s="137"/>
    </row>
    <row r="229" customFormat="false" ht="13.5" hidden="false" customHeight="true" outlineLevel="0" collapsed="false">
      <c r="A229" s="58" t="s">
        <v>334</v>
      </c>
      <c r="B229" s="58" t="s">
        <v>317</v>
      </c>
      <c r="C229" s="58"/>
      <c r="D229" s="58" t="s">
        <v>324</v>
      </c>
      <c r="E229" s="58"/>
      <c r="F229" s="58" t="s">
        <v>335</v>
      </c>
      <c r="G229" s="58" t="s">
        <v>336</v>
      </c>
      <c r="H229" s="58" t="s">
        <v>337</v>
      </c>
      <c r="I229" s="58"/>
      <c r="J229" s="58" t="s">
        <v>338</v>
      </c>
      <c r="K229" s="58"/>
      <c r="L229" s="58"/>
      <c r="M229" s="143" t="s">
        <v>539</v>
      </c>
      <c r="N229" s="143" t="s">
        <v>540</v>
      </c>
      <c r="O229" s="143" t="s">
        <v>541</v>
      </c>
      <c r="P229" s="143" t="s">
        <v>542</v>
      </c>
      <c r="Q229" s="143" t="s">
        <v>543</v>
      </c>
      <c r="R229" s="143" t="s">
        <v>544</v>
      </c>
    </row>
    <row r="230" customFormat="false" ht="21.75" hidden="false" customHeight="true" outlineLevel="0" collapsed="false">
      <c r="A230" s="59" t="n">
        <f aca="false">IF('Calendario C'!A30="","",'Calendario C'!A30)</f>
        <v>63</v>
      </c>
      <c r="B230" s="42" t="str">
        <f aca="false">IF('Calendario C'!B30="","",'Calendario C'!B30)</f>
        <v>Albatri Astuti</v>
      </c>
      <c r="C230" s="43" t="str">
        <f aca="false">IF('Calendario C'!C30="","",'Calendario C'!C30)</f>
        <v>C05</v>
      </c>
      <c r="D230" s="42" t="str">
        <f aca="false">IF('Calendario C'!D30="","",'Calendario C'!D30)</f>
        <v>Upupe Umoristiche</v>
      </c>
      <c r="E230" s="43" t="str">
        <f aca="false">IF('Calendario C'!E30="","",'Calendario C'!E30)</f>
        <v>C02</v>
      </c>
      <c r="F230" s="44" t="n">
        <f aca="false">IF('Calendario C'!F30="","",'Calendario C'!F30)</f>
        <v>46334.625</v>
      </c>
      <c r="G230" s="44"/>
      <c r="H230" s="44"/>
      <c r="I230" s="44"/>
      <c r="J230" s="137" t="n">
        <f aca="false">IF('Calendario C'!J30="","",'Calendario C'!J30)</f>
        <v>70</v>
      </c>
      <c r="K230" s="138" t="s">
        <v>339</v>
      </c>
      <c r="L230" s="137" t="n">
        <f aca="false">IF('Calendario C'!L30="","",'Calendario C'!L30)</f>
        <v>61</v>
      </c>
      <c r="M230" s="139"/>
      <c r="N230" s="139"/>
      <c r="O230" s="139"/>
      <c r="P230" s="139"/>
      <c r="Q230" s="139"/>
      <c r="R230" s="139"/>
    </row>
    <row r="231" customFormat="false" ht="15" hidden="false" customHeight="true" outlineLevel="0" collapsed="false">
      <c r="A231" s="59"/>
      <c r="B231" s="48" t="str">
        <f aca="false">IF('Calendario C'!B31="","",'Calendario C'!B31)</f>
        <v>PalaUpupe, Via dello Sport 18, Upupeopoli UE</v>
      </c>
      <c r="C231" s="48"/>
      <c r="D231" s="48"/>
      <c r="E231" s="48"/>
      <c r="F231" s="48"/>
      <c r="G231" s="48"/>
      <c r="H231" s="48"/>
      <c r="I231" s="43" t="str">
        <f aca="false">IF('Calendario C'!I31="","",'Calendario C'!I31)</f>
        <v>C02</v>
      </c>
      <c r="J231" s="137"/>
      <c r="K231" s="137"/>
      <c r="L231" s="137"/>
      <c r="M231" s="137"/>
      <c r="N231" s="137"/>
      <c r="O231" s="137"/>
      <c r="P231" s="137"/>
      <c r="Q231" s="137"/>
      <c r="R231" s="137"/>
    </row>
    <row r="232" customFormat="false" ht="13.5" hidden="false" customHeight="true" outlineLevel="0" collapsed="false">
      <c r="A232" s="58" t="s">
        <v>334</v>
      </c>
      <c r="B232" s="58" t="s">
        <v>317</v>
      </c>
      <c r="C232" s="58"/>
      <c r="D232" s="58" t="s">
        <v>324</v>
      </c>
      <c r="E232" s="58"/>
      <c r="F232" s="58" t="s">
        <v>335</v>
      </c>
      <c r="G232" s="58" t="s">
        <v>336</v>
      </c>
      <c r="H232" s="58" t="s">
        <v>337</v>
      </c>
      <c r="I232" s="58"/>
      <c r="J232" s="58" t="s">
        <v>338</v>
      </c>
      <c r="K232" s="58"/>
      <c r="L232" s="58"/>
      <c r="M232" s="143" t="s">
        <v>539</v>
      </c>
      <c r="N232" s="143" t="s">
        <v>540</v>
      </c>
      <c r="O232" s="143" t="s">
        <v>541</v>
      </c>
      <c r="P232" s="143" t="s">
        <v>542</v>
      </c>
      <c r="Q232" s="143" t="s">
        <v>543</v>
      </c>
      <c r="R232" s="143" t="s">
        <v>544</v>
      </c>
    </row>
    <row r="233" customFormat="false" ht="21.75" hidden="false" customHeight="true" outlineLevel="0" collapsed="false">
      <c r="A233" s="59" t="n">
        <f aca="false">IF('Calendario C'!A33="","",'Calendario C'!A33)</f>
        <v>64</v>
      </c>
      <c r="B233" s="42" t="str">
        <f aca="false">IF('Calendario C'!B33="","",'Calendario C'!B33)</f>
        <v>Vipere Vivaci</v>
      </c>
      <c r="C233" s="43" t="str">
        <f aca="false">IF('Calendario C'!C33="","",'Calendario C'!C33)</f>
        <v>C03</v>
      </c>
      <c r="D233" s="42" t="str">
        <f aca="false">IF('Calendario C'!D33="","",'Calendario C'!D33)</f>
        <v>Zebre Zelanti</v>
      </c>
      <c r="E233" s="43" t="str">
        <f aca="false">IF('Calendario C'!E33="","",'Calendario C'!E33)</f>
        <v>C04</v>
      </c>
      <c r="F233" s="44" t="n">
        <f aca="false">IF('Calendario C'!F33="","",'Calendario C'!F33)</f>
        <v>46334.7083333333</v>
      </c>
      <c r="G233" s="44"/>
      <c r="H233" s="44"/>
      <c r="I233" s="44"/>
      <c r="J233" s="137" t="n">
        <f aca="false">IF('Calendario C'!J33="","",'Calendario C'!J33)</f>
        <v>63</v>
      </c>
      <c r="K233" s="138" t="s">
        <v>339</v>
      </c>
      <c r="L233" s="137" t="n">
        <f aca="false">IF('Calendario C'!L33="","",'Calendario C'!L33)</f>
        <v>84</v>
      </c>
      <c r="M233" s="139"/>
      <c r="N233" s="139"/>
      <c r="O233" s="139"/>
      <c r="P233" s="139"/>
      <c r="Q233" s="139"/>
      <c r="R233" s="139"/>
    </row>
    <row r="234" customFormat="false" ht="15" hidden="false" customHeight="true" outlineLevel="0" collapsed="false">
      <c r="A234" s="59"/>
      <c r="B234" s="48" t="str">
        <f aca="false">IF('Calendario C'!B34="","",'Calendario C'!B34)</f>
        <v>PalaUpupe, Via dello Sport 18, Upupeopoli UE</v>
      </c>
      <c r="C234" s="48"/>
      <c r="D234" s="48"/>
      <c r="E234" s="48"/>
      <c r="F234" s="48"/>
      <c r="G234" s="48"/>
      <c r="H234" s="48"/>
      <c r="I234" s="43" t="str">
        <f aca="false">IF('Calendario C'!I34="","",'Calendario C'!I34)</f>
        <v>C02</v>
      </c>
      <c r="J234" s="137"/>
      <c r="K234" s="137"/>
      <c r="L234" s="137"/>
      <c r="M234" s="137"/>
      <c r="N234" s="137"/>
      <c r="O234" s="137"/>
      <c r="P234" s="137"/>
      <c r="Q234" s="137"/>
      <c r="R234" s="137"/>
    </row>
    <row r="236" customFormat="false" ht="19.5" hidden="false" customHeight="true" outlineLevel="0" collapsed="false">
      <c r="A236" s="56" t="str">
        <f aca="false">IF('Calendario C'!A36="","",'Calendario C'!A36)</f>
        <v>3C</v>
      </c>
      <c r="B236" s="57" t="str">
        <f aca="false">IF('Calendario C'!B36="","",'Calendario C'!B36)</f>
        <v>GIORNATA III - GIRONE C</v>
      </c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142" t="s">
        <v>537</v>
      </c>
      <c r="N236" s="142"/>
      <c r="O236" s="142"/>
      <c r="P236" s="142" t="s">
        <v>538</v>
      </c>
      <c r="Q236" s="142"/>
      <c r="R236" s="142"/>
    </row>
    <row r="237" customFormat="false" ht="13.5" hidden="false" customHeight="true" outlineLevel="0" collapsed="false">
      <c r="A237" s="58" t="s">
        <v>334</v>
      </c>
      <c r="B237" s="58" t="s">
        <v>317</v>
      </c>
      <c r="C237" s="58"/>
      <c r="D237" s="58" t="s">
        <v>324</v>
      </c>
      <c r="E237" s="58"/>
      <c r="F237" s="58" t="s">
        <v>335</v>
      </c>
      <c r="G237" s="58" t="s">
        <v>336</v>
      </c>
      <c r="H237" s="58" t="s">
        <v>337</v>
      </c>
      <c r="I237" s="58"/>
      <c r="J237" s="58" t="s">
        <v>338</v>
      </c>
      <c r="K237" s="58"/>
      <c r="L237" s="58"/>
      <c r="M237" s="143" t="s">
        <v>539</v>
      </c>
      <c r="N237" s="143" t="s">
        <v>540</v>
      </c>
      <c r="O237" s="143" t="s">
        <v>541</v>
      </c>
      <c r="P237" s="143" t="s">
        <v>542</v>
      </c>
      <c r="Q237" s="143" t="s">
        <v>543</v>
      </c>
      <c r="R237" s="143" t="s">
        <v>544</v>
      </c>
    </row>
    <row r="238" customFormat="false" ht="21.75" hidden="false" customHeight="true" outlineLevel="0" collapsed="false">
      <c r="A238" s="59" t="n">
        <f aca="false">IF('Calendario C'!A38="","",'Calendario C'!A38)</f>
        <v>65</v>
      </c>
      <c r="B238" s="42" t="str">
        <f aca="false">IF('Calendario C'!B38="","",'Calendario C'!B38)</f>
        <v>Tigri Tenaci</v>
      </c>
      <c r="C238" s="43" t="str">
        <f aca="false">IF('Calendario C'!C38="","",'Calendario C'!C38)</f>
        <v>C01</v>
      </c>
      <c r="D238" s="42" t="str">
        <f aca="false">IF('Calendario C'!D38="","",'Calendario C'!D38)</f>
        <v>Bisonti Baldanzosi</v>
      </c>
      <c r="E238" s="43" t="str">
        <f aca="false">IF('Calendario C'!E38="","",'Calendario C'!E38)</f>
        <v>C06</v>
      </c>
      <c r="F238" s="44" t="n">
        <f aca="false">IF('Calendario C'!F38="","",'Calendario C'!F38)</f>
        <v>46355.3958333333</v>
      </c>
      <c r="G238" s="44"/>
      <c r="H238" s="44"/>
      <c r="I238" s="44"/>
      <c r="J238" s="137" t="n">
        <f aca="false">IF('Calendario C'!J38="","",'Calendario C'!J38)</f>
        <v>61</v>
      </c>
      <c r="K238" s="138" t="s">
        <v>339</v>
      </c>
      <c r="L238" s="137" t="n">
        <f aca="false">IF('Calendario C'!L38="","",'Calendario C'!L38)</f>
        <v>58</v>
      </c>
      <c r="M238" s="139"/>
      <c r="N238" s="139"/>
      <c r="O238" s="139"/>
      <c r="P238" s="139"/>
      <c r="Q238" s="139"/>
      <c r="R238" s="139"/>
    </row>
    <row r="239" customFormat="false" ht="15" hidden="false" customHeight="true" outlineLevel="0" collapsed="false">
      <c r="A239" s="59"/>
      <c r="B239" s="48" t="str">
        <f aca="false">IF('Calendario C'!B39="","",'Calendario C'!B39)</f>
        <v>PalaVipere, Via dello Sport 19, Vipereopoli VE</v>
      </c>
      <c r="C239" s="48"/>
      <c r="D239" s="48"/>
      <c r="E239" s="48"/>
      <c r="F239" s="48"/>
      <c r="G239" s="48"/>
      <c r="H239" s="48"/>
      <c r="I239" s="43" t="str">
        <f aca="false">IF('Calendario C'!I39="","",'Calendario C'!I39)</f>
        <v>C03</v>
      </c>
      <c r="J239" s="137"/>
      <c r="K239" s="137"/>
      <c r="L239" s="137"/>
      <c r="M239" s="137"/>
      <c r="N239" s="137"/>
      <c r="O239" s="137"/>
      <c r="P239" s="137"/>
      <c r="Q239" s="137"/>
      <c r="R239" s="137"/>
    </row>
    <row r="240" customFormat="false" ht="13.5" hidden="false" customHeight="true" outlineLevel="0" collapsed="false">
      <c r="A240" s="58" t="s">
        <v>334</v>
      </c>
      <c r="B240" s="58" t="s">
        <v>317</v>
      </c>
      <c r="C240" s="58"/>
      <c r="D240" s="58" t="s">
        <v>324</v>
      </c>
      <c r="E240" s="58"/>
      <c r="F240" s="58" t="s">
        <v>335</v>
      </c>
      <c r="G240" s="58" t="s">
        <v>336</v>
      </c>
      <c r="H240" s="58" t="s">
        <v>337</v>
      </c>
      <c r="I240" s="58"/>
      <c r="J240" s="58" t="s">
        <v>338</v>
      </c>
      <c r="K240" s="58"/>
      <c r="L240" s="58"/>
      <c r="M240" s="143" t="s">
        <v>539</v>
      </c>
      <c r="N240" s="143" t="s">
        <v>540</v>
      </c>
      <c r="O240" s="143" t="s">
        <v>541</v>
      </c>
      <c r="P240" s="143" t="s">
        <v>542</v>
      </c>
      <c r="Q240" s="143" t="s">
        <v>543</v>
      </c>
      <c r="R240" s="143" t="s">
        <v>544</v>
      </c>
    </row>
    <row r="241" customFormat="false" ht="21.75" hidden="false" customHeight="true" outlineLevel="0" collapsed="false">
      <c r="A241" s="59" t="n">
        <f aca="false">IF('Calendario C'!A41="","",'Calendario C'!A41)</f>
        <v>66</v>
      </c>
      <c r="B241" s="42" t="str">
        <f aca="false">IF('Calendario C'!B41="","",'Calendario C'!B41)</f>
        <v>Albatri Astuti</v>
      </c>
      <c r="C241" s="43" t="str">
        <f aca="false">IF('Calendario C'!C41="","",'Calendario C'!C41)</f>
        <v>C05</v>
      </c>
      <c r="D241" s="42" t="str">
        <f aca="false">IF('Calendario C'!D41="","",'Calendario C'!D41)</f>
        <v>Cinghiali Caparbi</v>
      </c>
      <c r="E241" s="43" t="str">
        <f aca="false">IF('Calendario C'!E41="","",'Calendario C'!E41)</f>
        <v>C07</v>
      </c>
      <c r="F241" s="44" t="n">
        <f aca="false">IF('Calendario C'!F41="","",'Calendario C'!F41)</f>
        <v>46355.4791666667</v>
      </c>
      <c r="G241" s="44"/>
      <c r="H241" s="44"/>
      <c r="I241" s="44"/>
      <c r="J241" s="137" t="n">
        <f aca="false">IF('Calendario C'!J41="","",'Calendario C'!J41)</f>
        <v>62</v>
      </c>
      <c r="K241" s="138" t="s">
        <v>339</v>
      </c>
      <c r="L241" s="137" t="n">
        <f aca="false">IF('Calendario C'!L41="","",'Calendario C'!L41)</f>
        <v>59</v>
      </c>
      <c r="M241" s="139"/>
      <c r="N241" s="139"/>
      <c r="O241" s="139"/>
      <c r="P241" s="139"/>
      <c r="Q241" s="139"/>
      <c r="R241" s="139"/>
    </row>
    <row r="242" customFormat="false" ht="15" hidden="false" customHeight="true" outlineLevel="0" collapsed="false">
      <c r="A242" s="59"/>
      <c r="B242" s="48" t="str">
        <f aca="false">IF('Calendario C'!B42="","",'Calendario C'!B42)</f>
        <v>PalaVipere, Via dello Sport 19, Vipereopoli VE</v>
      </c>
      <c r="C242" s="48"/>
      <c r="D242" s="48"/>
      <c r="E242" s="48"/>
      <c r="F242" s="48"/>
      <c r="G242" s="48"/>
      <c r="H242" s="48"/>
      <c r="I242" s="43" t="str">
        <f aca="false">IF('Calendario C'!I42="","",'Calendario C'!I42)</f>
        <v>C03</v>
      </c>
      <c r="J242" s="137"/>
      <c r="K242" s="137"/>
      <c r="L242" s="137"/>
      <c r="M242" s="137"/>
      <c r="N242" s="137"/>
      <c r="O242" s="137"/>
      <c r="P242" s="137"/>
      <c r="Q242" s="137"/>
      <c r="R242" s="137"/>
    </row>
    <row r="243" customFormat="false" ht="13.5" hidden="false" customHeight="true" outlineLevel="0" collapsed="false">
      <c r="A243" s="58" t="s">
        <v>334</v>
      </c>
      <c r="B243" s="58" t="s">
        <v>317</v>
      </c>
      <c r="C243" s="58"/>
      <c r="D243" s="58" t="s">
        <v>324</v>
      </c>
      <c r="E243" s="58"/>
      <c r="F243" s="58" t="s">
        <v>335</v>
      </c>
      <c r="G243" s="58" t="s">
        <v>336</v>
      </c>
      <c r="H243" s="58" t="s">
        <v>337</v>
      </c>
      <c r="I243" s="58"/>
      <c r="J243" s="58" t="s">
        <v>338</v>
      </c>
      <c r="K243" s="58"/>
      <c r="L243" s="58"/>
      <c r="M243" s="143" t="s">
        <v>539</v>
      </c>
      <c r="N243" s="143" t="s">
        <v>540</v>
      </c>
      <c r="O243" s="143" t="s">
        <v>541</v>
      </c>
      <c r="P243" s="143" t="s">
        <v>542</v>
      </c>
      <c r="Q243" s="143" t="s">
        <v>543</v>
      </c>
      <c r="R243" s="143" t="s">
        <v>544</v>
      </c>
    </row>
    <row r="244" customFormat="false" ht="21.75" hidden="false" customHeight="true" outlineLevel="0" collapsed="false">
      <c r="A244" s="59" t="n">
        <f aca="false">IF('Calendario C'!A44="","",'Calendario C'!A44)</f>
        <v>67</v>
      </c>
      <c r="B244" s="42" t="str">
        <f aca="false">IF('Calendario C'!B44="","",'Calendario C'!B44)</f>
        <v>Dromedari Danzanti</v>
      </c>
      <c r="C244" s="43" t="str">
        <f aca="false">IF('Calendario C'!C44="","",'Calendario C'!C44)</f>
        <v>C08</v>
      </c>
      <c r="D244" s="42" t="str">
        <f aca="false">IF('Calendario C'!D44="","",'Calendario C'!D44)</f>
        <v>Zebre Zelanti</v>
      </c>
      <c r="E244" s="43" t="str">
        <f aca="false">IF('Calendario C'!E44="","",'Calendario C'!E44)</f>
        <v>C04</v>
      </c>
      <c r="F244" s="44" t="n">
        <f aca="false">IF('Calendario C'!F44="","",'Calendario C'!F44)</f>
        <v>46355.625</v>
      </c>
      <c r="G244" s="44"/>
      <c r="H244" s="44"/>
      <c r="I244" s="44"/>
      <c r="J244" s="137" t="n">
        <f aca="false">IF('Calendario C'!J44="","",'Calendario C'!J44)</f>
        <v>43</v>
      </c>
      <c r="K244" s="138" t="s">
        <v>339</v>
      </c>
      <c r="L244" s="137" t="n">
        <f aca="false">IF('Calendario C'!L44="","",'Calendario C'!L44)</f>
        <v>71</v>
      </c>
      <c r="M244" s="139"/>
      <c r="N244" s="139"/>
      <c r="O244" s="139"/>
      <c r="P244" s="139"/>
      <c r="Q244" s="139"/>
      <c r="R244" s="139"/>
    </row>
    <row r="245" customFormat="false" ht="15" hidden="false" customHeight="true" outlineLevel="0" collapsed="false">
      <c r="A245" s="59"/>
      <c r="B245" s="48" t="str">
        <f aca="false">IF('Calendario C'!B45="","",'Calendario C'!B45)</f>
        <v>PalaVipere, Via dello Sport 19, Vipereopoli VE</v>
      </c>
      <c r="C245" s="48"/>
      <c r="D245" s="48"/>
      <c r="E245" s="48"/>
      <c r="F245" s="48"/>
      <c r="G245" s="48"/>
      <c r="H245" s="48"/>
      <c r="I245" s="43" t="str">
        <f aca="false">IF('Calendario C'!I45="","",'Calendario C'!I45)</f>
        <v>C03</v>
      </c>
      <c r="J245" s="137"/>
      <c r="K245" s="137"/>
      <c r="L245" s="137"/>
      <c r="M245" s="137"/>
      <c r="N245" s="137"/>
      <c r="O245" s="137"/>
      <c r="P245" s="137"/>
      <c r="Q245" s="137"/>
      <c r="R245" s="137"/>
    </row>
    <row r="246" customFormat="false" ht="13.5" hidden="false" customHeight="true" outlineLevel="0" collapsed="false">
      <c r="A246" s="58" t="s">
        <v>334</v>
      </c>
      <c r="B246" s="58" t="s">
        <v>317</v>
      </c>
      <c r="C246" s="58"/>
      <c r="D246" s="58" t="s">
        <v>324</v>
      </c>
      <c r="E246" s="58"/>
      <c r="F246" s="58" t="s">
        <v>335</v>
      </c>
      <c r="G246" s="58" t="s">
        <v>336</v>
      </c>
      <c r="H246" s="58" t="s">
        <v>337</v>
      </c>
      <c r="I246" s="58"/>
      <c r="J246" s="58" t="s">
        <v>338</v>
      </c>
      <c r="K246" s="58"/>
      <c r="L246" s="58"/>
      <c r="M246" s="143" t="s">
        <v>539</v>
      </c>
      <c r="N246" s="143" t="s">
        <v>540</v>
      </c>
      <c r="O246" s="143" t="s">
        <v>541</v>
      </c>
      <c r="P246" s="143" t="s">
        <v>542</v>
      </c>
      <c r="Q246" s="143" t="s">
        <v>543</v>
      </c>
      <c r="R246" s="143" t="s">
        <v>544</v>
      </c>
    </row>
    <row r="247" customFormat="false" ht="21.75" hidden="false" customHeight="true" outlineLevel="0" collapsed="false">
      <c r="A247" s="59" t="n">
        <f aca="false">IF('Calendario C'!A47="","",'Calendario C'!A47)</f>
        <v>68</v>
      </c>
      <c r="B247" s="42" t="str">
        <f aca="false">IF('Calendario C'!B47="","",'Calendario C'!B47)</f>
        <v>Vipere Vivaci</v>
      </c>
      <c r="C247" s="43" t="str">
        <f aca="false">IF('Calendario C'!C47="","",'Calendario C'!C47)</f>
        <v>C03</v>
      </c>
      <c r="D247" s="42" t="str">
        <f aca="false">IF('Calendario C'!D47="","",'Calendario C'!D47)</f>
        <v>Upupe Umoristiche</v>
      </c>
      <c r="E247" s="43" t="str">
        <f aca="false">IF('Calendario C'!E47="","",'Calendario C'!E47)</f>
        <v>C02</v>
      </c>
      <c r="F247" s="44" t="n">
        <f aca="false">IF('Calendario C'!F47="","",'Calendario C'!F47)</f>
        <v>46355.7083333333</v>
      </c>
      <c r="G247" s="44"/>
      <c r="H247" s="44"/>
      <c r="I247" s="44"/>
      <c r="J247" s="137" t="n">
        <f aca="false">IF('Calendario C'!J47="","",'Calendario C'!J47)</f>
        <v>69</v>
      </c>
      <c r="K247" s="138" t="s">
        <v>339</v>
      </c>
      <c r="L247" s="137" t="n">
        <f aca="false">IF('Calendario C'!L47="","",'Calendario C'!L47)</f>
        <v>70</v>
      </c>
      <c r="M247" s="139"/>
      <c r="N247" s="139"/>
      <c r="O247" s="139"/>
      <c r="P247" s="139"/>
      <c r="Q247" s="139"/>
      <c r="R247" s="139"/>
    </row>
    <row r="248" customFormat="false" ht="15" hidden="false" customHeight="true" outlineLevel="0" collapsed="false">
      <c r="A248" s="59"/>
      <c r="B248" s="48" t="str">
        <f aca="false">IF('Calendario C'!B48="","",'Calendario C'!B48)</f>
        <v>PalaVipere, Via dello Sport 19, Vipereopoli VE</v>
      </c>
      <c r="C248" s="48"/>
      <c r="D248" s="48"/>
      <c r="E248" s="48"/>
      <c r="F248" s="48"/>
      <c r="G248" s="48"/>
      <c r="H248" s="48"/>
      <c r="I248" s="43" t="str">
        <f aca="false">IF('Calendario C'!I48="","",'Calendario C'!I48)</f>
        <v>C03</v>
      </c>
      <c r="J248" s="137"/>
      <c r="K248" s="137"/>
      <c r="L248" s="137"/>
      <c r="M248" s="137"/>
      <c r="N248" s="137"/>
      <c r="O248" s="137"/>
      <c r="P248" s="137"/>
      <c r="Q248" s="137"/>
      <c r="R248" s="137"/>
    </row>
    <row r="250" customFormat="false" ht="19.5" hidden="false" customHeight="true" outlineLevel="0" collapsed="false">
      <c r="A250" s="56" t="str">
        <f aca="false">IF('Calendario C'!A50="","",'Calendario C'!A50)</f>
        <v>4C</v>
      </c>
      <c r="B250" s="57" t="str">
        <f aca="false">IF('Calendario C'!B50="","",'Calendario C'!B50)</f>
        <v>GIORNATA IV - GIRONE C</v>
      </c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142" t="s">
        <v>537</v>
      </c>
      <c r="N250" s="142"/>
      <c r="O250" s="142"/>
      <c r="P250" s="142" t="s">
        <v>538</v>
      </c>
      <c r="Q250" s="142"/>
      <c r="R250" s="142"/>
    </row>
    <row r="251" customFormat="false" ht="13.5" hidden="false" customHeight="true" outlineLevel="0" collapsed="false">
      <c r="A251" s="58" t="s">
        <v>334</v>
      </c>
      <c r="B251" s="58" t="s">
        <v>317</v>
      </c>
      <c r="C251" s="58"/>
      <c r="D251" s="58" t="s">
        <v>324</v>
      </c>
      <c r="E251" s="58"/>
      <c r="F251" s="58" t="s">
        <v>335</v>
      </c>
      <c r="G251" s="58" t="s">
        <v>336</v>
      </c>
      <c r="H251" s="58" t="s">
        <v>337</v>
      </c>
      <c r="I251" s="58"/>
      <c r="J251" s="58" t="s">
        <v>338</v>
      </c>
      <c r="K251" s="58"/>
      <c r="L251" s="58"/>
      <c r="M251" s="143" t="s">
        <v>539</v>
      </c>
      <c r="N251" s="143" t="s">
        <v>540</v>
      </c>
      <c r="O251" s="143" t="s">
        <v>541</v>
      </c>
      <c r="P251" s="143" t="s">
        <v>542</v>
      </c>
      <c r="Q251" s="143" t="s">
        <v>543</v>
      </c>
      <c r="R251" s="143" t="s">
        <v>544</v>
      </c>
    </row>
    <row r="252" customFormat="false" ht="21.75" hidden="false" customHeight="true" outlineLevel="0" collapsed="false">
      <c r="A252" s="59" t="n">
        <f aca="false">IF('Calendario C'!A52="","",'Calendario C'!A52)</f>
        <v>69</v>
      </c>
      <c r="B252" s="42" t="str">
        <f aca="false">IF('Calendario C'!B52="","",'Calendario C'!B52)</f>
        <v>Albatri Astuti</v>
      </c>
      <c r="C252" s="43" t="str">
        <f aca="false">IF('Calendario C'!C52="","",'Calendario C'!C52)</f>
        <v>C05</v>
      </c>
      <c r="D252" s="42" t="str">
        <f aca="false">IF('Calendario C'!D52="","",'Calendario C'!D52)</f>
        <v>Tigri Tenaci</v>
      </c>
      <c r="E252" s="43" t="str">
        <f aca="false">IF('Calendario C'!E52="","",'Calendario C'!E52)</f>
        <v>C01</v>
      </c>
      <c r="F252" s="44" t="n">
        <f aca="false">IF('Calendario C'!F52="","",'Calendario C'!F52)</f>
        <v>46369.3958333333</v>
      </c>
      <c r="G252" s="44"/>
      <c r="H252" s="44"/>
      <c r="I252" s="44"/>
      <c r="J252" s="137" t="n">
        <f aca="false">IF('Calendario C'!J52="","",'Calendario C'!J52)</f>
        <v>60</v>
      </c>
      <c r="K252" s="138" t="s">
        <v>339</v>
      </c>
      <c r="L252" s="137" t="n">
        <f aca="false">IF('Calendario C'!L52="","",'Calendario C'!L52)</f>
        <v>67</v>
      </c>
      <c r="M252" s="139"/>
      <c r="N252" s="139"/>
      <c r="O252" s="139"/>
      <c r="P252" s="139"/>
      <c r="Q252" s="139"/>
      <c r="R252" s="139"/>
    </row>
    <row r="253" customFormat="false" ht="15" hidden="false" customHeight="true" outlineLevel="0" collapsed="false">
      <c r="A253" s="59"/>
      <c r="B253" s="48" t="str">
        <f aca="false">IF('Calendario C'!B53="","",'Calendario C'!B53)</f>
        <v>PalaZebre, Via dello Sport 20, Zebreopoli ZE</v>
      </c>
      <c r="C253" s="48"/>
      <c r="D253" s="48"/>
      <c r="E253" s="48"/>
      <c r="F253" s="48"/>
      <c r="G253" s="48"/>
      <c r="H253" s="48"/>
      <c r="I253" s="43" t="str">
        <f aca="false">IF('Calendario C'!I53="","",'Calendario C'!I53)</f>
        <v>C04</v>
      </c>
      <c r="J253" s="137"/>
      <c r="K253" s="137"/>
      <c r="L253" s="137"/>
      <c r="M253" s="137"/>
      <c r="N253" s="137"/>
      <c r="O253" s="137"/>
      <c r="P253" s="137"/>
      <c r="Q253" s="137"/>
      <c r="R253" s="137"/>
    </row>
    <row r="254" customFormat="false" ht="13.5" hidden="false" customHeight="true" outlineLevel="0" collapsed="false">
      <c r="A254" s="58" t="s">
        <v>334</v>
      </c>
      <c r="B254" s="58" t="s">
        <v>317</v>
      </c>
      <c r="C254" s="58"/>
      <c r="D254" s="58" t="s">
        <v>324</v>
      </c>
      <c r="E254" s="58"/>
      <c r="F254" s="58" t="s">
        <v>335</v>
      </c>
      <c r="G254" s="58" t="s">
        <v>336</v>
      </c>
      <c r="H254" s="58" t="s">
        <v>337</v>
      </c>
      <c r="I254" s="58"/>
      <c r="J254" s="58" t="s">
        <v>338</v>
      </c>
      <c r="K254" s="58"/>
      <c r="L254" s="58"/>
      <c r="M254" s="143" t="s">
        <v>539</v>
      </c>
      <c r="N254" s="143" t="s">
        <v>540</v>
      </c>
      <c r="O254" s="143" t="s">
        <v>541</v>
      </c>
      <c r="P254" s="143" t="s">
        <v>542</v>
      </c>
      <c r="Q254" s="143" t="s">
        <v>543</v>
      </c>
      <c r="R254" s="143" t="s">
        <v>544</v>
      </c>
    </row>
    <row r="255" customFormat="false" ht="21.75" hidden="false" customHeight="true" outlineLevel="0" collapsed="false">
      <c r="A255" s="59" t="n">
        <f aca="false">IF('Calendario C'!A55="","",'Calendario C'!A55)</f>
        <v>70</v>
      </c>
      <c r="B255" s="42" t="str">
        <f aca="false">IF('Calendario C'!B55="","",'Calendario C'!B55)</f>
        <v>Bisonti Baldanzosi</v>
      </c>
      <c r="C255" s="43" t="str">
        <f aca="false">IF('Calendario C'!C55="","",'Calendario C'!C55)</f>
        <v>C06</v>
      </c>
      <c r="D255" s="42" t="str">
        <f aca="false">IF('Calendario C'!D55="","",'Calendario C'!D55)</f>
        <v>Zebre Zelanti</v>
      </c>
      <c r="E255" s="43" t="str">
        <f aca="false">IF('Calendario C'!E55="","",'Calendario C'!E55)</f>
        <v>C04</v>
      </c>
      <c r="F255" s="44" t="n">
        <f aca="false">IF('Calendario C'!F55="","",'Calendario C'!F55)</f>
        <v>46369.4791666667</v>
      </c>
      <c r="G255" s="44"/>
      <c r="H255" s="44"/>
      <c r="I255" s="44"/>
      <c r="J255" s="137" t="n">
        <f aca="false">IF('Calendario C'!J55="","",'Calendario C'!J55)</f>
        <v>58</v>
      </c>
      <c r="K255" s="138" t="s">
        <v>339</v>
      </c>
      <c r="L255" s="137" t="n">
        <f aca="false">IF('Calendario C'!L55="","",'Calendario C'!L55)</f>
        <v>61</v>
      </c>
      <c r="M255" s="139"/>
      <c r="N255" s="139"/>
      <c r="O255" s="139"/>
      <c r="P255" s="139"/>
      <c r="Q255" s="139"/>
      <c r="R255" s="139"/>
    </row>
    <row r="256" customFormat="false" ht="15" hidden="false" customHeight="true" outlineLevel="0" collapsed="false">
      <c r="A256" s="59"/>
      <c r="B256" s="48" t="str">
        <f aca="false">IF('Calendario C'!B56="","",'Calendario C'!B56)</f>
        <v>PalaZebre, Via dello Sport 20, Zebreopoli ZE</v>
      </c>
      <c r="C256" s="48"/>
      <c r="D256" s="48"/>
      <c r="E256" s="48"/>
      <c r="F256" s="48"/>
      <c r="G256" s="48"/>
      <c r="H256" s="48"/>
      <c r="I256" s="43" t="str">
        <f aca="false">IF('Calendario C'!I56="","",'Calendario C'!I56)</f>
        <v>C04</v>
      </c>
      <c r="J256" s="137"/>
      <c r="K256" s="137"/>
      <c r="L256" s="137"/>
      <c r="M256" s="137"/>
      <c r="N256" s="137"/>
      <c r="O256" s="137"/>
      <c r="P256" s="137"/>
      <c r="Q256" s="137"/>
      <c r="R256" s="137"/>
    </row>
    <row r="257" customFormat="false" ht="13.5" hidden="false" customHeight="true" outlineLevel="0" collapsed="false">
      <c r="A257" s="58" t="s">
        <v>334</v>
      </c>
      <c r="B257" s="58" t="s">
        <v>317</v>
      </c>
      <c r="C257" s="58"/>
      <c r="D257" s="58" t="s">
        <v>324</v>
      </c>
      <c r="E257" s="58"/>
      <c r="F257" s="58" t="s">
        <v>335</v>
      </c>
      <c r="G257" s="58" t="s">
        <v>336</v>
      </c>
      <c r="H257" s="58" t="s">
        <v>337</v>
      </c>
      <c r="I257" s="58"/>
      <c r="J257" s="58" t="s">
        <v>338</v>
      </c>
      <c r="K257" s="58"/>
      <c r="L257" s="58"/>
      <c r="M257" s="143" t="s">
        <v>539</v>
      </c>
      <c r="N257" s="143" t="s">
        <v>540</v>
      </c>
      <c r="O257" s="143" t="s">
        <v>541</v>
      </c>
      <c r="P257" s="143" t="s">
        <v>542</v>
      </c>
      <c r="Q257" s="143" t="s">
        <v>543</v>
      </c>
      <c r="R257" s="143" t="s">
        <v>544</v>
      </c>
    </row>
    <row r="258" customFormat="false" ht="21.75" hidden="false" customHeight="true" outlineLevel="0" collapsed="false">
      <c r="A258" s="59" t="n">
        <f aca="false">IF('Calendario C'!A58="","",'Calendario C'!A58)</f>
        <v>71</v>
      </c>
      <c r="B258" s="42" t="str">
        <f aca="false">IF('Calendario C'!B58="","",'Calendario C'!B58)</f>
        <v>Vipere Vivaci</v>
      </c>
      <c r="C258" s="43" t="str">
        <f aca="false">IF('Calendario C'!C58="","",'Calendario C'!C58)</f>
        <v>C03</v>
      </c>
      <c r="D258" s="42" t="str">
        <f aca="false">IF('Calendario C'!D58="","",'Calendario C'!D58)</f>
        <v>Cinghiali Caparbi</v>
      </c>
      <c r="E258" s="43" t="str">
        <f aca="false">IF('Calendario C'!E58="","",'Calendario C'!E58)</f>
        <v>C07</v>
      </c>
      <c r="F258" s="44" t="n">
        <f aca="false">IF('Calendario C'!F58="","",'Calendario C'!F58)</f>
        <v>46369.625</v>
      </c>
      <c r="G258" s="44"/>
      <c r="H258" s="44"/>
      <c r="I258" s="44"/>
      <c r="J258" s="137" t="n">
        <f aca="false">IF('Calendario C'!J58="","",'Calendario C'!J58)</f>
        <v>37</v>
      </c>
      <c r="K258" s="138" t="s">
        <v>339</v>
      </c>
      <c r="L258" s="137" t="n">
        <f aca="false">IF('Calendario C'!L58="","",'Calendario C'!L58)</f>
        <v>73</v>
      </c>
      <c r="M258" s="139"/>
      <c r="N258" s="139"/>
      <c r="O258" s="139"/>
      <c r="P258" s="139"/>
      <c r="Q258" s="139"/>
      <c r="R258" s="139"/>
    </row>
    <row r="259" customFormat="false" ht="15" hidden="false" customHeight="true" outlineLevel="0" collapsed="false">
      <c r="A259" s="59"/>
      <c r="B259" s="48" t="str">
        <f aca="false">IF('Calendario C'!B59="","",'Calendario C'!B59)</f>
        <v>PalaZebre, Via dello Sport 20, Zebreopoli ZE</v>
      </c>
      <c r="C259" s="48"/>
      <c r="D259" s="48"/>
      <c r="E259" s="48"/>
      <c r="F259" s="48"/>
      <c r="G259" s="48"/>
      <c r="H259" s="48"/>
      <c r="I259" s="43" t="str">
        <f aca="false">IF('Calendario C'!I59="","",'Calendario C'!I59)</f>
        <v>C04</v>
      </c>
      <c r="J259" s="137"/>
      <c r="K259" s="137"/>
      <c r="L259" s="137"/>
      <c r="M259" s="137"/>
      <c r="N259" s="137"/>
      <c r="O259" s="137"/>
      <c r="P259" s="137"/>
      <c r="Q259" s="137"/>
      <c r="R259" s="137"/>
    </row>
    <row r="260" customFormat="false" ht="13.5" hidden="false" customHeight="true" outlineLevel="0" collapsed="false">
      <c r="A260" s="58" t="s">
        <v>334</v>
      </c>
      <c r="B260" s="58" t="s">
        <v>317</v>
      </c>
      <c r="C260" s="58"/>
      <c r="D260" s="58" t="s">
        <v>324</v>
      </c>
      <c r="E260" s="58"/>
      <c r="F260" s="58" t="s">
        <v>335</v>
      </c>
      <c r="G260" s="58" t="s">
        <v>336</v>
      </c>
      <c r="H260" s="58" t="s">
        <v>337</v>
      </c>
      <c r="I260" s="58"/>
      <c r="J260" s="58" t="s">
        <v>338</v>
      </c>
      <c r="K260" s="58"/>
      <c r="L260" s="58"/>
      <c r="M260" s="143" t="s">
        <v>539</v>
      </c>
      <c r="N260" s="143" t="s">
        <v>540</v>
      </c>
      <c r="O260" s="143" t="s">
        <v>541</v>
      </c>
      <c r="P260" s="143" t="s">
        <v>542</v>
      </c>
      <c r="Q260" s="143" t="s">
        <v>543</v>
      </c>
      <c r="R260" s="143" t="s">
        <v>544</v>
      </c>
    </row>
    <row r="261" customFormat="false" ht="21.75" hidden="false" customHeight="true" outlineLevel="0" collapsed="false">
      <c r="A261" s="59" t="n">
        <f aca="false">IF('Calendario C'!A61="","",'Calendario C'!A61)</f>
        <v>72</v>
      </c>
      <c r="B261" s="42" t="str">
        <f aca="false">IF('Calendario C'!B61="","",'Calendario C'!B61)</f>
        <v>Dromedari Danzanti</v>
      </c>
      <c r="C261" s="43" t="str">
        <f aca="false">IF('Calendario C'!C61="","",'Calendario C'!C61)</f>
        <v>C08</v>
      </c>
      <c r="D261" s="42" t="str">
        <f aca="false">IF('Calendario C'!D61="","",'Calendario C'!D61)</f>
        <v>Upupe Umoristiche</v>
      </c>
      <c r="E261" s="43" t="str">
        <f aca="false">IF('Calendario C'!E61="","",'Calendario C'!E61)</f>
        <v>C02</v>
      </c>
      <c r="F261" s="44" t="n">
        <f aca="false">IF('Calendario C'!F61="","",'Calendario C'!F61)</f>
        <v>46369.7083333333</v>
      </c>
      <c r="G261" s="44"/>
      <c r="H261" s="44"/>
      <c r="I261" s="44"/>
      <c r="J261" s="137" t="n">
        <f aca="false">IF('Calendario C'!J61="","",'Calendario C'!J61)</f>
        <v>48</v>
      </c>
      <c r="K261" s="138" t="s">
        <v>339</v>
      </c>
      <c r="L261" s="137" t="n">
        <f aca="false">IF('Calendario C'!L61="","",'Calendario C'!L61)</f>
        <v>64</v>
      </c>
      <c r="M261" s="139"/>
      <c r="N261" s="139"/>
      <c r="O261" s="139"/>
      <c r="P261" s="139"/>
      <c r="Q261" s="139"/>
      <c r="R261" s="139"/>
    </row>
    <row r="262" customFormat="false" ht="15" hidden="false" customHeight="true" outlineLevel="0" collapsed="false">
      <c r="A262" s="59"/>
      <c r="B262" s="48" t="str">
        <f aca="false">IF('Calendario C'!B62="","",'Calendario C'!B62)</f>
        <v>PalaZebre, Via dello Sport 20, Zebreopoli ZE</v>
      </c>
      <c r="C262" s="48"/>
      <c r="D262" s="48"/>
      <c r="E262" s="48"/>
      <c r="F262" s="48"/>
      <c r="G262" s="48"/>
      <c r="H262" s="48"/>
      <c r="I262" s="43" t="str">
        <f aca="false">IF('Calendario C'!I62="","",'Calendario C'!I62)</f>
        <v>C04</v>
      </c>
      <c r="J262" s="137"/>
      <c r="K262" s="137"/>
      <c r="L262" s="137"/>
      <c r="M262" s="137"/>
      <c r="N262" s="137"/>
      <c r="O262" s="137"/>
      <c r="P262" s="137"/>
      <c r="Q262" s="137"/>
      <c r="R262" s="137"/>
    </row>
    <row r="264" customFormat="false" ht="19.5" hidden="false" customHeight="true" outlineLevel="0" collapsed="false">
      <c r="A264" s="56" t="str">
        <f aca="false">IF('Calendario C'!A64="","",'Calendario C'!A64)</f>
        <v>5C</v>
      </c>
      <c r="B264" s="57" t="str">
        <f aca="false">IF('Calendario C'!B64="","",'Calendario C'!B64)</f>
        <v>GIORNATA V - GIRONE C</v>
      </c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142" t="s">
        <v>537</v>
      </c>
      <c r="N264" s="142"/>
      <c r="O264" s="142"/>
      <c r="P264" s="142" t="s">
        <v>538</v>
      </c>
      <c r="Q264" s="142"/>
      <c r="R264" s="142"/>
    </row>
    <row r="265" customFormat="false" ht="13.5" hidden="false" customHeight="true" outlineLevel="0" collapsed="false">
      <c r="A265" s="58" t="s">
        <v>334</v>
      </c>
      <c r="B265" s="58" t="s">
        <v>317</v>
      </c>
      <c r="C265" s="58"/>
      <c r="D265" s="58" t="s">
        <v>324</v>
      </c>
      <c r="E265" s="58"/>
      <c r="F265" s="58" t="s">
        <v>335</v>
      </c>
      <c r="G265" s="58" t="s">
        <v>336</v>
      </c>
      <c r="H265" s="58" t="s">
        <v>337</v>
      </c>
      <c r="I265" s="58"/>
      <c r="J265" s="58" t="s">
        <v>338</v>
      </c>
      <c r="K265" s="58"/>
      <c r="L265" s="58"/>
      <c r="M265" s="143" t="s">
        <v>539</v>
      </c>
      <c r="N265" s="143" t="s">
        <v>540</v>
      </c>
      <c r="O265" s="143" t="s">
        <v>541</v>
      </c>
      <c r="P265" s="143" t="s">
        <v>542</v>
      </c>
      <c r="Q265" s="143" t="s">
        <v>543</v>
      </c>
      <c r="R265" s="143" t="s">
        <v>544</v>
      </c>
    </row>
    <row r="266" customFormat="false" ht="21.75" hidden="false" customHeight="true" outlineLevel="0" collapsed="false">
      <c r="A266" s="59" t="n">
        <f aca="false">IF('Calendario C'!A66="","",'Calendario C'!A66)</f>
        <v>73</v>
      </c>
      <c r="B266" s="42" t="str">
        <f aca="false">IF('Calendario C'!B66="","",'Calendario C'!B66)</f>
        <v>Tigri Tenaci</v>
      </c>
      <c r="C266" s="43" t="str">
        <f aca="false">IF('Calendario C'!C66="","",'Calendario C'!C66)</f>
        <v>C01</v>
      </c>
      <c r="D266" s="42" t="str">
        <f aca="false">IF('Calendario C'!D66="","",'Calendario C'!D66)</f>
        <v>Zebre Zelanti</v>
      </c>
      <c r="E266" s="43" t="str">
        <f aca="false">IF('Calendario C'!E66="","",'Calendario C'!E66)</f>
        <v>C04</v>
      </c>
      <c r="F266" s="44" t="n">
        <f aca="false">IF('Calendario C'!F66="","",'Calendario C'!F66)</f>
        <v>46411.3958333333</v>
      </c>
      <c r="G266" s="44"/>
      <c r="H266" s="44"/>
      <c r="I266" s="44"/>
      <c r="J266" s="137" t="n">
        <f aca="false">IF('Calendario C'!J66="","",'Calendario C'!J66)</f>
        <v>69</v>
      </c>
      <c r="K266" s="138" t="s">
        <v>339</v>
      </c>
      <c r="L266" s="137" t="n">
        <f aca="false">IF('Calendario C'!L66="","",'Calendario C'!L66)</f>
        <v>73</v>
      </c>
      <c r="M266" s="139"/>
      <c r="N266" s="139"/>
      <c r="O266" s="139"/>
      <c r="P266" s="139"/>
      <c r="Q266" s="139"/>
      <c r="R266" s="139"/>
    </row>
    <row r="267" customFormat="false" ht="15" hidden="false" customHeight="true" outlineLevel="0" collapsed="false">
      <c r="A267" s="59"/>
      <c r="B267" s="48" t="str">
        <f aca="false">IF('Calendario C'!B67="","",'Calendario C'!B67)</f>
        <v>PalaAlbatri, Via dello Sport 1, Albatriopoli AI</v>
      </c>
      <c r="C267" s="48"/>
      <c r="D267" s="48"/>
      <c r="E267" s="48"/>
      <c r="F267" s="48"/>
      <c r="G267" s="48"/>
      <c r="H267" s="48"/>
      <c r="I267" s="43" t="str">
        <f aca="false">IF('Calendario C'!I67="","",'Calendario C'!I67)</f>
        <v>C05</v>
      </c>
      <c r="J267" s="137"/>
      <c r="K267" s="137"/>
      <c r="L267" s="137"/>
      <c r="M267" s="137"/>
      <c r="N267" s="137"/>
      <c r="O267" s="137"/>
      <c r="P267" s="137"/>
      <c r="Q267" s="137"/>
      <c r="R267" s="137"/>
    </row>
    <row r="268" customFormat="false" ht="13.5" hidden="false" customHeight="true" outlineLevel="0" collapsed="false">
      <c r="A268" s="58" t="s">
        <v>334</v>
      </c>
      <c r="B268" s="58" t="s">
        <v>317</v>
      </c>
      <c r="C268" s="58"/>
      <c r="D268" s="58" t="s">
        <v>324</v>
      </c>
      <c r="E268" s="58"/>
      <c r="F268" s="58" t="s">
        <v>335</v>
      </c>
      <c r="G268" s="58" t="s">
        <v>336</v>
      </c>
      <c r="H268" s="58" t="s">
        <v>337</v>
      </c>
      <c r="I268" s="58"/>
      <c r="J268" s="58" t="s">
        <v>338</v>
      </c>
      <c r="K268" s="58"/>
      <c r="L268" s="58"/>
      <c r="M268" s="143" t="s">
        <v>539</v>
      </c>
      <c r="N268" s="143" t="s">
        <v>540</v>
      </c>
      <c r="O268" s="143" t="s">
        <v>541</v>
      </c>
      <c r="P268" s="143" t="s">
        <v>542</v>
      </c>
      <c r="Q268" s="143" t="s">
        <v>543</v>
      </c>
      <c r="R268" s="143" t="s">
        <v>544</v>
      </c>
    </row>
    <row r="269" customFormat="false" ht="21.75" hidden="false" customHeight="true" outlineLevel="0" collapsed="false">
      <c r="A269" s="59" t="n">
        <f aca="false">IF('Calendario C'!A69="","",'Calendario C'!A69)</f>
        <v>74</v>
      </c>
      <c r="B269" s="42" t="str">
        <f aca="false">IF('Calendario C'!B69="","",'Calendario C'!B69)</f>
        <v>Vipere Vivaci</v>
      </c>
      <c r="C269" s="43" t="str">
        <f aca="false">IF('Calendario C'!C69="","",'Calendario C'!C69)</f>
        <v>C03</v>
      </c>
      <c r="D269" s="42" t="str">
        <f aca="false">IF('Calendario C'!D69="","",'Calendario C'!D69)</f>
        <v>Albatri Astuti</v>
      </c>
      <c r="E269" s="43" t="str">
        <f aca="false">IF('Calendario C'!E69="","",'Calendario C'!E69)</f>
        <v>C05</v>
      </c>
      <c r="F269" s="44" t="n">
        <f aca="false">IF('Calendario C'!F69="","",'Calendario C'!F69)</f>
        <v>46411.4791666667</v>
      </c>
      <c r="G269" s="44"/>
      <c r="H269" s="44"/>
      <c r="I269" s="44"/>
      <c r="J269" s="137" t="n">
        <f aca="false">IF('Calendario C'!J69="","",'Calendario C'!J69)</f>
        <v>56</v>
      </c>
      <c r="K269" s="138" t="s">
        <v>339</v>
      </c>
      <c r="L269" s="137" t="n">
        <f aca="false">IF('Calendario C'!L69="","",'Calendario C'!L69)</f>
        <v>76</v>
      </c>
      <c r="M269" s="139"/>
      <c r="N269" s="139"/>
      <c r="O269" s="139"/>
      <c r="P269" s="139"/>
      <c r="Q269" s="139"/>
      <c r="R269" s="139"/>
    </row>
    <row r="270" customFormat="false" ht="15" hidden="false" customHeight="true" outlineLevel="0" collapsed="false">
      <c r="A270" s="59"/>
      <c r="B270" s="48" t="str">
        <f aca="false">IF('Calendario C'!B70="","",'Calendario C'!B70)</f>
        <v>PalaAlbatri, Via dello Sport 1, Albatriopoli AI</v>
      </c>
      <c r="C270" s="48"/>
      <c r="D270" s="48"/>
      <c r="E270" s="48"/>
      <c r="F270" s="48"/>
      <c r="G270" s="48"/>
      <c r="H270" s="48"/>
      <c r="I270" s="43" t="str">
        <f aca="false">IF('Calendario C'!I70="","",'Calendario C'!I70)</f>
        <v>C05</v>
      </c>
      <c r="J270" s="137"/>
      <c r="K270" s="137"/>
      <c r="L270" s="137"/>
      <c r="M270" s="137"/>
      <c r="N270" s="137"/>
      <c r="O270" s="137"/>
      <c r="P270" s="137"/>
      <c r="Q270" s="137"/>
      <c r="R270" s="137"/>
    </row>
    <row r="271" customFormat="false" ht="13.5" hidden="false" customHeight="true" outlineLevel="0" collapsed="false">
      <c r="A271" s="58" t="s">
        <v>334</v>
      </c>
      <c r="B271" s="58" t="s">
        <v>317</v>
      </c>
      <c r="C271" s="58"/>
      <c r="D271" s="58" t="s">
        <v>324</v>
      </c>
      <c r="E271" s="58"/>
      <c r="F271" s="58" t="s">
        <v>335</v>
      </c>
      <c r="G271" s="58" t="s">
        <v>336</v>
      </c>
      <c r="H271" s="58" t="s">
        <v>337</v>
      </c>
      <c r="I271" s="58"/>
      <c r="J271" s="58" t="s">
        <v>338</v>
      </c>
      <c r="K271" s="58"/>
      <c r="L271" s="58"/>
      <c r="M271" s="143" t="s">
        <v>539</v>
      </c>
      <c r="N271" s="143" t="s">
        <v>540</v>
      </c>
      <c r="O271" s="143" t="s">
        <v>541</v>
      </c>
      <c r="P271" s="143" t="s">
        <v>542</v>
      </c>
      <c r="Q271" s="143" t="s">
        <v>543</v>
      </c>
      <c r="R271" s="143" t="s">
        <v>544</v>
      </c>
    </row>
    <row r="272" customFormat="false" ht="21.75" hidden="false" customHeight="true" outlineLevel="0" collapsed="false">
      <c r="A272" s="59" t="n">
        <f aca="false">IF('Calendario C'!A72="","",'Calendario C'!A72)</f>
        <v>75</v>
      </c>
      <c r="B272" s="42" t="str">
        <f aca="false">IF('Calendario C'!B72="","",'Calendario C'!B72)</f>
        <v>Bisonti Baldanzosi</v>
      </c>
      <c r="C272" s="43" t="str">
        <f aca="false">IF('Calendario C'!C72="","",'Calendario C'!C72)</f>
        <v>C06</v>
      </c>
      <c r="D272" s="42" t="str">
        <f aca="false">IF('Calendario C'!D72="","",'Calendario C'!D72)</f>
        <v>Upupe Umoristiche</v>
      </c>
      <c r="E272" s="43" t="str">
        <f aca="false">IF('Calendario C'!E72="","",'Calendario C'!E72)</f>
        <v>C02</v>
      </c>
      <c r="F272" s="44" t="n">
        <f aca="false">IF('Calendario C'!F72="","",'Calendario C'!F72)</f>
        <v>46411.625</v>
      </c>
      <c r="G272" s="44"/>
      <c r="H272" s="44"/>
      <c r="I272" s="44"/>
      <c r="J272" s="137" t="n">
        <f aca="false">IF('Calendario C'!J72="","",'Calendario C'!J72)</f>
        <v>60</v>
      </c>
      <c r="K272" s="138" t="s">
        <v>339</v>
      </c>
      <c r="L272" s="137" t="n">
        <f aca="false">IF('Calendario C'!L72="","",'Calendario C'!L72)</f>
        <v>56</v>
      </c>
      <c r="M272" s="139"/>
      <c r="N272" s="139"/>
      <c r="O272" s="139"/>
      <c r="P272" s="139"/>
      <c r="Q272" s="139"/>
      <c r="R272" s="139"/>
    </row>
    <row r="273" customFormat="false" ht="15" hidden="false" customHeight="true" outlineLevel="0" collapsed="false">
      <c r="A273" s="59"/>
      <c r="B273" s="48" t="str">
        <f aca="false">IF('Calendario C'!B73="","",'Calendario C'!B73)</f>
        <v>PalaAlbatri, Via dello Sport 1, Albatriopoli AI</v>
      </c>
      <c r="C273" s="48"/>
      <c r="D273" s="48"/>
      <c r="E273" s="48"/>
      <c r="F273" s="48"/>
      <c r="G273" s="48"/>
      <c r="H273" s="48"/>
      <c r="I273" s="43" t="str">
        <f aca="false">IF('Calendario C'!I73="","",'Calendario C'!I73)</f>
        <v>C05</v>
      </c>
      <c r="J273" s="137"/>
      <c r="K273" s="137"/>
      <c r="L273" s="137"/>
      <c r="M273" s="137"/>
      <c r="N273" s="137"/>
      <c r="O273" s="137"/>
      <c r="P273" s="137"/>
      <c r="Q273" s="137"/>
      <c r="R273" s="137"/>
    </row>
    <row r="274" customFormat="false" ht="13.5" hidden="false" customHeight="true" outlineLevel="0" collapsed="false">
      <c r="A274" s="58" t="s">
        <v>334</v>
      </c>
      <c r="B274" s="58" t="s">
        <v>317</v>
      </c>
      <c r="C274" s="58"/>
      <c r="D274" s="58" t="s">
        <v>324</v>
      </c>
      <c r="E274" s="58"/>
      <c r="F274" s="58" t="s">
        <v>335</v>
      </c>
      <c r="G274" s="58" t="s">
        <v>336</v>
      </c>
      <c r="H274" s="58" t="s">
        <v>337</v>
      </c>
      <c r="I274" s="58"/>
      <c r="J274" s="58" t="s">
        <v>338</v>
      </c>
      <c r="K274" s="58"/>
      <c r="L274" s="58"/>
      <c r="M274" s="143" t="s">
        <v>539</v>
      </c>
      <c r="N274" s="143" t="s">
        <v>540</v>
      </c>
      <c r="O274" s="143" t="s">
        <v>541</v>
      </c>
      <c r="P274" s="143" t="s">
        <v>542</v>
      </c>
      <c r="Q274" s="143" t="s">
        <v>543</v>
      </c>
      <c r="R274" s="143" t="s">
        <v>544</v>
      </c>
    </row>
    <row r="275" customFormat="false" ht="21.75" hidden="false" customHeight="true" outlineLevel="0" collapsed="false">
      <c r="A275" s="59" t="n">
        <f aca="false">IF('Calendario C'!A75="","",'Calendario C'!A75)</f>
        <v>76</v>
      </c>
      <c r="B275" s="42" t="str">
        <f aca="false">IF('Calendario C'!B75="","",'Calendario C'!B75)</f>
        <v>Dromedari Danzanti</v>
      </c>
      <c r="C275" s="43" t="str">
        <f aca="false">IF('Calendario C'!C75="","",'Calendario C'!C75)</f>
        <v>C08</v>
      </c>
      <c r="D275" s="42" t="str">
        <f aca="false">IF('Calendario C'!D75="","",'Calendario C'!D75)</f>
        <v>Cinghiali Caparbi</v>
      </c>
      <c r="E275" s="43" t="str">
        <f aca="false">IF('Calendario C'!E75="","",'Calendario C'!E75)</f>
        <v>C07</v>
      </c>
      <c r="F275" s="44" t="n">
        <f aca="false">IF('Calendario C'!F75="","",'Calendario C'!F75)</f>
        <v>46411.7083333333</v>
      </c>
      <c r="G275" s="44"/>
      <c r="H275" s="44"/>
      <c r="I275" s="44"/>
      <c r="J275" s="137" t="n">
        <f aca="false">IF('Calendario C'!J75="","",'Calendario C'!J75)</f>
        <v>45</v>
      </c>
      <c r="K275" s="138" t="s">
        <v>339</v>
      </c>
      <c r="L275" s="137" t="n">
        <f aca="false">IF('Calendario C'!L75="","",'Calendario C'!L75)</f>
        <v>70</v>
      </c>
      <c r="M275" s="139"/>
      <c r="N275" s="139"/>
      <c r="O275" s="139"/>
      <c r="P275" s="139"/>
      <c r="Q275" s="139"/>
      <c r="R275" s="139"/>
    </row>
    <row r="276" customFormat="false" ht="15" hidden="false" customHeight="true" outlineLevel="0" collapsed="false">
      <c r="A276" s="59"/>
      <c r="B276" s="48" t="str">
        <f aca="false">IF('Calendario C'!B76="","",'Calendario C'!B76)</f>
        <v>PalaAlbatri, Via dello Sport 1, Albatriopoli AI</v>
      </c>
      <c r="C276" s="48"/>
      <c r="D276" s="48"/>
      <c r="E276" s="48"/>
      <c r="F276" s="48"/>
      <c r="G276" s="48"/>
      <c r="H276" s="48"/>
      <c r="I276" s="43" t="str">
        <f aca="false">IF('Calendario C'!I76="","",'Calendario C'!I76)</f>
        <v>C05</v>
      </c>
      <c r="J276" s="137"/>
      <c r="K276" s="137"/>
      <c r="L276" s="137"/>
      <c r="M276" s="137"/>
      <c r="N276" s="137"/>
      <c r="O276" s="137"/>
      <c r="P276" s="137"/>
      <c r="Q276" s="137"/>
      <c r="R276" s="137"/>
    </row>
    <row r="278" customFormat="false" ht="19.5" hidden="false" customHeight="true" outlineLevel="0" collapsed="false">
      <c r="A278" s="56" t="str">
        <f aca="false">IF('Calendario C'!A78="","",'Calendario C'!A78)</f>
        <v>6C</v>
      </c>
      <c r="B278" s="57" t="str">
        <f aca="false">IF('Calendario C'!B78="","",'Calendario C'!B78)</f>
        <v>GIORNATA VI - GIRONE C</v>
      </c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142" t="s">
        <v>537</v>
      </c>
      <c r="N278" s="142"/>
      <c r="O278" s="142"/>
      <c r="P278" s="142" t="s">
        <v>538</v>
      </c>
      <c r="Q278" s="142"/>
      <c r="R278" s="142"/>
    </row>
    <row r="279" customFormat="false" ht="13.5" hidden="false" customHeight="true" outlineLevel="0" collapsed="false">
      <c r="A279" s="58" t="s">
        <v>334</v>
      </c>
      <c r="B279" s="58" t="s">
        <v>317</v>
      </c>
      <c r="C279" s="58"/>
      <c r="D279" s="58" t="s">
        <v>324</v>
      </c>
      <c r="E279" s="58"/>
      <c r="F279" s="58" t="s">
        <v>335</v>
      </c>
      <c r="G279" s="58" t="s">
        <v>336</v>
      </c>
      <c r="H279" s="58" t="s">
        <v>337</v>
      </c>
      <c r="I279" s="58"/>
      <c r="J279" s="58" t="s">
        <v>338</v>
      </c>
      <c r="K279" s="58"/>
      <c r="L279" s="58"/>
      <c r="M279" s="143" t="s">
        <v>539</v>
      </c>
      <c r="N279" s="143" t="s">
        <v>540</v>
      </c>
      <c r="O279" s="143" t="s">
        <v>541</v>
      </c>
      <c r="P279" s="143" t="s">
        <v>542</v>
      </c>
      <c r="Q279" s="143" t="s">
        <v>543</v>
      </c>
      <c r="R279" s="143" t="s">
        <v>544</v>
      </c>
    </row>
    <row r="280" customFormat="false" ht="21.75" hidden="false" customHeight="true" outlineLevel="0" collapsed="false">
      <c r="A280" s="59" t="n">
        <f aca="false">IF('Calendario C'!A80="","",'Calendario C'!A80)</f>
        <v>77</v>
      </c>
      <c r="B280" s="42" t="str">
        <f aca="false">IF('Calendario C'!B80="","",'Calendario C'!B80)</f>
        <v>Vipere Vivaci</v>
      </c>
      <c r="C280" s="43" t="str">
        <f aca="false">IF('Calendario C'!C80="","",'Calendario C'!C80)</f>
        <v>C03</v>
      </c>
      <c r="D280" s="42" t="str">
        <f aca="false">IF('Calendario C'!D80="","",'Calendario C'!D80)</f>
        <v>Tigri Tenaci</v>
      </c>
      <c r="E280" s="43" t="str">
        <f aca="false">IF('Calendario C'!E80="","",'Calendario C'!E80)</f>
        <v>C01</v>
      </c>
      <c r="F280" s="44" t="n">
        <f aca="false">IF('Calendario C'!F80="","",'Calendario C'!F80)</f>
        <v>46432.3958333333</v>
      </c>
      <c r="G280" s="44"/>
      <c r="H280" s="44"/>
      <c r="I280" s="44"/>
      <c r="J280" s="137" t="n">
        <f aca="false">IF('Calendario C'!J80="","",'Calendario C'!J80)</f>
        <v>46</v>
      </c>
      <c r="K280" s="138" t="s">
        <v>339</v>
      </c>
      <c r="L280" s="137" t="n">
        <f aca="false">IF('Calendario C'!L80="","",'Calendario C'!L80)</f>
        <v>87</v>
      </c>
      <c r="M280" s="139"/>
      <c r="N280" s="139"/>
      <c r="O280" s="139"/>
      <c r="P280" s="139"/>
      <c r="Q280" s="139"/>
      <c r="R280" s="139"/>
    </row>
    <row r="281" customFormat="false" ht="15" hidden="false" customHeight="true" outlineLevel="0" collapsed="false">
      <c r="A281" s="59"/>
      <c r="B281" s="48" t="str">
        <f aca="false">IF('Calendario C'!B81="","",'Calendario C'!B81)</f>
        <v>PalaBisonti, Via dello Sport 2, Bisontiopoli BI</v>
      </c>
      <c r="C281" s="48"/>
      <c r="D281" s="48"/>
      <c r="E281" s="48"/>
      <c r="F281" s="48"/>
      <c r="G281" s="48"/>
      <c r="H281" s="48"/>
      <c r="I281" s="43" t="str">
        <f aca="false">IF('Calendario C'!I81="","",'Calendario C'!I81)</f>
        <v>C06</v>
      </c>
      <c r="J281" s="137"/>
      <c r="K281" s="137"/>
      <c r="L281" s="137"/>
      <c r="M281" s="137"/>
      <c r="N281" s="137"/>
      <c r="O281" s="137"/>
      <c r="P281" s="137"/>
      <c r="Q281" s="137"/>
      <c r="R281" s="137"/>
    </row>
    <row r="282" customFormat="false" ht="13.5" hidden="false" customHeight="true" outlineLevel="0" collapsed="false">
      <c r="A282" s="58" t="s">
        <v>334</v>
      </c>
      <c r="B282" s="58" t="s">
        <v>317</v>
      </c>
      <c r="C282" s="58"/>
      <c r="D282" s="58" t="s">
        <v>324</v>
      </c>
      <c r="E282" s="58"/>
      <c r="F282" s="58" t="s">
        <v>335</v>
      </c>
      <c r="G282" s="58" t="s">
        <v>336</v>
      </c>
      <c r="H282" s="58" t="s">
        <v>337</v>
      </c>
      <c r="I282" s="58"/>
      <c r="J282" s="58" t="s">
        <v>338</v>
      </c>
      <c r="K282" s="58"/>
      <c r="L282" s="58"/>
      <c r="M282" s="143" t="s">
        <v>539</v>
      </c>
      <c r="N282" s="143" t="s">
        <v>540</v>
      </c>
      <c r="O282" s="143" t="s">
        <v>541</v>
      </c>
      <c r="P282" s="143" t="s">
        <v>542</v>
      </c>
      <c r="Q282" s="143" t="s">
        <v>543</v>
      </c>
      <c r="R282" s="143" t="s">
        <v>544</v>
      </c>
    </row>
    <row r="283" customFormat="false" ht="21.75" hidden="false" customHeight="true" outlineLevel="0" collapsed="false">
      <c r="A283" s="59" t="n">
        <f aca="false">IF('Calendario C'!A83="","",'Calendario C'!A83)</f>
        <v>78</v>
      </c>
      <c r="B283" s="42" t="str">
        <f aca="false">IF('Calendario C'!B83="","",'Calendario C'!B83)</f>
        <v>Zebre Zelanti</v>
      </c>
      <c r="C283" s="43" t="str">
        <f aca="false">IF('Calendario C'!C83="","",'Calendario C'!C83)</f>
        <v>C04</v>
      </c>
      <c r="D283" s="42" t="str">
        <f aca="false">IF('Calendario C'!D83="","",'Calendario C'!D83)</f>
        <v>Upupe Umoristiche</v>
      </c>
      <c r="E283" s="43" t="str">
        <f aca="false">IF('Calendario C'!E83="","",'Calendario C'!E83)</f>
        <v>C02</v>
      </c>
      <c r="F283" s="44" t="n">
        <f aca="false">IF('Calendario C'!F83="","",'Calendario C'!F83)</f>
        <v>46432.4791666667</v>
      </c>
      <c r="G283" s="44"/>
      <c r="H283" s="44"/>
      <c r="I283" s="44"/>
      <c r="J283" s="137" t="n">
        <f aca="false">IF('Calendario C'!J83="","",'Calendario C'!J83)</f>
        <v>69</v>
      </c>
      <c r="K283" s="138" t="s">
        <v>339</v>
      </c>
      <c r="L283" s="137" t="n">
        <f aca="false">IF('Calendario C'!L83="","",'Calendario C'!L83)</f>
        <v>59</v>
      </c>
      <c r="M283" s="139"/>
      <c r="N283" s="139"/>
      <c r="O283" s="139"/>
      <c r="P283" s="139"/>
      <c r="Q283" s="139"/>
      <c r="R283" s="139"/>
    </row>
    <row r="284" customFormat="false" ht="15" hidden="false" customHeight="true" outlineLevel="0" collapsed="false">
      <c r="A284" s="59"/>
      <c r="B284" s="48" t="str">
        <f aca="false">IF('Calendario C'!B84="","",'Calendario C'!B84)</f>
        <v>PalaBisonti, Via dello Sport 2, Bisontiopoli BI</v>
      </c>
      <c r="C284" s="48"/>
      <c r="D284" s="48"/>
      <c r="E284" s="48"/>
      <c r="F284" s="48"/>
      <c r="G284" s="48"/>
      <c r="H284" s="48"/>
      <c r="I284" s="43" t="str">
        <f aca="false">IF('Calendario C'!I84="","",'Calendario C'!I84)</f>
        <v>C06</v>
      </c>
      <c r="J284" s="137"/>
      <c r="K284" s="137"/>
      <c r="L284" s="137"/>
      <c r="M284" s="137"/>
      <c r="N284" s="137"/>
      <c r="O284" s="137"/>
      <c r="P284" s="137"/>
      <c r="Q284" s="137"/>
      <c r="R284" s="137"/>
    </row>
    <row r="285" customFormat="false" ht="13.5" hidden="false" customHeight="true" outlineLevel="0" collapsed="false">
      <c r="A285" s="58" t="s">
        <v>334</v>
      </c>
      <c r="B285" s="58" t="s">
        <v>317</v>
      </c>
      <c r="C285" s="58"/>
      <c r="D285" s="58" t="s">
        <v>324</v>
      </c>
      <c r="E285" s="58"/>
      <c r="F285" s="58" t="s">
        <v>335</v>
      </c>
      <c r="G285" s="58" t="s">
        <v>336</v>
      </c>
      <c r="H285" s="58" t="s">
        <v>337</v>
      </c>
      <c r="I285" s="58"/>
      <c r="J285" s="58" t="s">
        <v>338</v>
      </c>
      <c r="K285" s="58"/>
      <c r="L285" s="58"/>
      <c r="M285" s="143" t="s">
        <v>539</v>
      </c>
      <c r="N285" s="143" t="s">
        <v>540</v>
      </c>
      <c r="O285" s="143" t="s">
        <v>541</v>
      </c>
      <c r="P285" s="143" t="s">
        <v>542</v>
      </c>
      <c r="Q285" s="143" t="s">
        <v>543</v>
      </c>
      <c r="R285" s="143" t="s">
        <v>544</v>
      </c>
    </row>
    <row r="286" customFormat="false" ht="21.75" hidden="false" customHeight="true" outlineLevel="0" collapsed="false">
      <c r="A286" s="59" t="n">
        <f aca="false">IF('Calendario C'!A86="","",'Calendario C'!A86)</f>
        <v>79</v>
      </c>
      <c r="B286" s="42" t="str">
        <f aca="false">IF('Calendario C'!B86="","",'Calendario C'!B86)</f>
        <v>Dromedari Danzanti</v>
      </c>
      <c r="C286" s="43" t="str">
        <f aca="false">IF('Calendario C'!C86="","",'Calendario C'!C86)</f>
        <v>C08</v>
      </c>
      <c r="D286" s="42" t="str">
        <f aca="false">IF('Calendario C'!D86="","",'Calendario C'!D86)</f>
        <v>Albatri Astuti</v>
      </c>
      <c r="E286" s="43" t="str">
        <f aca="false">IF('Calendario C'!E86="","",'Calendario C'!E86)</f>
        <v>C05</v>
      </c>
      <c r="F286" s="44" t="n">
        <f aca="false">IF('Calendario C'!F86="","",'Calendario C'!F86)</f>
        <v>46432.625</v>
      </c>
      <c r="G286" s="44"/>
      <c r="H286" s="44"/>
      <c r="I286" s="44"/>
      <c r="J286" s="137" t="n">
        <f aca="false">IF('Calendario C'!J86="","",'Calendario C'!J86)</f>
        <v>56</v>
      </c>
      <c r="K286" s="138" t="s">
        <v>339</v>
      </c>
      <c r="L286" s="137" t="n">
        <f aca="false">IF('Calendario C'!L86="","",'Calendario C'!L86)</f>
        <v>69</v>
      </c>
      <c r="M286" s="139"/>
      <c r="N286" s="139"/>
      <c r="O286" s="139"/>
      <c r="P286" s="139"/>
      <c r="Q286" s="139"/>
      <c r="R286" s="139"/>
    </row>
    <row r="287" customFormat="false" ht="15" hidden="false" customHeight="true" outlineLevel="0" collapsed="false">
      <c r="A287" s="59"/>
      <c r="B287" s="48" t="str">
        <f aca="false">IF('Calendario C'!B87="","",'Calendario C'!B87)</f>
        <v>PalaBisonti, Via dello Sport 2, Bisontiopoli BI</v>
      </c>
      <c r="C287" s="48"/>
      <c r="D287" s="48"/>
      <c r="E287" s="48"/>
      <c r="F287" s="48"/>
      <c r="G287" s="48"/>
      <c r="H287" s="48"/>
      <c r="I287" s="43" t="str">
        <f aca="false">IF('Calendario C'!I87="","",'Calendario C'!I87)</f>
        <v>C06</v>
      </c>
      <c r="J287" s="137"/>
      <c r="K287" s="137"/>
      <c r="L287" s="137"/>
      <c r="M287" s="137"/>
      <c r="N287" s="137"/>
      <c r="O287" s="137"/>
      <c r="P287" s="137"/>
      <c r="Q287" s="137"/>
      <c r="R287" s="137"/>
    </row>
    <row r="288" customFormat="false" ht="13.5" hidden="false" customHeight="true" outlineLevel="0" collapsed="false">
      <c r="A288" s="58" t="s">
        <v>334</v>
      </c>
      <c r="B288" s="58" t="s">
        <v>317</v>
      </c>
      <c r="C288" s="58"/>
      <c r="D288" s="58" t="s">
        <v>324</v>
      </c>
      <c r="E288" s="58"/>
      <c r="F288" s="58" t="s">
        <v>335</v>
      </c>
      <c r="G288" s="58" t="s">
        <v>336</v>
      </c>
      <c r="H288" s="58" t="s">
        <v>337</v>
      </c>
      <c r="I288" s="58"/>
      <c r="J288" s="58" t="s">
        <v>338</v>
      </c>
      <c r="K288" s="58"/>
      <c r="L288" s="58"/>
      <c r="M288" s="143" t="s">
        <v>539</v>
      </c>
      <c r="N288" s="143" t="s">
        <v>540</v>
      </c>
      <c r="O288" s="143" t="s">
        <v>541</v>
      </c>
      <c r="P288" s="143" t="s">
        <v>542</v>
      </c>
      <c r="Q288" s="143" t="s">
        <v>543</v>
      </c>
      <c r="R288" s="143" t="s">
        <v>544</v>
      </c>
    </row>
    <row r="289" customFormat="false" ht="21.75" hidden="false" customHeight="true" outlineLevel="0" collapsed="false">
      <c r="A289" s="59" t="n">
        <f aca="false">IF('Calendario C'!A89="","",'Calendario C'!A89)</f>
        <v>80</v>
      </c>
      <c r="B289" s="42" t="str">
        <f aca="false">IF('Calendario C'!B89="","",'Calendario C'!B89)</f>
        <v>Bisonti Baldanzosi</v>
      </c>
      <c r="C289" s="43" t="str">
        <f aca="false">IF('Calendario C'!C89="","",'Calendario C'!C89)</f>
        <v>C06</v>
      </c>
      <c r="D289" s="42" t="str">
        <f aca="false">IF('Calendario C'!D89="","",'Calendario C'!D89)</f>
        <v>Cinghiali Caparbi</v>
      </c>
      <c r="E289" s="43" t="str">
        <f aca="false">IF('Calendario C'!E89="","",'Calendario C'!E89)</f>
        <v>C07</v>
      </c>
      <c r="F289" s="44" t="n">
        <f aca="false">IF('Calendario C'!F89="","",'Calendario C'!F89)</f>
        <v>46432.7083333333</v>
      </c>
      <c r="G289" s="44"/>
      <c r="H289" s="44"/>
      <c r="I289" s="44"/>
      <c r="J289" s="137" t="n">
        <f aca="false">IF('Calendario C'!J89="","",'Calendario C'!J89)</f>
        <v>58</v>
      </c>
      <c r="K289" s="138" t="s">
        <v>339</v>
      </c>
      <c r="L289" s="137" t="n">
        <f aca="false">IF('Calendario C'!L89="","",'Calendario C'!L89)</f>
        <v>52</v>
      </c>
      <c r="M289" s="139"/>
      <c r="N289" s="139"/>
      <c r="O289" s="139"/>
      <c r="P289" s="139"/>
      <c r="Q289" s="139"/>
      <c r="R289" s="139"/>
    </row>
    <row r="290" customFormat="false" ht="15" hidden="false" customHeight="true" outlineLevel="0" collapsed="false">
      <c r="A290" s="59"/>
      <c r="B290" s="48" t="str">
        <f aca="false">IF('Calendario C'!B90="","",'Calendario C'!B90)</f>
        <v>PalaBisonti, Via dello Sport 2, Bisontiopoli BI</v>
      </c>
      <c r="C290" s="48"/>
      <c r="D290" s="48"/>
      <c r="E290" s="48"/>
      <c r="F290" s="48"/>
      <c r="G290" s="48"/>
      <c r="H290" s="48"/>
      <c r="I290" s="43" t="str">
        <f aca="false">IF('Calendario C'!I90="","",'Calendario C'!I90)</f>
        <v>C06</v>
      </c>
      <c r="J290" s="137"/>
      <c r="K290" s="137"/>
      <c r="L290" s="137"/>
      <c r="M290" s="137"/>
      <c r="N290" s="137"/>
      <c r="O290" s="137"/>
      <c r="P290" s="137"/>
      <c r="Q290" s="137"/>
      <c r="R290" s="137"/>
    </row>
    <row r="292" customFormat="false" ht="19.5" hidden="false" customHeight="true" outlineLevel="0" collapsed="false">
      <c r="A292" s="56" t="str">
        <f aca="false">IF('Calendario C'!A92="","",'Calendario C'!A92)</f>
        <v>7C</v>
      </c>
      <c r="B292" s="57" t="str">
        <f aca="false">IF('Calendario C'!B92="","",'Calendario C'!B92)</f>
        <v>GIORNATA VII - GIRONE C</v>
      </c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142" t="s">
        <v>537</v>
      </c>
      <c r="N292" s="142"/>
      <c r="O292" s="142"/>
      <c r="P292" s="142" t="s">
        <v>538</v>
      </c>
      <c r="Q292" s="142"/>
      <c r="R292" s="142"/>
    </row>
    <row r="293" customFormat="false" ht="13.5" hidden="false" customHeight="true" outlineLevel="0" collapsed="false">
      <c r="A293" s="58" t="s">
        <v>334</v>
      </c>
      <c r="B293" s="58" t="s">
        <v>317</v>
      </c>
      <c r="C293" s="58"/>
      <c r="D293" s="58" t="s">
        <v>324</v>
      </c>
      <c r="E293" s="58"/>
      <c r="F293" s="58" t="s">
        <v>335</v>
      </c>
      <c r="G293" s="58" t="s">
        <v>336</v>
      </c>
      <c r="H293" s="58" t="s">
        <v>337</v>
      </c>
      <c r="I293" s="58"/>
      <c r="J293" s="58" t="s">
        <v>338</v>
      </c>
      <c r="K293" s="58"/>
      <c r="L293" s="58"/>
      <c r="M293" s="143" t="s">
        <v>539</v>
      </c>
      <c r="N293" s="143" t="s">
        <v>540</v>
      </c>
      <c r="O293" s="143" t="s">
        <v>541</v>
      </c>
      <c r="P293" s="143" t="s">
        <v>542</v>
      </c>
      <c r="Q293" s="143" t="s">
        <v>543</v>
      </c>
      <c r="R293" s="143" t="s">
        <v>544</v>
      </c>
    </row>
    <row r="294" customFormat="false" ht="21.75" hidden="false" customHeight="true" outlineLevel="0" collapsed="false">
      <c r="A294" s="59" t="n">
        <f aca="false">IF('Calendario C'!A94="","",'Calendario C'!A94)</f>
        <v>81</v>
      </c>
      <c r="B294" s="42" t="str">
        <f aca="false">IF('Calendario C'!B94="","",'Calendario C'!B94)</f>
        <v>Tigri Tenaci</v>
      </c>
      <c r="C294" s="43" t="str">
        <f aca="false">IF('Calendario C'!C94="","",'Calendario C'!C94)</f>
        <v>C01</v>
      </c>
      <c r="D294" s="42" t="str">
        <f aca="false">IF('Calendario C'!D94="","",'Calendario C'!D94)</f>
        <v>Upupe Umoristiche</v>
      </c>
      <c r="E294" s="43" t="str">
        <f aca="false">IF('Calendario C'!E94="","",'Calendario C'!E94)</f>
        <v>C02</v>
      </c>
      <c r="F294" s="44" t="n">
        <f aca="false">IF('Calendario C'!F94="","",'Calendario C'!F94)</f>
        <v>46453.3958333333</v>
      </c>
      <c r="G294" s="44"/>
      <c r="H294" s="44"/>
      <c r="I294" s="44"/>
      <c r="J294" s="137" t="n">
        <f aca="false">IF('Calendario C'!J94="","",'Calendario C'!J94)</f>
        <v>75</v>
      </c>
      <c r="K294" s="138" t="s">
        <v>339</v>
      </c>
      <c r="L294" s="137" t="n">
        <f aca="false">IF('Calendario C'!L94="","",'Calendario C'!L94)</f>
        <v>52</v>
      </c>
      <c r="M294" s="139"/>
      <c r="N294" s="139"/>
      <c r="O294" s="139"/>
      <c r="P294" s="139"/>
      <c r="Q294" s="139"/>
      <c r="R294" s="139"/>
    </row>
    <row r="295" customFormat="false" ht="15" hidden="false" customHeight="true" outlineLevel="0" collapsed="false">
      <c r="A295" s="59"/>
      <c r="B295" s="48" t="str">
        <f aca="false">IF('Calendario C'!B95="","",'Calendario C'!B95)</f>
        <v>PalaCinghiali, Via dello Sport 3, Cinghialiopoli CI</v>
      </c>
      <c r="C295" s="48"/>
      <c r="D295" s="48"/>
      <c r="E295" s="48"/>
      <c r="F295" s="48"/>
      <c r="G295" s="48"/>
      <c r="H295" s="48"/>
      <c r="I295" s="43" t="str">
        <f aca="false">IF('Calendario C'!I95="","",'Calendario C'!I95)</f>
        <v>C07</v>
      </c>
      <c r="J295" s="137"/>
      <c r="K295" s="137"/>
      <c r="L295" s="137"/>
      <c r="M295" s="137"/>
      <c r="N295" s="137"/>
      <c r="O295" s="137"/>
      <c r="P295" s="137"/>
      <c r="Q295" s="137"/>
      <c r="R295" s="137"/>
    </row>
    <row r="296" customFormat="false" ht="13.5" hidden="false" customHeight="true" outlineLevel="0" collapsed="false">
      <c r="A296" s="58" t="s">
        <v>334</v>
      </c>
      <c r="B296" s="58" t="s">
        <v>317</v>
      </c>
      <c r="C296" s="58"/>
      <c r="D296" s="58" t="s">
        <v>324</v>
      </c>
      <c r="E296" s="58"/>
      <c r="F296" s="58" t="s">
        <v>335</v>
      </c>
      <c r="G296" s="58" t="s">
        <v>336</v>
      </c>
      <c r="H296" s="58" t="s">
        <v>337</v>
      </c>
      <c r="I296" s="58"/>
      <c r="J296" s="58" t="s">
        <v>338</v>
      </c>
      <c r="K296" s="58"/>
      <c r="L296" s="58"/>
      <c r="M296" s="143" t="s">
        <v>539</v>
      </c>
      <c r="N296" s="143" t="s">
        <v>540</v>
      </c>
      <c r="O296" s="143" t="s">
        <v>541</v>
      </c>
      <c r="P296" s="143" t="s">
        <v>542</v>
      </c>
      <c r="Q296" s="143" t="s">
        <v>543</v>
      </c>
      <c r="R296" s="143" t="s">
        <v>544</v>
      </c>
    </row>
    <row r="297" customFormat="false" ht="21.75" hidden="false" customHeight="true" outlineLevel="0" collapsed="false">
      <c r="A297" s="59" t="n">
        <f aca="false">IF('Calendario C'!A97="","",'Calendario C'!A97)</f>
        <v>82</v>
      </c>
      <c r="B297" s="42" t="str">
        <f aca="false">IF('Calendario C'!B97="","",'Calendario C'!B97)</f>
        <v>Dromedari Danzanti</v>
      </c>
      <c r="C297" s="43" t="str">
        <f aca="false">IF('Calendario C'!C97="","",'Calendario C'!C97)</f>
        <v>C08</v>
      </c>
      <c r="D297" s="42" t="str">
        <f aca="false">IF('Calendario C'!D97="","",'Calendario C'!D97)</f>
        <v>Vipere Vivaci</v>
      </c>
      <c r="E297" s="43" t="str">
        <f aca="false">IF('Calendario C'!E97="","",'Calendario C'!E97)</f>
        <v>C03</v>
      </c>
      <c r="F297" s="44" t="n">
        <f aca="false">IF('Calendario C'!F97="","",'Calendario C'!F97)</f>
        <v>46453.4791666667</v>
      </c>
      <c r="G297" s="44"/>
      <c r="H297" s="44"/>
      <c r="I297" s="44"/>
      <c r="J297" s="137" t="n">
        <f aca="false">IF('Calendario C'!J97="","",'Calendario C'!J97)</f>
        <v>69</v>
      </c>
      <c r="K297" s="138" t="s">
        <v>339</v>
      </c>
      <c r="L297" s="137" t="n">
        <f aca="false">IF('Calendario C'!L97="","",'Calendario C'!L97)</f>
        <v>64</v>
      </c>
      <c r="M297" s="139"/>
      <c r="N297" s="139"/>
      <c r="O297" s="139"/>
      <c r="P297" s="139"/>
      <c r="Q297" s="139"/>
      <c r="R297" s="139"/>
    </row>
    <row r="298" customFormat="false" ht="15" hidden="false" customHeight="true" outlineLevel="0" collapsed="false">
      <c r="A298" s="59"/>
      <c r="B298" s="48" t="str">
        <f aca="false">IF('Calendario C'!B98="","",'Calendario C'!B98)</f>
        <v>PalaCinghiali, Via dello Sport 3, Cinghialiopoli CI</v>
      </c>
      <c r="C298" s="48"/>
      <c r="D298" s="48"/>
      <c r="E298" s="48"/>
      <c r="F298" s="48"/>
      <c r="G298" s="48"/>
      <c r="H298" s="48"/>
      <c r="I298" s="43" t="str">
        <f aca="false">IF('Calendario C'!I98="","",'Calendario C'!I98)</f>
        <v>C07</v>
      </c>
      <c r="J298" s="137"/>
      <c r="K298" s="137"/>
      <c r="L298" s="137"/>
      <c r="M298" s="137"/>
      <c r="N298" s="137"/>
      <c r="O298" s="137"/>
      <c r="P298" s="137"/>
      <c r="Q298" s="137"/>
      <c r="R298" s="137"/>
    </row>
    <row r="299" customFormat="false" ht="13.5" hidden="false" customHeight="true" outlineLevel="0" collapsed="false">
      <c r="A299" s="58" t="s">
        <v>334</v>
      </c>
      <c r="B299" s="58" t="s">
        <v>317</v>
      </c>
      <c r="C299" s="58"/>
      <c r="D299" s="58" t="s">
        <v>324</v>
      </c>
      <c r="E299" s="58"/>
      <c r="F299" s="58" t="s">
        <v>335</v>
      </c>
      <c r="G299" s="58" t="s">
        <v>336</v>
      </c>
      <c r="H299" s="58" t="s">
        <v>337</v>
      </c>
      <c r="I299" s="58"/>
      <c r="J299" s="58" t="s">
        <v>338</v>
      </c>
      <c r="K299" s="58"/>
      <c r="L299" s="58"/>
      <c r="M299" s="143" t="s">
        <v>539</v>
      </c>
      <c r="N299" s="143" t="s">
        <v>540</v>
      </c>
      <c r="O299" s="143" t="s">
        <v>541</v>
      </c>
      <c r="P299" s="143" t="s">
        <v>542</v>
      </c>
      <c r="Q299" s="143" t="s">
        <v>543</v>
      </c>
      <c r="R299" s="143" t="s">
        <v>544</v>
      </c>
    </row>
    <row r="300" customFormat="false" ht="21.75" hidden="false" customHeight="true" outlineLevel="0" collapsed="false">
      <c r="A300" s="59" t="n">
        <f aca="false">IF('Calendario C'!A100="","",'Calendario C'!A100)</f>
        <v>83</v>
      </c>
      <c r="B300" s="42" t="str">
        <f aca="false">IF('Calendario C'!B100="","",'Calendario C'!B100)</f>
        <v>Zebre Zelanti</v>
      </c>
      <c r="C300" s="43" t="str">
        <f aca="false">IF('Calendario C'!C100="","",'Calendario C'!C100)</f>
        <v>C04</v>
      </c>
      <c r="D300" s="42" t="str">
        <f aca="false">IF('Calendario C'!D100="","",'Calendario C'!D100)</f>
        <v>Cinghiali Caparbi</v>
      </c>
      <c r="E300" s="43" t="str">
        <f aca="false">IF('Calendario C'!E100="","",'Calendario C'!E100)</f>
        <v>C07</v>
      </c>
      <c r="F300" s="44" t="n">
        <f aca="false">IF('Calendario C'!F100="","",'Calendario C'!F100)</f>
        <v>46453.625</v>
      </c>
      <c r="G300" s="44"/>
      <c r="H300" s="44"/>
      <c r="I300" s="44"/>
      <c r="J300" s="137" t="n">
        <f aca="false">IF('Calendario C'!J100="","",'Calendario C'!J100)</f>
        <v>79</v>
      </c>
      <c r="K300" s="138" t="s">
        <v>339</v>
      </c>
      <c r="L300" s="137" t="n">
        <f aca="false">IF('Calendario C'!L100="","",'Calendario C'!L100)</f>
        <v>71</v>
      </c>
      <c r="M300" s="139"/>
      <c r="N300" s="139"/>
      <c r="O300" s="139"/>
      <c r="P300" s="139"/>
      <c r="Q300" s="139"/>
      <c r="R300" s="139"/>
    </row>
    <row r="301" customFormat="false" ht="15" hidden="false" customHeight="true" outlineLevel="0" collapsed="false">
      <c r="A301" s="59"/>
      <c r="B301" s="48" t="str">
        <f aca="false">IF('Calendario C'!B101="","",'Calendario C'!B101)</f>
        <v>PalaCinghiali, Via dello Sport 3, Cinghialiopoli CI</v>
      </c>
      <c r="C301" s="48"/>
      <c r="D301" s="48"/>
      <c r="E301" s="48"/>
      <c r="F301" s="48"/>
      <c r="G301" s="48"/>
      <c r="H301" s="48"/>
      <c r="I301" s="43" t="str">
        <f aca="false">IF('Calendario C'!I101="","",'Calendario C'!I101)</f>
        <v>C07</v>
      </c>
      <c r="J301" s="137"/>
      <c r="K301" s="137"/>
      <c r="L301" s="137"/>
      <c r="M301" s="137"/>
      <c r="N301" s="137"/>
      <c r="O301" s="137"/>
      <c r="P301" s="137"/>
      <c r="Q301" s="137"/>
      <c r="R301" s="137"/>
    </row>
    <row r="302" customFormat="false" ht="13.5" hidden="false" customHeight="true" outlineLevel="0" collapsed="false">
      <c r="A302" s="58" t="s">
        <v>334</v>
      </c>
      <c r="B302" s="58" t="s">
        <v>317</v>
      </c>
      <c r="C302" s="58"/>
      <c r="D302" s="58" t="s">
        <v>324</v>
      </c>
      <c r="E302" s="58"/>
      <c r="F302" s="58" t="s">
        <v>335</v>
      </c>
      <c r="G302" s="58" t="s">
        <v>336</v>
      </c>
      <c r="H302" s="58" t="s">
        <v>337</v>
      </c>
      <c r="I302" s="58"/>
      <c r="J302" s="58" t="s">
        <v>338</v>
      </c>
      <c r="K302" s="58"/>
      <c r="L302" s="58"/>
      <c r="M302" s="143" t="s">
        <v>539</v>
      </c>
      <c r="N302" s="143" t="s">
        <v>540</v>
      </c>
      <c r="O302" s="143" t="s">
        <v>541</v>
      </c>
      <c r="P302" s="143" t="s">
        <v>542</v>
      </c>
      <c r="Q302" s="143" t="s">
        <v>543</v>
      </c>
      <c r="R302" s="143" t="s">
        <v>544</v>
      </c>
    </row>
    <row r="303" customFormat="false" ht="21.75" hidden="false" customHeight="true" outlineLevel="0" collapsed="false">
      <c r="A303" s="59" t="n">
        <f aca="false">IF('Calendario C'!A103="","",'Calendario C'!A103)</f>
        <v>84</v>
      </c>
      <c r="B303" s="42" t="str">
        <f aca="false">IF('Calendario C'!B103="","",'Calendario C'!B103)</f>
        <v>Bisonti Baldanzosi</v>
      </c>
      <c r="C303" s="43" t="str">
        <f aca="false">IF('Calendario C'!C103="","",'Calendario C'!C103)</f>
        <v>C06</v>
      </c>
      <c r="D303" s="42" t="str">
        <f aca="false">IF('Calendario C'!D103="","",'Calendario C'!D103)</f>
        <v>Albatri Astuti</v>
      </c>
      <c r="E303" s="43" t="str">
        <f aca="false">IF('Calendario C'!E103="","",'Calendario C'!E103)</f>
        <v>C05</v>
      </c>
      <c r="F303" s="44" t="n">
        <f aca="false">IF('Calendario C'!F103="","",'Calendario C'!F103)</f>
        <v>46453.7083333333</v>
      </c>
      <c r="G303" s="44"/>
      <c r="H303" s="44"/>
      <c r="I303" s="44"/>
      <c r="J303" s="137" t="n">
        <f aca="false">IF('Calendario C'!J103="","",'Calendario C'!J103)</f>
        <v>54</v>
      </c>
      <c r="K303" s="138" t="s">
        <v>339</v>
      </c>
      <c r="L303" s="137" t="n">
        <f aca="false">IF('Calendario C'!L103="","",'Calendario C'!L103)</f>
        <v>56</v>
      </c>
      <c r="M303" s="139"/>
      <c r="N303" s="139"/>
      <c r="O303" s="139"/>
      <c r="P303" s="139"/>
      <c r="Q303" s="139"/>
      <c r="R303" s="139"/>
    </row>
    <row r="304" customFormat="false" ht="15" hidden="false" customHeight="true" outlineLevel="0" collapsed="false">
      <c r="A304" s="59"/>
      <c r="B304" s="48" t="str">
        <f aca="false">IF('Calendario C'!B104="","",'Calendario C'!B104)</f>
        <v>PalaCinghiali, Via dello Sport 3, Cinghialiopoli CI</v>
      </c>
      <c r="C304" s="48"/>
      <c r="D304" s="48"/>
      <c r="E304" s="48"/>
      <c r="F304" s="48"/>
      <c r="G304" s="48"/>
      <c r="H304" s="48"/>
      <c r="I304" s="43" t="str">
        <f aca="false">IF('Calendario C'!I104="","",'Calendario C'!I104)</f>
        <v>C07</v>
      </c>
      <c r="J304" s="137"/>
      <c r="K304" s="137"/>
      <c r="L304" s="137"/>
      <c r="M304" s="137"/>
      <c r="N304" s="137"/>
      <c r="O304" s="137"/>
      <c r="P304" s="137"/>
      <c r="Q304" s="137"/>
      <c r="R304" s="137"/>
    </row>
    <row r="308" customFormat="false" ht="19.5" hidden="false" customHeight="true" outlineLevel="0" collapsed="false">
      <c r="A308" s="61" t="str">
        <f aca="false">IF('Calendario D'!A8="","",'Calendario D'!A8)</f>
        <v>1D</v>
      </c>
      <c r="B308" s="62" t="str">
        <f aca="false">IF('Calendario D'!B8="","",'Calendario D'!B8)</f>
        <v>GIORNATA I - GIRONE D</v>
      </c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144" t="s">
        <v>537</v>
      </c>
      <c r="N308" s="144"/>
      <c r="O308" s="144"/>
      <c r="P308" s="144" t="s">
        <v>538</v>
      </c>
      <c r="Q308" s="144"/>
      <c r="R308" s="144"/>
    </row>
    <row r="309" customFormat="false" ht="13.5" hidden="false" customHeight="true" outlineLevel="0" collapsed="false">
      <c r="A309" s="63" t="s">
        <v>334</v>
      </c>
      <c r="B309" s="63" t="s">
        <v>317</v>
      </c>
      <c r="C309" s="63"/>
      <c r="D309" s="63" t="s">
        <v>324</v>
      </c>
      <c r="E309" s="63"/>
      <c r="F309" s="63" t="s">
        <v>335</v>
      </c>
      <c r="G309" s="63" t="s">
        <v>336</v>
      </c>
      <c r="H309" s="63" t="s">
        <v>337</v>
      </c>
      <c r="I309" s="63"/>
      <c r="J309" s="63" t="s">
        <v>338</v>
      </c>
      <c r="K309" s="63"/>
      <c r="L309" s="63"/>
      <c r="M309" s="145" t="s">
        <v>539</v>
      </c>
      <c r="N309" s="145" t="s">
        <v>540</v>
      </c>
      <c r="O309" s="145" t="s">
        <v>541</v>
      </c>
      <c r="P309" s="145" t="s">
        <v>542</v>
      </c>
      <c r="Q309" s="145" t="s">
        <v>543</v>
      </c>
      <c r="R309" s="145" t="s">
        <v>544</v>
      </c>
    </row>
    <row r="310" customFormat="false" ht="21.75" hidden="false" customHeight="true" outlineLevel="0" collapsed="false">
      <c r="A310" s="64" t="n">
        <f aca="false">IF('Calendario D'!A10="","",'Calendario D'!A10)</f>
        <v>85</v>
      </c>
      <c r="B310" s="42" t="str">
        <f aca="false">IF('Calendario D'!B10="","",'Calendario D'!B10)</f>
        <v>Elefanti Esuberanti</v>
      </c>
      <c r="C310" s="43" t="str">
        <f aca="false">IF('Calendario D'!C10="","",'Calendario D'!C10)</f>
        <v>D01</v>
      </c>
      <c r="D310" s="42" t="str">
        <f aca="false">IF('Calendario D'!D10="","",'Calendario D'!D10)</f>
        <v>Otarie Ottimiste</v>
      </c>
      <c r="E310" s="43" t="str">
        <f aca="false">IF('Calendario D'!E10="","",'Calendario D'!E10)</f>
        <v>D08</v>
      </c>
      <c r="F310" s="44" t="n">
        <f aca="false">IF('Calendario D'!F10="","",'Calendario D'!F10)</f>
        <v>46313.3958333333</v>
      </c>
      <c r="G310" s="44"/>
      <c r="H310" s="44"/>
      <c r="I310" s="44"/>
      <c r="J310" s="137" t="n">
        <f aca="false">IF('Calendario D'!J10="","",'Calendario D'!J10)</f>
        <v>71</v>
      </c>
      <c r="K310" s="138" t="s">
        <v>339</v>
      </c>
      <c r="L310" s="137" t="n">
        <f aca="false">IF('Calendario D'!L10="","",'Calendario D'!L10)</f>
        <v>50</v>
      </c>
      <c r="M310" s="139"/>
      <c r="N310" s="139"/>
      <c r="O310" s="139"/>
      <c r="P310" s="139"/>
      <c r="Q310" s="139"/>
      <c r="R310" s="139"/>
    </row>
    <row r="311" customFormat="false" ht="15" hidden="false" customHeight="true" outlineLevel="0" collapsed="false">
      <c r="A311" s="64"/>
      <c r="B311" s="48" t="str">
        <f aca="false">IF('Calendario D'!B11="","",'Calendario D'!B11)</f>
        <v>PalaElefanti, Via dello Sport 5, Elefantiopoli EI</v>
      </c>
      <c r="C311" s="48"/>
      <c r="D311" s="48"/>
      <c r="E311" s="48"/>
      <c r="F311" s="48"/>
      <c r="G311" s="48"/>
      <c r="H311" s="48"/>
      <c r="I311" s="43" t="str">
        <f aca="false">IF('Calendario D'!I11="","",'Calendario D'!I11)</f>
        <v>D01</v>
      </c>
      <c r="J311" s="137"/>
      <c r="K311" s="137"/>
      <c r="L311" s="137"/>
      <c r="M311" s="137"/>
      <c r="N311" s="137"/>
      <c r="O311" s="137"/>
      <c r="P311" s="137"/>
      <c r="Q311" s="137"/>
      <c r="R311" s="137"/>
    </row>
    <row r="312" customFormat="false" ht="13.5" hidden="false" customHeight="true" outlineLevel="0" collapsed="false">
      <c r="A312" s="63" t="s">
        <v>334</v>
      </c>
      <c r="B312" s="63" t="s">
        <v>317</v>
      </c>
      <c r="C312" s="63"/>
      <c r="D312" s="63" t="s">
        <v>324</v>
      </c>
      <c r="E312" s="63"/>
      <c r="F312" s="63" t="s">
        <v>335</v>
      </c>
      <c r="G312" s="63" t="s">
        <v>336</v>
      </c>
      <c r="H312" s="63" t="s">
        <v>337</v>
      </c>
      <c r="I312" s="63"/>
      <c r="J312" s="63" t="s">
        <v>338</v>
      </c>
      <c r="K312" s="63"/>
      <c r="L312" s="63"/>
      <c r="M312" s="145" t="s">
        <v>539</v>
      </c>
      <c r="N312" s="145" t="s">
        <v>540</v>
      </c>
      <c r="O312" s="145" t="s">
        <v>541</v>
      </c>
      <c r="P312" s="145" t="s">
        <v>542</v>
      </c>
      <c r="Q312" s="145" t="s">
        <v>543</v>
      </c>
      <c r="R312" s="145" t="s">
        <v>544</v>
      </c>
    </row>
    <row r="313" customFormat="false" ht="21.75" hidden="false" customHeight="true" outlineLevel="0" collapsed="false">
      <c r="A313" s="64" t="n">
        <f aca="false">IF('Calendario D'!A13="","",'Calendario D'!A13)</f>
        <v>86</v>
      </c>
      <c r="B313" s="42" t="str">
        <f aca="false">IF('Calendario D'!B13="","",'Calendario D'!B13)</f>
        <v>Nutrie Nervose</v>
      </c>
      <c r="C313" s="43" t="str">
        <f aca="false">IF('Calendario D'!C13="","",'Calendario D'!C13)</f>
        <v>D07</v>
      </c>
      <c r="D313" s="42" t="str">
        <f aca="false">IF('Calendario D'!D13="","",'Calendario D'!D13)</f>
        <v>Fenicotteri Focosi</v>
      </c>
      <c r="E313" s="43" t="str">
        <f aca="false">IF('Calendario D'!E13="","",'Calendario D'!E13)</f>
        <v>D02</v>
      </c>
      <c r="F313" s="44" t="n">
        <f aca="false">IF('Calendario D'!F13="","",'Calendario D'!F13)</f>
        <v>46313.4791666667</v>
      </c>
      <c r="G313" s="44"/>
      <c r="H313" s="44"/>
      <c r="I313" s="44"/>
      <c r="J313" s="137" t="n">
        <f aca="false">IF('Calendario D'!J13="","",'Calendario D'!J13)</f>
        <v>54</v>
      </c>
      <c r="K313" s="138" t="s">
        <v>339</v>
      </c>
      <c r="L313" s="137" t="n">
        <f aca="false">IF('Calendario D'!L13="","",'Calendario D'!L13)</f>
        <v>74</v>
      </c>
      <c r="M313" s="139"/>
      <c r="N313" s="139"/>
      <c r="O313" s="139"/>
      <c r="P313" s="139"/>
      <c r="Q313" s="139"/>
      <c r="R313" s="139"/>
    </row>
    <row r="314" customFormat="false" ht="15" hidden="false" customHeight="true" outlineLevel="0" collapsed="false">
      <c r="A314" s="64"/>
      <c r="B314" s="48" t="str">
        <f aca="false">IF('Calendario D'!B14="","",'Calendario D'!B14)</f>
        <v>PalaElefanti, Via dello Sport 5, Elefantiopoli EI</v>
      </c>
      <c r="C314" s="48"/>
      <c r="D314" s="48"/>
      <c r="E314" s="48"/>
      <c r="F314" s="48"/>
      <c r="G314" s="48"/>
      <c r="H314" s="48"/>
      <c r="I314" s="43" t="str">
        <f aca="false">IF('Calendario D'!I14="","",'Calendario D'!I14)</f>
        <v>D01</v>
      </c>
      <c r="J314" s="137"/>
      <c r="K314" s="137"/>
      <c r="L314" s="137"/>
      <c r="M314" s="137"/>
      <c r="N314" s="137"/>
      <c r="O314" s="137"/>
      <c r="P314" s="137"/>
      <c r="Q314" s="137"/>
      <c r="R314" s="137"/>
    </row>
    <row r="315" customFormat="false" ht="13.5" hidden="false" customHeight="true" outlineLevel="0" collapsed="false">
      <c r="A315" s="63" t="s">
        <v>334</v>
      </c>
      <c r="B315" s="63" t="s">
        <v>317</v>
      </c>
      <c r="C315" s="63"/>
      <c r="D315" s="63" t="s">
        <v>324</v>
      </c>
      <c r="E315" s="63"/>
      <c r="F315" s="63" t="s">
        <v>335</v>
      </c>
      <c r="G315" s="63" t="s">
        <v>336</v>
      </c>
      <c r="H315" s="63" t="s">
        <v>337</v>
      </c>
      <c r="I315" s="63"/>
      <c r="J315" s="63" t="s">
        <v>338</v>
      </c>
      <c r="K315" s="63"/>
      <c r="L315" s="63"/>
      <c r="M315" s="145" t="s">
        <v>539</v>
      </c>
      <c r="N315" s="145" t="s">
        <v>540</v>
      </c>
      <c r="O315" s="145" t="s">
        <v>541</v>
      </c>
      <c r="P315" s="145" t="s">
        <v>542</v>
      </c>
      <c r="Q315" s="145" t="s">
        <v>543</v>
      </c>
      <c r="R315" s="145" t="s">
        <v>544</v>
      </c>
    </row>
    <row r="316" customFormat="false" ht="21.75" hidden="false" customHeight="true" outlineLevel="0" collapsed="false">
      <c r="A316" s="64" t="n">
        <f aca="false">IF('Calendario D'!A16="","",'Calendario D'!A16)</f>
        <v>87</v>
      </c>
      <c r="B316" s="42" t="str">
        <f aca="false">IF('Calendario D'!B16="","",'Calendario D'!B16)</f>
        <v>Ghepardi Guizzanti</v>
      </c>
      <c r="C316" s="43" t="str">
        <f aca="false">IF('Calendario D'!C16="","",'Calendario D'!C16)</f>
        <v>D03</v>
      </c>
      <c r="D316" s="42" t="str">
        <f aca="false">IF('Calendario D'!D16="","",'Calendario D'!D16)</f>
        <v>Manguste Mordaci</v>
      </c>
      <c r="E316" s="43" t="str">
        <f aca="false">IF('Calendario D'!E16="","",'Calendario D'!E16)</f>
        <v>D06</v>
      </c>
      <c r="F316" s="44" t="n">
        <f aca="false">IF('Calendario D'!F16="","",'Calendario D'!F16)</f>
        <v>46313.625</v>
      </c>
      <c r="G316" s="44"/>
      <c r="H316" s="44"/>
      <c r="I316" s="44"/>
      <c r="J316" s="137" t="n">
        <f aca="false">IF('Calendario D'!J16="","",'Calendario D'!J16)</f>
        <v>57</v>
      </c>
      <c r="K316" s="138" t="s">
        <v>339</v>
      </c>
      <c r="L316" s="137" t="n">
        <f aca="false">IF('Calendario D'!L16="","",'Calendario D'!L16)</f>
        <v>84</v>
      </c>
      <c r="M316" s="139"/>
      <c r="N316" s="139"/>
      <c r="O316" s="139"/>
      <c r="P316" s="139"/>
      <c r="Q316" s="139"/>
      <c r="R316" s="139"/>
    </row>
    <row r="317" customFormat="false" ht="15" hidden="false" customHeight="true" outlineLevel="0" collapsed="false">
      <c r="A317" s="64"/>
      <c r="B317" s="48" t="str">
        <f aca="false">IF('Calendario D'!B17="","",'Calendario D'!B17)</f>
        <v>PalaElefanti, Via dello Sport 5, Elefantiopoli EI</v>
      </c>
      <c r="C317" s="48"/>
      <c r="D317" s="48"/>
      <c r="E317" s="48"/>
      <c r="F317" s="48"/>
      <c r="G317" s="48"/>
      <c r="H317" s="48"/>
      <c r="I317" s="43" t="str">
        <f aca="false">IF('Calendario D'!I17="","",'Calendario D'!I17)</f>
        <v>D01</v>
      </c>
      <c r="J317" s="137"/>
      <c r="K317" s="137"/>
      <c r="L317" s="137"/>
      <c r="M317" s="137"/>
      <c r="N317" s="137"/>
      <c r="O317" s="137"/>
      <c r="P317" s="137"/>
      <c r="Q317" s="137"/>
      <c r="R317" s="137"/>
    </row>
    <row r="318" customFormat="false" ht="13.5" hidden="false" customHeight="true" outlineLevel="0" collapsed="false">
      <c r="A318" s="63" t="s">
        <v>334</v>
      </c>
      <c r="B318" s="63" t="s">
        <v>317</v>
      </c>
      <c r="C318" s="63"/>
      <c r="D318" s="63" t="s">
        <v>324</v>
      </c>
      <c r="E318" s="63"/>
      <c r="F318" s="63" t="s">
        <v>335</v>
      </c>
      <c r="G318" s="63" t="s">
        <v>336</v>
      </c>
      <c r="H318" s="63" t="s">
        <v>337</v>
      </c>
      <c r="I318" s="63"/>
      <c r="J318" s="63" t="s">
        <v>338</v>
      </c>
      <c r="K318" s="63"/>
      <c r="L318" s="63"/>
      <c r="M318" s="145" t="s">
        <v>539</v>
      </c>
      <c r="N318" s="145" t="s">
        <v>540</v>
      </c>
      <c r="O318" s="145" t="s">
        <v>541</v>
      </c>
      <c r="P318" s="145" t="s">
        <v>542</v>
      </c>
      <c r="Q318" s="145" t="s">
        <v>543</v>
      </c>
      <c r="R318" s="145" t="s">
        <v>544</v>
      </c>
    </row>
    <row r="319" customFormat="false" ht="21.75" hidden="false" customHeight="true" outlineLevel="0" collapsed="false">
      <c r="A319" s="64" t="n">
        <f aca="false">IF('Calendario D'!A19="","",'Calendario D'!A19)</f>
        <v>88</v>
      </c>
      <c r="B319" s="42" t="str">
        <f aca="false">IF('Calendario D'!B19="","",'Calendario D'!B19)</f>
        <v>Lontre Loquaci</v>
      </c>
      <c r="C319" s="43" t="str">
        <f aca="false">IF('Calendario D'!C19="","",'Calendario D'!C19)</f>
        <v>D05</v>
      </c>
      <c r="D319" s="42" t="str">
        <f aca="false">IF('Calendario D'!D19="","",'Calendario D'!D19)</f>
        <v>Iguane Impavide</v>
      </c>
      <c r="E319" s="43" t="str">
        <f aca="false">IF('Calendario D'!E19="","",'Calendario D'!E19)</f>
        <v>D04</v>
      </c>
      <c r="F319" s="44" t="n">
        <f aca="false">IF('Calendario D'!F19="","",'Calendario D'!F19)</f>
        <v>46313.7083333333</v>
      </c>
      <c r="G319" s="44"/>
      <c r="H319" s="44"/>
      <c r="I319" s="44"/>
      <c r="J319" s="137" t="n">
        <f aca="false">IF('Calendario D'!J19="","",'Calendario D'!J19)</f>
        <v>67</v>
      </c>
      <c r="K319" s="138" t="s">
        <v>339</v>
      </c>
      <c r="L319" s="137" t="n">
        <f aca="false">IF('Calendario D'!L19="","",'Calendario D'!L19)</f>
        <v>55</v>
      </c>
      <c r="M319" s="139"/>
      <c r="N319" s="139"/>
      <c r="O319" s="139"/>
      <c r="P319" s="139"/>
      <c r="Q319" s="139"/>
      <c r="R319" s="139"/>
    </row>
    <row r="320" customFormat="false" ht="15" hidden="false" customHeight="true" outlineLevel="0" collapsed="false">
      <c r="A320" s="64"/>
      <c r="B320" s="48" t="str">
        <f aca="false">IF('Calendario D'!B20="","",'Calendario D'!B20)</f>
        <v>PalaElefanti, Via dello Sport 5, Elefantiopoli EI</v>
      </c>
      <c r="C320" s="48"/>
      <c r="D320" s="48"/>
      <c r="E320" s="48"/>
      <c r="F320" s="48"/>
      <c r="G320" s="48"/>
      <c r="H320" s="48"/>
      <c r="I320" s="43" t="str">
        <f aca="false">IF('Calendario D'!I20="","",'Calendario D'!I20)</f>
        <v>D01</v>
      </c>
      <c r="J320" s="137"/>
      <c r="K320" s="137"/>
      <c r="L320" s="137"/>
      <c r="M320" s="137"/>
      <c r="N320" s="137"/>
      <c r="O320" s="137"/>
      <c r="P320" s="137"/>
      <c r="Q320" s="137"/>
      <c r="R320" s="137"/>
    </row>
    <row r="322" customFormat="false" ht="19.5" hidden="false" customHeight="true" outlineLevel="0" collapsed="false">
      <c r="A322" s="61" t="str">
        <f aca="false">IF('Calendario D'!A22="","",'Calendario D'!A22)</f>
        <v>2D</v>
      </c>
      <c r="B322" s="62" t="str">
        <f aca="false">IF('Calendario D'!B22="","",'Calendario D'!B22)</f>
        <v>GIORNATA II - GIRONE D</v>
      </c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144" t="s">
        <v>537</v>
      </c>
      <c r="N322" s="144"/>
      <c r="O322" s="144"/>
      <c r="P322" s="144" t="s">
        <v>538</v>
      </c>
      <c r="Q322" s="144"/>
      <c r="R322" s="144"/>
    </row>
    <row r="323" customFormat="false" ht="13.5" hidden="false" customHeight="true" outlineLevel="0" collapsed="false">
      <c r="A323" s="63" t="s">
        <v>334</v>
      </c>
      <c r="B323" s="63" t="s">
        <v>317</v>
      </c>
      <c r="C323" s="63"/>
      <c r="D323" s="63" t="s">
        <v>324</v>
      </c>
      <c r="E323" s="63"/>
      <c r="F323" s="63" t="s">
        <v>335</v>
      </c>
      <c r="G323" s="63" t="s">
        <v>336</v>
      </c>
      <c r="H323" s="63" t="s">
        <v>337</v>
      </c>
      <c r="I323" s="63"/>
      <c r="J323" s="63" t="s">
        <v>338</v>
      </c>
      <c r="K323" s="63"/>
      <c r="L323" s="63"/>
      <c r="M323" s="145" t="s">
        <v>539</v>
      </c>
      <c r="N323" s="145" t="s">
        <v>540</v>
      </c>
      <c r="O323" s="145" t="s">
        <v>541</v>
      </c>
      <c r="P323" s="145" t="s">
        <v>542</v>
      </c>
      <c r="Q323" s="145" t="s">
        <v>543</v>
      </c>
      <c r="R323" s="145" t="s">
        <v>544</v>
      </c>
    </row>
    <row r="324" customFormat="false" ht="21.75" hidden="false" customHeight="true" outlineLevel="0" collapsed="false">
      <c r="A324" s="64" t="n">
        <f aca="false">IF('Calendario D'!A24="","",'Calendario D'!A24)</f>
        <v>89</v>
      </c>
      <c r="B324" s="42" t="str">
        <f aca="false">IF('Calendario D'!B24="","",'Calendario D'!B24)</f>
        <v>Nutrie Nervose</v>
      </c>
      <c r="C324" s="43" t="str">
        <f aca="false">IF('Calendario D'!C24="","",'Calendario D'!C24)</f>
        <v>D07</v>
      </c>
      <c r="D324" s="42" t="str">
        <f aca="false">IF('Calendario D'!D24="","",'Calendario D'!D24)</f>
        <v>Elefanti Esuberanti</v>
      </c>
      <c r="E324" s="43" t="str">
        <f aca="false">IF('Calendario D'!E24="","",'Calendario D'!E24)</f>
        <v>D01</v>
      </c>
      <c r="F324" s="44" t="n">
        <f aca="false">IF('Calendario D'!F24="","",'Calendario D'!F24)</f>
        <v>46334.3958333333</v>
      </c>
      <c r="G324" s="44"/>
      <c r="H324" s="44"/>
      <c r="I324" s="44"/>
      <c r="J324" s="137" t="n">
        <f aca="false">IF('Calendario D'!J24="","",'Calendario D'!J24)</f>
        <v>46</v>
      </c>
      <c r="K324" s="138" t="s">
        <v>339</v>
      </c>
      <c r="L324" s="137" t="n">
        <f aca="false">IF('Calendario D'!L24="","",'Calendario D'!L24)</f>
        <v>67</v>
      </c>
      <c r="M324" s="139"/>
      <c r="N324" s="139"/>
      <c r="O324" s="139"/>
      <c r="P324" s="139"/>
      <c r="Q324" s="139"/>
      <c r="R324" s="139"/>
    </row>
    <row r="325" customFormat="false" ht="15" hidden="false" customHeight="true" outlineLevel="0" collapsed="false">
      <c r="A325" s="64"/>
      <c r="B325" s="48" t="str">
        <f aca="false">IF('Calendario D'!B25="","",'Calendario D'!B25)</f>
        <v>PalaFenicotteri, Via dello Sport 6, Fenicotteriopoli FI</v>
      </c>
      <c r="C325" s="48"/>
      <c r="D325" s="48"/>
      <c r="E325" s="48"/>
      <c r="F325" s="48"/>
      <c r="G325" s="48"/>
      <c r="H325" s="48"/>
      <c r="I325" s="43" t="str">
        <f aca="false">IF('Calendario D'!I25="","",'Calendario D'!I25)</f>
        <v>D02</v>
      </c>
      <c r="J325" s="137"/>
      <c r="K325" s="137"/>
      <c r="L325" s="137"/>
      <c r="M325" s="137"/>
      <c r="N325" s="137"/>
      <c r="O325" s="137"/>
      <c r="P325" s="137"/>
      <c r="Q325" s="137"/>
      <c r="R325" s="137"/>
    </row>
    <row r="326" customFormat="false" ht="13.5" hidden="false" customHeight="true" outlineLevel="0" collapsed="false">
      <c r="A326" s="63" t="s">
        <v>334</v>
      </c>
      <c r="B326" s="63" t="s">
        <v>317</v>
      </c>
      <c r="C326" s="63"/>
      <c r="D326" s="63" t="s">
        <v>324</v>
      </c>
      <c r="E326" s="63"/>
      <c r="F326" s="63" t="s">
        <v>335</v>
      </c>
      <c r="G326" s="63" t="s">
        <v>336</v>
      </c>
      <c r="H326" s="63" t="s">
        <v>337</v>
      </c>
      <c r="I326" s="63"/>
      <c r="J326" s="63" t="s">
        <v>338</v>
      </c>
      <c r="K326" s="63"/>
      <c r="L326" s="63"/>
      <c r="M326" s="145" t="s">
        <v>539</v>
      </c>
      <c r="N326" s="145" t="s">
        <v>540</v>
      </c>
      <c r="O326" s="145" t="s">
        <v>541</v>
      </c>
      <c r="P326" s="145" t="s">
        <v>542</v>
      </c>
      <c r="Q326" s="145" t="s">
        <v>543</v>
      </c>
      <c r="R326" s="145" t="s">
        <v>544</v>
      </c>
    </row>
    <row r="327" customFormat="false" ht="21.75" hidden="false" customHeight="true" outlineLevel="0" collapsed="false">
      <c r="A327" s="64" t="n">
        <f aca="false">IF('Calendario D'!A27="","",'Calendario D'!A27)</f>
        <v>90</v>
      </c>
      <c r="B327" s="42" t="str">
        <f aca="false">IF('Calendario D'!B27="","",'Calendario D'!B27)</f>
        <v>Otarie Ottimiste</v>
      </c>
      <c r="C327" s="43" t="str">
        <f aca="false">IF('Calendario D'!C27="","",'Calendario D'!C27)</f>
        <v>D08</v>
      </c>
      <c r="D327" s="42" t="str">
        <f aca="false">IF('Calendario D'!D27="","",'Calendario D'!D27)</f>
        <v>Manguste Mordaci</v>
      </c>
      <c r="E327" s="43" t="str">
        <f aca="false">IF('Calendario D'!E27="","",'Calendario D'!E27)</f>
        <v>D06</v>
      </c>
      <c r="F327" s="44" t="n">
        <f aca="false">IF('Calendario D'!F27="","",'Calendario D'!F27)</f>
        <v>46334.4791666667</v>
      </c>
      <c r="G327" s="44"/>
      <c r="H327" s="44"/>
      <c r="I327" s="44"/>
      <c r="J327" s="137" t="n">
        <f aca="false">IF('Calendario D'!J27="","",'Calendario D'!J27)</f>
        <v>50</v>
      </c>
      <c r="K327" s="138" t="s">
        <v>339</v>
      </c>
      <c r="L327" s="137" t="n">
        <f aca="false">IF('Calendario D'!L27="","",'Calendario D'!L27)</f>
        <v>57</v>
      </c>
      <c r="M327" s="139"/>
      <c r="N327" s="139"/>
      <c r="O327" s="139"/>
      <c r="P327" s="139"/>
      <c r="Q327" s="139"/>
      <c r="R327" s="139"/>
    </row>
    <row r="328" customFormat="false" ht="15" hidden="false" customHeight="true" outlineLevel="0" collapsed="false">
      <c r="A328" s="64"/>
      <c r="B328" s="48" t="str">
        <f aca="false">IF('Calendario D'!B28="","",'Calendario D'!B28)</f>
        <v>PalaFenicotteri, Via dello Sport 6, Fenicotteriopoli FI</v>
      </c>
      <c r="C328" s="48"/>
      <c r="D328" s="48"/>
      <c r="E328" s="48"/>
      <c r="F328" s="48"/>
      <c r="G328" s="48"/>
      <c r="H328" s="48"/>
      <c r="I328" s="43" t="str">
        <f aca="false">IF('Calendario D'!I28="","",'Calendario D'!I28)</f>
        <v>D02</v>
      </c>
      <c r="J328" s="137"/>
      <c r="K328" s="137"/>
      <c r="L328" s="137"/>
      <c r="M328" s="137"/>
      <c r="N328" s="137"/>
      <c r="O328" s="137"/>
      <c r="P328" s="137"/>
      <c r="Q328" s="137"/>
      <c r="R328" s="137"/>
    </row>
    <row r="329" customFormat="false" ht="13.5" hidden="false" customHeight="true" outlineLevel="0" collapsed="false">
      <c r="A329" s="63" t="s">
        <v>334</v>
      </c>
      <c r="B329" s="63" t="s">
        <v>317</v>
      </c>
      <c r="C329" s="63"/>
      <c r="D329" s="63" t="s">
        <v>324</v>
      </c>
      <c r="E329" s="63"/>
      <c r="F329" s="63" t="s">
        <v>335</v>
      </c>
      <c r="G329" s="63" t="s">
        <v>336</v>
      </c>
      <c r="H329" s="63" t="s">
        <v>337</v>
      </c>
      <c r="I329" s="63"/>
      <c r="J329" s="63" t="s">
        <v>338</v>
      </c>
      <c r="K329" s="63"/>
      <c r="L329" s="63"/>
      <c r="M329" s="145" t="s">
        <v>539</v>
      </c>
      <c r="N329" s="145" t="s">
        <v>540</v>
      </c>
      <c r="O329" s="145" t="s">
        <v>541</v>
      </c>
      <c r="P329" s="145" t="s">
        <v>542</v>
      </c>
      <c r="Q329" s="145" t="s">
        <v>543</v>
      </c>
      <c r="R329" s="145" t="s">
        <v>544</v>
      </c>
    </row>
    <row r="330" customFormat="false" ht="21.75" hidden="false" customHeight="true" outlineLevel="0" collapsed="false">
      <c r="A330" s="64" t="n">
        <f aca="false">IF('Calendario D'!A30="","",'Calendario D'!A30)</f>
        <v>91</v>
      </c>
      <c r="B330" s="42" t="str">
        <f aca="false">IF('Calendario D'!B30="","",'Calendario D'!B30)</f>
        <v>Lontre Loquaci</v>
      </c>
      <c r="C330" s="43" t="str">
        <f aca="false">IF('Calendario D'!C30="","",'Calendario D'!C30)</f>
        <v>D05</v>
      </c>
      <c r="D330" s="42" t="str">
        <f aca="false">IF('Calendario D'!D30="","",'Calendario D'!D30)</f>
        <v>Fenicotteri Focosi</v>
      </c>
      <c r="E330" s="43" t="str">
        <f aca="false">IF('Calendario D'!E30="","",'Calendario D'!E30)</f>
        <v>D02</v>
      </c>
      <c r="F330" s="44" t="n">
        <f aca="false">IF('Calendario D'!F30="","",'Calendario D'!F30)</f>
        <v>46334.625</v>
      </c>
      <c r="G330" s="44"/>
      <c r="H330" s="44"/>
      <c r="I330" s="44"/>
      <c r="J330" s="137" t="n">
        <f aca="false">IF('Calendario D'!J30="","",'Calendario D'!J30)</f>
        <v>65</v>
      </c>
      <c r="K330" s="138" t="s">
        <v>339</v>
      </c>
      <c r="L330" s="137" t="n">
        <f aca="false">IF('Calendario D'!L30="","",'Calendario D'!L30)</f>
        <v>49</v>
      </c>
      <c r="M330" s="139"/>
      <c r="N330" s="139"/>
      <c r="O330" s="139"/>
      <c r="P330" s="139"/>
      <c r="Q330" s="139"/>
      <c r="R330" s="139"/>
    </row>
    <row r="331" customFormat="false" ht="15" hidden="false" customHeight="true" outlineLevel="0" collapsed="false">
      <c r="A331" s="64"/>
      <c r="B331" s="48" t="str">
        <f aca="false">IF('Calendario D'!B31="","",'Calendario D'!B31)</f>
        <v>PalaFenicotteri, Via dello Sport 6, Fenicotteriopoli FI</v>
      </c>
      <c r="C331" s="48"/>
      <c r="D331" s="48"/>
      <c r="E331" s="48"/>
      <c r="F331" s="48"/>
      <c r="G331" s="48"/>
      <c r="H331" s="48"/>
      <c r="I331" s="43" t="str">
        <f aca="false">IF('Calendario D'!I31="","",'Calendario D'!I31)</f>
        <v>D02</v>
      </c>
      <c r="J331" s="137"/>
      <c r="K331" s="137"/>
      <c r="L331" s="137"/>
      <c r="M331" s="137"/>
      <c r="N331" s="137"/>
      <c r="O331" s="137"/>
      <c r="P331" s="137"/>
      <c r="Q331" s="137"/>
      <c r="R331" s="137"/>
    </row>
    <row r="332" customFormat="false" ht="13.5" hidden="false" customHeight="true" outlineLevel="0" collapsed="false">
      <c r="A332" s="63" t="s">
        <v>334</v>
      </c>
      <c r="B332" s="63" t="s">
        <v>317</v>
      </c>
      <c r="C332" s="63"/>
      <c r="D332" s="63" t="s">
        <v>324</v>
      </c>
      <c r="E332" s="63"/>
      <c r="F332" s="63" t="s">
        <v>335</v>
      </c>
      <c r="G332" s="63" t="s">
        <v>336</v>
      </c>
      <c r="H332" s="63" t="s">
        <v>337</v>
      </c>
      <c r="I332" s="63"/>
      <c r="J332" s="63" t="s">
        <v>338</v>
      </c>
      <c r="K332" s="63"/>
      <c r="L332" s="63"/>
      <c r="M332" s="145" t="s">
        <v>539</v>
      </c>
      <c r="N332" s="145" t="s">
        <v>540</v>
      </c>
      <c r="O332" s="145" t="s">
        <v>541</v>
      </c>
      <c r="P332" s="145" t="s">
        <v>542</v>
      </c>
      <c r="Q332" s="145" t="s">
        <v>543</v>
      </c>
      <c r="R332" s="145" t="s">
        <v>544</v>
      </c>
    </row>
    <row r="333" customFormat="false" ht="21.75" hidden="false" customHeight="true" outlineLevel="0" collapsed="false">
      <c r="A333" s="64" t="n">
        <f aca="false">IF('Calendario D'!A33="","",'Calendario D'!A33)</f>
        <v>92</v>
      </c>
      <c r="B333" s="42" t="str">
        <f aca="false">IF('Calendario D'!B33="","",'Calendario D'!B33)</f>
        <v>Ghepardi Guizzanti</v>
      </c>
      <c r="C333" s="43" t="str">
        <f aca="false">IF('Calendario D'!C33="","",'Calendario D'!C33)</f>
        <v>D03</v>
      </c>
      <c r="D333" s="42" t="str">
        <f aca="false">IF('Calendario D'!D33="","",'Calendario D'!D33)</f>
        <v>Iguane Impavide</v>
      </c>
      <c r="E333" s="43" t="str">
        <f aca="false">IF('Calendario D'!E33="","",'Calendario D'!E33)</f>
        <v>D04</v>
      </c>
      <c r="F333" s="44" t="n">
        <f aca="false">IF('Calendario D'!F33="","",'Calendario D'!F33)</f>
        <v>46334.7083333333</v>
      </c>
      <c r="G333" s="44"/>
      <c r="H333" s="44"/>
      <c r="I333" s="44"/>
      <c r="J333" s="137" t="n">
        <f aca="false">IF('Calendario D'!J33="","",'Calendario D'!J33)</f>
        <v>35</v>
      </c>
      <c r="K333" s="138" t="s">
        <v>339</v>
      </c>
      <c r="L333" s="137" t="n">
        <f aca="false">IF('Calendario D'!L33="","",'Calendario D'!L33)</f>
        <v>70</v>
      </c>
      <c r="M333" s="139"/>
      <c r="N333" s="139"/>
      <c r="O333" s="139"/>
      <c r="P333" s="139"/>
      <c r="Q333" s="139"/>
      <c r="R333" s="139"/>
    </row>
    <row r="334" customFormat="false" ht="15" hidden="false" customHeight="true" outlineLevel="0" collapsed="false">
      <c r="A334" s="64"/>
      <c r="B334" s="48" t="str">
        <f aca="false">IF('Calendario D'!B34="","",'Calendario D'!B34)</f>
        <v>PalaFenicotteri, Via dello Sport 6, Fenicotteriopoli FI</v>
      </c>
      <c r="C334" s="48"/>
      <c r="D334" s="48"/>
      <c r="E334" s="48"/>
      <c r="F334" s="48"/>
      <c r="G334" s="48"/>
      <c r="H334" s="48"/>
      <c r="I334" s="43" t="str">
        <f aca="false">IF('Calendario D'!I34="","",'Calendario D'!I34)</f>
        <v>D02</v>
      </c>
      <c r="J334" s="137"/>
      <c r="K334" s="137"/>
      <c r="L334" s="137"/>
      <c r="M334" s="137"/>
      <c r="N334" s="137"/>
      <c r="O334" s="137"/>
      <c r="P334" s="137"/>
      <c r="Q334" s="137"/>
      <c r="R334" s="137"/>
    </row>
    <row r="336" customFormat="false" ht="19.5" hidden="false" customHeight="true" outlineLevel="0" collapsed="false">
      <c r="A336" s="61" t="str">
        <f aca="false">IF('Calendario D'!A36="","",'Calendario D'!A36)</f>
        <v>3D</v>
      </c>
      <c r="B336" s="62" t="str">
        <f aca="false">IF('Calendario D'!B36="","",'Calendario D'!B36)</f>
        <v>GIORNATA III - GIRONE D</v>
      </c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144" t="s">
        <v>537</v>
      </c>
      <c r="N336" s="144"/>
      <c r="O336" s="144"/>
      <c r="P336" s="144" t="s">
        <v>538</v>
      </c>
      <c r="Q336" s="144"/>
      <c r="R336" s="144"/>
    </row>
    <row r="337" customFormat="false" ht="13.5" hidden="false" customHeight="true" outlineLevel="0" collapsed="false">
      <c r="A337" s="63" t="s">
        <v>334</v>
      </c>
      <c r="B337" s="63" t="s">
        <v>317</v>
      </c>
      <c r="C337" s="63"/>
      <c r="D337" s="63" t="s">
        <v>324</v>
      </c>
      <c r="E337" s="63"/>
      <c r="F337" s="63" t="s">
        <v>335</v>
      </c>
      <c r="G337" s="63" t="s">
        <v>336</v>
      </c>
      <c r="H337" s="63" t="s">
        <v>337</v>
      </c>
      <c r="I337" s="63"/>
      <c r="J337" s="63" t="s">
        <v>338</v>
      </c>
      <c r="K337" s="63"/>
      <c r="L337" s="63"/>
      <c r="M337" s="145" t="s">
        <v>539</v>
      </c>
      <c r="N337" s="145" t="s">
        <v>540</v>
      </c>
      <c r="O337" s="145" t="s">
        <v>541</v>
      </c>
      <c r="P337" s="145" t="s">
        <v>542</v>
      </c>
      <c r="Q337" s="145" t="s">
        <v>543</v>
      </c>
      <c r="R337" s="145" t="s">
        <v>544</v>
      </c>
    </row>
    <row r="338" customFormat="false" ht="21.75" hidden="false" customHeight="true" outlineLevel="0" collapsed="false">
      <c r="A338" s="64" t="n">
        <f aca="false">IF('Calendario D'!A38="","",'Calendario D'!A38)</f>
        <v>93</v>
      </c>
      <c r="B338" s="42" t="str">
        <f aca="false">IF('Calendario D'!B38="","",'Calendario D'!B38)</f>
        <v>Elefanti Esuberanti</v>
      </c>
      <c r="C338" s="43" t="str">
        <f aca="false">IF('Calendario D'!C38="","",'Calendario D'!C38)</f>
        <v>D01</v>
      </c>
      <c r="D338" s="42" t="str">
        <f aca="false">IF('Calendario D'!D38="","",'Calendario D'!D38)</f>
        <v>Manguste Mordaci</v>
      </c>
      <c r="E338" s="43" t="str">
        <f aca="false">IF('Calendario D'!E38="","",'Calendario D'!E38)</f>
        <v>D06</v>
      </c>
      <c r="F338" s="44" t="n">
        <f aca="false">IF('Calendario D'!F38="","",'Calendario D'!F38)</f>
        <v>46355.3958333333</v>
      </c>
      <c r="G338" s="44"/>
      <c r="H338" s="44"/>
      <c r="I338" s="44"/>
      <c r="J338" s="137" t="n">
        <f aca="false">IF('Calendario D'!J38="","",'Calendario D'!J38)</f>
        <v>64</v>
      </c>
      <c r="K338" s="138" t="s">
        <v>339</v>
      </c>
      <c r="L338" s="137" t="n">
        <f aca="false">IF('Calendario D'!L38="","",'Calendario D'!L38)</f>
        <v>56</v>
      </c>
      <c r="M338" s="139"/>
      <c r="N338" s="139"/>
      <c r="O338" s="139"/>
      <c r="P338" s="139"/>
      <c r="Q338" s="139"/>
      <c r="R338" s="139"/>
    </row>
    <row r="339" customFormat="false" ht="15" hidden="false" customHeight="true" outlineLevel="0" collapsed="false">
      <c r="A339" s="64"/>
      <c r="B339" s="48" t="str">
        <f aca="false">IF('Calendario D'!B39="","",'Calendario D'!B39)</f>
        <v>PalaGhepardi, Via dello Sport 7, Ghepardiopoli GI</v>
      </c>
      <c r="C339" s="48"/>
      <c r="D339" s="48"/>
      <c r="E339" s="48"/>
      <c r="F339" s="48"/>
      <c r="G339" s="48"/>
      <c r="H339" s="48"/>
      <c r="I339" s="43" t="str">
        <f aca="false">IF('Calendario D'!I39="","",'Calendario D'!I39)</f>
        <v>D03</v>
      </c>
      <c r="J339" s="137"/>
      <c r="K339" s="137"/>
      <c r="L339" s="137"/>
      <c r="M339" s="137"/>
      <c r="N339" s="137"/>
      <c r="O339" s="137"/>
      <c r="P339" s="137"/>
      <c r="Q339" s="137"/>
      <c r="R339" s="137"/>
    </row>
    <row r="340" customFormat="false" ht="13.5" hidden="false" customHeight="true" outlineLevel="0" collapsed="false">
      <c r="A340" s="63" t="s">
        <v>334</v>
      </c>
      <c r="B340" s="63" t="s">
        <v>317</v>
      </c>
      <c r="C340" s="63"/>
      <c r="D340" s="63" t="s">
        <v>324</v>
      </c>
      <c r="E340" s="63"/>
      <c r="F340" s="63" t="s">
        <v>335</v>
      </c>
      <c r="G340" s="63" t="s">
        <v>336</v>
      </c>
      <c r="H340" s="63" t="s">
        <v>337</v>
      </c>
      <c r="I340" s="63"/>
      <c r="J340" s="63" t="s">
        <v>338</v>
      </c>
      <c r="K340" s="63"/>
      <c r="L340" s="63"/>
      <c r="M340" s="145" t="s">
        <v>539</v>
      </c>
      <c r="N340" s="145" t="s">
        <v>540</v>
      </c>
      <c r="O340" s="145" t="s">
        <v>541</v>
      </c>
      <c r="P340" s="145" t="s">
        <v>542</v>
      </c>
      <c r="Q340" s="145" t="s">
        <v>543</v>
      </c>
      <c r="R340" s="145" t="s">
        <v>544</v>
      </c>
    </row>
    <row r="341" customFormat="false" ht="21.75" hidden="false" customHeight="true" outlineLevel="0" collapsed="false">
      <c r="A341" s="64" t="n">
        <f aca="false">IF('Calendario D'!A41="","",'Calendario D'!A41)</f>
        <v>94</v>
      </c>
      <c r="B341" s="42" t="str">
        <f aca="false">IF('Calendario D'!B41="","",'Calendario D'!B41)</f>
        <v>Lontre Loquaci</v>
      </c>
      <c r="C341" s="43" t="str">
        <f aca="false">IF('Calendario D'!C41="","",'Calendario D'!C41)</f>
        <v>D05</v>
      </c>
      <c r="D341" s="42" t="str">
        <f aca="false">IF('Calendario D'!D41="","",'Calendario D'!D41)</f>
        <v>Nutrie Nervose</v>
      </c>
      <c r="E341" s="43" t="str">
        <f aca="false">IF('Calendario D'!E41="","",'Calendario D'!E41)</f>
        <v>D07</v>
      </c>
      <c r="F341" s="44" t="n">
        <f aca="false">IF('Calendario D'!F41="","",'Calendario D'!F41)</f>
        <v>46355.4791666667</v>
      </c>
      <c r="G341" s="44"/>
      <c r="H341" s="44"/>
      <c r="I341" s="44"/>
      <c r="J341" s="137" t="n">
        <f aca="false">IF('Calendario D'!J41="","",'Calendario D'!J41)</f>
        <v>78</v>
      </c>
      <c r="K341" s="138" t="s">
        <v>339</v>
      </c>
      <c r="L341" s="137" t="n">
        <f aca="false">IF('Calendario D'!L41="","",'Calendario D'!L41)</f>
        <v>51</v>
      </c>
      <c r="M341" s="139"/>
      <c r="N341" s="139"/>
      <c r="O341" s="139"/>
      <c r="P341" s="139"/>
      <c r="Q341" s="139"/>
      <c r="R341" s="139"/>
    </row>
    <row r="342" customFormat="false" ht="15" hidden="false" customHeight="true" outlineLevel="0" collapsed="false">
      <c r="A342" s="64"/>
      <c r="B342" s="48" t="str">
        <f aca="false">IF('Calendario D'!B42="","",'Calendario D'!B42)</f>
        <v>PalaGhepardi, Via dello Sport 7, Ghepardiopoli GI</v>
      </c>
      <c r="C342" s="48"/>
      <c r="D342" s="48"/>
      <c r="E342" s="48"/>
      <c r="F342" s="48"/>
      <c r="G342" s="48"/>
      <c r="H342" s="48"/>
      <c r="I342" s="43" t="str">
        <f aca="false">IF('Calendario D'!I42="","",'Calendario D'!I42)</f>
        <v>D03</v>
      </c>
      <c r="J342" s="137"/>
      <c r="K342" s="137"/>
      <c r="L342" s="137"/>
      <c r="M342" s="137"/>
      <c r="N342" s="137"/>
      <c r="O342" s="137"/>
      <c r="P342" s="137"/>
      <c r="Q342" s="137"/>
      <c r="R342" s="137"/>
    </row>
    <row r="343" customFormat="false" ht="13.5" hidden="false" customHeight="true" outlineLevel="0" collapsed="false">
      <c r="A343" s="63" t="s">
        <v>334</v>
      </c>
      <c r="B343" s="63" t="s">
        <v>317</v>
      </c>
      <c r="C343" s="63"/>
      <c r="D343" s="63" t="s">
        <v>324</v>
      </c>
      <c r="E343" s="63"/>
      <c r="F343" s="63" t="s">
        <v>335</v>
      </c>
      <c r="G343" s="63" t="s">
        <v>336</v>
      </c>
      <c r="H343" s="63" t="s">
        <v>337</v>
      </c>
      <c r="I343" s="63"/>
      <c r="J343" s="63" t="s">
        <v>338</v>
      </c>
      <c r="K343" s="63"/>
      <c r="L343" s="63"/>
      <c r="M343" s="145" t="s">
        <v>539</v>
      </c>
      <c r="N343" s="145" t="s">
        <v>540</v>
      </c>
      <c r="O343" s="145" t="s">
        <v>541</v>
      </c>
      <c r="P343" s="145" t="s">
        <v>542</v>
      </c>
      <c r="Q343" s="145" t="s">
        <v>543</v>
      </c>
      <c r="R343" s="145" t="s">
        <v>544</v>
      </c>
    </row>
    <row r="344" customFormat="false" ht="21.75" hidden="false" customHeight="true" outlineLevel="0" collapsed="false">
      <c r="A344" s="64" t="n">
        <f aca="false">IF('Calendario D'!A44="","",'Calendario D'!A44)</f>
        <v>95</v>
      </c>
      <c r="B344" s="42" t="str">
        <f aca="false">IF('Calendario D'!B44="","",'Calendario D'!B44)</f>
        <v>Otarie Ottimiste</v>
      </c>
      <c r="C344" s="43" t="str">
        <f aca="false">IF('Calendario D'!C44="","",'Calendario D'!C44)</f>
        <v>D08</v>
      </c>
      <c r="D344" s="42" t="str">
        <f aca="false">IF('Calendario D'!D44="","",'Calendario D'!D44)</f>
        <v>Iguane Impavide</v>
      </c>
      <c r="E344" s="43" t="str">
        <f aca="false">IF('Calendario D'!E44="","",'Calendario D'!E44)</f>
        <v>D04</v>
      </c>
      <c r="F344" s="44" t="n">
        <f aca="false">IF('Calendario D'!F44="","",'Calendario D'!F44)</f>
        <v>46355.625</v>
      </c>
      <c r="G344" s="44"/>
      <c r="H344" s="44"/>
      <c r="I344" s="44"/>
      <c r="J344" s="137" t="n">
        <f aca="false">IF('Calendario D'!J44="","",'Calendario D'!J44)</f>
        <v>49</v>
      </c>
      <c r="K344" s="138" t="s">
        <v>339</v>
      </c>
      <c r="L344" s="137" t="n">
        <f aca="false">IF('Calendario D'!L44="","",'Calendario D'!L44)</f>
        <v>86</v>
      </c>
      <c r="M344" s="139"/>
      <c r="N344" s="139"/>
      <c r="O344" s="139"/>
      <c r="P344" s="139"/>
      <c r="Q344" s="139"/>
      <c r="R344" s="139"/>
    </row>
    <row r="345" customFormat="false" ht="15" hidden="false" customHeight="true" outlineLevel="0" collapsed="false">
      <c r="A345" s="64"/>
      <c r="B345" s="48" t="str">
        <f aca="false">IF('Calendario D'!B45="","",'Calendario D'!B45)</f>
        <v>PalaGhepardi, Via dello Sport 7, Ghepardiopoli GI</v>
      </c>
      <c r="C345" s="48"/>
      <c r="D345" s="48"/>
      <c r="E345" s="48"/>
      <c r="F345" s="48"/>
      <c r="G345" s="48"/>
      <c r="H345" s="48"/>
      <c r="I345" s="43" t="str">
        <f aca="false">IF('Calendario D'!I45="","",'Calendario D'!I45)</f>
        <v>D03</v>
      </c>
      <c r="J345" s="137"/>
      <c r="K345" s="137"/>
      <c r="L345" s="137"/>
      <c r="M345" s="137"/>
      <c r="N345" s="137"/>
      <c r="O345" s="137"/>
      <c r="P345" s="137"/>
      <c r="Q345" s="137"/>
      <c r="R345" s="137"/>
    </row>
    <row r="346" customFormat="false" ht="13.5" hidden="false" customHeight="true" outlineLevel="0" collapsed="false">
      <c r="A346" s="63" t="s">
        <v>334</v>
      </c>
      <c r="B346" s="63" t="s">
        <v>317</v>
      </c>
      <c r="C346" s="63"/>
      <c r="D346" s="63" t="s">
        <v>324</v>
      </c>
      <c r="E346" s="63"/>
      <c r="F346" s="63" t="s">
        <v>335</v>
      </c>
      <c r="G346" s="63" t="s">
        <v>336</v>
      </c>
      <c r="H346" s="63" t="s">
        <v>337</v>
      </c>
      <c r="I346" s="63"/>
      <c r="J346" s="63" t="s">
        <v>338</v>
      </c>
      <c r="K346" s="63"/>
      <c r="L346" s="63"/>
      <c r="M346" s="145" t="s">
        <v>539</v>
      </c>
      <c r="N346" s="145" t="s">
        <v>540</v>
      </c>
      <c r="O346" s="145" t="s">
        <v>541</v>
      </c>
      <c r="P346" s="145" t="s">
        <v>542</v>
      </c>
      <c r="Q346" s="145" t="s">
        <v>543</v>
      </c>
      <c r="R346" s="145" t="s">
        <v>544</v>
      </c>
    </row>
    <row r="347" customFormat="false" ht="21.75" hidden="false" customHeight="true" outlineLevel="0" collapsed="false">
      <c r="A347" s="64" t="n">
        <f aca="false">IF('Calendario D'!A47="","",'Calendario D'!A47)</f>
        <v>96</v>
      </c>
      <c r="B347" s="42" t="str">
        <f aca="false">IF('Calendario D'!B47="","",'Calendario D'!B47)</f>
        <v>Ghepardi Guizzanti</v>
      </c>
      <c r="C347" s="43" t="str">
        <f aca="false">IF('Calendario D'!C47="","",'Calendario D'!C47)</f>
        <v>D03</v>
      </c>
      <c r="D347" s="42" t="str">
        <f aca="false">IF('Calendario D'!D47="","",'Calendario D'!D47)</f>
        <v>Fenicotteri Focosi</v>
      </c>
      <c r="E347" s="43" t="str">
        <f aca="false">IF('Calendario D'!E47="","",'Calendario D'!E47)</f>
        <v>D02</v>
      </c>
      <c r="F347" s="44" t="n">
        <f aca="false">IF('Calendario D'!F47="","",'Calendario D'!F47)</f>
        <v>46355.7083333333</v>
      </c>
      <c r="G347" s="44"/>
      <c r="H347" s="44"/>
      <c r="I347" s="44"/>
      <c r="J347" s="137" t="n">
        <f aca="false">IF('Calendario D'!J47="","",'Calendario D'!J47)</f>
        <v>48</v>
      </c>
      <c r="K347" s="138" t="s">
        <v>339</v>
      </c>
      <c r="L347" s="137" t="n">
        <f aca="false">IF('Calendario D'!L47="","",'Calendario D'!L47)</f>
        <v>77</v>
      </c>
      <c r="M347" s="139"/>
      <c r="N347" s="139"/>
      <c r="O347" s="139"/>
      <c r="P347" s="139"/>
      <c r="Q347" s="139"/>
      <c r="R347" s="139"/>
    </row>
    <row r="348" customFormat="false" ht="15" hidden="false" customHeight="true" outlineLevel="0" collapsed="false">
      <c r="A348" s="64"/>
      <c r="B348" s="48" t="str">
        <f aca="false">IF('Calendario D'!B48="","",'Calendario D'!B48)</f>
        <v>PalaGhepardi, Via dello Sport 7, Ghepardiopoli GI</v>
      </c>
      <c r="C348" s="48"/>
      <c r="D348" s="48"/>
      <c r="E348" s="48"/>
      <c r="F348" s="48"/>
      <c r="G348" s="48"/>
      <c r="H348" s="48"/>
      <c r="I348" s="43" t="str">
        <f aca="false">IF('Calendario D'!I48="","",'Calendario D'!I48)</f>
        <v>D03</v>
      </c>
      <c r="J348" s="137"/>
      <c r="K348" s="137"/>
      <c r="L348" s="137"/>
      <c r="M348" s="137"/>
      <c r="N348" s="137"/>
      <c r="O348" s="137"/>
      <c r="P348" s="137"/>
      <c r="Q348" s="137"/>
      <c r="R348" s="137"/>
    </row>
    <row r="350" customFormat="false" ht="19.5" hidden="false" customHeight="true" outlineLevel="0" collapsed="false">
      <c r="A350" s="61" t="str">
        <f aca="false">IF('Calendario D'!A50="","",'Calendario D'!A50)</f>
        <v>4D</v>
      </c>
      <c r="B350" s="62" t="str">
        <f aca="false">IF('Calendario D'!B50="","",'Calendario D'!B50)</f>
        <v>GIORNATA IV - GIRONE D</v>
      </c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144" t="s">
        <v>537</v>
      </c>
      <c r="N350" s="144"/>
      <c r="O350" s="144"/>
      <c r="P350" s="144" t="s">
        <v>538</v>
      </c>
      <c r="Q350" s="144"/>
      <c r="R350" s="144"/>
    </row>
    <row r="351" customFormat="false" ht="13.5" hidden="false" customHeight="true" outlineLevel="0" collapsed="false">
      <c r="A351" s="63" t="s">
        <v>334</v>
      </c>
      <c r="B351" s="63" t="s">
        <v>317</v>
      </c>
      <c r="C351" s="63"/>
      <c r="D351" s="63" t="s">
        <v>324</v>
      </c>
      <c r="E351" s="63"/>
      <c r="F351" s="63" t="s">
        <v>335</v>
      </c>
      <c r="G351" s="63" t="s">
        <v>336</v>
      </c>
      <c r="H351" s="63" t="s">
        <v>337</v>
      </c>
      <c r="I351" s="63"/>
      <c r="J351" s="63" t="s">
        <v>338</v>
      </c>
      <c r="K351" s="63"/>
      <c r="L351" s="63"/>
      <c r="M351" s="145" t="s">
        <v>539</v>
      </c>
      <c r="N351" s="145" t="s">
        <v>540</v>
      </c>
      <c r="O351" s="145" t="s">
        <v>541</v>
      </c>
      <c r="P351" s="145" t="s">
        <v>542</v>
      </c>
      <c r="Q351" s="145" t="s">
        <v>543</v>
      </c>
      <c r="R351" s="145" t="s">
        <v>544</v>
      </c>
    </row>
    <row r="352" customFormat="false" ht="21.75" hidden="false" customHeight="true" outlineLevel="0" collapsed="false">
      <c r="A352" s="64" t="n">
        <f aca="false">IF('Calendario D'!A52="","",'Calendario D'!A52)</f>
        <v>97</v>
      </c>
      <c r="B352" s="42" t="str">
        <f aca="false">IF('Calendario D'!B52="","",'Calendario D'!B52)</f>
        <v>Lontre Loquaci</v>
      </c>
      <c r="C352" s="43" t="str">
        <f aca="false">IF('Calendario D'!C52="","",'Calendario D'!C52)</f>
        <v>D05</v>
      </c>
      <c r="D352" s="42" t="str">
        <f aca="false">IF('Calendario D'!D52="","",'Calendario D'!D52)</f>
        <v>Elefanti Esuberanti</v>
      </c>
      <c r="E352" s="43" t="str">
        <f aca="false">IF('Calendario D'!E52="","",'Calendario D'!E52)</f>
        <v>D01</v>
      </c>
      <c r="F352" s="44" t="n">
        <f aca="false">IF('Calendario D'!F52="","",'Calendario D'!F52)</f>
        <v>46369.3958333333</v>
      </c>
      <c r="G352" s="44"/>
      <c r="H352" s="44"/>
      <c r="I352" s="44"/>
      <c r="J352" s="137" t="n">
        <f aca="false">IF('Calendario D'!J52="","",'Calendario D'!J52)</f>
        <v>65</v>
      </c>
      <c r="K352" s="138" t="s">
        <v>339</v>
      </c>
      <c r="L352" s="137" t="n">
        <f aca="false">IF('Calendario D'!L52="","",'Calendario D'!L52)</f>
        <v>68</v>
      </c>
      <c r="M352" s="139"/>
      <c r="N352" s="139"/>
      <c r="O352" s="139"/>
      <c r="P352" s="139"/>
      <c r="Q352" s="139"/>
      <c r="R352" s="139"/>
    </row>
    <row r="353" customFormat="false" ht="15" hidden="false" customHeight="true" outlineLevel="0" collapsed="false">
      <c r="A353" s="64"/>
      <c r="B353" s="48" t="str">
        <f aca="false">IF('Calendario D'!B53="","",'Calendario D'!B53)</f>
        <v>PalaIguane, Via dello Sport 8, Iguaneopoli IE</v>
      </c>
      <c r="C353" s="48"/>
      <c r="D353" s="48"/>
      <c r="E353" s="48"/>
      <c r="F353" s="48"/>
      <c r="G353" s="48"/>
      <c r="H353" s="48"/>
      <c r="I353" s="43" t="str">
        <f aca="false">IF('Calendario D'!I53="","",'Calendario D'!I53)</f>
        <v>D04</v>
      </c>
      <c r="J353" s="137"/>
      <c r="K353" s="137"/>
      <c r="L353" s="137"/>
      <c r="M353" s="137"/>
      <c r="N353" s="137"/>
      <c r="O353" s="137"/>
      <c r="P353" s="137"/>
      <c r="Q353" s="137"/>
      <c r="R353" s="137"/>
    </row>
    <row r="354" customFormat="false" ht="13.5" hidden="false" customHeight="true" outlineLevel="0" collapsed="false">
      <c r="A354" s="63" t="s">
        <v>334</v>
      </c>
      <c r="B354" s="63" t="s">
        <v>317</v>
      </c>
      <c r="C354" s="63"/>
      <c r="D354" s="63" t="s">
        <v>324</v>
      </c>
      <c r="E354" s="63"/>
      <c r="F354" s="63" t="s">
        <v>335</v>
      </c>
      <c r="G354" s="63" t="s">
        <v>336</v>
      </c>
      <c r="H354" s="63" t="s">
        <v>337</v>
      </c>
      <c r="I354" s="63"/>
      <c r="J354" s="63" t="s">
        <v>338</v>
      </c>
      <c r="K354" s="63"/>
      <c r="L354" s="63"/>
      <c r="M354" s="145" t="s">
        <v>539</v>
      </c>
      <c r="N354" s="145" t="s">
        <v>540</v>
      </c>
      <c r="O354" s="145" t="s">
        <v>541</v>
      </c>
      <c r="P354" s="145" t="s">
        <v>542</v>
      </c>
      <c r="Q354" s="145" t="s">
        <v>543</v>
      </c>
      <c r="R354" s="145" t="s">
        <v>544</v>
      </c>
    </row>
    <row r="355" customFormat="false" ht="21.75" hidden="false" customHeight="true" outlineLevel="0" collapsed="false">
      <c r="A355" s="64" t="n">
        <f aca="false">IF('Calendario D'!A55="","",'Calendario D'!A55)</f>
        <v>98</v>
      </c>
      <c r="B355" s="42" t="str">
        <f aca="false">IF('Calendario D'!B55="","",'Calendario D'!B55)</f>
        <v>Manguste Mordaci</v>
      </c>
      <c r="C355" s="43" t="str">
        <f aca="false">IF('Calendario D'!C55="","",'Calendario D'!C55)</f>
        <v>D06</v>
      </c>
      <c r="D355" s="42" t="str">
        <f aca="false">IF('Calendario D'!D55="","",'Calendario D'!D55)</f>
        <v>Iguane Impavide</v>
      </c>
      <c r="E355" s="43" t="str">
        <f aca="false">IF('Calendario D'!E55="","",'Calendario D'!E55)</f>
        <v>D04</v>
      </c>
      <c r="F355" s="44" t="n">
        <f aca="false">IF('Calendario D'!F55="","",'Calendario D'!F55)</f>
        <v>46369.4791666667</v>
      </c>
      <c r="G355" s="44"/>
      <c r="H355" s="44"/>
      <c r="I355" s="44"/>
      <c r="J355" s="137" t="n">
        <f aca="false">IF('Calendario D'!J55="","",'Calendario D'!J55)</f>
        <v>42</v>
      </c>
      <c r="K355" s="138" t="s">
        <v>339</v>
      </c>
      <c r="L355" s="137" t="n">
        <f aca="false">IF('Calendario D'!L55="","",'Calendario D'!L55)</f>
        <v>61</v>
      </c>
      <c r="M355" s="139"/>
      <c r="N355" s="139"/>
      <c r="O355" s="139"/>
      <c r="P355" s="139"/>
      <c r="Q355" s="139"/>
      <c r="R355" s="139"/>
    </row>
    <row r="356" customFormat="false" ht="15" hidden="false" customHeight="true" outlineLevel="0" collapsed="false">
      <c r="A356" s="64"/>
      <c r="B356" s="48" t="str">
        <f aca="false">IF('Calendario D'!B56="","",'Calendario D'!B56)</f>
        <v>PalaIguane, Via dello Sport 8, Iguaneopoli IE</v>
      </c>
      <c r="C356" s="48"/>
      <c r="D356" s="48"/>
      <c r="E356" s="48"/>
      <c r="F356" s="48"/>
      <c r="G356" s="48"/>
      <c r="H356" s="48"/>
      <c r="I356" s="43" t="str">
        <f aca="false">IF('Calendario D'!I56="","",'Calendario D'!I56)</f>
        <v>D04</v>
      </c>
      <c r="J356" s="137"/>
      <c r="K356" s="137"/>
      <c r="L356" s="137"/>
      <c r="M356" s="137"/>
      <c r="N356" s="137"/>
      <c r="O356" s="137"/>
      <c r="P356" s="137"/>
      <c r="Q356" s="137"/>
      <c r="R356" s="137"/>
    </row>
    <row r="357" customFormat="false" ht="13.5" hidden="false" customHeight="true" outlineLevel="0" collapsed="false">
      <c r="A357" s="63" t="s">
        <v>334</v>
      </c>
      <c r="B357" s="63" t="s">
        <v>317</v>
      </c>
      <c r="C357" s="63"/>
      <c r="D357" s="63" t="s">
        <v>324</v>
      </c>
      <c r="E357" s="63"/>
      <c r="F357" s="63" t="s">
        <v>335</v>
      </c>
      <c r="G357" s="63" t="s">
        <v>336</v>
      </c>
      <c r="H357" s="63" t="s">
        <v>337</v>
      </c>
      <c r="I357" s="63"/>
      <c r="J357" s="63" t="s">
        <v>338</v>
      </c>
      <c r="K357" s="63"/>
      <c r="L357" s="63"/>
      <c r="M357" s="145" t="s">
        <v>539</v>
      </c>
      <c r="N357" s="145" t="s">
        <v>540</v>
      </c>
      <c r="O357" s="145" t="s">
        <v>541</v>
      </c>
      <c r="P357" s="145" t="s">
        <v>542</v>
      </c>
      <c r="Q357" s="145" t="s">
        <v>543</v>
      </c>
      <c r="R357" s="145" t="s">
        <v>544</v>
      </c>
    </row>
    <row r="358" customFormat="false" ht="21.75" hidden="false" customHeight="true" outlineLevel="0" collapsed="false">
      <c r="A358" s="64" t="n">
        <f aca="false">IF('Calendario D'!A58="","",'Calendario D'!A58)</f>
        <v>99</v>
      </c>
      <c r="B358" s="42" t="str">
        <f aca="false">IF('Calendario D'!B58="","",'Calendario D'!B58)</f>
        <v>Ghepardi Guizzanti</v>
      </c>
      <c r="C358" s="43" t="str">
        <f aca="false">IF('Calendario D'!C58="","",'Calendario D'!C58)</f>
        <v>D03</v>
      </c>
      <c r="D358" s="42" t="str">
        <f aca="false">IF('Calendario D'!D58="","",'Calendario D'!D58)</f>
        <v>Nutrie Nervose</v>
      </c>
      <c r="E358" s="43" t="str">
        <f aca="false">IF('Calendario D'!E58="","",'Calendario D'!E58)</f>
        <v>D07</v>
      </c>
      <c r="F358" s="44" t="n">
        <f aca="false">IF('Calendario D'!F58="","",'Calendario D'!F58)</f>
        <v>46369.625</v>
      </c>
      <c r="G358" s="44"/>
      <c r="H358" s="44"/>
      <c r="I358" s="44"/>
      <c r="J358" s="137" t="n">
        <f aca="false">IF('Calendario D'!J58="","",'Calendario D'!J58)</f>
        <v>69</v>
      </c>
      <c r="K358" s="138" t="s">
        <v>339</v>
      </c>
      <c r="L358" s="137" t="n">
        <f aca="false">IF('Calendario D'!L58="","",'Calendario D'!L58)</f>
        <v>61</v>
      </c>
      <c r="M358" s="139"/>
      <c r="N358" s="139"/>
      <c r="O358" s="139"/>
      <c r="P358" s="139"/>
      <c r="Q358" s="139"/>
      <c r="R358" s="139"/>
    </row>
    <row r="359" customFormat="false" ht="15" hidden="false" customHeight="true" outlineLevel="0" collapsed="false">
      <c r="A359" s="64"/>
      <c r="B359" s="48" t="str">
        <f aca="false">IF('Calendario D'!B59="","",'Calendario D'!B59)</f>
        <v>PalaIguane, Via dello Sport 8, Iguaneopoli IE</v>
      </c>
      <c r="C359" s="48"/>
      <c r="D359" s="48"/>
      <c r="E359" s="48"/>
      <c r="F359" s="48"/>
      <c r="G359" s="48"/>
      <c r="H359" s="48"/>
      <c r="I359" s="43" t="str">
        <f aca="false">IF('Calendario D'!I59="","",'Calendario D'!I59)</f>
        <v>D04</v>
      </c>
      <c r="J359" s="137"/>
      <c r="K359" s="137"/>
      <c r="L359" s="137"/>
      <c r="M359" s="137"/>
      <c r="N359" s="137"/>
      <c r="O359" s="137"/>
      <c r="P359" s="137"/>
      <c r="Q359" s="137"/>
      <c r="R359" s="137"/>
    </row>
    <row r="360" customFormat="false" ht="13.5" hidden="false" customHeight="true" outlineLevel="0" collapsed="false">
      <c r="A360" s="63" t="s">
        <v>334</v>
      </c>
      <c r="B360" s="63" t="s">
        <v>317</v>
      </c>
      <c r="C360" s="63"/>
      <c r="D360" s="63" t="s">
        <v>324</v>
      </c>
      <c r="E360" s="63"/>
      <c r="F360" s="63" t="s">
        <v>335</v>
      </c>
      <c r="G360" s="63" t="s">
        <v>336</v>
      </c>
      <c r="H360" s="63" t="s">
        <v>337</v>
      </c>
      <c r="I360" s="63"/>
      <c r="J360" s="63" t="s">
        <v>338</v>
      </c>
      <c r="K360" s="63"/>
      <c r="L360" s="63"/>
      <c r="M360" s="145" t="s">
        <v>539</v>
      </c>
      <c r="N360" s="145" t="s">
        <v>540</v>
      </c>
      <c r="O360" s="145" t="s">
        <v>541</v>
      </c>
      <c r="P360" s="145" t="s">
        <v>542</v>
      </c>
      <c r="Q360" s="145" t="s">
        <v>543</v>
      </c>
      <c r="R360" s="145" t="s">
        <v>544</v>
      </c>
    </row>
    <row r="361" customFormat="false" ht="21.75" hidden="false" customHeight="true" outlineLevel="0" collapsed="false">
      <c r="A361" s="64" t="n">
        <f aca="false">IF('Calendario D'!A61="","",'Calendario D'!A61)</f>
        <v>100</v>
      </c>
      <c r="B361" s="42" t="str">
        <f aca="false">IF('Calendario D'!B61="","",'Calendario D'!B61)</f>
        <v>Otarie Ottimiste</v>
      </c>
      <c r="C361" s="43" t="str">
        <f aca="false">IF('Calendario D'!C61="","",'Calendario D'!C61)</f>
        <v>D08</v>
      </c>
      <c r="D361" s="42" t="str">
        <f aca="false">IF('Calendario D'!D61="","",'Calendario D'!D61)</f>
        <v>Fenicotteri Focosi</v>
      </c>
      <c r="E361" s="43" t="str">
        <f aca="false">IF('Calendario D'!E61="","",'Calendario D'!E61)</f>
        <v>D02</v>
      </c>
      <c r="F361" s="44" t="n">
        <f aca="false">IF('Calendario D'!F61="","",'Calendario D'!F61)</f>
        <v>46369.7083333333</v>
      </c>
      <c r="G361" s="44"/>
      <c r="H361" s="44"/>
      <c r="I361" s="44"/>
      <c r="J361" s="137" t="n">
        <f aca="false">IF('Calendario D'!J61="","",'Calendario D'!J61)</f>
        <v>44</v>
      </c>
      <c r="K361" s="138" t="s">
        <v>339</v>
      </c>
      <c r="L361" s="137" t="n">
        <f aca="false">IF('Calendario D'!L61="","",'Calendario D'!L61)</f>
        <v>71</v>
      </c>
      <c r="M361" s="139"/>
      <c r="N361" s="139"/>
      <c r="O361" s="139"/>
      <c r="P361" s="139"/>
      <c r="Q361" s="139"/>
      <c r="R361" s="139"/>
    </row>
    <row r="362" customFormat="false" ht="15" hidden="false" customHeight="true" outlineLevel="0" collapsed="false">
      <c r="A362" s="64"/>
      <c r="B362" s="48" t="str">
        <f aca="false">IF('Calendario D'!B62="","",'Calendario D'!B62)</f>
        <v>PalaIguane, Via dello Sport 8, Iguaneopoli IE</v>
      </c>
      <c r="C362" s="48"/>
      <c r="D362" s="48"/>
      <c r="E362" s="48"/>
      <c r="F362" s="48"/>
      <c r="G362" s="48"/>
      <c r="H362" s="48"/>
      <c r="I362" s="43" t="str">
        <f aca="false">IF('Calendario D'!I62="","",'Calendario D'!I62)</f>
        <v>D04</v>
      </c>
      <c r="J362" s="137"/>
      <c r="K362" s="137"/>
      <c r="L362" s="137"/>
      <c r="M362" s="137"/>
      <c r="N362" s="137"/>
      <c r="O362" s="137"/>
      <c r="P362" s="137"/>
      <c r="Q362" s="137"/>
      <c r="R362" s="137"/>
    </row>
    <row r="364" customFormat="false" ht="19.5" hidden="false" customHeight="true" outlineLevel="0" collapsed="false">
      <c r="A364" s="61" t="str">
        <f aca="false">IF('Calendario D'!A64="","",'Calendario D'!A64)</f>
        <v>5D</v>
      </c>
      <c r="B364" s="62" t="str">
        <f aca="false">IF('Calendario D'!B64="","",'Calendario D'!B64)</f>
        <v>GIORNATA V - GIRONE D</v>
      </c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144" t="s">
        <v>537</v>
      </c>
      <c r="N364" s="144"/>
      <c r="O364" s="144"/>
      <c r="P364" s="144" t="s">
        <v>538</v>
      </c>
      <c r="Q364" s="144"/>
      <c r="R364" s="144"/>
    </row>
    <row r="365" customFormat="false" ht="13.5" hidden="false" customHeight="true" outlineLevel="0" collapsed="false">
      <c r="A365" s="63" t="s">
        <v>334</v>
      </c>
      <c r="B365" s="63" t="s">
        <v>317</v>
      </c>
      <c r="C365" s="63"/>
      <c r="D365" s="63" t="s">
        <v>324</v>
      </c>
      <c r="E365" s="63"/>
      <c r="F365" s="63" t="s">
        <v>335</v>
      </c>
      <c r="G365" s="63" t="s">
        <v>336</v>
      </c>
      <c r="H365" s="63" t="s">
        <v>337</v>
      </c>
      <c r="I365" s="63"/>
      <c r="J365" s="63" t="s">
        <v>338</v>
      </c>
      <c r="K365" s="63"/>
      <c r="L365" s="63"/>
      <c r="M365" s="145" t="s">
        <v>539</v>
      </c>
      <c r="N365" s="145" t="s">
        <v>540</v>
      </c>
      <c r="O365" s="145" t="s">
        <v>541</v>
      </c>
      <c r="P365" s="145" t="s">
        <v>542</v>
      </c>
      <c r="Q365" s="145" t="s">
        <v>543</v>
      </c>
      <c r="R365" s="145" t="s">
        <v>544</v>
      </c>
    </row>
    <row r="366" customFormat="false" ht="21.75" hidden="false" customHeight="true" outlineLevel="0" collapsed="false">
      <c r="A366" s="64" t="n">
        <f aca="false">IF('Calendario D'!A66="","",'Calendario D'!A66)</f>
        <v>101</v>
      </c>
      <c r="B366" s="42" t="str">
        <f aca="false">IF('Calendario D'!B66="","",'Calendario D'!B66)</f>
        <v>Elefanti Esuberanti</v>
      </c>
      <c r="C366" s="43" t="str">
        <f aca="false">IF('Calendario D'!C66="","",'Calendario D'!C66)</f>
        <v>D01</v>
      </c>
      <c r="D366" s="42" t="str">
        <f aca="false">IF('Calendario D'!D66="","",'Calendario D'!D66)</f>
        <v>Iguane Impavide</v>
      </c>
      <c r="E366" s="43" t="str">
        <f aca="false">IF('Calendario D'!E66="","",'Calendario D'!E66)</f>
        <v>D04</v>
      </c>
      <c r="F366" s="44" t="n">
        <f aca="false">IF('Calendario D'!F66="","",'Calendario D'!F66)</f>
        <v>46411.3958333333</v>
      </c>
      <c r="G366" s="44"/>
      <c r="H366" s="44"/>
      <c r="I366" s="44"/>
      <c r="J366" s="137" t="n">
        <f aca="false">IF('Calendario D'!J66="","",'Calendario D'!J66)</f>
        <v>70</v>
      </c>
      <c r="K366" s="138" t="s">
        <v>339</v>
      </c>
      <c r="L366" s="137" t="n">
        <f aca="false">IF('Calendario D'!L66="","",'Calendario D'!L66)</f>
        <v>67</v>
      </c>
      <c r="M366" s="139"/>
      <c r="N366" s="139"/>
      <c r="O366" s="139"/>
      <c r="P366" s="139"/>
      <c r="Q366" s="139"/>
      <c r="R366" s="139"/>
    </row>
    <row r="367" customFormat="false" ht="15" hidden="false" customHeight="true" outlineLevel="0" collapsed="false">
      <c r="A367" s="64"/>
      <c r="B367" s="48" t="str">
        <f aca="false">IF('Calendario D'!B67="","",'Calendario D'!B67)</f>
        <v>PalaLontre, Via dello Sport 9, Lontreopoli LE</v>
      </c>
      <c r="C367" s="48"/>
      <c r="D367" s="48"/>
      <c r="E367" s="48"/>
      <c r="F367" s="48"/>
      <c r="G367" s="48"/>
      <c r="H367" s="48"/>
      <c r="I367" s="43" t="str">
        <f aca="false">IF('Calendario D'!I67="","",'Calendario D'!I67)</f>
        <v>D05</v>
      </c>
      <c r="J367" s="137"/>
      <c r="K367" s="137"/>
      <c r="L367" s="137"/>
      <c r="M367" s="137"/>
      <c r="N367" s="137"/>
      <c r="O367" s="137"/>
      <c r="P367" s="137"/>
      <c r="Q367" s="137"/>
      <c r="R367" s="137"/>
    </row>
    <row r="368" customFormat="false" ht="13.5" hidden="false" customHeight="true" outlineLevel="0" collapsed="false">
      <c r="A368" s="63" t="s">
        <v>334</v>
      </c>
      <c r="B368" s="63" t="s">
        <v>317</v>
      </c>
      <c r="C368" s="63"/>
      <c r="D368" s="63" t="s">
        <v>324</v>
      </c>
      <c r="E368" s="63"/>
      <c r="F368" s="63" t="s">
        <v>335</v>
      </c>
      <c r="G368" s="63" t="s">
        <v>336</v>
      </c>
      <c r="H368" s="63" t="s">
        <v>337</v>
      </c>
      <c r="I368" s="63"/>
      <c r="J368" s="63" t="s">
        <v>338</v>
      </c>
      <c r="K368" s="63"/>
      <c r="L368" s="63"/>
      <c r="M368" s="145" t="s">
        <v>539</v>
      </c>
      <c r="N368" s="145" t="s">
        <v>540</v>
      </c>
      <c r="O368" s="145" t="s">
        <v>541</v>
      </c>
      <c r="P368" s="145" t="s">
        <v>542</v>
      </c>
      <c r="Q368" s="145" t="s">
        <v>543</v>
      </c>
      <c r="R368" s="145" t="s">
        <v>544</v>
      </c>
    </row>
    <row r="369" customFormat="false" ht="21.75" hidden="false" customHeight="true" outlineLevel="0" collapsed="false">
      <c r="A369" s="64" t="n">
        <f aca="false">IF('Calendario D'!A69="","",'Calendario D'!A69)</f>
        <v>102</v>
      </c>
      <c r="B369" s="42" t="str">
        <f aca="false">IF('Calendario D'!B69="","",'Calendario D'!B69)</f>
        <v>Ghepardi Guizzanti</v>
      </c>
      <c r="C369" s="43" t="str">
        <f aca="false">IF('Calendario D'!C69="","",'Calendario D'!C69)</f>
        <v>D03</v>
      </c>
      <c r="D369" s="42" t="str">
        <f aca="false">IF('Calendario D'!D69="","",'Calendario D'!D69)</f>
        <v>Lontre Loquaci</v>
      </c>
      <c r="E369" s="43" t="str">
        <f aca="false">IF('Calendario D'!E69="","",'Calendario D'!E69)</f>
        <v>D05</v>
      </c>
      <c r="F369" s="44" t="n">
        <f aca="false">IF('Calendario D'!F69="","",'Calendario D'!F69)</f>
        <v>46411.4791666667</v>
      </c>
      <c r="G369" s="44"/>
      <c r="H369" s="44"/>
      <c r="I369" s="44"/>
      <c r="J369" s="137" t="n">
        <f aca="false">IF('Calendario D'!J69="","",'Calendario D'!J69)</f>
        <v>40</v>
      </c>
      <c r="K369" s="138" t="s">
        <v>339</v>
      </c>
      <c r="L369" s="137" t="n">
        <f aca="false">IF('Calendario D'!L69="","",'Calendario D'!L69)</f>
        <v>78</v>
      </c>
      <c r="M369" s="139"/>
      <c r="N369" s="139"/>
      <c r="O369" s="139"/>
      <c r="P369" s="139"/>
      <c r="Q369" s="139"/>
      <c r="R369" s="139"/>
    </row>
    <row r="370" customFormat="false" ht="15" hidden="false" customHeight="true" outlineLevel="0" collapsed="false">
      <c r="A370" s="64"/>
      <c r="B370" s="48" t="str">
        <f aca="false">IF('Calendario D'!B70="","",'Calendario D'!B70)</f>
        <v>PalaLontre, Via dello Sport 9, Lontreopoli LE</v>
      </c>
      <c r="C370" s="48"/>
      <c r="D370" s="48"/>
      <c r="E370" s="48"/>
      <c r="F370" s="48"/>
      <c r="G370" s="48"/>
      <c r="H370" s="48"/>
      <c r="I370" s="43" t="str">
        <f aca="false">IF('Calendario D'!I70="","",'Calendario D'!I70)</f>
        <v>D05</v>
      </c>
      <c r="J370" s="137"/>
      <c r="K370" s="137"/>
      <c r="L370" s="137"/>
      <c r="M370" s="137"/>
      <c r="N370" s="137"/>
      <c r="O370" s="137"/>
      <c r="P370" s="137"/>
      <c r="Q370" s="137"/>
      <c r="R370" s="137"/>
    </row>
    <row r="371" customFormat="false" ht="13.5" hidden="false" customHeight="true" outlineLevel="0" collapsed="false">
      <c r="A371" s="63" t="s">
        <v>334</v>
      </c>
      <c r="B371" s="63" t="s">
        <v>317</v>
      </c>
      <c r="C371" s="63"/>
      <c r="D371" s="63" t="s">
        <v>324</v>
      </c>
      <c r="E371" s="63"/>
      <c r="F371" s="63" t="s">
        <v>335</v>
      </c>
      <c r="G371" s="63" t="s">
        <v>336</v>
      </c>
      <c r="H371" s="63" t="s">
        <v>337</v>
      </c>
      <c r="I371" s="63"/>
      <c r="J371" s="63" t="s">
        <v>338</v>
      </c>
      <c r="K371" s="63"/>
      <c r="L371" s="63"/>
      <c r="M371" s="145" t="s">
        <v>539</v>
      </c>
      <c r="N371" s="145" t="s">
        <v>540</v>
      </c>
      <c r="O371" s="145" t="s">
        <v>541</v>
      </c>
      <c r="P371" s="145" t="s">
        <v>542</v>
      </c>
      <c r="Q371" s="145" t="s">
        <v>543</v>
      </c>
      <c r="R371" s="145" t="s">
        <v>544</v>
      </c>
    </row>
    <row r="372" customFormat="false" ht="21.75" hidden="false" customHeight="true" outlineLevel="0" collapsed="false">
      <c r="A372" s="64" t="n">
        <f aca="false">IF('Calendario D'!A72="","",'Calendario D'!A72)</f>
        <v>103</v>
      </c>
      <c r="B372" s="42" t="str">
        <f aca="false">IF('Calendario D'!B72="","",'Calendario D'!B72)</f>
        <v>Manguste Mordaci</v>
      </c>
      <c r="C372" s="43" t="str">
        <f aca="false">IF('Calendario D'!C72="","",'Calendario D'!C72)</f>
        <v>D06</v>
      </c>
      <c r="D372" s="42" t="str">
        <f aca="false">IF('Calendario D'!D72="","",'Calendario D'!D72)</f>
        <v>Fenicotteri Focosi</v>
      </c>
      <c r="E372" s="43" t="str">
        <f aca="false">IF('Calendario D'!E72="","",'Calendario D'!E72)</f>
        <v>D02</v>
      </c>
      <c r="F372" s="44" t="n">
        <f aca="false">IF('Calendario D'!F72="","",'Calendario D'!F72)</f>
        <v>46411.625</v>
      </c>
      <c r="G372" s="44"/>
      <c r="H372" s="44"/>
      <c r="I372" s="44"/>
      <c r="J372" s="137" t="n">
        <f aca="false">IF('Calendario D'!J72="","",'Calendario D'!J72)</f>
        <v>61</v>
      </c>
      <c r="K372" s="138" t="s">
        <v>339</v>
      </c>
      <c r="L372" s="137" t="n">
        <f aca="false">IF('Calendario D'!L72="","",'Calendario D'!L72)</f>
        <v>70</v>
      </c>
      <c r="M372" s="139"/>
      <c r="N372" s="139"/>
      <c r="O372" s="139"/>
      <c r="P372" s="139"/>
      <c r="Q372" s="139"/>
      <c r="R372" s="139"/>
    </row>
    <row r="373" customFormat="false" ht="15" hidden="false" customHeight="true" outlineLevel="0" collapsed="false">
      <c r="A373" s="64"/>
      <c r="B373" s="48" t="str">
        <f aca="false">IF('Calendario D'!B73="","",'Calendario D'!B73)</f>
        <v>PalaLontre, Via dello Sport 9, Lontreopoli LE</v>
      </c>
      <c r="C373" s="48"/>
      <c r="D373" s="48"/>
      <c r="E373" s="48"/>
      <c r="F373" s="48"/>
      <c r="G373" s="48"/>
      <c r="H373" s="48"/>
      <c r="I373" s="43" t="str">
        <f aca="false">IF('Calendario D'!I73="","",'Calendario D'!I73)</f>
        <v>D05</v>
      </c>
      <c r="J373" s="137"/>
      <c r="K373" s="137"/>
      <c r="L373" s="137"/>
      <c r="M373" s="137"/>
      <c r="N373" s="137"/>
      <c r="O373" s="137"/>
      <c r="P373" s="137"/>
      <c r="Q373" s="137"/>
      <c r="R373" s="137"/>
    </row>
    <row r="374" customFormat="false" ht="13.5" hidden="false" customHeight="true" outlineLevel="0" collapsed="false">
      <c r="A374" s="63" t="s">
        <v>334</v>
      </c>
      <c r="B374" s="63" t="s">
        <v>317</v>
      </c>
      <c r="C374" s="63"/>
      <c r="D374" s="63" t="s">
        <v>324</v>
      </c>
      <c r="E374" s="63"/>
      <c r="F374" s="63" t="s">
        <v>335</v>
      </c>
      <c r="G374" s="63" t="s">
        <v>336</v>
      </c>
      <c r="H374" s="63" t="s">
        <v>337</v>
      </c>
      <c r="I374" s="63"/>
      <c r="J374" s="63" t="s">
        <v>338</v>
      </c>
      <c r="K374" s="63"/>
      <c r="L374" s="63"/>
      <c r="M374" s="145" t="s">
        <v>539</v>
      </c>
      <c r="N374" s="145" t="s">
        <v>540</v>
      </c>
      <c r="O374" s="145" t="s">
        <v>541</v>
      </c>
      <c r="P374" s="145" t="s">
        <v>542</v>
      </c>
      <c r="Q374" s="145" t="s">
        <v>543</v>
      </c>
      <c r="R374" s="145" t="s">
        <v>544</v>
      </c>
    </row>
    <row r="375" customFormat="false" ht="21.75" hidden="false" customHeight="true" outlineLevel="0" collapsed="false">
      <c r="A375" s="64" t="n">
        <f aca="false">IF('Calendario D'!A75="","",'Calendario D'!A75)</f>
        <v>104</v>
      </c>
      <c r="B375" s="42" t="str">
        <f aca="false">IF('Calendario D'!B75="","",'Calendario D'!B75)</f>
        <v>Otarie Ottimiste</v>
      </c>
      <c r="C375" s="43" t="str">
        <f aca="false">IF('Calendario D'!C75="","",'Calendario D'!C75)</f>
        <v>D08</v>
      </c>
      <c r="D375" s="42" t="str">
        <f aca="false">IF('Calendario D'!D75="","",'Calendario D'!D75)</f>
        <v>Nutrie Nervose</v>
      </c>
      <c r="E375" s="43" t="str">
        <f aca="false">IF('Calendario D'!E75="","",'Calendario D'!E75)</f>
        <v>D07</v>
      </c>
      <c r="F375" s="44" t="n">
        <f aca="false">IF('Calendario D'!F75="","",'Calendario D'!F75)</f>
        <v>46411.7083333333</v>
      </c>
      <c r="G375" s="44"/>
      <c r="H375" s="44"/>
      <c r="I375" s="44"/>
      <c r="J375" s="137" t="n">
        <f aca="false">IF('Calendario D'!J75="","",'Calendario D'!J75)</f>
        <v>54</v>
      </c>
      <c r="K375" s="138" t="s">
        <v>339</v>
      </c>
      <c r="L375" s="137" t="n">
        <f aca="false">IF('Calendario D'!L75="","",'Calendario D'!L75)</f>
        <v>61</v>
      </c>
      <c r="M375" s="139"/>
      <c r="N375" s="139"/>
      <c r="O375" s="139"/>
      <c r="P375" s="139"/>
      <c r="Q375" s="139"/>
      <c r="R375" s="139"/>
    </row>
    <row r="376" customFormat="false" ht="15" hidden="false" customHeight="true" outlineLevel="0" collapsed="false">
      <c r="A376" s="64"/>
      <c r="B376" s="48" t="str">
        <f aca="false">IF('Calendario D'!B76="","",'Calendario D'!B76)</f>
        <v>PalaLontre, Via dello Sport 9, Lontreopoli LE</v>
      </c>
      <c r="C376" s="48"/>
      <c r="D376" s="48"/>
      <c r="E376" s="48"/>
      <c r="F376" s="48"/>
      <c r="G376" s="48"/>
      <c r="H376" s="48"/>
      <c r="I376" s="43" t="str">
        <f aca="false">IF('Calendario D'!I76="","",'Calendario D'!I76)</f>
        <v>D05</v>
      </c>
      <c r="J376" s="137"/>
      <c r="K376" s="137"/>
      <c r="L376" s="137"/>
      <c r="M376" s="137"/>
      <c r="N376" s="137"/>
      <c r="O376" s="137"/>
      <c r="P376" s="137"/>
      <c r="Q376" s="137"/>
      <c r="R376" s="137"/>
    </row>
    <row r="378" customFormat="false" ht="19.5" hidden="false" customHeight="true" outlineLevel="0" collapsed="false">
      <c r="A378" s="61" t="str">
        <f aca="false">IF('Calendario D'!A78="","",'Calendario D'!A78)</f>
        <v>6D</v>
      </c>
      <c r="B378" s="62" t="str">
        <f aca="false">IF('Calendario D'!B78="","",'Calendario D'!B78)</f>
        <v>GIORNATA VI - GIRONE D</v>
      </c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144" t="s">
        <v>537</v>
      </c>
      <c r="N378" s="144"/>
      <c r="O378" s="144"/>
      <c r="P378" s="144" t="s">
        <v>538</v>
      </c>
      <c r="Q378" s="144"/>
      <c r="R378" s="144"/>
    </row>
    <row r="379" customFormat="false" ht="13.5" hidden="false" customHeight="true" outlineLevel="0" collapsed="false">
      <c r="A379" s="63" t="s">
        <v>334</v>
      </c>
      <c r="B379" s="63" t="s">
        <v>317</v>
      </c>
      <c r="C379" s="63"/>
      <c r="D379" s="63" t="s">
        <v>324</v>
      </c>
      <c r="E379" s="63"/>
      <c r="F379" s="63" t="s">
        <v>335</v>
      </c>
      <c r="G379" s="63" t="s">
        <v>336</v>
      </c>
      <c r="H379" s="63" t="s">
        <v>337</v>
      </c>
      <c r="I379" s="63"/>
      <c r="J379" s="63" t="s">
        <v>338</v>
      </c>
      <c r="K379" s="63"/>
      <c r="L379" s="63"/>
      <c r="M379" s="145" t="s">
        <v>539</v>
      </c>
      <c r="N379" s="145" t="s">
        <v>540</v>
      </c>
      <c r="O379" s="145" t="s">
        <v>541</v>
      </c>
      <c r="P379" s="145" t="s">
        <v>542</v>
      </c>
      <c r="Q379" s="145" t="s">
        <v>543</v>
      </c>
      <c r="R379" s="145" t="s">
        <v>544</v>
      </c>
    </row>
    <row r="380" customFormat="false" ht="21.75" hidden="false" customHeight="true" outlineLevel="0" collapsed="false">
      <c r="A380" s="64" t="n">
        <f aca="false">IF('Calendario D'!A80="","",'Calendario D'!A80)</f>
        <v>105</v>
      </c>
      <c r="B380" s="42" t="str">
        <f aca="false">IF('Calendario D'!B80="","",'Calendario D'!B80)</f>
        <v>Ghepardi Guizzanti</v>
      </c>
      <c r="C380" s="43" t="str">
        <f aca="false">IF('Calendario D'!C80="","",'Calendario D'!C80)</f>
        <v>D03</v>
      </c>
      <c r="D380" s="42" t="str">
        <f aca="false">IF('Calendario D'!D80="","",'Calendario D'!D80)</f>
        <v>Elefanti Esuberanti</v>
      </c>
      <c r="E380" s="43" t="str">
        <f aca="false">IF('Calendario D'!E80="","",'Calendario D'!E80)</f>
        <v>D01</v>
      </c>
      <c r="F380" s="44" t="n">
        <f aca="false">IF('Calendario D'!F80="","",'Calendario D'!F80)</f>
        <v>46432.3958333333</v>
      </c>
      <c r="G380" s="44"/>
      <c r="H380" s="44"/>
      <c r="I380" s="44"/>
      <c r="J380" s="137" t="n">
        <f aca="false">IF('Calendario D'!J80="","",'Calendario D'!J80)</f>
        <v>35</v>
      </c>
      <c r="K380" s="138" t="s">
        <v>339</v>
      </c>
      <c r="L380" s="137" t="n">
        <f aca="false">IF('Calendario D'!L80="","",'Calendario D'!L80)</f>
        <v>61</v>
      </c>
      <c r="M380" s="139"/>
      <c r="N380" s="139"/>
      <c r="O380" s="139"/>
      <c r="P380" s="139"/>
      <c r="Q380" s="139"/>
      <c r="R380" s="139"/>
    </row>
    <row r="381" customFormat="false" ht="15" hidden="false" customHeight="true" outlineLevel="0" collapsed="false">
      <c r="A381" s="64"/>
      <c r="B381" s="48" t="str">
        <f aca="false">IF('Calendario D'!B81="","",'Calendario D'!B81)</f>
        <v>PalaManguste, Via dello Sport 10, Mangusteopoli ME</v>
      </c>
      <c r="C381" s="48"/>
      <c r="D381" s="48"/>
      <c r="E381" s="48"/>
      <c r="F381" s="48"/>
      <c r="G381" s="48"/>
      <c r="H381" s="48"/>
      <c r="I381" s="43" t="str">
        <f aca="false">IF('Calendario D'!I81="","",'Calendario D'!I81)</f>
        <v>D06</v>
      </c>
      <c r="J381" s="137"/>
      <c r="K381" s="137"/>
      <c r="L381" s="137"/>
      <c r="M381" s="137"/>
      <c r="N381" s="137"/>
      <c r="O381" s="137"/>
      <c r="P381" s="137"/>
      <c r="Q381" s="137"/>
      <c r="R381" s="137"/>
    </row>
    <row r="382" customFormat="false" ht="13.5" hidden="false" customHeight="true" outlineLevel="0" collapsed="false">
      <c r="A382" s="63" t="s">
        <v>334</v>
      </c>
      <c r="B382" s="63" t="s">
        <v>317</v>
      </c>
      <c r="C382" s="63"/>
      <c r="D382" s="63" t="s">
        <v>324</v>
      </c>
      <c r="E382" s="63"/>
      <c r="F382" s="63" t="s">
        <v>335</v>
      </c>
      <c r="G382" s="63" t="s">
        <v>336</v>
      </c>
      <c r="H382" s="63" t="s">
        <v>337</v>
      </c>
      <c r="I382" s="63"/>
      <c r="J382" s="63" t="s">
        <v>338</v>
      </c>
      <c r="K382" s="63"/>
      <c r="L382" s="63"/>
      <c r="M382" s="145" t="s">
        <v>539</v>
      </c>
      <c r="N382" s="145" t="s">
        <v>540</v>
      </c>
      <c r="O382" s="145" t="s">
        <v>541</v>
      </c>
      <c r="P382" s="145" t="s">
        <v>542</v>
      </c>
      <c r="Q382" s="145" t="s">
        <v>543</v>
      </c>
      <c r="R382" s="145" t="s">
        <v>544</v>
      </c>
    </row>
    <row r="383" customFormat="false" ht="21.75" hidden="false" customHeight="true" outlineLevel="0" collapsed="false">
      <c r="A383" s="64" t="n">
        <f aca="false">IF('Calendario D'!A83="","",'Calendario D'!A83)</f>
        <v>106</v>
      </c>
      <c r="B383" s="42" t="str">
        <f aca="false">IF('Calendario D'!B83="","",'Calendario D'!B83)</f>
        <v>Iguane Impavide</v>
      </c>
      <c r="C383" s="43" t="str">
        <f aca="false">IF('Calendario D'!C83="","",'Calendario D'!C83)</f>
        <v>D04</v>
      </c>
      <c r="D383" s="42" t="str">
        <f aca="false">IF('Calendario D'!D83="","",'Calendario D'!D83)</f>
        <v>Fenicotteri Focosi</v>
      </c>
      <c r="E383" s="43" t="str">
        <f aca="false">IF('Calendario D'!E83="","",'Calendario D'!E83)</f>
        <v>D02</v>
      </c>
      <c r="F383" s="44" t="n">
        <f aca="false">IF('Calendario D'!F83="","",'Calendario D'!F83)</f>
        <v>46432.4791666667</v>
      </c>
      <c r="G383" s="44"/>
      <c r="H383" s="44"/>
      <c r="I383" s="44"/>
      <c r="J383" s="137" t="n">
        <f aca="false">IF('Calendario D'!J83="","",'Calendario D'!J83)</f>
        <v>72</v>
      </c>
      <c r="K383" s="138" t="s">
        <v>339</v>
      </c>
      <c r="L383" s="137" t="n">
        <f aca="false">IF('Calendario D'!L83="","",'Calendario D'!L83)</f>
        <v>48</v>
      </c>
      <c r="M383" s="139"/>
      <c r="N383" s="139"/>
      <c r="O383" s="139"/>
      <c r="P383" s="139"/>
      <c r="Q383" s="139"/>
      <c r="R383" s="139"/>
    </row>
    <row r="384" customFormat="false" ht="15" hidden="false" customHeight="true" outlineLevel="0" collapsed="false">
      <c r="A384" s="64"/>
      <c r="B384" s="48" t="str">
        <f aca="false">IF('Calendario D'!B84="","",'Calendario D'!B84)</f>
        <v>PalaManguste, Via dello Sport 10, Mangusteopoli ME</v>
      </c>
      <c r="C384" s="48"/>
      <c r="D384" s="48"/>
      <c r="E384" s="48"/>
      <c r="F384" s="48"/>
      <c r="G384" s="48"/>
      <c r="H384" s="48"/>
      <c r="I384" s="43" t="str">
        <f aca="false">IF('Calendario D'!I84="","",'Calendario D'!I84)</f>
        <v>D06</v>
      </c>
      <c r="J384" s="137"/>
      <c r="K384" s="137"/>
      <c r="L384" s="137"/>
      <c r="M384" s="137"/>
      <c r="N384" s="137"/>
      <c r="O384" s="137"/>
      <c r="P384" s="137"/>
      <c r="Q384" s="137"/>
      <c r="R384" s="137"/>
    </row>
    <row r="385" customFormat="false" ht="13.5" hidden="false" customHeight="true" outlineLevel="0" collapsed="false">
      <c r="A385" s="63" t="s">
        <v>334</v>
      </c>
      <c r="B385" s="63" t="s">
        <v>317</v>
      </c>
      <c r="C385" s="63"/>
      <c r="D385" s="63" t="s">
        <v>324</v>
      </c>
      <c r="E385" s="63"/>
      <c r="F385" s="63" t="s">
        <v>335</v>
      </c>
      <c r="G385" s="63" t="s">
        <v>336</v>
      </c>
      <c r="H385" s="63" t="s">
        <v>337</v>
      </c>
      <c r="I385" s="63"/>
      <c r="J385" s="63" t="s">
        <v>338</v>
      </c>
      <c r="K385" s="63"/>
      <c r="L385" s="63"/>
      <c r="M385" s="145" t="s">
        <v>539</v>
      </c>
      <c r="N385" s="145" t="s">
        <v>540</v>
      </c>
      <c r="O385" s="145" t="s">
        <v>541</v>
      </c>
      <c r="P385" s="145" t="s">
        <v>542</v>
      </c>
      <c r="Q385" s="145" t="s">
        <v>543</v>
      </c>
      <c r="R385" s="145" t="s">
        <v>544</v>
      </c>
    </row>
    <row r="386" customFormat="false" ht="21.75" hidden="false" customHeight="true" outlineLevel="0" collapsed="false">
      <c r="A386" s="64" t="n">
        <f aca="false">IF('Calendario D'!A86="","",'Calendario D'!A86)</f>
        <v>107</v>
      </c>
      <c r="B386" s="42" t="str">
        <f aca="false">IF('Calendario D'!B86="","",'Calendario D'!B86)</f>
        <v>Otarie Ottimiste</v>
      </c>
      <c r="C386" s="43" t="str">
        <f aca="false">IF('Calendario D'!C86="","",'Calendario D'!C86)</f>
        <v>D08</v>
      </c>
      <c r="D386" s="42" t="str">
        <f aca="false">IF('Calendario D'!D86="","",'Calendario D'!D86)</f>
        <v>Lontre Loquaci</v>
      </c>
      <c r="E386" s="43" t="str">
        <f aca="false">IF('Calendario D'!E86="","",'Calendario D'!E86)</f>
        <v>D05</v>
      </c>
      <c r="F386" s="44" t="n">
        <f aca="false">IF('Calendario D'!F86="","",'Calendario D'!F86)</f>
        <v>46432.625</v>
      </c>
      <c r="G386" s="44"/>
      <c r="H386" s="44"/>
      <c r="I386" s="44"/>
      <c r="J386" s="137" t="n">
        <f aca="false">IF('Calendario D'!J86="","",'Calendario D'!J86)</f>
        <v>63</v>
      </c>
      <c r="K386" s="138" t="s">
        <v>339</v>
      </c>
      <c r="L386" s="137" t="n">
        <f aca="false">IF('Calendario D'!L86="","",'Calendario D'!L86)</f>
        <v>69</v>
      </c>
      <c r="M386" s="139"/>
      <c r="N386" s="139"/>
      <c r="O386" s="139"/>
      <c r="P386" s="139"/>
      <c r="Q386" s="139"/>
      <c r="R386" s="139"/>
    </row>
    <row r="387" customFormat="false" ht="15" hidden="false" customHeight="true" outlineLevel="0" collapsed="false">
      <c r="A387" s="64"/>
      <c r="B387" s="48" t="str">
        <f aca="false">IF('Calendario D'!B87="","",'Calendario D'!B87)</f>
        <v>PalaManguste, Via dello Sport 10, Mangusteopoli ME</v>
      </c>
      <c r="C387" s="48"/>
      <c r="D387" s="48"/>
      <c r="E387" s="48"/>
      <c r="F387" s="48"/>
      <c r="G387" s="48"/>
      <c r="H387" s="48"/>
      <c r="I387" s="43" t="str">
        <f aca="false">IF('Calendario D'!I87="","",'Calendario D'!I87)</f>
        <v>D06</v>
      </c>
      <c r="J387" s="137"/>
      <c r="K387" s="137"/>
      <c r="L387" s="137"/>
      <c r="M387" s="137"/>
      <c r="N387" s="137"/>
      <c r="O387" s="137"/>
      <c r="P387" s="137"/>
      <c r="Q387" s="137"/>
      <c r="R387" s="137"/>
    </row>
    <row r="388" customFormat="false" ht="13.5" hidden="false" customHeight="true" outlineLevel="0" collapsed="false">
      <c r="A388" s="63" t="s">
        <v>334</v>
      </c>
      <c r="B388" s="63" t="s">
        <v>317</v>
      </c>
      <c r="C388" s="63"/>
      <c r="D388" s="63" t="s">
        <v>324</v>
      </c>
      <c r="E388" s="63"/>
      <c r="F388" s="63" t="s">
        <v>335</v>
      </c>
      <c r="G388" s="63" t="s">
        <v>336</v>
      </c>
      <c r="H388" s="63" t="s">
        <v>337</v>
      </c>
      <c r="I388" s="63"/>
      <c r="J388" s="63" t="s">
        <v>338</v>
      </c>
      <c r="K388" s="63"/>
      <c r="L388" s="63"/>
      <c r="M388" s="145" t="s">
        <v>539</v>
      </c>
      <c r="N388" s="145" t="s">
        <v>540</v>
      </c>
      <c r="O388" s="145" t="s">
        <v>541</v>
      </c>
      <c r="P388" s="145" t="s">
        <v>542</v>
      </c>
      <c r="Q388" s="145" t="s">
        <v>543</v>
      </c>
      <c r="R388" s="145" t="s">
        <v>544</v>
      </c>
    </row>
    <row r="389" customFormat="false" ht="21.75" hidden="false" customHeight="true" outlineLevel="0" collapsed="false">
      <c r="A389" s="64" t="n">
        <f aca="false">IF('Calendario D'!A89="","",'Calendario D'!A89)</f>
        <v>108</v>
      </c>
      <c r="B389" s="42" t="str">
        <f aca="false">IF('Calendario D'!B89="","",'Calendario D'!B89)</f>
        <v>Manguste Mordaci</v>
      </c>
      <c r="C389" s="43" t="str">
        <f aca="false">IF('Calendario D'!C89="","",'Calendario D'!C89)</f>
        <v>D06</v>
      </c>
      <c r="D389" s="42" t="str">
        <f aca="false">IF('Calendario D'!D89="","",'Calendario D'!D89)</f>
        <v>Nutrie Nervose</v>
      </c>
      <c r="E389" s="43" t="str">
        <f aca="false">IF('Calendario D'!E89="","",'Calendario D'!E89)</f>
        <v>D07</v>
      </c>
      <c r="F389" s="44" t="n">
        <f aca="false">IF('Calendario D'!F89="","",'Calendario D'!F89)</f>
        <v>46432.7083333333</v>
      </c>
      <c r="G389" s="44"/>
      <c r="H389" s="44"/>
      <c r="I389" s="44"/>
      <c r="J389" s="137" t="n">
        <f aca="false">IF('Calendario D'!J89="","",'Calendario D'!J89)</f>
        <v>73</v>
      </c>
      <c r="K389" s="138" t="s">
        <v>339</v>
      </c>
      <c r="L389" s="137" t="n">
        <f aca="false">IF('Calendario D'!L89="","",'Calendario D'!L89)</f>
        <v>51</v>
      </c>
      <c r="M389" s="139"/>
      <c r="N389" s="139"/>
      <c r="O389" s="139"/>
      <c r="P389" s="139"/>
      <c r="Q389" s="139"/>
      <c r="R389" s="139"/>
    </row>
    <row r="390" customFormat="false" ht="15" hidden="false" customHeight="true" outlineLevel="0" collapsed="false">
      <c r="A390" s="64"/>
      <c r="B390" s="48" t="str">
        <f aca="false">IF('Calendario D'!B90="","",'Calendario D'!B90)</f>
        <v>PalaManguste, Via dello Sport 10, Mangusteopoli ME</v>
      </c>
      <c r="C390" s="48"/>
      <c r="D390" s="48"/>
      <c r="E390" s="48"/>
      <c r="F390" s="48"/>
      <c r="G390" s="48"/>
      <c r="H390" s="48"/>
      <c r="I390" s="43" t="str">
        <f aca="false">IF('Calendario D'!I90="","",'Calendario D'!I90)</f>
        <v>D06</v>
      </c>
      <c r="J390" s="137"/>
      <c r="K390" s="137"/>
      <c r="L390" s="137"/>
      <c r="M390" s="137"/>
      <c r="N390" s="137"/>
      <c r="O390" s="137"/>
      <c r="P390" s="137"/>
      <c r="Q390" s="137"/>
      <c r="R390" s="137"/>
    </row>
    <row r="392" customFormat="false" ht="19.5" hidden="false" customHeight="true" outlineLevel="0" collapsed="false">
      <c r="A392" s="61" t="str">
        <f aca="false">IF('Calendario D'!A92="","",'Calendario D'!A92)</f>
        <v>7D</v>
      </c>
      <c r="B392" s="62" t="str">
        <f aca="false">IF('Calendario D'!B92="","",'Calendario D'!B92)</f>
        <v>GIORNATA VII - GIRONE D</v>
      </c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144" t="s">
        <v>537</v>
      </c>
      <c r="N392" s="144"/>
      <c r="O392" s="144"/>
      <c r="P392" s="144" t="s">
        <v>538</v>
      </c>
      <c r="Q392" s="144"/>
      <c r="R392" s="144"/>
    </row>
    <row r="393" customFormat="false" ht="13.5" hidden="false" customHeight="true" outlineLevel="0" collapsed="false">
      <c r="A393" s="63" t="s">
        <v>334</v>
      </c>
      <c r="B393" s="63" t="s">
        <v>317</v>
      </c>
      <c r="C393" s="63"/>
      <c r="D393" s="63" t="s">
        <v>324</v>
      </c>
      <c r="E393" s="63"/>
      <c r="F393" s="63" t="s">
        <v>335</v>
      </c>
      <c r="G393" s="63" t="s">
        <v>336</v>
      </c>
      <c r="H393" s="63" t="s">
        <v>337</v>
      </c>
      <c r="I393" s="63"/>
      <c r="J393" s="63" t="s">
        <v>338</v>
      </c>
      <c r="K393" s="63"/>
      <c r="L393" s="63"/>
      <c r="M393" s="145" t="s">
        <v>539</v>
      </c>
      <c r="N393" s="145" t="s">
        <v>540</v>
      </c>
      <c r="O393" s="145" t="s">
        <v>541</v>
      </c>
      <c r="P393" s="145" t="s">
        <v>542</v>
      </c>
      <c r="Q393" s="145" t="s">
        <v>543</v>
      </c>
      <c r="R393" s="145" t="s">
        <v>544</v>
      </c>
    </row>
    <row r="394" customFormat="false" ht="21.75" hidden="false" customHeight="true" outlineLevel="0" collapsed="false">
      <c r="A394" s="64" t="n">
        <f aca="false">IF('Calendario D'!A94="","",'Calendario D'!A94)</f>
        <v>109</v>
      </c>
      <c r="B394" s="42" t="str">
        <f aca="false">IF('Calendario D'!B94="","",'Calendario D'!B94)</f>
        <v>Elefanti Esuberanti</v>
      </c>
      <c r="C394" s="43" t="str">
        <f aca="false">IF('Calendario D'!C94="","",'Calendario D'!C94)</f>
        <v>D01</v>
      </c>
      <c r="D394" s="42" t="str">
        <f aca="false">IF('Calendario D'!D94="","",'Calendario D'!D94)</f>
        <v>Fenicotteri Focosi</v>
      </c>
      <c r="E394" s="43" t="str">
        <f aca="false">IF('Calendario D'!E94="","",'Calendario D'!E94)</f>
        <v>D02</v>
      </c>
      <c r="F394" s="44" t="n">
        <f aca="false">IF('Calendario D'!F94="","",'Calendario D'!F94)</f>
        <v>46453.3958333333</v>
      </c>
      <c r="G394" s="44"/>
      <c r="H394" s="44"/>
      <c r="I394" s="44"/>
      <c r="J394" s="137" t="n">
        <f aca="false">IF('Calendario D'!J94="","",'Calendario D'!J94)</f>
        <v>85</v>
      </c>
      <c r="K394" s="138" t="s">
        <v>339</v>
      </c>
      <c r="L394" s="137" t="n">
        <f aca="false">IF('Calendario D'!L94="","",'Calendario D'!L94)</f>
        <v>56</v>
      </c>
      <c r="M394" s="139"/>
      <c r="N394" s="139"/>
      <c r="O394" s="139"/>
      <c r="P394" s="139"/>
      <c r="Q394" s="139"/>
      <c r="R394" s="139"/>
    </row>
    <row r="395" customFormat="false" ht="15" hidden="false" customHeight="true" outlineLevel="0" collapsed="false">
      <c r="A395" s="64"/>
      <c r="B395" s="48" t="str">
        <f aca="false">IF('Calendario D'!B95="","",'Calendario D'!B95)</f>
        <v>PalaNutrie, Via dello Sport 11, Nutrieopoli NE</v>
      </c>
      <c r="C395" s="48"/>
      <c r="D395" s="48"/>
      <c r="E395" s="48"/>
      <c r="F395" s="48"/>
      <c r="G395" s="48"/>
      <c r="H395" s="48"/>
      <c r="I395" s="43" t="str">
        <f aca="false">IF('Calendario D'!I95="","",'Calendario D'!I95)</f>
        <v>D07</v>
      </c>
      <c r="J395" s="137"/>
      <c r="K395" s="137"/>
      <c r="L395" s="137"/>
      <c r="M395" s="137"/>
      <c r="N395" s="137"/>
      <c r="O395" s="137"/>
      <c r="P395" s="137"/>
      <c r="Q395" s="137"/>
      <c r="R395" s="137"/>
    </row>
    <row r="396" customFormat="false" ht="13.5" hidden="false" customHeight="true" outlineLevel="0" collapsed="false">
      <c r="A396" s="63" t="s">
        <v>334</v>
      </c>
      <c r="B396" s="63" t="s">
        <v>317</v>
      </c>
      <c r="C396" s="63"/>
      <c r="D396" s="63" t="s">
        <v>324</v>
      </c>
      <c r="E396" s="63"/>
      <c r="F396" s="63" t="s">
        <v>335</v>
      </c>
      <c r="G396" s="63" t="s">
        <v>336</v>
      </c>
      <c r="H396" s="63" t="s">
        <v>337</v>
      </c>
      <c r="I396" s="63"/>
      <c r="J396" s="63" t="s">
        <v>338</v>
      </c>
      <c r="K396" s="63"/>
      <c r="L396" s="63"/>
      <c r="M396" s="145" t="s">
        <v>539</v>
      </c>
      <c r="N396" s="145" t="s">
        <v>540</v>
      </c>
      <c r="O396" s="145" t="s">
        <v>541</v>
      </c>
      <c r="P396" s="145" t="s">
        <v>542</v>
      </c>
      <c r="Q396" s="145" t="s">
        <v>543</v>
      </c>
      <c r="R396" s="145" t="s">
        <v>544</v>
      </c>
    </row>
    <row r="397" customFormat="false" ht="21.75" hidden="false" customHeight="true" outlineLevel="0" collapsed="false">
      <c r="A397" s="64" t="n">
        <f aca="false">IF('Calendario D'!A97="","",'Calendario D'!A97)</f>
        <v>110</v>
      </c>
      <c r="B397" s="42" t="str">
        <f aca="false">IF('Calendario D'!B97="","",'Calendario D'!B97)</f>
        <v>Otarie Ottimiste</v>
      </c>
      <c r="C397" s="43" t="str">
        <f aca="false">IF('Calendario D'!C97="","",'Calendario D'!C97)</f>
        <v>D08</v>
      </c>
      <c r="D397" s="42" t="str">
        <f aca="false">IF('Calendario D'!D97="","",'Calendario D'!D97)</f>
        <v>Ghepardi Guizzanti</v>
      </c>
      <c r="E397" s="43" t="str">
        <f aca="false">IF('Calendario D'!E97="","",'Calendario D'!E97)</f>
        <v>D03</v>
      </c>
      <c r="F397" s="44" t="n">
        <f aca="false">IF('Calendario D'!F97="","",'Calendario D'!F97)</f>
        <v>46453.4791666667</v>
      </c>
      <c r="G397" s="44"/>
      <c r="H397" s="44"/>
      <c r="I397" s="44"/>
      <c r="J397" s="137" t="n">
        <f aca="false">IF('Calendario D'!J97="","",'Calendario D'!J97)</f>
        <v>67</v>
      </c>
      <c r="K397" s="138" t="s">
        <v>339</v>
      </c>
      <c r="L397" s="137" t="n">
        <f aca="false">IF('Calendario D'!L97="","",'Calendario D'!L97)</f>
        <v>55</v>
      </c>
      <c r="M397" s="139"/>
      <c r="N397" s="139"/>
      <c r="O397" s="139"/>
      <c r="P397" s="139"/>
      <c r="Q397" s="139"/>
      <c r="R397" s="139"/>
    </row>
    <row r="398" customFormat="false" ht="15" hidden="false" customHeight="true" outlineLevel="0" collapsed="false">
      <c r="A398" s="64"/>
      <c r="B398" s="48" t="str">
        <f aca="false">IF('Calendario D'!B98="","",'Calendario D'!B98)</f>
        <v>PalaNutrie, Via dello Sport 11, Nutrieopoli NE</v>
      </c>
      <c r="C398" s="48"/>
      <c r="D398" s="48"/>
      <c r="E398" s="48"/>
      <c r="F398" s="48"/>
      <c r="G398" s="48"/>
      <c r="H398" s="48"/>
      <c r="I398" s="43" t="str">
        <f aca="false">IF('Calendario D'!I98="","",'Calendario D'!I98)</f>
        <v>D07</v>
      </c>
      <c r="J398" s="137"/>
      <c r="K398" s="137"/>
      <c r="L398" s="137"/>
      <c r="M398" s="137"/>
      <c r="N398" s="137"/>
      <c r="O398" s="137"/>
      <c r="P398" s="137"/>
      <c r="Q398" s="137"/>
      <c r="R398" s="137"/>
    </row>
    <row r="399" customFormat="false" ht="13.5" hidden="false" customHeight="true" outlineLevel="0" collapsed="false">
      <c r="A399" s="63" t="s">
        <v>334</v>
      </c>
      <c r="B399" s="63" t="s">
        <v>317</v>
      </c>
      <c r="C399" s="63"/>
      <c r="D399" s="63" t="s">
        <v>324</v>
      </c>
      <c r="E399" s="63"/>
      <c r="F399" s="63" t="s">
        <v>335</v>
      </c>
      <c r="G399" s="63" t="s">
        <v>336</v>
      </c>
      <c r="H399" s="63" t="s">
        <v>337</v>
      </c>
      <c r="I399" s="63"/>
      <c r="J399" s="63" t="s">
        <v>338</v>
      </c>
      <c r="K399" s="63"/>
      <c r="L399" s="63"/>
      <c r="M399" s="145" t="s">
        <v>539</v>
      </c>
      <c r="N399" s="145" t="s">
        <v>540</v>
      </c>
      <c r="O399" s="145" t="s">
        <v>541</v>
      </c>
      <c r="P399" s="145" t="s">
        <v>542</v>
      </c>
      <c r="Q399" s="145" t="s">
        <v>543</v>
      </c>
      <c r="R399" s="145" t="s">
        <v>544</v>
      </c>
    </row>
    <row r="400" customFormat="false" ht="21.75" hidden="false" customHeight="true" outlineLevel="0" collapsed="false">
      <c r="A400" s="64" t="n">
        <f aca="false">IF('Calendario D'!A100="","",'Calendario D'!A100)</f>
        <v>111</v>
      </c>
      <c r="B400" s="42" t="str">
        <f aca="false">IF('Calendario D'!B100="","",'Calendario D'!B100)</f>
        <v>Iguane Impavide</v>
      </c>
      <c r="C400" s="43" t="str">
        <f aca="false">IF('Calendario D'!C100="","",'Calendario D'!C100)</f>
        <v>D04</v>
      </c>
      <c r="D400" s="42" t="str">
        <f aca="false">IF('Calendario D'!D100="","",'Calendario D'!D100)</f>
        <v>Nutrie Nervose</v>
      </c>
      <c r="E400" s="43" t="str">
        <f aca="false">IF('Calendario D'!E100="","",'Calendario D'!E100)</f>
        <v>D07</v>
      </c>
      <c r="F400" s="44" t="n">
        <f aca="false">IF('Calendario D'!F100="","",'Calendario D'!F100)</f>
        <v>46453.625</v>
      </c>
      <c r="G400" s="44"/>
      <c r="H400" s="44"/>
      <c r="I400" s="44"/>
      <c r="J400" s="137" t="n">
        <f aca="false">IF('Calendario D'!J100="","",'Calendario D'!J100)</f>
        <v>64</v>
      </c>
      <c r="K400" s="138" t="s">
        <v>339</v>
      </c>
      <c r="L400" s="137" t="n">
        <f aca="false">IF('Calendario D'!L100="","",'Calendario D'!L100)</f>
        <v>39</v>
      </c>
      <c r="M400" s="139"/>
      <c r="N400" s="139"/>
      <c r="O400" s="139"/>
      <c r="P400" s="139"/>
      <c r="Q400" s="139"/>
      <c r="R400" s="139"/>
    </row>
    <row r="401" customFormat="false" ht="15" hidden="false" customHeight="true" outlineLevel="0" collapsed="false">
      <c r="A401" s="64"/>
      <c r="B401" s="48" t="str">
        <f aca="false">IF('Calendario D'!B101="","",'Calendario D'!B101)</f>
        <v>PalaNutrie, Via dello Sport 11, Nutrieopoli NE</v>
      </c>
      <c r="C401" s="48"/>
      <c r="D401" s="48"/>
      <c r="E401" s="48"/>
      <c r="F401" s="48"/>
      <c r="G401" s="48"/>
      <c r="H401" s="48"/>
      <c r="I401" s="43" t="str">
        <f aca="false">IF('Calendario D'!I101="","",'Calendario D'!I101)</f>
        <v>D07</v>
      </c>
      <c r="J401" s="137"/>
      <c r="K401" s="137"/>
      <c r="L401" s="137"/>
      <c r="M401" s="137"/>
      <c r="N401" s="137"/>
      <c r="O401" s="137"/>
      <c r="P401" s="137"/>
      <c r="Q401" s="137"/>
      <c r="R401" s="137"/>
    </row>
    <row r="402" customFormat="false" ht="13.5" hidden="false" customHeight="true" outlineLevel="0" collapsed="false">
      <c r="A402" s="63" t="s">
        <v>334</v>
      </c>
      <c r="B402" s="63" t="s">
        <v>317</v>
      </c>
      <c r="C402" s="63"/>
      <c r="D402" s="63" t="s">
        <v>324</v>
      </c>
      <c r="E402" s="63"/>
      <c r="F402" s="63" t="s">
        <v>335</v>
      </c>
      <c r="G402" s="63" t="s">
        <v>336</v>
      </c>
      <c r="H402" s="63" t="s">
        <v>337</v>
      </c>
      <c r="I402" s="63"/>
      <c r="J402" s="63" t="s">
        <v>338</v>
      </c>
      <c r="K402" s="63"/>
      <c r="L402" s="63"/>
      <c r="M402" s="145" t="s">
        <v>539</v>
      </c>
      <c r="N402" s="145" t="s">
        <v>540</v>
      </c>
      <c r="O402" s="145" t="s">
        <v>541</v>
      </c>
      <c r="P402" s="145" t="s">
        <v>542</v>
      </c>
      <c r="Q402" s="145" t="s">
        <v>543</v>
      </c>
      <c r="R402" s="145" t="s">
        <v>544</v>
      </c>
    </row>
    <row r="403" customFormat="false" ht="21.75" hidden="false" customHeight="true" outlineLevel="0" collapsed="false">
      <c r="A403" s="64" t="n">
        <f aca="false">IF('Calendario D'!A103="","",'Calendario D'!A103)</f>
        <v>112</v>
      </c>
      <c r="B403" s="42" t="str">
        <f aca="false">IF('Calendario D'!B103="","",'Calendario D'!B103)</f>
        <v>Manguste Mordaci</v>
      </c>
      <c r="C403" s="43" t="str">
        <f aca="false">IF('Calendario D'!C103="","",'Calendario D'!C103)</f>
        <v>D06</v>
      </c>
      <c r="D403" s="42" t="str">
        <f aca="false">IF('Calendario D'!D103="","",'Calendario D'!D103)</f>
        <v>Lontre Loquaci</v>
      </c>
      <c r="E403" s="43" t="str">
        <f aca="false">IF('Calendario D'!E103="","",'Calendario D'!E103)</f>
        <v>D05</v>
      </c>
      <c r="F403" s="44" t="n">
        <f aca="false">IF('Calendario D'!F103="","",'Calendario D'!F103)</f>
        <v>46453.7083333333</v>
      </c>
      <c r="G403" s="44"/>
      <c r="H403" s="44"/>
      <c r="I403" s="44"/>
      <c r="J403" s="137" t="n">
        <f aca="false">IF('Calendario D'!J103="","",'Calendario D'!J103)</f>
        <v>51</v>
      </c>
      <c r="K403" s="138" t="s">
        <v>339</v>
      </c>
      <c r="L403" s="137" t="n">
        <f aca="false">IF('Calendario D'!L103="","",'Calendario D'!L103)</f>
        <v>67</v>
      </c>
      <c r="M403" s="139"/>
      <c r="N403" s="139"/>
      <c r="O403" s="139"/>
      <c r="P403" s="139"/>
      <c r="Q403" s="139"/>
      <c r="R403" s="139"/>
    </row>
    <row r="404" customFormat="false" ht="15" hidden="false" customHeight="true" outlineLevel="0" collapsed="false">
      <c r="A404" s="64"/>
      <c r="B404" s="48" t="str">
        <f aca="false">IF('Calendario D'!B104="","",'Calendario D'!B104)</f>
        <v>PalaNutrie, Via dello Sport 11, Nutrieopoli NE</v>
      </c>
      <c r="C404" s="48"/>
      <c r="D404" s="48"/>
      <c r="E404" s="48"/>
      <c r="F404" s="48"/>
      <c r="G404" s="48"/>
      <c r="H404" s="48"/>
      <c r="I404" s="43" t="str">
        <f aca="false">IF('Calendario D'!I104="","",'Calendario D'!I104)</f>
        <v>D07</v>
      </c>
      <c r="J404" s="137"/>
      <c r="K404" s="137"/>
      <c r="L404" s="137"/>
      <c r="M404" s="137"/>
      <c r="N404" s="137"/>
      <c r="O404" s="137"/>
      <c r="P404" s="137"/>
      <c r="Q404" s="137"/>
      <c r="R404" s="137"/>
    </row>
    <row r="408" customFormat="false" ht="19.5" hidden="false" customHeight="true" outlineLevel="0" collapsed="false">
      <c r="A408" s="66" t="str">
        <f aca="false">IF('Calendario E'!A8="","",'Calendario E'!A8)</f>
        <v>1E</v>
      </c>
      <c r="B408" s="67" t="str">
        <f aca="false">IF('Calendario E'!B8="","",'Calendario E'!B8)</f>
        <v>GIORNATA I - GIRONE E</v>
      </c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146" t="s">
        <v>537</v>
      </c>
      <c r="N408" s="146"/>
      <c r="O408" s="146"/>
      <c r="P408" s="146" t="s">
        <v>538</v>
      </c>
      <c r="Q408" s="146"/>
      <c r="R408" s="146"/>
    </row>
    <row r="409" customFormat="false" ht="13.5" hidden="false" customHeight="true" outlineLevel="0" collapsed="false">
      <c r="A409" s="68" t="s">
        <v>334</v>
      </c>
      <c r="B409" s="68" t="s">
        <v>317</v>
      </c>
      <c r="C409" s="68"/>
      <c r="D409" s="68" t="s">
        <v>324</v>
      </c>
      <c r="E409" s="68"/>
      <c r="F409" s="68" t="s">
        <v>335</v>
      </c>
      <c r="G409" s="68" t="s">
        <v>336</v>
      </c>
      <c r="H409" s="68" t="s">
        <v>337</v>
      </c>
      <c r="I409" s="68"/>
      <c r="J409" s="68" t="s">
        <v>338</v>
      </c>
      <c r="K409" s="68"/>
      <c r="L409" s="68"/>
      <c r="M409" s="147" t="s">
        <v>539</v>
      </c>
      <c r="N409" s="147" t="s">
        <v>540</v>
      </c>
      <c r="O409" s="147" t="s">
        <v>541</v>
      </c>
      <c r="P409" s="147" t="s">
        <v>542</v>
      </c>
      <c r="Q409" s="147" t="s">
        <v>543</v>
      </c>
      <c r="R409" s="147" t="s">
        <v>544</v>
      </c>
    </row>
    <row r="410" customFormat="false" ht="21.75" hidden="false" customHeight="true" outlineLevel="0" collapsed="false">
      <c r="A410" s="69" t="n">
        <f aca="false">IF('Calendario E'!A10="","",'Calendario E'!A10)</f>
        <v>113</v>
      </c>
      <c r="B410" s="42" t="str">
        <f aca="false">IF('Calendario E'!B10="","",'Calendario E'!B10)</f>
        <v>Pipistrelli Pensierosi</v>
      </c>
      <c r="C410" s="43" t="str">
        <f aca="false">IF('Calendario E'!C10="","",'Calendario E'!C10)</f>
        <v>E01</v>
      </c>
      <c r="D410" s="42" t="str">
        <f aca="false">IF('Calendario E'!D10="","",'Calendario E'!D10)</f>
        <v>Zibetti Zuccherini</v>
      </c>
      <c r="E410" s="43" t="str">
        <f aca="false">IF('Calendario E'!E10="","",'Calendario E'!E10)</f>
        <v>E08</v>
      </c>
      <c r="F410" s="44" t="n">
        <f aca="false">IF('Calendario E'!F10="","",'Calendario E'!F10)</f>
        <v>46313.3958333333</v>
      </c>
      <c r="G410" s="44"/>
      <c r="H410" s="44"/>
      <c r="I410" s="44"/>
      <c r="J410" s="137" t="n">
        <f aca="false">IF('Calendario E'!J10="","",'Calendario E'!J10)</f>
        <v>56</v>
      </c>
      <c r="K410" s="138" t="s">
        <v>339</v>
      </c>
      <c r="L410" s="137" t="n">
        <f aca="false">IF('Calendario E'!L10="","",'Calendario E'!L10)</f>
        <v>81</v>
      </c>
      <c r="M410" s="139"/>
      <c r="N410" s="139"/>
      <c r="O410" s="139"/>
      <c r="P410" s="139"/>
      <c r="Q410" s="139"/>
      <c r="R410" s="139"/>
    </row>
    <row r="411" customFormat="false" ht="15" hidden="false" customHeight="true" outlineLevel="0" collapsed="false">
      <c r="A411" s="69"/>
      <c r="B411" s="48" t="str">
        <f aca="false">IF('Calendario E'!B11="","",'Calendario E'!B11)</f>
        <v>PalaPipistrelli, Via dello Sport 13, Pipistrelliopoli PI</v>
      </c>
      <c r="C411" s="48"/>
      <c r="D411" s="48"/>
      <c r="E411" s="48"/>
      <c r="F411" s="48"/>
      <c r="G411" s="48"/>
      <c r="H411" s="48"/>
      <c r="I411" s="43" t="str">
        <f aca="false">IF('Calendario E'!I11="","",'Calendario E'!I11)</f>
        <v>E01</v>
      </c>
      <c r="J411" s="137"/>
      <c r="K411" s="137"/>
      <c r="L411" s="137"/>
      <c r="M411" s="137"/>
      <c r="N411" s="137"/>
      <c r="O411" s="137"/>
      <c r="P411" s="137"/>
      <c r="Q411" s="137"/>
      <c r="R411" s="137"/>
    </row>
    <row r="412" customFormat="false" ht="13.5" hidden="false" customHeight="true" outlineLevel="0" collapsed="false">
      <c r="A412" s="68" t="s">
        <v>334</v>
      </c>
      <c r="B412" s="68" t="s">
        <v>317</v>
      </c>
      <c r="C412" s="68"/>
      <c r="D412" s="68" t="s">
        <v>324</v>
      </c>
      <c r="E412" s="68"/>
      <c r="F412" s="68" t="s">
        <v>335</v>
      </c>
      <c r="G412" s="68" t="s">
        <v>336</v>
      </c>
      <c r="H412" s="68" t="s">
        <v>337</v>
      </c>
      <c r="I412" s="68"/>
      <c r="J412" s="68" t="s">
        <v>338</v>
      </c>
      <c r="K412" s="68"/>
      <c r="L412" s="68"/>
      <c r="M412" s="147" t="s">
        <v>539</v>
      </c>
      <c r="N412" s="147" t="s">
        <v>540</v>
      </c>
      <c r="O412" s="147" t="s">
        <v>541</v>
      </c>
      <c r="P412" s="147" t="s">
        <v>542</v>
      </c>
      <c r="Q412" s="147" t="s">
        <v>543</v>
      </c>
      <c r="R412" s="147" t="s">
        <v>544</v>
      </c>
    </row>
    <row r="413" customFormat="false" ht="21.75" hidden="false" customHeight="true" outlineLevel="0" collapsed="false">
      <c r="A413" s="69" t="n">
        <f aca="false">IF('Calendario E'!A13="","",'Calendario E'!A13)</f>
        <v>114</v>
      </c>
      <c r="B413" s="42" t="str">
        <f aca="false">IF('Calendario E'!B13="","",'Calendario E'!B13)</f>
        <v>Volpi Vorticose</v>
      </c>
      <c r="C413" s="43" t="str">
        <f aca="false">IF('Calendario E'!C13="","",'Calendario E'!C13)</f>
        <v>E07</v>
      </c>
      <c r="D413" s="42" t="str">
        <f aca="false">IF('Calendario E'!D13="","",'Calendario E'!D13)</f>
        <v>Quetzal Quotidiani</v>
      </c>
      <c r="E413" s="43" t="str">
        <f aca="false">IF('Calendario E'!E13="","",'Calendario E'!E13)</f>
        <v>E02</v>
      </c>
      <c r="F413" s="44" t="n">
        <f aca="false">IF('Calendario E'!F13="","",'Calendario E'!F13)</f>
        <v>46313.4791666667</v>
      </c>
      <c r="G413" s="44"/>
      <c r="H413" s="44"/>
      <c r="I413" s="44"/>
      <c r="J413" s="137" t="n">
        <f aca="false">IF('Calendario E'!J13="","",'Calendario E'!J13)</f>
        <v>55</v>
      </c>
      <c r="K413" s="138" t="s">
        <v>339</v>
      </c>
      <c r="L413" s="137" t="n">
        <f aca="false">IF('Calendario E'!L13="","",'Calendario E'!L13)</f>
        <v>52</v>
      </c>
      <c r="M413" s="139"/>
      <c r="N413" s="139"/>
      <c r="O413" s="139"/>
      <c r="P413" s="139"/>
      <c r="Q413" s="139"/>
      <c r="R413" s="139"/>
    </row>
    <row r="414" customFormat="false" ht="15" hidden="false" customHeight="true" outlineLevel="0" collapsed="false">
      <c r="A414" s="69"/>
      <c r="B414" s="48" t="str">
        <f aca="false">IF('Calendario E'!B14="","",'Calendario E'!B14)</f>
        <v>PalaPipistrelli, Via dello Sport 13, Pipistrelliopoli PI</v>
      </c>
      <c r="C414" s="48"/>
      <c r="D414" s="48"/>
      <c r="E414" s="48"/>
      <c r="F414" s="48"/>
      <c r="G414" s="48"/>
      <c r="H414" s="48"/>
      <c r="I414" s="43" t="str">
        <f aca="false">IF('Calendario E'!I14="","",'Calendario E'!I14)</f>
        <v>E01</v>
      </c>
      <c r="J414" s="137"/>
      <c r="K414" s="137"/>
      <c r="L414" s="137"/>
      <c r="M414" s="137"/>
      <c r="N414" s="137"/>
      <c r="O414" s="137"/>
      <c r="P414" s="137"/>
      <c r="Q414" s="137"/>
      <c r="R414" s="137"/>
    </row>
    <row r="415" customFormat="false" ht="13.5" hidden="false" customHeight="true" outlineLevel="0" collapsed="false">
      <c r="A415" s="68" t="s">
        <v>334</v>
      </c>
      <c r="B415" s="68" t="s">
        <v>317</v>
      </c>
      <c r="C415" s="68"/>
      <c r="D415" s="68" t="s">
        <v>324</v>
      </c>
      <c r="E415" s="68"/>
      <c r="F415" s="68" t="s">
        <v>335</v>
      </c>
      <c r="G415" s="68" t="s">
        <v>336</v>
      </c>
      <c r="H415" s="68" t="s">
        <v>337</v>
      </c>
      <c r="I415" s="68"/>
      <c r="J415" s="68" t="s">
        <v>338</v>
      </c>
      <c r="K415" s="68"/>
      <c r="L415" s="68"/>
      <c r="M415" s="147" t="s">
        <v>539</v>
      </c>
      <c r="N415" s="147" t="s">
        <v>540</v>
      </c>
      <c r="O415" s="147" t="s">
        <v>541</v>
      </c>
      <c r="P415" s="147" t="s">
        <v>542</v>
      </c>
      <c r="Q415" s="147" t="s">
        <v>543</v>
      </c>
      <c r="R415" s="147" t="s">
        <v>544</v>
      </c>
    </row>
    <row r="416" customFormat="false" ht="21.75" hidden="false" customHeight="true" outlineLevel="0" collapsed="false">
      <c r="A416" s="69" t="n">
        <f aca="false">IF('Calendario E'!A16="","",'Calendario E'!A16)</f>
        <v>115</v>
      </c>
      <c r="B416" s="42" t="str">
        <f aca="false">IF('Calendario E'!B16="","",'Calendario E'!B16)</f>
        <v>Ricci Rissosi</v>
      </c>
      <c r="C416" s="43" t="str">
        <f aca="false">IF('Calendario E'!C16="","",'Calendario E'!C16)</f>
        <v>E03</v>
      </c>
      <c r="D416" s="42" t="str">
        <f aca="false">IF('Calendario E'!D16="","",'Calendario E'!D16)</f>
        <v>Uistiti Ubiqui</v>
      </c>
      <c r="E416" s="43" t="str">
        <f aca="false">IF('Calendario E'!E16="","",'Calendario E'!E16)</f>
        <v>E06</v>
      </c>
      <c r="F416" s="44" t="n">
        <f aca="false">IF('Calendario E'!F16="","",'Calendario E'!F16)</f>
        <v>46313.625</v>
      </c>
      <c r="G416" s="44"/>
      <c r="H416" s="44"/>
      <c r="I416" s="44"/>
      <c r="J416" s="137" t="n">
        <f aca="false">IF('Calendario E'!J16="","",'Calendario E'!J16)</f>
        <v>74</v>
      </c>
      <c r="K416" s="138" t="s">
        <v>339</v>
      </c>
      <c r="L416" s="137" t="n">
        <f aca="false">IF('Calendario E'!L16="","",'Calendario E'!L16)</f>
        <v>51</v>
      </c>
      <c r="M416" s="139"/>
      <c r="N416" s="139"/>
      <c r="O416" s="139"/>
      <c r="P416" s="139"/>
      <c r="Q416" s="139"/>
      <c r="R416" s="139"/>
    </row>
    <row r="417" customFormat="false" ht="15" hidden="false" customHeight="true" outlineLevel="0" collapsed="false">
      <c r="A417" s="69"/>
      <c r="B417" s="48" t="str">
        <f aca="false">IF('Calendario E'!B17="","",'Calendario E'!B17)</f>
        <v>PalaPipistrelli, Via dello Sport 13, Pipistrelliopoli PI</v>
      </c>
      <c r="C417" s="48"/>
      <c r="D417" s="48"/>
      <c r="E417" s="48"/>
      <c r="F417" s="48"/>
      <c r="G417" s="48"/>
      <c r="H417" s="48"/>
      <c r="I417" s="43" t="str">
        <f aca="false">IF('Calendario E'!I17="","",'Calendario E'!I17)</f>
        <v>E01</v>
      </c>
      <c r="J417" s="137"/>
      <c r="K417" s="137"/>
      <c r="L417" s="137"/>
      <c r="M417" s="137"/>
      <c r="N417" s="137"/>
      <c r="O417" s="137"/>
      <c r="P417" s="137"/>
      <c r="Q417" s="137"/>
      <c r="R417" s="137"/>
    </row>
    <row r="418" customFormat="false" ht="13.5" hidden="false" customHeight="true" outlineLevel="0" collapsed="false">
      <c r="A418" s="68" t="s">
        <v>334</v>
      </c>
      <c r="B418" s="68" t="s">
        <v>317</v>
      </c>
      <c r="C418" s="68"/>
      <c r="D418" s="68" t="s">
        <v>324</v>
      </c>
      <c r="E418" s="68"/>
      <c r="F418" s="68" t="s">
        <v>335</v>
      </c>
      <c r="G418" s="68" t="s">
        <v>336</v>
      </c>
      <c r="H418" s="68" t="s">
        <v>337</v>
      </c>
      <c r="I418" s="68"/>
      <c r="J418" s="68" t="s">
        <v>338</v>
      </c>
      <c r="K418" s="68"/>
      <c r="L418" s="68"/>
      <c r="M418" s="147" t="s">
        <v>539</v>
      </c>
      <c r="N418" s="147" t="s">
        <v>540</v>
      </c>
      <c r="O418" s="147" t="s">
        <v>541</v>
      </c>
      <c r="P418" s="147" t="s">
        <v>542</v>
      </c>
      <c r="Q418" s="147" t="s">
        <v>543</v>
      </c>
      <c r="R418" s="147" t="s">
        <v>544</v>
      </c>
    </row>
    <row r="419" customFormat="false" ht="21.75" hidden="false" customHeight="true" outlineLevel="0" collapsed="false">
      <c r="A419" s="69" t="n">
        <f aca="false">IF('Calendario E'!A19="","",'Calendario E'!A19)</f>
        <v>116</v>
      </c>
      <c r="B419" s="42" t="str">
        <f aca="false">IF('Calendario E'!B19="","",'Calendario E'!B19)</f>
        <v>Tassi Turbolenti</v>
      </c>
      <c r="C419" s="43" t="str">
        <f aca="false">IF('Calendario E'!C19="","",'Calendario E'!C19)</f>
        <v>E05</v>
      </c>
      <c r="D419" s="42" t="str">
        <f aca="false">IF('Calendario E'!D19="","",'Calendario E'!D19)</f>
        <v>Scoiattoli Scattanti</v>
      </c>
      <c r="E419" s="43" t="str">
        <f aca="false">IF('Calendario E'!E19="","",'Calendario E'!E19)</f>
        <v>E04</v>
      </c>
      <c r="F419" s="44" t="n">
        <f aca="false">IF('Calendario E'!F19="","",'Calendario E'!F19)</f>
        <v>46313.7083333333</v>
      </c>
      <c r="G419" s="44"/>
      <c r="H419" s="44"/>
      <c r="I419" s="44"/>
      <c r="J419" s="137" t="n">
        <f aca="false">IF('Calendario E'!J19="","",'Calendario E'!J19)</f>
        <v>89</v>
      </c>
      <c r="K419" s="138" t="s">
        <v>339</v>
      </c>
      <c r="L419" s="137" t="n">
        <f aca="false">IF('Calendario E'!L19="","",'Calendario E'!L19)</f>
        <v>55</v>
      </c>
      <c r="M419" s="139"/>
      <c r="N419" s="139"/>
      <c r="O419" s="139"/>
      <c r="P419" s="139"/>
      <c r="Q419" s="139"/>
      <c r="R419" s="139"/>
    </row>
    <row r="420" customFormat="false" ht="15" hidden="false" customHeight="true" outlineLevel="0" collapsed="false">
      <c r="A420" s="69"/>
      <c r="B420" s="48" t="str">
        <f aca="false">IF('Calendario E'!B20="","",'Calendario E'!B20)</f>
        <v>PalaPipistrelli, Via dello Sport 13, Pipistrelliopoli PI</v>
      </c>
      <c r="C420" s="48"/>
      <c r="D420" s="48"/>
      <c r="E420" s="48"/>
      <c r="F420" s="48"/>
      <c r="G420" s="48"/>
      <c r="H420" s="48"/>
      <c r="I420" s="43" t="str">
        <f aca="false">IF('Calendario E'!I20="","",'Calendario E'!I20)</f>
        <v>E01</v>
      </c>
      <c r="J420" s="137"/>
      <c r="K420" s="137"/>
      <c r="L420" s="137"/>
      <c r="M420" s="137"/>
      <c r="N420" s="137"/>
      <c r="O420" s="137"/>
      <c r="P420" s="137"/>
      <c r="Q420" s="137"/>
      <c r="R420" s="137"/>
    </row>
    <row r="422" customFormat="false" ht="19.5" hidden="false" customHeight="true" outlineLevel="0" collapsed="false">
      <c r="A422" s="66" t="str">
        <f aca="false">IF('Calendario E'!A22="","",'Calendario E'!A22)</f>
        <v>2E</v>
      </c>
      <c r="B422" s="67" t="str">
        <f aca="false">IF('Calendario E'!B22="","",'Calendario E'!B22)</f>
        <v>GIORNATA II - GIRONE E</v>
      </c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146" t="s">
        <v>537</v>
      </c>
      <c r="N422" s="146"/>
      <c r="O422" s="146"/>
      <c r="P422" s="146" t="s">
        <v>538</v>
      </c>
      <c r="Q422" s="146"/>
      <c r="R422" s="146"/>
    </row>
    <row r="423" customFormat="false" ht="13.5" hidden="false" customHeight="true" outlineLevel="0" collapsed="false">
      <c r="A423" s="68" t="s">
        <v>334</v>
      </c>
      <c r="B423" s="68" t="s">
        <v>317</v>
      </c>
      <c r="C423" s="68"/>
      <c r="D423" s="68" t="s">
        <v>324</v>
      </c>
      <c r="E423" s="68"/>
      <c r="F423" s="68" t="s">
        <v>335</v>
      </c>
      <c r="G423" s="68" t="s">
        <v>336</v>
      </c>
      <c r="H423" s="68" t="s">
        <v>337</v>
      </c>
      <c r="I423" s="68"/>
      <c r="J423" s="68" t="s">
        <v>338</v>
      </c>
      <c r="K423" s="68"/>
      <c r="L423" s="68"/>
      <c r="M423" s="147" t="s">
        <v>539</v>
      </c>
      <c r="N423" s="147" t="s">
        <v>540</v>
      </c>
      <c r="O423" s="147" t="s">
        <v>541</v>
      </c>
      <c r="P423" s="147" t="s">
        <v>542</v>
      </c>
      <c r="Q423" s="147" t="s">
        <v>543</v>
      </c>
      <c r="R423" s="147" t="s">
        <v>544</v>
      </c>
    </row>
    <row r="424" customFormat="false" ht="21.75" hidden="false" customHeight="true" outlineLevel="0" collapsed="false">
      <c r="A424" s="69" t="n">
        <f aca="false">IF('Calendario E'!A24="","",'Calendario E'!A24)</f>
        <v>117</v>
      </c>
      <c r="B424" s="42" t="str">
        <f aca="false">IF('Calendario E'!B24="","",'Calendario E'!B24)</f>
        <v>Volpi Vorticose</v>
      </c>
      <c r="C424" s="43" t="str">
        <f aca="false">IF('Calendario E'!C24="","",'Calendario E'!C24)</f>
        <v>E07</v>
      </c>
      <c r="D424" s="42" t="str">
        <f aca="false">IF('Calendario E'!D24="","",'Calendario E'!D24)</f>
        <v>Pipistrelli Pensierosi</v>
      </c>
      <c r="E424" s="43" t="str">
        <f aca="false">IF('Calendario E'!E24="","",'Calendario E'!E24)</f>
        <v>E01</v>
      </c>
      <c r="F424" s="44" t="n">
        <f aca="false">IF('Calendario E'!F24="","",'Calendario E'!F24)</f>
        <v>46334.3958333333</v>
      </c>
      <c r="G424" s="44"/>
      <c r="H424" s="44"/>
      <c r="I424" s="44"/>
      <c r="J424" s="137" t="n">
        <f aca="false">IF('Calendario E'!J24="","",'Calendario E'!J24)</f>
        <v>69</v>
      </c>
      <c r="K424" s="138" t="s">
        <v>339</v>
      </c>
      <c r="L424" s="137" t="n">
        <f aca="false">IF('Calendario E'!L24="","",'Calendario E'!L24)</f>
        <v>57</v>
      </c>
      <c r="M424" s="139"/>
      <c r="N424" s="139"/>
      <c r="O424" s="139"/>
      <c r="P424" s="139"/>
      <c r="Q424" s="139"/>
      <c r="R424" s="139"/>
    </row>
    <row r="425" customFormat="false" ht="15" hidden="false" customHeight="true" outlineLevel="0" collapsed="false">
      <c r="A425" s="69"/>
      <c r="B425" s="48" t="str">
        <f aca="false">IF('Calendario E'!B25="","",'Calendario E'!B25)</f>
        <v>PalaQuetzal, Via dello Sport 14, Quetzalopoli QL</v>
      </c>
      <c r="C425" s="48"/>
      <c r="D425" s="48"/>
      <c r="E425" s="48"/>
      <c r="F425" s="48"/>
      <c r="G425" s="48"/>
      <c r="H425" s="48"/>
      <c r="I425" s="43" t="str">
        <f aca="false">IF('Calendario E'!I25="","",'Calendario E'!I25)</f>
        <v>E02</v>
      </c>
      <c r="J425" s="137"/>
      <c r="K425" s="137"/>
      <c r="L425" s="137"/>
      <c r="M425" s="137"/>
      <c r="N425" s="137"/>
      <c r="O425" s="137"/>
      <c r="P425" s="137"/>
      <c r="Q425" s="137"/>
      <c r="R425" s="137"/>
    </row>
    <row r="426" customFormat="false" ht="13.5" hidden="false" customHeight="true" outlineLevel="0" collapsed="false">
      <c r="A426" s="68" t="s">
        <v>334</v>
      </c>
      <c r="B426" s="68" t="s">
        <v>317</v>
      </c>
      <c r="C426" s="68"/>
      <c r="D426" s="68" t="s">
        <v>324</v>
      </c>
      <c r="E426" s="68"/>
      <c r="F426" s="68" t="s">
        <v>335</v>
      </c>
      <c r="G426" s="68" t="s">
        <v>336</v>
      </c>
      <c r="H426" s="68" t="s">
        <v>337</v>
      </c>
      <c r="I426" s="68"/>
      <c r="J426" s="68" t="s">
        <v>338</v>
      </c>
      <c r="K426" s="68"/>
      <c r="L426" s="68"/>
      <c r="M426" s="147" t="s">
        <v>539</v>
      </c>
      <c r="N426" s="147" t="s">
        <v>540</v>
      </c>
      <c r="O426" s="147" t="s">
        <v>541</v>
      </c>
      <c r="P426" s="147" t="s">
        <v>542</v>
      </c>
      <c r="Q426" s="147" t="s">
        <v>543</v>
      </c>
      <c r="R426" s="147" t="s">
        <v>544</v>
      </c>
    </row>
    <row r="427" customFormat="false" ht="21.75" hidden="false" customHeight="true" outlineLevel="0" collapsed="false">
      <c r="A427" s="69" t="n">
        <f aca="false">IF('Calendario E'!A27="","",'Calendario E'!A27)</f>
        <v>118</v>
      </c>
      <c r="B427" s="42" t="str">
        <f aca="false">IF('Calendario E'!B27="","",'Calendario E'!B27)</f>
        <v>Zibetti Zuccherini</v>
      </c>
      <c r="C427" s="43" t="str">
        <f aca="false">IF('Calendario E'!C27="","",'Calendario E'!C27)</f>
        <v>E08</v>
      </c>
      <c r="D427" s="42" t="str">
        <f aca="false">IF('Calendario E'!D27="","",'Calendario E'!D27)</f>
        <v>Uistiti Ubiqui</v>
      </c>
      <c r="E427" s="43" t="str">
        <f aca="false">IF('Calendario E'!E27="","",'Calendario E'!E27)</f>
        <v>E06</v>
      </c>
      <c r="F427" s="44" t="n">
        <f aca="false">IF('Calendario E'!F27="","",'Calendario E'!F27)</f>
        <v>46334.4791666667</v>
      </c>
      <c r="G427" s="44"/>
      <c r="H427" s="44"/>
      <c r="I427" s="44"/>
      <c r="J427" s="137" t="n">
        <f aca="false">IF('Calendario E'!J27="","",'Calendario E'!J27)</f>
        <v>67</v>
      </c>
      <c r="K427" s="138" t="s">
        <v>339</v>
      </c>
      <c r="L427" s="137" t="n">
        <f aca="false">IF('Calendario E'!L27="","",'Calendario E'!L27)</f>
        <v>53</v>
      </c>
      <c r="M427" s="139"/>
      <c r="N427" s="139"/>
      <c r="O427" s="139"/>
      <c r="P427" s="139"/>
      <c r="Q427" s="139"/>
      <c r="R427" s="139"/>
    </row>
    <row r="428" customFormat="false" ht="15" hidden="false" customHeight="true" outlineLevel="0" collapsed="false">
      <c r="A428" s="69"/>
      <c r="B428" s="48" t="str">
        <f aca="false">IF('Calendario E'!B28="","",'Calendario E'!B28)</f>
        <v>PalaQuetzal, Via dello Sport 14, Quetzalopoli QL</v>
      </c>
      <c r="C428" s="48"/>
      <c r="D428" s="48"/>
      <c r="E428" s="48"/>
      <c r="F428" s="48"/>
      <c r="G428" s="48"/>
      <c r="H428" s="48"/>
      <c r="I428" s="43" t="str">
        <f aca="false">IF('Calendario E'!I28="","",'Calendario E'!I28)</f>
        <v>E02</v>
      </c>
      <c r="J428" s="137"/>
      <c r="K428" s="137"/>
      <c r="L428" s="137"/>
      <c r="M428" s="137"/>
      <c r="N428" s="137"/>
      <c r="O428" s="137"/>
      <c r="P428" s="137"/>
      <c r="Q428" s="137"/>
      <c r="R428" s="137"/>
    </row>
    <row r="429" customFormat="false" ht="13.5" hidden="false" customHeight="true" outlineLevel="0" collapsed="false">
      <c r="A429" s="68" t="s">
        <v>334</v>
      </c>
      <c r="B429" s="68" t="s">
        <v>317</v>
      </c>
      <c r="C429" s="68"/>
      <c r="D429" s="68" t="s">
        <v>324</v>
      </c>
      <c r="E429" s="68"/>
      <c r="F429" s="68" t="s">
        <v>335</v>
      </c>
      <c r="G429" s="68" t="s">
        <v>336</v>
      </c>
      <c r="H429" s="68" t="s">
        <v>337</v>
      </c>
      <c r="I429" s="68"/>
      <c r="J429" s="68" t="s">
        <v>338</v>
      </c>
      <c r="K429" s="68"/>
      <c r="L429" s="68"/>
      <c r="M429" s="147" t="s">
        <v>539</v>
      </c>
      <c r="N429" s="147" t="s">
        <v>540</v>
      </c>
      <c r="O429" s="147" t="s">
        <v>541</v>
      </c>
      <c r="P429" s="147" t="s">
        <v>542</v>
      </c>
      <c r="Q429" s="147" t="s">
        <v>543</v>
      </c>
      <c r="R429" s="147" t="s">
        <v>544</v>
      </c>
    </row>
    <row r="430" customFormat="false" ht="21.75" hidden="false" customHeight="true" outlineLevel="0" collapsed="false">
      <c r="A430" s="69" t="n">
        <f aca="false">IF('Calendario E'!A30="","",'Calendario E'!A30)</f>
        <v>119</v>
      </c>
      <c r="B430" s="42" t="str">
        <f aca="false">IF('Calendario E'!B30="","",'Calendario E'!B30)</f>
        <v>Tassi Turbolenti</v>
      </c>
      <c r="C430" s="43" t="str">
        <f aca="false">IF('Calendario E'!C30="","",'Calendario E'!C30)</f>
        <v>E05</v>
      </c>
      <c r="D430" s="42" t="str">
        <f aca="false">IF('Calendario E'!D30="","",'Calendario E'!D30)</f>
        <v>Quetzal Quotidiani</v>
      </c>
      <c r="E430" s="43" t="str">
        <f aca="false">IF('Calendario E'!E30="","",'Calendario E'!E30)</f>
        <v>E02</v>
      </c>
      <c r="F430" s="44" t="n">
        <f aca="false">IF('Calendario E'!F30="","",'Calendario E'!F30)</f>
        <v>46334.625</v>
      </c>
      <c r="G430" s="44"/>
      <c r="H430" s="44"/>
      <c r="I430" s="44"/>
      <c r="J430" s="137" t="n">
        <f aca="false">IF('Calendario E'!J30="","",'Calendario E'!J30)</f>
        <v>68</v>
      </c>
      <c r="K430" s="138" t="s">
        <v>339</v>
      </c>
      <c r="L430" s="137" t="n">
        <f aca="false">IF('Calendario E'!L30="","",'Calendario E'!L30)</f>
        <v>60</v>
      </c>
      <c r="M430" s="139"/>
      <c r="N430" s="139"/>
      <c r="O430" s="139"/>
      <c r="P430" s="139"/>
      <c r="Q430" s="139"/>
      <c r="R430" s="139"/>
    </row>
    <row r="431" customFormat="false" ht="15" hidden="false" customHeight="true" outlineLevel="0" collapsed="false">
      <c r="A431" s="69"/>
      <c r="B431" s="48" t="str">
        <f aca="false">IF('Calendario E'!B31="","",'Calendario E'!B31)</f>
        <v>PalaQuetzal, Via dello Sport 14, Quetzalopoli QL</v>
      </c>
      <c r="C431" s="48"/>
      <c r="D431" s="48"/>
      <c r="E431" s="48"/>
      <c r="F431" s="48"/>
      <c r="G431" s="48"/>
      <c r="H431" s="48"/>
      <c r="I431" s="43" t="str">
        <f aca="false">IF('Calendario E'!I31="","",'Calendario E'!I31)</f>
        <v>E02</v>
      </c>
      <c r="J431" s="137"/>
      <c r="K431" s="137"/>
      <c r="L431" s="137"/>
      <c r="M431" s="137"/>
      <c r="N431" s="137"/>
      <c r="O431" s="137"/>
      <c r="P431" s="137"/>
      <c r="Q431" s="137"/>
      <c r="R431" s="137"/>
    </row>
    <row r="432" customFormat="false" ht="13.5" hidden="false" customHeight="true" outlineLevel="0" collapsed="false">
      <c r="A432" s="68" t="s">
        <v>334</v>
      </c>
      <c r="B432" s="68" t="s">
        <v>317</v>
      </c>
      <c r="C432" s="68"/>
      <c r="D432" s="68" t="s">
        <v>324</v>
      </c>
      <c r="E432" s="68"/>
      <c r="F432" s="68" t="s">
        <v>335</v>
      </c>
      <c r="G432" s="68" t="s">
        <v>336</v>
      </c>
      <c r="H432" s="68" t="s">
        <v>337</v>
      </c>
      <c r="I432" s="68"/>
      <c r="J432" s="68" t="s">
        <v>338</v>
      </c>
      <c r="K432" s="68"/>
      <c r="L432" s="68"/>
      <c r="M432" s="147" t="s">
        <v>539</v>
      </c>
      <c r="N432" s="147" t="s">
        <v>540</v>
      </c>
      <c r="O432" s="147" t="s">
        <v>541</v>
      </c>
      <c r="P432" s="147" t="s">
        <v>542</v>
      </c>
      <c r="Q432" s="147" t="s">
        <v>543</v>
      </c>
      <c r="R432" s="147" t="s">
        <v>544</v>
      </c>
    </row>
    <row r="433" customFormat="false" ht="21.75" hidden="false" customHeight="true" outlineLevel="0" collapsed="false">
      <c r="A433" s="69" t="n">
        <f aca="false">IF('Calendario E'!A33="","",'Calendario E'!A33)</f>
        <v>120</v>
      </c>
      <c r="B433" s="42" t="str">
        <f aca="false">IF('Calendario E'!B33="","",'Calendario E'!B33)</f>
        <v>Ricci Rissosi</v>
      </c>
      <c r="C433" s="43" t="str">
        <f aca="false">IF('Calendario E'!C33="","",'Calendario E'!C33)</f>
        <v>E03</v>
      </c>
      <c r="D433" s="42" t="str">
        <f aca="false">IF('Calendario E'!D33="","",'Calendario E'!D33)</f>
        <v>Scoiattoli Scattanti</v>
      </c>
      <c r="E433" s="43" t="str">
        <f aca="false">IF('Calendario E'!E33="","",'Calendario E'!E33)</f>
        <v>E04</v>
      </c>
      <c r="F433" s="44" t="n">
        <f aca="false">IF('Calendario E'!F33="","",'Calendario E'!F33)</f>
        <v>46334.7083333333</v>
      </c>
      <c r="G433" s="44"/>
      <c r="H433" s="44"/>
      <c r="I433" s="44"/>
      <c r="J433" s="137" t="n">
        <f aca="false">IF('Calendario E'!J33="","",'Calendario E'!J33)</f>
        <v>62</v>
      </c>
      <c r="K433" s="138" t="s">
        <v>339</v>
      </c>
      <c r="L433" s="137" t="n">
        <f aca="false">IF('Calendario E'!L33="","",'Calendario E'!L33)</f>
        <v>78</v>
      </c>
      <c r="M433" s="139"/>
      <c r="N433" s="139"/>
      <c r="O433" s="139"/>
      <c r="P433" s="139"/>
      <c r="Q433" s="139"/>
      <c r="R433" s="139"/>
    </row>
    <row r="434" customFormat="false" ht="15" hidden="false" customHeight="true" outlineLevel="0" collapsed="false">
      <c r="A434" s="69"/>
      <c r="B434" s="48" t="str">
        <f aca="false">IF('Calendario E'!B34="","",'Calendario E'!B34)</f>
        <v>PalaQuetzal, Via dello Sport 14, Quetzalopoli QL</v>
      </c>
      <c r="C434" s="48"/>
      <c r="D434" s="48"/>
      <c r="E434" s="48"/>
      <c r="F434" s="48"/>
      <c r="G434" s="48"/>
      <c r="H434" s="48"/>
      <c r="I434" s="43" t="str">
        <f aca="false">IF('Calendario E'!I34="","",'Calendario E'!I34)</f>
        <v>E02</v>
      </c>
      <c r="J434" s="137"/>
      <c r="K434" s="137"/>
      <c r="L434" s="137"/>
      <c r="M434" s="137"/>
      <c r="N434" s="137"/>
      <c r="O434" s="137"/>
      <c r="P434" s="137"/>
      <c r="Q434" s="137"/>
      <c r="R434" s="137"/>
    </row>
    <row r="436" customFormat="false" ht="19.5" hidden="false" customHeight="true" outlineLevel="0" collapsed="false">
      <c r="A436" s="66" t="str">
        <f aca="false">IF('Calendario E'!A36="","",'Calendario E'!A36)</f>
        <v>3E</v>
      </c>
      <c r="B436" s="67" t="str">
        <f aca="false">IF('Calendario E'!B36="","",'Calendario E'!B36)</f>
        <v>GIORNATA III - GIRONE E</v>
      </c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146" t="s">
        <v>537</v>
      </c>
      <c r="N436" s="146"/>
      <c r="O436" s="146"/>
      <c r="P436" s="146" t="s">
        <v>538</v>
      </c>
      <c r="Q436" s="146"/>
      <c r="R436" s="146"/>
    </row>
    <row r="437" customFormat="false" ht="13.5" hidden="false" customHeight="true" outlineLevel="0" collapsed="false">
      <c r="A437" s="68" t="s">
        <v>334</v>
      </c>
      <c r="B437" s="68" t="s">
        <v>317</v>
      </c>
      <c r="C437" s="68"/>
      <c r="D437" s="68" t="s">
        <v>324</v>
      </c>
      <c r="E437" s="68"/>
      <c r="F437" s="68" t="s">
        <v>335</v>
      </c>
      <c r="G437" s="68" t="s">
        <v>336</v>
      </c>
      <c r="H437" s="68" t="s">
        <v>337</v>
      </c>
      <c r="I437" s="68"/>
      <c r="J437" s="68" t="s">
        <v>338</v>
      </c>
      <c r="K437" s="68"/>
      <c r="L437" s="68"/>
      <c r="M437" s="147" t="s">
        <v>539</v>
      </c>
      <c r="N437" s="147" t="s">
        <v>540</v>
      </c>
      <c r="O437" s="147" t="s">
        <v>541</v>
      </c>
      <c r="P437" s="147" t="s">
        <v>542</v>
      </c>
      <c r="Q437" s="147" t="s">
        <v>543</v>
      </c>
      <c r="R437" s="147" t="s">
        <v>544</v>
      </c>
    </row>
    <row r="438" customFormat="false" ht="21.75" hidden="false" customHeight="true" outlineLevel="0" collapsed="false">
      <c r="A438" s="69" t="n">
        <f aca="false">IF('Calendario E'!A38="","",'Calendario E'!A38)</f>
        <v>121</v>
      </c>
      <c r="B438" s="42" t="str">
        <f aca="false">IF('Calendario E'!B38="","",'Calendario E'!B38)</f>
        <v>Pipistrelli Pensierosi</v>
      </c>
      <c r="C438" s="43" t="str">
        <f aca="false">IF('Calendario E'!C38="","",'Calendario E'!C38)</f>
        <v>E01</v>
      </c>
      <c r="D438" s="42" t="str">
        <f aca="false">IF('Calendario E'!D38="","",'Calendario E'!D38)</f>
        <v>Uistiti Ubiqui</v>
      </c>
      <c r="E438" s="43" t="str">
        <f aca="false">IF('Calendario E'!E38="","",'Calendario E'!E38)</f>
        <v>E06</v>
      </c>
      <c r="F438" s="44" t="n">
        <f aca="false">IF('Calendario E'!F38="","",'Calendario E'!F38)</f>
        <v>46355.3958333333</v>
      </c>
      <c r="G438" s="44"/>
      <c r="H438" s="44"/>
      <c r="I438" s="44"/>
      <c r="J438" s="137" t="n">
        <f aca="false">IF('Calendario E'!J38="","",'Calendario E'!J38)</f>
        <v>71</v>
      </c>
      <c r="K438" s="138" t="s">
        <v>339</v>
      </c>
      <c r="L438" s="137" t="n">
        <f aca="false">IF('Calendario E'!L38="","",'Calendario E'!L38)</f>
        <v>52</v>
      </c>
      <c r="M438" s="139"/>
      <c r="N438" s="139"/>
      <c r="O438" s="139"/>
      <c r="P438" s="139"/>
      <c r="Q438" s="139"/>
      <c r="R438" s="139"/>
    </row>
    <row r="439" customFormat="false" ht="15" hidden="false" customHeight="true" outlineLevel="0" collapsed="false">
      <c r="A439" s="69"/>
      <c r="B439" s="48" t="str">
        <f aca="false">IF('Calendario E'!B39="","",'Calendario E'!B39)</f>
        <v>PalaRicci, Via dello Sport 15, Ricciopoli RI</v>
      </c>
      <c r="C439" s="48"/>
      <c r="D439" s="48"/>
      <c r="E439" s="48"/>
      <c r="F439" s="48"/>
      <c r="G439" s="48"/>
      <c r="H439" s="48"/>
      <c r="I439" s="43" t="str">
        <f aca="false">IF('Calendario E'!I39="","",'Calendario E'!I39)</f>
        <v>E03</v>
      </c>
      <c r="J439" s="137"/>
      <c r="K439" s="137"/>
      <c r="L439" s="137"/>
      <c r="M439" s="137"/>
      <c r="N439" s="137"/>
      <c r="O439" s="137"/>
      <c r="P439" s="137"/>
      <c r="Q439" s="137"/>
      <c r="R439" s="137"/>
    </row>
    <row r="440" customFormat="false" ht="13.5" hidden="false" customHeight="true" outlineLevel="0" collapsed="false">
      <c r="A440" s="68" t="s">
        <v>334</v>
      </c>
      <c r="B440" s="68" t="s">
        <v>317</v>
      </c>
      <c r="C440" s="68"/>
      <c r="D440" s="68" t="s">
        <v>324</v>
      </c>
      <c r="E440" s="68"/>
      <c r="F440" s="68" t="s">
        <v>335</v>
      </c>
      <c r="G440" s="68" t="s">
        <v>336</v>
      </c>
      <c r="H440" s="68" t="s">
        <v>337</v>
      </c>
      <c r="I440" s="68"/>
      <c r="J440" s="68" t="s">
        <v>338</v>
      </c>
      <c r="K440" s="68"/>
      <c r="L440" s="68"/>
      <c r="M440" s="147" t="s">
        <v>539</v>
      </c>
      <c r="N440" s="147" t="s">
        <v>540</v>
      </c>
      <c r="O440" s="147" t="s">
        <v>541</v>
      </c>
      <c r="P440" s="147" t="s">
        <v>542</v>
      </c>
      <c r="Q440" s="147" t="s">
        <v>543</v>
      </c>
      <c r="R440" s="147" t="s">
        <v>544</v>
      </c>
    </row>
    <row r="441" customFormat="false" ht="21.75" hidden="false" customHeight="true" outlineLevel="0" collapsed="false">
      <c r="A441" s="69" t="n">
        <f aca="false">IF('Calendario E'!A41="","",'Calendario E'!A41)</f>
        <v>122</v>
      </c>
      <c r="B441" s="42" t="str">
        <f aca="false">IF('Calendario E'!B41="","",'Calendario E'!B41)</f>
        <v>Tassi Turbolenti</v>
      </c>
      <c r="C441" s="43" t="str">
        <f aca="false">IF('Calendario E'!C41="","",'Calendario E'!C41)</f>
        <v>E05</v>
      </c>
      <c r="D441" s="42" t="str">
        <f aca="false">IF('Calendario E'!D41="","",'Calendario E'!D41)</f>
        <v>Volpi Vorticose</v>
      </c>
      <c r="E441" s="43" t="str">
        <f aca="false">IF('Calendario E'!E41="","",'Calendario E'!E41)</f>
        <v>E07</v>
      </c>
      <c r="F441" s="44" t="n">
        <f aca="false">IF('Calendario E'!F41="","",'Calendario E'!F41)</f>
        <v>46355.4791666667</v>
      </c>
      <c r="G441" s="44"/>
      <c r="H441" s="44"/>
      <c r="I441" s="44"/>
      <c r="J441" s="137" t="n">
        <f aca="false">IF('Calendario E'!J41="","",'Calendario E'!J41)</f>
        <v>71</v>
      </c>
      <c r="K441" s="138" t="s">
        <v>339</v>
      </c>
      <c r="L441" s="137" t="n">
        <f aca="false">IF('Calendario E'!L41="","",'Calendario E'!L41)</f>
        <v>56</v>
      </c>
      <c r="M441" s="139"/>
      <c r="N441" s="139"/>
      <c r="O441" s="139"/>
      <c r="P441" s="139"/>
      <c r="Q441" s="139"/>
      <c r="R441" s="139"/>
    </row>
    <row r="442" customFormat="false" ht="15" hidden="false" customHeight="true" outlineLevel="0" collapsed="false">
      <c r="A442" s="69"/>
      <c r="B442" s="48" t="str">
        <f aca="false">IF('Calendario E'!B42="","",'Calendario E'!B42)</f>
        <v>PalaRicci, Via dello Sport 15, Ricciopoli RI</v>
      </c>
      <c r="C442" s="48"/>
      <c r="D442" s="48"/>
      <c r="E442" s="48"/>
      <c r="F442" s="48"/>
      <c r="G442" s="48"/>
      <c r="H442" s="48"/>
      <c r="I442" s="43" t="str">
        <f aca="false">IF('Calendario E'!I42="","",'Calendario E'!I42)</f>
        <v>E03</v>
      </c>
      <c r="J442" s="137"/>
      <c r="K442" s="137"/>
      <c r="L442" s="137"/>
      <c r="M442" s="137"/>
      <c r="N442" s="137"/>
      <c r="O442" s="137"/>
      <c r="P442" s="137"/>
      <c r="Q442" s="137"/>
      <c r="R442" s="137"/>
    </row>
    <row r="443" customFormat="false" ht="13.5" hidden="false" customHeight="true" outlineLevel="0" collapsed="false">
      <c r="A443" s="68" t="s">
        <v>334</v>
      </c>
      <c r="B443" s="68" t="s">
        <v>317</v>
      </c>
      <c r="C443" s="68"/>
      <c r="D443" s="68" t="s">
        <v>324</v>
      </c>
      <c r="E443" s="68"/>
      <c r="F443" s="68" t="s">
        <v>335</v>
      </c>
      <c r="G443" s="68" t="s">
        <v>336</v>
      </c>
      <c r="H443" s="68" t="s">
        <v>337</v>
      </c>
      <c r="I443" s="68"/>
      <c r="J443" s="68" t="s">
        <v>338</v>
      </c>
      <c r="K443" s="68"/>
      <c r="L443" s="68"/>
      <c r="M443" s="147" t="s">
        <v>539</v>
      </c>
      <c r="N443" s="147" t="s">
        <v>540</v>
      </c>
      <c r="O443" s="147" t="s">
        <v>541</v>
      </c>
      <c r="P443" s="147" t="s">
        <v>542</v>
      </c>
      <c r="Q443" s="147" t="s">
        <v>543</v>
      </c>
      <c r="R443" s="147" t="s">
        <v>544</v>
      </c>
    </row>
    <row r="444" customFormat="false" ht="21.75" hidden="false" customHeight="true" outlineLevel="0" collapsed="false">
      <c r="A444" s="69" t="n">
        <f aca="false">IF('Calendario E'!A44="","",'Calendario E'!A44)</f>
        <v>123</v>
      </c>
      <c r="B444" s="42" t="str">
        <f aca="false">IF('Calendario E'!B44="","",'Calendario E'!B44)</f>
        <v>Zibetti Zuccherini</v>
      </c>
      <c r="C444" s="43" t="str">
        <f aca="false">IF('Calendario E'!C44="","",'Calendario E'!C44)</f>
        <v>E08</v>
      </c>
      <c r="D444" s="42" t="str">
        <f aca="false">IF('Calendario E'!D44="","",'Calendario E'!D44)</f>
        <v>Scoiattoli Scattanti</v>
      </c>
      <c r="E444" s="43" t="str">
        <f aca="false">IF('Calendario E'!E44="","",'Calendario E'!E44)</f>
        <v>E04</v>
      </c>
      <c r="F444" s="44" t="n">
        <f aca="false">IF('Calendario E'!F44="","",'Calendario E'!F44)</f>
        <v>46355.625</v>
      </c>
      <c r="G444" s="44"/>
      <c r="H444" s="44"/>
      <c r="I444" s="44"/>
      <c r="J444" s="137" t="n">
        <f aca="false">IF('Calendario E'!J44="","",'Calendario E'!J44)</f>
        <v>69</v>
      </c>
      <c r="K444" s="138" t="s">
        <v>339</v>
      </c>
      <c r="L444" s="137" t="n">
        <f aca="false">IF('Calendario E'!L44="","",'Calendario E'!L44)</f>
        <v>75</v>
      </c>
      <c r="M444" s="139"/>
      <c r="N444" s="139"/>
      <c r="O444" s="139"/>
      <c r="P444" s="139"/>
      <c r="Q444" s="139"/>
      <c r="R444" s="139"/>
    </row>
    <row r="445" customFormat="false" ht="15" hidden="false" customHeight="true" outlineLevel="0" collapsed="false">
      <c r="A445" s="69"/>
      <c r="B445" s="48" t="str">
        <f aca="false">IF('Calendario E'!B45="","",'Calendario E'!B45)</f>
        <v>PalaRicci, Via dello Sport 15, Ricciopoli RI</v>
      </c>
      <c r="C445" s="48"/>
      <c r="D445" s="48"/>
      <c r="E445" s="48"/>
      <c r="F445" s="48"/>
      <c r="G445" s="48"/>
      <c r="H445" s="48"/>
      <c r="I445" s="43" t="str">
        <f aca="false">IF('Calendario E'!I45="","",'Calendario E'!I45)</f>
        <v>E03</v>
      </c>
      <c r="J445" s="137"/>
      <c r="K445" s="137"/>
      <c r="L445" s="137"/>
      <c r="M445" s="137"/>
      <c r="N445" s="137"/>
      <c r="O445" s="137"/>
      <c r="P445" s="137"/>
      <c r="Q445" s="137"/>
      <c r="R445" s="137"/>
    </row>
    <row r="446" customFormat="false" ht="13.5" hidden="false" customHeight="true" outlineLevel="0" collapsed="false">
      <c r="A446" s="68" t="s">
        <v>334</v>
      </c>
      <c r="B446" s="68" t="s">
        <v>317</v>
      </c>
      <c r="C446" s="68"/>
      <c r="D446" s="68" t="s">
        <v>324</v>
      </c>
      <c r="E446" s="68"/>
      <c r="F446" s="68" t="s">
        <v>335</v>
      </c>
      <c r="G446" s="68" t="s">
        <v>336</v>
      </c>
      <c r="H446" s="68" t="s">
        <v>337</v>
      </c>
      <c r="I446" s="68"/>
      <c r="J446" s="68" t="s">
        <v>338</v>
      </c>
      <c r="K446" s="68"/>
      <c r="L446" s="68"/>
      <c r="M446" s="147" t="s">
        <v>539</v>
      </c>
      <c r="N446" s="147" t="s">
        <v>540</v>
      </c>
      <c r="O446" s="147" t="s">
        <v>541</v>
      </c>
      <c r="P446" s="147" t="s">
        <v>542</v>
      </c>
      <c r="Q446" s="147" t="s">
        <v>543</v>
      </c>
      <c r="R446" s="147" t="s">
        <v>544</v>
      </c>
    </row>
    <row r="447" customFormat="false" ht="21.75" hidden="false" customHeight="true" outlineLevel="0" collapsed="false">
      <c r="A447" s="69" t="n">
        <f aca="false">IF('Calendario E'!A47="","",'Calendario E'!A47)</f>
        <v>124</v>
      </c>
      <c r="B447" s="42" t="str">
        <f aca="false">IF('Calendario E'!B47="","",'Calendario E'!B47)</f>
        <v>Ricci Rissosi</v>
      </c>
      <c r="C447" s="43" t="str">
        <f aca="false">IF('Calendario E'!C47="","",'Calendario E'!C47)</f>
        <v>E03</v>
      </c>
      <c r="D447" s="42" t="str">
        <f aca="false">IF('Calendario E'!D47="","",'Calendario E'!D47)</f>
        <v>Quetzal Quotidiani</v>
      </c>
      <c r="E447" s="43" t="str">
        <f aca="false">IF('Calendario E'!E47="","",'Calendario E'!E47)</f>
        <v>E02</v>
      </c>
      <c r="F447" s="44" t="n">
        <f aca="false">IF('Calendario E'!F47="","",'Calendario E'!F47)</f>
        <v>46355.7083333333</v>
      </c>
      <c r="G447" s="44"/>
      <c r="H447" s="44"/>
      <c r="I447" s="44"/>
      <c r="J447" s="137" t="n">
        <f aca="false">IF('Calendario E'!J47="","",'Calendario E'!J47)</f>
        <v>59</v>
      </c>
      <c r="K447" s="138" t="s">
        <v>339</v>
      </c>
      <c r="L447" s="137" t="n">
        <f aca="false">IF('Calendario E'!L47="","",'Calendario E'!L47)</f>
        <v>81</v>
      </c>
      <c r="M447" s="139"/>
      <c r="N447" s="139"/>
      <c r="O447" s="139"/>
      <c r="P447" s="139"/>
      <c r="Q447" s="139"/>
      <c r="R447" s="139"/>
    </row>
    <row r="448" customFormat="false" ht="15" hidden="false" customHeight="true" outlineLevel="0" collapsed="false">
      <c r="A448" s="69"/>
      <c r="B448" s="48" t="str">
        <f aca="false">IF('Calendario E'!B48="","",'Calendario E'!B48)</f>
        <v>PalaRicci, Via dello Sport 15, Ricciopoli RI</v>
      </c>
      <c r="C448" s="48"/>
      <c r="D448" s="48"/>
      <c r="E448" s="48"/>
      <c r="F448" s="48"/>
      <c r="G448" s="48"/>
      <c r="H448" s="48"/>
      <c r="I448" s="43" t="str">
        <f aca="false">IF('Calendario E'!I48="","",'Calendario E'!I48)</f>
        <v>E03</v>
      </c>
      <c r="J448" s="137"/>
      <c r="K448" s="137"/>
      <c r="L448" s="137"/>
      <c r="M448" s="137"/>
      <c r="N448" s="137"/>
      <c r="O448" s="137"/>
      <c r="P448" s="137"/>
      <c r="Q448" s="137"/>
      <c r="R448" s="137"/>
    </row>
    <row r="450" customFormat="false" ht="19.5" hidden="false" customHeight="true" outlineLevel="0" collapsed="false">
      <c r="A450" s="66" t="str">
        <f aca="false">IF('Calendario E'!A50="","",'Calendario E'!A50)</f>
        <v>4E</v>
      </c>
      <c r="B450" s="67" t="str">
        <f aca="false">IF('Calendario E'!B50="","",'Calendario E'!B50)</f>
        <v>GIORNATA IV - GIRONE E</v>
      </c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146" t="s">
        <v>537</v>
      </c>
      <c r="N450" s="146"/>
      <c r="O450" s="146"/>
      <c r="P450" s="146" t="s">
        <v>538</v>
      </c>
      <c r="Q450" s="146"/>
      <c r="R450" s="146"/>
    </row>
    <row r="451" customFormat="false" ht="13.5" hidden="false" customHeight="true" outlineLevel="0" collapsed="false">
      <c r="A451" s="68" t="s">
        <v>334</v>
      </c>
      <c r="B451" s="68" t="s">
        <v>317</v>
      </c>
      <c r="C451" s="68"/>
      <c r="D451" s="68" t="s">
        <v>324</v>
      </c>
      <c r="E451" s="68"/>
      <c r="F451" s="68" t="s">
        <v>335</v>
      </c>
      <c r="G451" s="68" t="s">
        <v>336</v>
      </c>
      <c r="H451" s="68" t="s">
        <v>337</v>
      </c>
      <c r="I451" s="68"/>
      <c r="J451" s="68" t="s">
        <v>338</v>
      </c>
      <c r="K451" s="68"/>
      <c r="L451" s="68"/>
      <c r="M451" s="147" t="s">
        <v>539</v>
      </c>
      <c r="N451" s="147" t="s">
        <v>540</v>
      </c>
      <c r="O451" s="147" t="s">
        <v>541</v>
      </c>
      <c r="P451" s="147" t="s">
        <v>542</v>
      </c>
      <c r="Q451" s="147" t="s">
        <v>543</v>
      </c>
      <c r="R451" s="147" t="s">
        <v>544</v>
      </c>
    </row>
    <row r="452" customFormat="false" ht="21.75" hidden="false" customHeight="true" outlineLevel="0" collapsed="false">
      <c r="A452" s="69" t="n">
        <f aca="false">IF('Calendario E'!A52="","",'Calendario E'!A52)</f>
        <v>125</v>
      </c>
      <c r="B452" s="42" t="str">
        <f aca="false">IF('Calendario E'!B52="","",'Calendario E'!B52)</f>
        <v>Tassi Turbolenti</v>
      </c>
      <c r="C452" s="43" t="str">
        <f aca="false">IF('Calendario E'!C52="","",'Calendario E'!C52)</f>
        <v>E05</v>
      </c>
      <c r="D452" s="42" t="str">
        <f aca="false">IF('Calendario E'!D52="","",'Calendario E'!D52)</f>
        <v>Pipistrelli Pensierosi</v>
      </c>
      <c r="E452" s="43" t="str">
        <f aca="false">IF('Calendario E'!E52="","",'Calendario E'!E52)</f>
        <v>E01</v>
      </c>
      <c r="F452" s="44" t="n">
        <f aca="false">IF('Calendario E'!F52="","",'Calendario E'!F52)</f>
        <v>46369.3958333333</v>
      </c>
      <c r="G452" s="44"/>
      <c r="H452" s="44"/>
      <c r="I452" s="44"/>
      <c r="J452" s="137" t="n">
        <f aca="false">IF('Calendario E'!J52="","",'Calendario E'!J52)</f>
        <v>62</v>
      </c>
      <c r="K452" s="138" t="s">
        <v>339</v>
      </c>
      <c r="L452" s="137" t="n">
        <f aca="false">IF('Calendario E'!L52="","",'Calendario E'!L52)</f>
        <v>54</v>
      </c>
      <c r="M452" s="139"/>
      <c r="N452" s="139"/>
      <c r="O452" s="139"/>
      <c r="P452" s="139"/>
      <c r="Q452" s="139"/>
      <c r="R452" s="139"/>
    </row>
    <row r="453" customFormat="false" ht="15" hidden="false" customHeight="true" outlineLevel="0" collapsed="false">
      <c r="A453" s="69"/>
      <c r="B453" s="48" t="str">
        <f aca="false">IF('Calendario E'!B53="","",'Calendario E'!B53)</f>
        <v>PalaScoiattoli, Via dello Sport 16, Scoiattoliopoli SI</v>
      </c>
      <c r="C453" s="48"/>
      <c r="D453" s="48"/>
      <c r="E453" s="48"/>
      <c r="F453" s="48"/>
      <c r="G453" s="48"/>
      <c r="H453" s="48"/>
      <c r="I453" s="43" t="str">
        <f aca="false">IF('Calendario E'!I53="","",'Calendario E'!I53)</f>
        <v>E04</v>
      </c>
      <c r="J453" s="137"/>
      <c r="K453" s="137"/>
      <c r="L453" s="137"/>
      <c r="M453" s="137"/>
      <c r="N453" s="137"/>
      <c r="O453" s="137"/>
      <c r="P453" s="137"/>
      <c r="Q453" s="137"/>
      <c r="R453" s="137"/>
    </row>
    <row r="454" customFormat="false" ht="13.5" hidden="false" customHeight="true" outlineLevel="0" collapsed="false">
      <c r="A454" s="68" t="s">
        <v>334</v>
      </c>
      <c r="B454" s="68" t="s">
        <v>317</v>
      </c>
      <c r="C454" s="68"/>
      <c r="D454" s="68" t="s">
        <v>324</v>
      </c>
      <c r="E454" s="68"/>
      <c r="F454" s="68" t="s">
        <v>335</v>
      </c>
      <c r="G454" s="68" t="s">
        <v>336</v>
      </c>
      <c r="H454" s="68" t="s">
        <v>337</v>
      </c>
      <c r="I454" s="68"/>
      <c r="J454" s="68" t="s">
        <v>338</v>
      </c>
      <c r="K454" s="68"/>
      <c r="L454" s="68"/>
      <c r="M454" s="147" t="s">
        <v>539</v>
      </c>
      <c r="N454" s="147" t="s">
        <v>540</v>
      </c>
      <c r="O454" s="147" t="s">
        <v>541</v>
      </c>
      <c r="P454" s="147" t="s">
        <v>542</v>
      </c>
      <c r="Q454" s="147" t="s">
        <v>543</v>
      </c>
      <c r="R454" s="147" t="s">
        <v>544</v>
      </c>
    </row>
    <row r="455" customFormat="false" ht="21.75" hidden="false" customHeight="true" outlineLevel="0" collapsed="false">
      <c r="A455" s="69" t="n">
        <f aca="false">IF('Calendario E'!A55="","",'Calendario E'!A55)</f>
        <v>126</v>
      </c>
      <c r="B455" s="42" t="str">
        <f aca="false">IF('Calendario E'!B55="","",'Calendario E'!B55)</f>
        <v>Uistiti Ubiqui</v>
      </c>
      <c r="C455" s="43" t="str">
        <f aca="false">IF('Calendario E'!C55="","",'Calendario E'!C55)</f>
        <v>E06</v>
      </c>
      <c r="D455" s="42" t="str">
        <f aca="false">IF('Calendario E'!D55="","",'Calendario E'!D55)</f>
        <v>Scoiattoli Scattanti</v>
      </c>
      <c r="E455" s="43" t="str">
        <f aca="false">IF('Calendario E'!E55="","",'Calendario E'!E55)</f>
        <v>E04</v>
      </c>
      <c r="F455" s="44" t="n">
        <f aca="false">IF('Calendario E'!F55="","",'Calendario E'!F55)</f>
        <v>46369.4791666667</v>
      </c>
      <c r="G455" s="44"/>
      <c r="H455" s="44"/>
      <c r="I455" s="44"/>
      <c r="J455" s="137" t="n">
        <f aca="false">IF('Calendario E'!J55="","",'Calendario E'!J55)</f>
        <v>45</v>
      </c>
      <c r="K455" s="138" t="s">
        <v>339</v>
      </c>
      <c r="L455" s="137" t="n">
        <f aca="false">IF('Calendario E'!L55="","",'Calendario E'!L55)</f>
        <v>66</v>
      </c>
      <c r="M455" s="139"/>
      <c r="N455" s="139"/>
      <c r="O455" s="139"/>
      <c r="P455" s="139"/>
      <c r="Q455" s="139"/>
      <c r="R455" s="139"/>
    </row>
    <row r="456" customFormat="false" ht="15" hidden="false" customHeight="true" outlineLevel="0" collapsed="false">
      <c r="A456" s="69"/>
      <c r="B456" s="48" t="str">
        <f aca="false">IF('Calendario E'!B56="","",'Calendario E'!B56)</f>
        <v>PalaScoiattoli, Via dello Sport 16, Scoiattoliopoli SI</v>
      </c>
      <c r="C456" s="48"/>
      <c r="D456" s="48"/>
      <c r="E456" s="48"/>
      <c r="F456" s="48"/>
      <c r="G456" s="48"/>
      <c r="H456" s="48"/>
      <c r="I456" s="43" t="str">
        <f aca="false">IF('Calendario E'!I56="","",'Calendario E'!I56)</f>
        <v>E04</v>
      </c>
      <c r="J456" s="137"/>
      <c r="K456" s="137"/>
      <c r="L456" s="137"/>
      <c r="M456" s="137"/>
      <c r="N456" s="137"/>
      <c r="O456" s="137"/>
      <c r="P456" s="137"/>
      <c r="Q456" s="137"/>
      <c r="R456" s="137"/>
    </row>
    <row r="457" customFormat="false" ht="13.5" hidden="false" customHeight="true" outlineLevel="0" collapsed="false">
      <c r="A457" s="68" t="s">
        <v>334</v>
      </c>
      <c r="B457" s="68" t="s">
        <v>317</v>
      </c>
      <c r="C457" s="68"/>
      <c r="D457" s="68" t="s">
        <v>324</v>
      </c>
      <c r="E457" s="68"/>
      <c r="F457" s="68" t="s">
        <v>335</v>
      </c>
      <c r="G457" s="68" t="s">
        <v>336</v>
      </c>
      <c r="H457" s="68" t="s">
        <v>337</v>
      </c>
      <c r="I457" s="68"/>
      <c r="J457" s="68" t="s">
        <v>338</v>
      </c>
      <c r="K457" s="68"/>
      <c r="L457" s="68"/>
      <c r="M457" s="147" t="s">
        <v>539</v>
      </c>
      <c r="N457" s="147" t="s">
        <v>540</v>
      </c>
      <c r="O457" s="147" t="s">
        <v>541</v>
      </c>
      <c r="P457" s="147" t="s">
        <v>542</v>
      </c>
      <c r="Q457" s="147" t="s">
        <v>543</v>
      </c>
      <c r="R457" s="147" t="s">
        <v>544</v>
      </c>
    </row>
    <row r="458" customFormat="false" ht="21.75" hidden="false" customHeight="true" outlineLevel="0" collapsed="false">
      <c r="A458" s="69" t="n">
        <f aca="false">IF('Calendario E'!A58="","",'Calendario E'!A58)</f>
        <v>127</v>
      </c>
      <c r="B458" s="42" t="str">
        <f aca="false">IF('Calendario E'!B58="","",'Calendario E'!B58)</f>
        <v>Ricci Rissosi</v>
      </c>
      <c r="C458" s="43" t="str">
        <f aca="false">IF('Calendario E'!C58="","",'Calendario E'!C58)</f>
        <v>E03</v>
      </c>
      <c r="D458" s="42" t="str">
        <f aca="false">IF('Calendario E'!D58="","",'Calendario E'!D58)</f>
        <v>Volpi Vorticose</v>
      </c>
      <c r="E458" s="43" t="str">
        <f aca="false">IF('Calendario E'!E58="","",'Calendario E'!E58)</f>
        <v>E07</v>
      </c>
      <c r="F458" s="44" t="n">
        <f aca="false">IF('Calendario E'!F58="","",'Calendario E'!F58)</f>
        <v>46369.625</v>
      </c>
      <c r="G458" s="44"/>
      <c r="H458" s="44"/>
      <c r="I458" s="44"/>
      <c r="J458" s="137" t="n">
        <f aca="false">IF('Calendario E'!J58="","",'Calendario E'!J58)</f>
        <v>34</v>
      </c>
      <c r="K458" s="138" t="s">
        <v>339</v>
      </c>
      <c r="L458" s="137" t="n">
        <f aca="false">IF('Calendario E'!L58="","",'Calendario E'!L58)</f>
        <v>69</v>
      </c>
      <c r="M458" s="139"/>
      <c r="N458" s="139"/>
      <c r="O458" s="139"/>
      <c r="P458" s="139"/>
      <c r="Q458" s="139"/>
      <c r="R458" s="139"/>
    </row>
    <row r="459" customFormat="false" ht="15" hidden="false" customHeight="true" outlineLevel="0" collapsed="false">
      <c r="A459" s="69"/>
      <c r="B459" s="48" t="str">
        <f aca="false">IF('Calendario E'!B59="","",'Calendario E'!B59)</f>
        <v>PalaScoiattoli, Via dello Sport 16, Scoiattoliopoli SI</v>
      </c>
      <c r="C459" s="48"/>
      <c r="D459" s="48"/>
      <c r="E459" s="48"/>
      <c r="F459" s="48"/>
      <c r="G459" s="48"/>
      <c r="H459" s="48"/>
      <c r="I459" s="43" t="str">
        <f aca="false">IF('Calendario E'!I59="","",'Calendario E'!I59)</f>
        <v>E04</v>
      </c>
      <c r="J459" s="137"/>
      <c r="K459" s="137"/>
      <c r="L459" s="137"/>
      <c r="M459" s="137"/>
      <c r="N459" s="137"/>
      <c r="O459" s="137"/>
      <c r="P459" s="137"/>
      <c r="Q459" s="137"/>
      <c r="R459" s="137"/>
    </row>
    <row r="460" customFormat="false" ht="13.5" hidden="false" customHeight="true" outlineLevel="0" collapsed="false">
      <c r="A460" s="68" t="s">
        <v>334</v>
      </c>
      <c r="B460" s="68" t="s">
        <v>317</v>
      </c>
      <c r="C460" s="68"/>
      <c r="D460" s="68" t="s">
        <v>324</v>
      </c>
      <c r="E460" s="68"/>
      <c r="F460" s="68" t="s">
        <v>335</v>
      </c>
      <c r="G460" s="68" t="s">
        <v>336</v>
      </c>
      <c r="H460" s="68" t="s">
        <v>337</v>
      </c>
      <c r="I460" s="68"/>
      <c r="J460" s="68" t="s">
        <v>338</v>
      </c>
      <c r="K460" s="68"/>
      <c r="L460" s="68"/>
      <c r="M460" s="147" t="s">
        <v>539</v>
      </c>
      <c r="N460" s="147" t="s">
        <v>540</v>
      </c>
      <c r="O460" s="147" t="s">
        <v>541</v>
      </c>
      <c r="P460" s="147" t="s">
        <v>542</v>
      </c>
      <c r="Q460" s="147" t="s">
        <v>543</v>
      </c>
      <c r="R460" s="147" t="s">
        <v>544</v>
      </c>
    </row>
    <row r="461" customFormat="false" ht="21.75" hidden="false" customHeight="true" outlineLevel="0" collapsed="false">
      <c r="A461" s="69" t="n">
        <f aca="false">IF('Calendario E'!A61="","",'Calendario E'!A61)</f>
        <v>128</v>
      </c>
      <c r="B461" s="42" t="str">
        <f aca="false">IF('Calendario E'!B61="","",'Calendario E'!B61)</f>
        <v>Zibetti Zuccherini</v>
      </c>
      <c r="C461" s="43" t="str">
        <f aca="false">IF('Calendario E'!C61="","",'Calendario E'!C61)</f>
        <v>E08</v>
      </c>
      <c r="D461" s="42" t="str">
        <f aca="false">IF('Calendario E'!D61="","",'Calendario E'!D61)</f>
        <v>Quetzal Quotidiani</v>
      </c>
      <c r="E461" s="43" t="str">
        <f aca="false">IF('Calendario E'!E61="","",'Calendario E'!E61)</f>
        <v>E02</v>
      </c>
      <c r="F461" s="44" t="n">
        <f aca="false">IF('Calendario E'!F61="","",'Calendario E'!F61)</f>
        <v>46369.7083333333</v>
      </c>
      <c r="G461" s="44"/>
      <c r="H461" s="44"/>
      <c r="I461" s="44"/>
      <c r="J461" s="137" t="n">
        <f aca="false">IF('Calendario E'!J61="","",'Calendario E'!J61)</f>
        <v>78</v>
      </c>
      <c r="K461" s="138" t="s">
        <v>339</v>
      </c>
      <c r="L461" s="137" t="n">
        <f aca="false">IF('Calendario E'!L61="","",'Calendario E'!L61)</f>
        <v>50</v>
      </c>
      <c r="M461" s="139"/>
      <c r="N461" s="139"/>
      <c r="O461" s="139"/>
      <c r="P461" s="139"/>
      <c r="Q461" s="139"/>
      <c r="R461" s="139"/>
    </row>
    <row r="462" customFormat="false" ht="15" hidden="false" customHeight="true" outlineLevel="0" collapsed="false">
      <c r="A462" s="69"/>
      <c r="B462" s="48" t="str">
        <f aca="false">IF('Calendario E'!B62="","",'Calendario E'!B62)</f>
        <v>PalaScoiattoli, Via dello Sport 16, Scoiattoliopoli SI</v>
      </c>
      <c r="C462" s="48"/>
      <c r="D462" s="48"/>
      <c r="E462" s="48"/>
      <c r="F462" s="48"/>
      <c r="G462" s="48"/>
      <c r="H462" s="48"/>
      <c r="I462" s="43" t="str">
        <f aca="false">IF('Calendario E'!I62="","",'Calendario E'!I62)</f>
        <v>E04</v>
      </c>
      <c r="J462" s="137"/>
      <c r="K462" s="137"/>
      <c r="L462" s="137"/>
      <c r="M462" s="137"/>
      <c r="N462" s="137"/>
      <c r="O462" s="137"/>
      <c r="P462" s="137"/>
      <c r="Q462" s="137"/>
      <c r="R462" s="137"/>
    </row>
    <row r="464" customFormat="false" ht="19.5" hidden="false" customHeight="true" outlineLevel="0" collapsed="false">
      <c r="A464" s="66" t="str">
        <f aca="false">IF('Calendario E'!A64="","",'Calendario E'!A64)</f>
        <v>5E</v>
      </c>
      <c r="B464" s="67" t="str">
        <f aca="false">IF('Calendario E'!B64="","",'Calendario E'!B64)</f>
        <v>GIORNATA V - GIRONE E</v>
      </c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146" t="s">
        <v>537</v>
      </c>
      <c r="N464" s="146"/>
      <c r="O464" s="146"/>
      <c r="P464" s="146" t="s">
        <v>538</v>
      </c>
      <c r="Q464" s="146"/>
      <c r="R464" s="146"/>
    </row>
    <row r="465" customFormat="false" ht="13.5" hidden="false" customHeight="true" outlineLevel="0" collapsed="false">
      <c r="A465" s="68" t="s">
        <v>334</v>
      </c>
      <c r="B465" s="68" t="s">
        <v>317</v>
      </c>
      <c r="C465" s="68"/>
      <c r="D465" s="68" t="s">
        <v>324</v>
      </c>
      <c r="E465" s="68"/>
      <c r="F465" s="68" t="s">
        <v>335</v>
      </c>
      <c r="G465" s="68" t="s">
        <v>336</v>
      </c>
      <c r="H465" s="68" t="s">
        <v>337</v>
      </c>
      <c r="I465" s="68"/>
      <c r="J465" s="68" t="s">
        <v>338</v>
      </c>
      <c r="K465" s="68"/>
      <c r="L465" s="68"/>
      <c r="M465" s="147" t="s">
        <v>539</v>
      </c>
      <c r="N465" s="147" t="s">
        <v>540</v>
      </c>
      <c r="O465" s="147" t="s">
        <v>541</v>
      </c>
      <c r="P465" s="147" t="s">
        <v>542</v>
      </c>
      <c r="Q465" s="147" t="s">
        <v>543</v>
      </c>
      <c r="R465" s="147" t="s">
        <v>544</v>
      </c>
    </row>
    <row r="466" customFormat="false" ht="21.75" hidden="false" customHeight="true" outlineLevel="0" collapsed="false">
      <c r="A466" s="69" t="n">
        <f aca="false">IF('Calendario E'!A66="","",'Calendario E'!A66)</f>
        <v>129</v>
      </c>
      <c r="B466" s="42" t="str">
        <f aca="false">IF('Calendario E'!B66="","",'Calendario E'!B66)</f>
        <v>Pipistrelli Pensierosi</v>
      </c>
      <c r="C466" s="43" t="str">
        <f aca="false">IF('Calendario E'!C66="","",'Calendario E'!C66)</f>
        <v>E01</v>
      </c>
      <c r="D466" s="42" t="str">
        <f aca="false">IF('Calendario E'!D66="","",'Calendario E'!D66)</f>
        <v>Scoiattoli Scattanti</v>
      </c>
      <c r="E466" s="43" t="str">
        <f aca="false">IF('Calendario E'!E66="","",'Calendario E'!E66)</f>
        <v>E04</v>
      </c>
      <c r="F466" s="44" t="n">
        <f aca="false">IF('Calendario E'!F66="","",'Calendario E'!F66)</f>
        <v>46411.3958333333</v>
      </c>
      <c r="G466" s="44"/>
      <c r="H466" s="44"/>
      <c r="I466" s="44"/>
      <c r="J466" s="137" t="n">
        <f aca="false">IF('Calendario E'!J66="","",'Calendario E'!J66)</f>
        <v>46</v>
      </c>
      <c r="K466" s="138" t="s">
        <v>339</v>
      </c>
      <c r="L466" s="137" t="n">
        <f aca="false">IF('Calendario E'!L66="","",'Calendario E'!L66)</f>
        <v>71</v>
      </c>
      <c r="M466" s="139"/>
      <c r="N466" s="139"/>
      <c r="O466" s="139"/>
      <c r="P466" s="139"/>
      <c r="Q466" s="139"/>
      <c r="R466" s="139"/>
    </row>
    <row r="467" customFormat="false" ht="15" hidden="false" customHeight="true" outlineLevel="0" collapsed="false">
      <c r="A467" s="69"/>
      <c r="B467" s="48" t="str">
        <f aca="false">IF('Calendario E'!B67="","",'Calendario E'!B67)</f>
        <v>PalaTassi, Via dello Sport 17, Tassiopoli TI</v>
      </c>
      <c r="C467" s="48"/>
      <c r="D467" s="48"/>
      <c r="E467" s="48"/>
      <c r="F467" s="48"/>
      <c r="G467" s="48"/>
      <c r="H467" s="48"/>
      <c r="I467" s="43" t="str">
        <f aca="false">IF('Calendario E'!I67="","",'Calendario E'!I67)</f>
        <v>E05</v>
      </c>
      <c r="J467" s="137"/>
      <c r="K467" s="137"/>
      <c r="L467" s="137"/>
      <c r="M467" s="137"/>
      <c r="N467" s="137"/>
      <c r="O467" s="137"/>
      <c r="P467" s="137"/>
      <c r="Q467" s="137"/>
      <c r="R467" s="137"/>
    </row>
    <row r="468" customFormat="false" ht="13.5" hidden="false" customHeight="true" outlineLevel="0" collapsed="false">
      <c r="A468" s="68" t="s">
        <v>334</v>
      </c>
      <c r="B468" s="68" t="s">
        <v>317</v>
      </c>
      <c r="C468" s="68"/>
      <c r="D468" s="68" t="s">
        <v>324</v>
      </c>
      <c r="E468" s="68"/>
      <c r="F468" s="68" t="s">
        <v>335</v>
      </c>
      <c r="G468" s="68" t="s">
        <v>336</v>
      </c>
      <c r="H468" s="68" t="s">
        <v>337</v>
      </c>
      <c r="I468" s="68"/>
      <c r="J468" s="68" t="s">
        <v>338</v>
      </c>
      <c r="K468" s="68"/>
      <c r="L468" s="68"/>
      <c r="M468" s="147" t="s">
        <v>539</v>
      </c>
      <c r="N468" s="147" t="s">
        <v>540</v>
      </c>
      <c r="O468" s="147" t="s">
        <v>541</v>
      </c>
      <c r="P468" s="147" t="s">
        <v>542</v>
      </c>
      <c r="Q468" s="147" t="s">
        <v>543</v>
      </c>
      <c r="R468" s="147" t="s">
        <v>544</v>
      </c>
    </row>
    <row r="469" customFormat="false" ht="21.75" hidden="false" customHeight="true" outlineLevel="0" collapsed="false">
      <c r="A469" s="69" t="n">
        <f aca="false">IF('Calendario E'!A69="","",'Calendario E'!A69)</f>
        <v>130</v>
      </c>
      <c r="B469" s="42" t="str">
        <f aca="false">IF('Calendario E'!B69="","",'Calendario E'!B69)</f>
        <v>Ricci Rissosi</v>
      </c>
      <c r="C469" s="43" t="str">
        <f aca="false">IF('Calendario E'!C69="","",'Calendario E'!C69)</f>
        <v>E03</v>
      </c>
      <c r="D469" s="42" t="str">
        <f aca="false">IF('Calendario E'!D69="","",'Calendario E'!D69)</f>
        <v>Tassi Turbolenti</v>
      </c>
      <c r="E469" s="43" t="str">
        <f aca="false">IF('Calendario E'!E69="","",'Calendario E'!E69)</f>
        <v>E05</v>
      </c>
      <c r="F469" s="44" t="n">
        <f aca="false">IF('Calendario E'!F69="","",'Calendario E'!F69)</f>
        <v>46411.4791666667</v>
      </c>
      <c r="G469" s="44"/>
      <c r="H469" s="44"/>
      <c r="I469" s="44"/>
      <c r="J469" s="137" t="n">
        <f aca="false">IF('Calendario E'!J69="","",'Calendario E'!J69)</f>
        <v>61</v>
      </c>
      <c r="K469" s="138" t="s">
        <v>339</v>
      </c>
      <c r="L469" s="137" t="n">
        <f aca="false">IF('Calendario E'!L69="","",'Calendario E'!L69)</f>
        <v>72</v>
      </c>
      <c r="M469" s="139"/>
      <c r="N469" s="139"/>
      <c r="O469" s="139"/>
      <c r="P469" s="139"/>
      <c r="Q469" s="139"/>
      <c r="R469" s="139"/>
    </row>
    <row r="470" customFormat="false" ht="15" hidden="false" customHeight="true" outlineLevel="0" collapsed="false">
      <c r="A470" s="69"/>
      <c r="B470" s="48" t="str">
        <f aca="false">IF('Calendario E'!B70="","",'Calendario E'!B70)</f>
        <v>PalaTassi, Via dello Sport 17, Tassiopoli TI</v>
      </c>
      <c r="C470" s="48"/>
      <c r="D470" s="48"/>
      <c r="E470" s="48"/>
      <c r="F470" s="48"/>
      <c r="G470" s="48"/>
      <c r="H470" s="48"/>
      <c r="I470" s="43" t="str">
        <f aca="false">IF('Calendario E'!I70="","",'Calendario E'!I70)</f>
        <v>E05</v>
      </c>
      <c r="J470" s="137"/>
      <c r="K470" s="137"/>
      <c r="L470" s="137"/>
      <c r="M470" s="137"/>
      <c r="N470" s="137"/>
      <c r="O470" s="137"/>
      <c r="P470" s="137"/>
      <c r="Q470" s="137"/>
      <c r="R470" s="137"/>
    </row>
    <row r="471" customFormat="false" ht="13.5" hidden="false" customHeight="true" outlineLevel="0" collapsed="false">
      <c r="A471" s="68" t="s">
        <v>334</v>
      </c>
      <c r="B471" s="68" t="s">
        <v>317</v>
      </c>
      <c r="C471" s="68"/>
      <c r="D471" s="68" t="s">
        <v>324</v>
      </c>
      <c r="E471" s="68"/>
      <c r="F471" s="68" t="s">
        <v>335</v>
      </c>
      <c r="G471" s="68" t="s">
        <v>336</v>
      </c>
      <c r="H471" s="68" t="s">
        <v>337</v>
      </c>
      <c r="I471" s="68"/>
      <c r="J471" s="68" t="s">
        <v>338</v>
      </c>
      <c r="K471" s="68"/>
      <c r="L471" s="68"/>
      <c r="M471" s="147" t="s">
        <v>539</v>
      </c>
      <c r="N471" s="147" t="s">
        <v>540</v>
      </c>
      <c r="O471" s="147" t="s">
        <v>541</v>
      </c>
      <c r="P471" s="147" t="s">
        <v>542</v>
      </c>
      <c r="Q471" s="147" t="s">
        <v>543</v>
      </c>
      <c r="R471" s="147" t="s">
        <v>544</v>
      </c>
    </row>
    <row r="472" customFormat="false" ht="21.75" hidden="false" customHeight="true" outlineLevel="0" collapsed="false">
      <c r="A472" s="69" t="n">
        <f aca="false">IF('Calendario E'!A72="","",'Calendario E'!A72)</f>
        <v>131</v>
      </c>
      <c r="B472" s="42" t="str">
        <f aca="false">IF('Calendario E'!B72="","",'Calendario E'!B72)</f>
        <v>Uistiti Ubiqui</v>
      </c>
      <c r="C472" s="43" t="str">
        <f aca="false">IF('Calendario E'!C72="","",'Calendario E'!C72)</f>
        <v>E06</v>
      </c>
      <c r="D472" s="42" t="str">
        <f aca="false">IF('Calendario E'!D72="","",'Calendario E'!D72)</f>
        <v>Quetzal Quotidiani</v>
      </c>
      <c r="E472" s="43" t="str">
        <f aca="false">IF('Calendario E'!E72="","",'Calendario E'!E72)</f>
        <v>E02</v>
      </c>
      <c r="F472" s="44" t="n">
        <f aca="false">IF('Calendario E'!F72="","",'Calendario E'!F72)</f>
        <v>46411.625</v>
      </c>
      <c r="G472" s="44"/>
      <c r="H472" s="44"/>
      <c r="I472" s="44"/>
      <c r="J472" s="137" t="n">
        <f aca="false">IF('Calendario E'!J72="","",'Calendario E'!J72)</f>
        <v>43</v>
      </c>
      <c r="K472" s="138" t="s">
        <v>339</v>
      </c>
      <c r="L472" s="137" t="n">
        <f aca="false">IF('Calendario E'!L72="","",'Calendario E'!L72)</f>
        <v>83</v>
      </c>
      <c r="M472" s="139"/>
      <c r="N472" s="139"/>
      <c r="O472" s="139"/>
      <c r="P472" s="139"/>
      <c r="Q472" s="139"/>
      <c r="R472" s="139"/>
    </row>
    <row r="473" customFormat="false" ht="15" hidden="false" customHeight="true" outlineLevel="0" collapsed="false">
      <c r="A473" s="69"/>
      <c r="B473" s="48" t="str">
        <f aca="false">IF('Calendario E'!B73="","",'Calendario E'!B73)</f>
        <v>PalaTassi, Via dello Sport 17, Tassiopoli TI</v>
      </c>
      <c r="C473" s="48"/>
      <c r="D473" s="48"/>
      <c r="E473" s="48"/>
      <c r="F473" s="48"/>
      <c r="G473" s="48"/>
      <c r="H473" s="48"/>
      <c r="I473" s="43" t="str">
        <f aca="false">IF('Calendario E'!I73="","",'Calendario E'!I73)</f>
        <v>E05</v>
      </c>
      <c r="J473" s="137"/>
      <c r="K473" s="137"/>
      <c r="L473" s="137"/>
      <c r="M473" s="137"/>
      <c r="N473" s="137"/>
      <c r="O473" s="137"/>
      <c r="P473" s="137"/>
      <c r="Q473" s="137"/>
      <c r="R473" s="137"/>
    </row>
    <row r="474" customFormat="false" ht="13.5" hidden="false" customHeight="true" outlineLevel="0" collapsed="false">
      <c r="A474" s="68" t="s">
        <v>334</v>
      </c>
      <c r="B474" s="68" t="s">
        <v>317</v>
      </c>
      <c r="C474" s="68"/>
      <c r="D474" s="68" t="s">
        <v>324</v>
      </c>
      <c r="E474" s="68"/>
      <c r="F474" s="68" t="s">
        <v>335</v>
      </c>
      <c r="G474" s="68" t="s">
        <v>336</v>
      </c>
      <c r="H474" s="68" t="s">
        <v>337</v>
      </c>
      <c r="I474" s="68"/>
      <c r="J474" s="68" t="s">
        <v>338</v>
      </c>
      <c r="K474" s="68"/>
      <c r="L474" s="68"/>
      <c r="M474" s="147" t="s">
        <v>539</v>
      </c>
      <c r="N474" s="147" t="s">
        <v>540</v>
      </c>
      <c r="O474" s="147" t="s">
        <v>541</v>
      </c>
      <c r="P474" s="147" t="s">
        <v>542</v>
      </c>
      <c r="Q474" s="147" t="s">
        <v>543</v>
      </c>
      <c r="R474" s="147" t="s">
        <v>544</v>
      </c>
    </row>
    <row r="475" customFormat="false" ht="21.75" hidden="false" customHeight="true" outlineLevel="0" collapsed="false">
      <c r="A475" s="69" t="n">
        <f aca="false">IF('Calendario E'!A75="","",'Calendario E'!A75)</f>
        <v>132</v>
      </c>
      <c r="B475" s="42" t="str">
        <f aca="false">IF('Calendario E'!B75="","",'Calendario E'!B75)</f>
        <v>Zibetti Zuccherini</v>
      </c>
      <c r="C475" s="43" t="str">
        <f aca="false">IF('Calendario E'!C75="","",'Calendario E'!C75)</f>
        <v>E08</v>
      </c>
      <c r="D475" s="42" t="str">
        <f aca="false">IF('Calendario E'!D75="","",'Calendario E'!D75)</f>
        <v>Volpi Vorticose</v>
      </c>
      <c r="E475" s="43" t="str">
        <f aca="false">IF('Calendario E'!E75="","",'Calendario E'!E75)</f>
        <v>E07</v>
      </c>
      <c r="F475" s="44" t="n">
        <f aca="false">IF('Calendario E'!F75="","",'Calendario E'!F75)</f>
        <v>46411.7083333333</v>
      </c>
      <c r="G475" s="44"/>
      <c r="H475" s="44"/>
      <c r="I475" s="44"/>
      <c r="J475" s="137" t="n">
        <f aca="false">IF('Calendario E'!J75="","",'Calendario E'!J75)</f>
        <v>85</v>
      </c>
      <c r="K475" s="138" t="s">
        <v>339</v>
      </c>
      <c r="L475" s="137" t="n">
        <f aca="false">IF('Calendario E'!L75="","",'Calendario E'!L75)</f>
        <v>64</v>
      </c>
      <c r="M475" s="139"/>
      <c r="N475" s="139"/>
      <c r="O475" s="139"/>
      <c r="P475" s="139"/>
      <c r="Q475" s="139"/>
      <c r="R475" s="139"/>
    </row>
    <row r="476" customFormat="false" ht="15" hidden="false" customHeight="true" outlineLevel="0" collapsed="false">
      <c r="A476" s="69"/>
      <c r="B476" s="48" t="str">
        <f aca="false">IF('Calendario E'!B76="","",'Calendario E'!B76)</f>
        <v>PalaTassi, Via dello Sport 17, Tassiopoli TI</v>
      </c>
      <c r="C476" s="48"/>
      <c r="D476" s="48"/>
      <c r="E476" s="48"/>
      <c r="F476" s="48"/>
      <c r="G476" s="48"/>
      <c r="H476" s="48"/>
      <c r="I476" s="43" t="str">
        <f aca="false">IF('Calendario E'!I76="","",'Calendario E'!I76)</f>
        <v>E05</v>
      </c>
      <c r="J476" s="137"/>
      <c r="K476" s="137"/>
      <c r="L476" s="137"/>
      <c r="M476" s="137"/>
      <c r="N476" s="137"/>
      <c r="O476" s="137"/>
      <c r="P476" s="137"/>
      <c r="Q476" s="137"/>
      <c r="R476" s="137"/>
    </row>
    <row r="478" customFormat="false" ht="19.5" hidden="false" customHeight="true" outlineLevel="0" collapsed="false">
      <c r="A478" s="66" t="str">
        <f aca="false">IF('Calendario E'!A78="","",'Calendario E'!A78)</f>
        <v>6E</v>
      </c>
      <c r="B478" s="67" t="str">
        <f aca="false">IF('Calendario E'!B78="","",'Calendario E'!B78)</f>
        <v>GIORNATA VI - GIRONE E</v>
      </c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146" t="s">
        <v>537</v>
      </c>
      <c r="N478" s="146"/>
      <c r="O478" s="146"/>
      <c r="P478" s="146" t="s">
        <v>538</v>
      </c>
      <c r="Q478" s="146"/>
      <c r="R478" s="146"/>
    </row>
    <row r="479" customFormat="false" ht="13.5" hidden="false" customHeight="true" outlineLevel="0" collapsed="false">
      <c r="A479" s="68" t="s">
        <v>334</v>
      </c>
      <c r="B479" s="68" t="s">
        <v>317</v>
      </c>
      <c r="C479" s="68"/>
      <c r="D479" s="68" t="s">
        <v>324</v>
      </c>
      <c r="E479" s="68"/>
      <c r="F479" s="68" t="s">
        <v>335</v>
      </c>
      <c r="G479" s="68" t="s">
        <v>336</v>
      </c>
      <c r="H479" s="68" t="s">
        <v>337</v>
      </c>
      <c r="I479" s="68"/>
      <c r="J479" s="68" t="s">
        <v>338</v>
      </c>
      <c r="K479" s="68"/>
      <c r="L479" s="68"/>
      <c r="M479" s="147" t="s">
        <v>539</v>
      </c>
      <c r="N479" s="147" t="s">
        <v>540</v>
      </c>
      <c r="O479" s="147" t="s">
        <v>541</v>
      </c>
      <c r="P479" s="147" t="s">
        <v>542</v>
      </c>
      <c r="Q479" s="147" t="s">
        <v>543</v>
      </c>
      <c r="R479" s="147" t="s">
        <v>544</v>
      </c>
    </row>
    <row r="480" customFormat="false" ht="21.75" hidden="false" customHeight="true" outlineLevel="0" collapsed="false">
      <c r="A480" s="69" t="n">
        <f aca="false">IF('Calendario E'!A80="","",'Calendario E'!A80)</f>
        <v>133</v>
      </c>
      <c r="B480" s="42" t="str">
        <f aca="false">IF('Calendario E'!B80="","",'Calendario E'!B80)</f>
        <v>Ricci Rissosi</v>
      </c>
      <c r="C480" s="43" t="str">
        <f aca="false">IF('Calendario E'!C80="","",'Calendario E'!C80)</f>
        <v>E03</v>
      </c>
      <c r="D480" s="42" t="str">
        <f aca="false">IF('Calendario E'!D80="","",'Calendario E'!D80)</f>
        <v>Pipistrelli Pensierosi</v>
      </c>
      <c r="E480" s="43" t="str">
        <f aca="false">IF('Calendario E'!E80="","",'Calendario E'!E80)</f>
        <v>E01</v>
      </c>
      <c r="F480" s="44" t="n">
        <f aca="false">IF('Calendario E'!F80="","",'Calendario E'!F80)</f>
        <v>46432.3958333333</v>
      </c>
      <c r="G480" s="44"/>
      <c r="H480" s="44"/>
      <c r="I480" s="44"/>
      <c r="J480" s="137" t="n">
        <f aca="false">IF('Calendario E'!J80="","",'Calendario E'!J80)</f>
        <v>62</v>
      </c>
      <c r="K480" s="138" t="s">
        <v>339</v>
      </c>
      <c r="L480" s="137" t="n">
        <f aca="false">IF('Calendario E'!L80="","",'Calendario E'!L80)</f>
        <v>80</v>
      </c>
      <c r="M480" s="139"/>
      <c r="N480" s="139"/>
      <c r="O480" s="139"/>
      <c r="P480" s="139"/>
      <c r="Q480" s="139"/>
      <c r="R480" s="139"/>
    </row>
    <row r="481" customFormat="false" ht="15" hidden="false" customHeight="true" outlineLevel="0" collapsed="false">
      <c r="A481" s="69"/>
      <c r="B481" s="48" t="str">
        <f aca="false">IF('Calendario E'!B81="","",'Calendario E'!B81)</f>
        <v>PalaUistiti, Via dello Sport 18, Uistitiopoli UI</v>
      </c>
      <c r="C481" s="48"/>
      <c r="D481" s="48"/>
      <c r="E481" s="48"/>
      <c r="F481" s="48"/>
      <c r="G481" s="48"/>
      <c r="H481" s="48"/>
      <c r="I481" s="43" t="str">
        <f aca="false">IF('Calendario E'!I81="","",'Calendario E'!I81)</f>
        <v>E06</v>
      </c>
      <c r="J481" s="137"/>
      <c r="K481" s="137"/>
      <c r="L481" s="137"/>
      <c r="M481" s="137"/>
      <c r="N481" s="137"/>
      <c r="O481" s="137"/>
      <c r="P481" s="137"/>
      <c r="Q481" s="137"/>
      <c r="R481" s="137"/>
    </row>
    <row r="482" customFormat="false" ht="13.5" hidden="false" customHeight="true" outlineLevel="0" collapsed="false">
      <c r="A482" s="68" t="s">
        <v>334</v>
      </c>
      <c r="B482" s="68" t="s">
        <v>317</v>
      </c>
      <c r="C482" s="68"/>
      <c r="D482" s="68" t="s">
        <v>324</v>
      </c>
      <c r="E482" s="68"/>
      <c r="F482" s="68" t="s">
        <v>335</v>
      </c>
      <c r="G482" s="68" t="s">
        <v>336</v>
      </c>
      <c r="H482" s="68" t="s">
        <v>337</v>
      </c>
      <c r="I482" s="68"/>
      <c r="J482" s="68" t="s">
        <v>338</v>
      </c>
      <c r="K482" s="68"/>
      <c r="L482" s="68"/>
      <c r="M482" s="147" t="s">
        <v>539</v>
      </c>
      <c r="N482" s="147" t="s">
        <v>540</v>
      </c>
      <c r="O482" s="147" t="s">
        <v>541</v>
      </c>
      <c r="P482" s="147" t="s">
        <v>542</v>
      </c>
      <c r="Q482" s="147" t="s">
        <v>543</v>
      </c>
      <c r="R482" s="147" t="s">
        <v>544</v>
      </c>
    </row>
    <row r="483" customFormat="false" ht="21.75" hidden="false" customHeight="true" outlineLevel="0" collapsed="false">
      <c r="A483" s="69" t="n">
        <f aca="false">IF('Calendario E'!A83="","",'Calendario E'!A83)</f>
        <v>134</v>
      </c>
      <c r="B483" s="42" t="str">
        <f aca="false">IF('Calendario E'!B83="","",'Calendario E'!B83)</f>
        <v>Scoiattoli Scattanti</v>
      </c>
      <c r="C483" s="43" t="str">
        <f aca="false">IF('Calendario E'!C83="","",'Calendario E'!C83)</f>
        <v>E04</v>
      </c>
      <c r="D483" s="42" t="str">
        <f aca="false">IF('Calendario E'!D83="","",'Calendario E'!D83)</f>
        <v>Quetzal Quotidiani</v>
      </c>
      <c r="E483" s="43" t="str">
        <f aca="false">IF('Calendario E'!E83="","",'Calendario E'!E83)</f>
        <v>E02</v>
      </c>
      <c r="F483" s="44" t="n">
        <f aca="false">IF('Calendario E'!F83="","",'Calendario E'!F83)</f>
        <v>46432.4791666667</v>
      </c>
      <c r="G483" s="44"/>
      <c r="H483" s="44"/>
      <c r="I483" s="44"/>
      <c r="J483" s="137" t="n">
        <f aca="false">IF('Calendario E'!J83="","",'Calendario E'!J83)</f>
        <v>72</v>
      </c>
      <c r="K483" s="138" t="s">
        <v>339</v>
      </c>
      <c r="L483" s="137" t="n">
        <f aca="false">IF('Calendario E'!L83="","",'Calendario E'!L83)</f>
        <v>68</v>
      </c>
      <c r="M483" s="139"/>
      <c r="N483" s="139"/>
      <c r="O483" s="139"/>
      <c r="P483" s="139"/>
      <c r="Q483" s="139"/>
      <c r="R483" s="139"/>
    </row>
    <row r="484" customFormat="false" ht="15" hidden="false" customHeight="true" outlineLevel="0" collapsed="false">
      <c r="A484" s="69"/>
      <c r="B484" s="48" t="str">
        <f aca="false">IF('Calendario E'!B84="","",'Calendario E'!B84)</f>
        <v>PalaUistiti, Via dello Sport 18, Uistitiopoli UI</v>
      </c>
      <c r="C484" s="48"/>
      <c r="D484" s="48"/>
      <c r="E484" s="48"/>
      <c r="F484" s="48"/>
      <c r="G484" s="48"/>
      <c r="H484" s="48"/>
      <c r="I484" s="43" t="str">
        <f aca="false">IF('Calendario E'!I84="","",'Calendario E'!I84)</f>
        <v>E06</v>
      </c>
      <c r="J484" s="137"/>
      <c r="K484" s="137"/>
      <c r="L484" s="137"/>
      <c r="M484" s="137"/>
      <c r="N484" s="137"/>
      <c r="O484" s="137"/>
      <c r="P484" s="137"/>
      <c r="Q484" s="137"/>
      <c r="R484" s="137"/>
    </row>
    <row r="485" customFormat="false" ht="13.5" hidden="false" customHeight="true" outlineLevel="0" collapsed="false">
      <c r="A485" s="68" t="s">
        <v>334</v>
      </c>
      <c r="B485" s="68" t="s">
        <v>317</v>
      </c>
      <c r="C485" s="68"/>
      <c r="D485" s="68" t="s">
        <v>324</v>
      </c>
      <c r="E485" s="68"/>
      <c r="F485" s="68" t="s">
        <v>335</v>
      </c>
      <c r="G485" s="68" t="s">
        <v>336</v>
      </c>
      <c r="H485" s="68" t="s">
        <v>337</v>
      </c>
      <c r="I485" s="68"/>
      <c r="J485" s="68" t="s">
        <v>338</v>
      </c>
      <c r="K485" s="68"/>
      <c r="L485" s="68"/>
      <c r="M485" s="147" t="s">
        <v>539</v>
      </c>
      <c r="N485" s="147" t="s">
        <v>540</v>
      </c>
      <c r="O485" s="147" t="s">
        <v>541</v>
      </c>
      <c r="P485" s="147" t="s">
        <v>542</v>
      </c>
      <c r="Q485" s="147" t="s">
        <v>543</v>
      </c>
      <c r="R485" s="147" t="s">
        <v>544</v>
      </c>
    </row>
    <row r="486" customFormat="false" ht="21.75" hidden="false" customHeight="true" outlineLevel="0" collapsed="false">
      <c r="A486" s="69" t="n">
        <f aca="false">IF('Calendario E'!A86="","",'Calendario E'!A86)</f>
        <v>135</v>
      </c>
      <c r="B486" s="42" t="str">
        <f aca="false">IF('Calendario E'!B86="","",'Calendario E'!B86)</f>
        <v>Zibetti Zuccherini</v>
      </c>
      <c r="C486" s="43" t="str">
        <f aca="false">IF('Calendario E'!C86="","",'Calendario E'!C86)</f>
        <v>E08</v>
      </c>
      <c r="D486" s="42" t="str">
        <f aca="false">IF('Calendario E'!D86="","",'Calendario E'!D86)</f>
        <v>Tassi Turbolenti</v>
      </c>
      <c r="E486" s="43" t="str">
        <f aca="false">IF('Calendario E'!E86="","",'Calendario E'!E86)</f>
        <v>E05</v>
      </c>
      <c r="F486" s="44" t="n">
        <f aca="false">IF('Calendario E'!F86="","",'Calendario E'!F86)</f>
        <v>46432.625</v>
      </c>
      <c r="G486" s="44"/>
      <c r="H486" s="44"/>
      <c r="I486" s="44"/>
      <c r="J486" s="137" t="n">
        <f aca="false">IF('Calendario E'!J86="","",'Calendario E'!J86)</f>
        <v>62</v>
      </c>
      <c r="K486" s="138" t="s">
        <v>339</v>
      </c>
      <c r="L486" s="137" t="n">
        <f aca="false">IF('Calendario E'!L86="","",'Calendario E'!L86)</f>
        <v>47</v>
      </c>
      <c r="M486" s="139"/>
      <c r="N486" s="139"/>
      <c r="O486" s="139"/>
      <c r="P486" s="139"/>
      <c r="Q486" s="139"/>
      <c r="R486" s="139"/>
    </row>
    <row r="487" customFormat="false" ht="15" hidden="false" customHeight="true" outlineLevel="0" collapsed="false">
      <c r="A487" s="69"/>
      <c r="B487" s="48" t="str">
        <f aca="false">IF('Calendario E'!B87="","",'Calendario E'!B87)</f>
        <v>PalaUistiti, Via dello Sport 18, Uistitiopoli UI</v>
      </c>
      <c r="C487" s="48"/>
      <c r="D487" s="48"/>
      <c r="E487" s="48"/>
      <c r="F487" s="48"/>
      <c r="G487" s="48"/>
      <c r="H487" s="48"/>
      <c r="I487" s="43" t="str">
        <f aca="false">IF('Calendario E'!I87="","",'Calendario E'!I87)</f>
        <v>E06</v>
      </c>
      <c r="J487" s="137"/>
      <c r="K487" s="137"/>
      <c r="L487" s="137"/>
      <c r="M487" s="137"/>
      <c r="N487" s="137"/>
      <c r="O487" s="137"/>
      <c r="P487" s="137"/>
      <c r="Q487" s="137"/>
      <c r="R487" s="137"/>
    </row>
    <row r="488" customFormat="false" ht="13.5" hidden="false" customHeight="true" outlineLevel="0" collapsed="false">
      <c r="A488" s="68" t="s">
        <v>334</v>
      </c>
      <c r="B488" s="68" t="s">
        <v>317</v>
      </c>
      <c r="C488" s="68"/>
      <c r="D488" s="68" t="s">
        <v>324</v>
      </c>
      <c r="E488" s="68"/>
      <c r="F488" s="68" t="s">
        <v>335</v>
      </c>
      <c r="G488" s="68" t="s">
        <v>336</v>
      </c>
      <c r="H488" s="68" t="s">
        <v>337</v>
      </c>
      <c r="I488" s="68"/>
      <c r="J488" s="68" t="s">
        <v>338</v>
      </c>
      <c r="K488" s="68"/>
      <c r="L488" s="68"/>
      <c r="M488" s="147" t="s">
        <v>539</v>
      </c>
      <c r="N488" s="147" t="s">
        <v>540</v>
      </c>
      <c r="O488" s="147" t="s">
        <v>541</v>
      </c>
      <c r="P488" s="147" t="s">
        <v>542</v>
      </c>
      <c r="Q488" s="147" t="s">
        <v>543</v>
      </c>
      <c r="R488" s="147" t="s">
        <v>544</v>
      </c>
    </row>
    <row r="489" customFormat="false" ht="21.75" hidden="false" customHeight="true" outlineLevel="0" collapsed="false">
      <c r="A489" s="69" t="n">
        <f aca="false">IF('Calendario E'!A89="","",'Calendario E'!A89)</f>
        <v>136</v>
      </c>
      <c r="B489" s="42" t="str">
        <f aca="false">IF('Calendario E'!B89="","",'Calendario E'!B89)</f>
        <v>Uistiti Ubiqui</v>
      </c>
      <c r="C489" s="43" t="str">
        <f aca="false">IF('Calendario E'!C89="","",'Calendario E'!C89)</f>
        <v>E06</v>
      </c>
      <c r="D489" s="42" t="str">
        <f aca="false">IF('Calendario E'!D89="","",'Calendario E'!D89)</f>
        <v>Volpi Vorticose</v>
      </c>
      <c r="E489" s="43" t="str">
        <f aca="false">IF('Calendario E'!E89="","",'Calendario E'!E89)</f>
        <v>E07</v>
      </c>
      <c r="F489" s="44" t="n">
        <f aca="false">IF('Calendario E'!F89="","",'Calendario E'!F89)</f>
        <v>46432.7083333333</v>
      </c>
      <c r="G489" s="44"/>
      <c r="H489" s="44"/>
      <c r="I489" s="44"/>
      <c r="J489" s="137" t="n">
        <f aca="false">IF('Calendario E'!J89="","",'Calendario E'!J89)</f>
        <v>41</v>
      </c>
      <c r="K489" s="138" t="s">
        <v>339</v>
      </c>
      <c r="L489" s="137" t="n">
        <f aca="false">IF('Calendario E'!L89="","",'Calendario E'!L89)</f>
        <v>85</v>
      </c>
      <c r="M489" s="139"/>
      <c r="N489" s="139"/>
      <c r="O489" s="139"/>
      <c r="P489" s="139"/>
      <c r="Q489" s="139"/>
      <c r="R489" s="139"/>
    </row>
    <row r="490" customFormat="false" ht="15" hidden="false" customHeight="true" outlineLevel="0" collapsed="false">
      <c r="A490" s="69"/>
      <c r="B490" s="48" t="str">
        <f aca="false">IF('Calendario E'!B90="","",'Calendario E'!B90)</f>
        <v>PalaUistiti, Via dello Sport 18, Uistitiopoli UI</v>
      </c>
      <c r="C490" s="48"/>
      <c r="D490" s="48"/>
      <c r="E490" s="48"/>
      <c r="F490" s="48"/>
      <c r="G490" s="48"/>
      <c r="H490" s="48"/>
      <c r="I490" s="43" t="str">
        <f aca="false">IF('Calendario E'!I90="","",'Calendario E'!I90)</f>
        <v>E06</v>
      </c>
      <c r="J490" s="137"/>
      <c r="K490" s="137"/>
      <c r="L490" s="137"/>
      <c r="M490" s="137"/>
      <c r="N490" s="137"/>
      <c r="O490" s="137"/>
      <c r="P490" s="137"/>
      <c r="Q490" s="137"/>
      <c r="R490" s="137"/>
    </row>
    <row r="492" customFormat="false" ht="19.5" hidden="false" customHeight="true" outlineLevel="0" collapsed="false">
      <c r="A492" s="66" t="str">
        <f aca="false">IF('Calendario E'!A92="","",'Calendario E'!A92)</f>
        <v>7E</v>
      </c>
      <c r="B492" s="67" t="str">
        <f aca="false">IF('Calendario E'!B92="","",'Calendario E'!B92)</f>
        <v>GIORNATA VII - GIRONE E</v>
      </c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146" t="s">
        <v>537</v>
      </c>
      <c r="N492" s="146"/>
      <c r="O492" s="146"/>
      <c r="P492" s="146" t="s">
        <v>538</v>
      </c>
      <c r="Q492" s="146"/>
      <c r="R492" s="146"/>
    </row>
    <row r="493" customFormat="false" ht="13.5" hidden="false" customHeight="true" outlineLevel="0" collapsed="false">
      <c r="A493" s="68" t="s">
        <v>334</v>
      </c>
      <c r="B493" s="68" t="s">
        <v>317</v>
      </c>
      <c r="C493" s="68"/>
      <c r="D493" s="68" t="s">
        <v>324</v>
      </c>
      <c r="E493" s="68"/>
      <c r="F493" s="68" t="s">
        <v>335</v>
      </c>
      <c r="G493" s="68" t="s">
        <v>336</v>
      </c>
      <c r="H493" s="68" t="s">
        <v>337</v>
      </c>
      <c r="I493" s="68"/>
      <c r="J493" s="68" t="s">
        <v>338</v>
      </c>
      <c r="K493" s="68"/>
      <c r="L493" s="68"/>
      <c r="M493" s="147" t="s">
        <v>539</v>
      </c>
      <c r="N493" s="147" t="s">
        <v>540</v>
      </c>
      <c r="O493" s="147" t="s">
        <v>541</v>
      </c>
      <c r="P493" s="147" t="s">
        <v>542</v>
      </c>
      <c r="Q493" s="147" t="s">
        <v>543</v>
      </c>
      <c r="R493" s="147" t="s">
        <v>544</v>
      </c>
    </row>
    <row r="494" customFormat="false" ht="21.75" hidden="false" customHeight="true" outlineLevel="0" collapsed="false">
      <c r="A494" s="69" t="n">
        <f aca="false">IF('Calendario E'!A94="","",'Calendario E'!A94)</f>
        <v>137</v>
      </c>
      <c r="B494" s="42" t="str">
        <f aca="false">IF('Calendario E'!B94="","",'Calendario E'!B94)</f>
        <v>Pipistrelli Pensierosi</v>
      </c>
      <c r="C494" s="43" t="str">
        <f aca="false">IF('Calendario E'!C94="","",'Calendario E'!C94)</f>
        <v>E01</v>
      </c>
      <c r="D494" s="42" t="str">
        <f aca="false">IF('Calendario E'!D94="","",'Calendario E'!D94)</f>
        <v>Quetzal Quotidiani</v>
      </c>
      <c r="E494" s="43" t="str">
        <f aca="false">IF('Calendario E'!E94="","",'Calendario E'!E94)</f>
        <v>E02</v>
      </c>
      <c r="F494" s="44" t="n">
        <f aca="false">IF('Calendario E'!F94="","",'Calendario E'!F94)</f>
        <v>46453.3958333333</v>
      </c>
      <c r="G494" s="44"/>
      <c r="H494" s="44"/>
      <c r="I494" s="44"/>
      <c r="J494" s="137" t="n">
        <f aca="false">IF('Calendario E'!J94="","",'Calendario E'!J94)</f>
        <v>60</v>
      </c>
      <c r="K494" s="138" t="s">
        <v>339</v>
      </c>
      <c r="L494" s="137" t="n">
        <f aca="false">IF('Calendario E'!L94="","",'Calendario E'!L94)</f>
        <v>65</v>
      </c>
      <c r="M494" s="139"/>
      <c r="N494" s="139"/>
      <c r="O494" s="139"/>
      <c r="P494" s="139"/>
      <c r="Q494" s="139"/>
      <c r="R494" s="139"/>
    </row>
    <row r="495" customFormat="false" ht="15" hidden="false" customHeight="true" outlineLevel="0" collapsed="false">
      <c r="A495" s="69"/>
      <c r="B495" s="48" t="str">
        <f aca="false">IF('Calendario E'!B95="","",'Calendario E'!B95)</f>
        <v>PalaVolpi, Via dello Sport 19, Volpiopoli VI</v>
      </c>
      <c r="C495" s="48"/>
      <c r="D495" s="48"/>
      <c r="E495" s="48"/>
      <c r="F495" s="48"/>
      <c r="G495" s="48"/>
      <c r="H495" s="48"/>
      <c r="I495" s="43" t="str">
        <f aca="false">IF('Calendario E'!I95="","",'Calendario E'!I95)</f>
        <v>E07</v>
      </c>
      <c r="J495" s="137"/>
      <c r="K495" s="137"/>
      <c r="L495" s="137"/>
      <c r="M495" s="137"/>
      <c r="N495" s="137"/>
      <c r="O495" s="137"/>
      <c r="P495" s="137"/>
      <c r="Q495" s="137"/>
      <c r="R495" s="137"/>
    </row>
    <row r="496" customFormat="false" ht="13.5" hidden="false" customHeight="true" outlineLevel="0" collapsed="false">
      <c r="A496" s="68" t="s">
        <v>334</v>
      </c>
      <c r="B496" s="68" t="s">
        <v>317</v>
      </c>
      <c r="C496" s="68"/>
      <c r="D496" s="68" t="s">
        <v>324</v>
      </c>
      <c r="E496" s="68"/>
      <c r="F496" s="68" t="s">
        <v>335</v>
      </c>
      <c r="G496" s="68" t="s">
        <v>336</v>
      </c>
      <c r="H496" s="68" t="s">
        <v>337</v>
      </c>
      <c r="I496" s="68"/>
      <c r="J496" s="68" t="s">
        <v>338</v>
      </c>
      <c r="K496" s="68"/>
      <c r="L496" s="68"/>
      <c r="M496" s="147" t="s">
        <v>539</v>
      </c>
      <c r="N496" s="147" t="s">
        <v>540</v>
      </c>
      <c r="O496" s="147" t="s">
        <v>541</v>
      </c>
      <c r="P496" s="147" t="s">
        <v>542</v>
      </c>
      <c r="Q496" s="147" t="s">
        <v>543</v>
      </c>
      <c r="R496" s="147" t="s">
        <v>544</v>
      </c>
    </row>
    <row r="497" customFormat="false" ht="21.75" hidden="false" customHeight="true" outlineLevel="0" collapsed="false">
      <c r="A497" s="69" t="n">
        <f aca="false">IF('Calendario E'!A97="","",'Calendario E'!A97)</f>
        <v>138</v>
      </c>
      <c r="B497" s="42" t="str">
        <f aca="false">IF('Calendario E'!B97="","",'Calendario E'!B97)</f>
        <v>Zibetti Zuccherini</v>
      </c>
      <c r="C497" s="43" t="str">
        <f aca="false">IF('Calendario E'!C97="","",'Calendario E'!C97)</f>
        <v>E08</v>
      </c>
      <c r="D497" s="42" t="str">
        <f aca="false">IF('Calendario E'!D97="","",'Calendario E'!D97)</f>
        <v>Ricci Rissosi</v>
      </c>
      <c r="E497" s="43" t="str">
        <f aca="false">IF('Calendario E'!E97="","",'Calendario E'!E97)</f>
        <v>E03</v>
      </c>
      <c r="F497" s="44" t="n">
        <f aca="false">IF('Calendario E'!F97="","",'Calendario E'!F97)</f>
        <v>46453.4791666667</v>
      </c>
      <c r="G497" s="44"/>
      <c r="H497" s="44"/>
      <c r="I497" s="44"/>
      <c r="J497" s="137" t="n">
        <f aca="false">IF('Calendario E'!J97="","",'Calendario E'!J97)</f>
        <v>66</v>
      </c>
      <c r="K497" s="138" t="s">
        <v>339</v>
      </c>
      <c r="L497" s="137" t="n">
        <f aca="false">IF('Calendario E'!L97="","",'Calendario E'!L97)</f>
        <v>57</v>
      </c>
      <c r="M497" s="139"/>
      <c r="N497" s="139"/>
      <c r="O497" s="139"/>
      <c r="P497" s="139"/>
      <c r="Q497" s="139"/>
      <c r="R497" s="139"/>
    </row>
    <row r="498" customFormat="false" ht="15" hidden="false" customHeight="true" outlineLevel="0" collapsed="false">
      <c r="A498" s="69"/>
      <c r="B498" s="48" t="str">
        <f aca="false">IF('Calendario E'!B98="","",'Calendario E'!B98)</f>
        <v>PalaVolpi, Via dello Sport 19, Volpiopoli VI</v>
      </c>
      <c r="C498" s="48"/>
      <c r="D498" s="48"/>
      <c r="E498" s="48"/>
      <c r="F498" s="48"/>
      <c r="G498" s="48"/>
      <c r="H498" s="48"/>
      <c r="I498" s="43" t="str">
        <f aca="false">IF('Calendario E'!I98="","",'Calendario E'!I98)</f>
        <v>E07</v>
      </c>
      <c r="J498" s="137"/>
      <c r="K498" s="137"/>
      <c r="L498" s="137"/>
      <c r="M498" s="137"/>
      <c r="N498" s="137"/>
      <c r="O498" s="137"/>
      <c r="P498" s="137"/>
      <c r="Q498" s="137"/>
      <c r="R498" s="137"/>
    </row>
    <row r="499" customFormat="false" ht="13.5" hidden="false" customHeight="true" outlineLevel="0" collapsed="false">
      <c r="A499" s="68" t="s">
        <v>334</v>
      </c>
      <c r="B499" s="68" t="s">
        <v>317</v>
      </c>
      <c r="C499" s="68"/>
      <c r="D499" s="68" t="s">
        <v>324</v>
      </c>
      <c r="E499" s="68"/>
      <c r="F499" s="68" t="s">
        <v>335</v>
      </c>
      <c r="G499" s="68" t="s">
        <v>336</v>
      </c>
      <c r="H499" s="68" t="s">
        <v>337</v>
      </c>
      <c r="I499" s="68"/>
      <c r="J499" s="68" t="s">
        <v>338</v>
      </c>
      <c r="K499" s="68"/>
      <c r="L499" s="68"/>
      <c r="M499" s="147" t="s">
        <v>539</v>
      </c>
      <c r="N499" s="147" t="s">
        <v>540</v>
      </c>
      <c r="O499" s="147" t="s">
        <v>541</v>
      </c>
      <c r="P499" s="147" t="s">
        <v>542</v>
      </c>
      <c r="Q499" s="147" t="s">
        <v>543</v>
      </c>
      <c r="R499" s="147" t="s">
        <v>544</v>
      </c>
    </row>
    <row r="500" customFormat="false" ht="21.75" hidden="false" customHeight="true" outlineLevel="0" collapsed="false">
      <c r="A500" s="69" t="n">
        <f aca="false">IF('Calendario E'!A100="","",'Calendario E'!A100)</f>
        <v>139</v>
      </c>
      <c r="B500" s="42" t="str">
        <f aca="false">IF('Calendario E'!B100="","",'Calendario E'!B100)</f>
        <v>Scoiattoli Scattanti</v>
      </c>
      <c r="C500" s="43" t="str">
        <f aca="false">IF('Calendario E'!C100="","",'Calendario E'!C100)</f>
        <v>E04</v>
      </c>
      <c r="D500" s="42" t="str">
        <f aca="false">IF('Calendario E'!D100="","",'Calendario E'!D100)</f>
        <v>Volpi Vorticose</v>
      </c>
      <c r="E500" s="43" t="str">
        <f aca="false">IF('Calendario E'!E100="","",'Calendario E'!E100)</f>
        <v>E07</v>
      </c>
      <c r="F500" s="44" t="n">
        <f aca="false">IF('Calendario E'!F100="","",'Calendario E'!F100)</f>
        <v>46453.625</v>
      </c>
      <c r="G500" s="44"/>
      <c r="H500" s="44"/>
      <c r="I500" s="44"/>
      <c r="J500" s="137" t="n">
        <f aca="false">IF('Calendario E'!J100="","",'Calendario E'!J100)</f>
        <v>68</v>
      </c>
      <c r="K500" s="138" t="s">
        <v>339</v>
      </c>
      <c r="L500" s="137" t="n">
        <f aca="false">IF('Calendario E'!L100="","",'Calendario E'!L100)</f>
        <v>51</v>
      </c>
      <c r="M500" s="139"/>
      <c r="N500" s="139"/>
      <c r="O500" s="139"/>
      <c r="P500" s="139"/>
      <c r="Q500" s="139"/>
      <c r="R500" s="139"/>
    </row>
    <row r="501" customFormat="false" ht="15" hidden="false" customHeight="true" outlineLevel="0" collapsed="false">
      <c r="A501" s="69"/>
      <c r="B501" s="48" t="str">
        <f aca="false">IF('Calendario E'!B101="","",'Calendario E'!B101)</f>
        <v>PalaVolpi, Via dello Sport 19, Volpiopoli VI</v>
      </c>
      <c r="C501" s="48"/>
      <c r="D501" s="48"/>
      <c r="E501" s="48"/>
      <c r="F501" s="48"/>
      <c r="G501" s="48"/>
      <c r="H501" s="48"/>
      <c r="I501" s="43" t="str">
        <f aca="false">IF('Calendario E'!I101="","",'Calendario E'!I101)</f>
        <v>E07</v>
      </c>
      <c r="J501" s="137"/>
      <c r="K501" s="137"/>
      <c r="L501" s="137"/>
      <c r="M501" s="137"/>
      <c r="N501" s="137"/>
      <c r="O501" s="137"/>
      <c r="P501" s="137"/>
      <c r="Q501" s="137"/>
      <c r="R501" s="137"/>
    </row>
    <row r="502" customFormat="false" ht="13.5" hidden="false" customHeight="true" outlineLevel="0" collapsed="false">
      <c r="A502" s="68" t="s">
        <v>334</v>
      </c>
      <c r="B502" s="68" t="s">
        <v>317</v>
      </c>
      <c r="C502" s="68"/>
      <c r="D502" s="68" t="s">
        <v>324</v>
      </c>
      <c r="E502" s="68"/>
      <c r="F502" s="68" t="s">
        <v>335</v>
      </c>
      <c r="G502" s="68" t="s">
        <v>336</v>
      </c>
      <c r="H502" s="68" t="s">
        <v>337</v>
      </c>
      <c r="I502" s="68"/>
      <c r="J502" s="68" t="s">
        <v>338</v>
      </c>
      <c r="K502" s="68"/>
      <c r="L502" s="68"/>
      <c r="M502" s="147" t="s">
        <v>539</v>
      </c>
      <c r="N502" s="147" t="s">
        <v>540</v>
      </c>
      <c r="O502" s="147" t="s">
        <v>541</v>
      </c>
      <c r="P502" s="147" t="s">
        <v>542</v>
      </c>
      <c r="Q502" s="147" t="s">
        <v>543</v>
      </c>
      <c r="R502" s="147" t="s">
        <v>544</v>
      </c>
    </row>
    <row r="503" customFormat="false" ht="21.75" hidden="false" customHeight="true" outlineLevel="0" collapsed="false">
      <c r="A503" s="69" t="n">
        <f aca="false">IF('Calendario E'!A103="","",'Calendario E'!A103)</f>
        <v>140</v>
      </c>
      <c r="B503" s="42" t="str">
        <f aca="false">IF('Calendario E'!B103="","",'Calendario E'!B103)</f>
        <v>Uistiti Ubiqui</v>
      </c>
      <c r="C503" s="43" t="str">
        <f aca="false">IF('Calendario E'!C103="","",'Calendario E'!C103)</f>
        <v>E06</v>
      </c>
      <c r="D503" s="42" t="str">
        <f aca="false">IF('Calendario E'!D103="","",'Calendario E'!D103)</f>
        <v>Tassi Turbolenti</v>
      </c>
      <c r="E503" s="43" t="str">
        <f aca="false">IF('Calendario E'!E103="","",'Calendario E'!E103)</f>
        <v>E05</v>
      </c>
      <c r="F503" s="44" t="n">
        <f aca="false">IF('Calendario E'!F103="","",'Calendario E'!F103)</f>
        <v>46453.7083333333</v>
      </c>
      <c r="G503" s="44"/>
      <c r="H503" s="44"/>
      <c r="I503" s="44"/>
      <c r="J503" s="137" t="n">
        <f aca="false">IF('Calendario E'!J103="","",'Calendario E'!J103)</f>
        <v>37</v>
      </c>
      <c r="K503" s="138" t="s">
        <v>339</v>
      </c>
      <c r="L503" s="137" t="n">
        <f aca="false">IF('Calendario E'!L103="","",'Calendario E'!L103)</f>
        <v>69</v>
      </c>
      <c r="M503" s="139"/>
      <c r="N503" s="139"/>
      <c r="O503" s="139"/>
      <c r="P503" s="139"/>
      <c r="Q503" s="139"/>
      <c r="R503" s="139"/>
    </row>
    <row r="504" customFormat="false" ht="15" hidden="false" customHeight="true" outlineLevel="0" collapsed="false">
      <c r="A504" s="69"/>
      <c r="B504" s="48" t="str">
        <f aca="false">IF('Calendario E'!B104="","",'Calendario E'!B104)</f>
        <v>PalaVolpi, Via dello Sport 19, Volpiopoli VI</v>
      </c>
      <c r="C504" s="48"/>
      <c r="D504" s="48"/>
      <c r="E504" s="48"/>
      <c r="F504" s="48"/>
      <c r="G504" s="48"/>
      <c r="H504" s="48"/>
      <c r="I504" s="43" t="str">
        <f aca="false">IF('Calendario E'!I104="","",'Calendario E'!I104)</f>
        <v>E07</v>
      </c>
      <c r="J504" s="137"/>
      <c r="K504" s="137"/>
      <c r="L504" s="137"/>
      <c r="M504" s="137"/>
      <c r="N504" s="137"/>
      <c r="O504" s="137"/>
      <c r="P504" s="137"/>
      <c r="Q504" s="137"/>
      <c r="R504" s="137"/>
    </row>
    <row r="508" customFormat="false" ht="19.5" hidden="false" customHeight="true" outlineLevel="0" collapsed="false">
      <c r="A508" s="71" t="str">
        <f aca="false">IF('Calendario F'!A8="","",'Calendario F'!A8)</f>
        <v>1F</v>
      </c>
      <c r="B508" s="72" t="str">
        <f aca="false">IF('Calendario F'!B8="","",'Calendario F'!B8)</f>
        <v>GIORNATA I - GIRONE F</v>
      </c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148" t="s">
        <v>537</v>
      </c>
      <c r="N508" s="148"/>
      <c r="O508" s="148"/>
      <c r="P508" s="148" t="s">
        <v>538</v>
      </c>
      <c r="Q508" s="148"/>
      <c r="R508" s="148"/>
    </row>
    <row r="509" customFormat="false" ht="13.5" hidden="false" customHeight="true" outlineLevel="0" collapsed="false">
      <c r="A509" s="73" t="s">
        <v>334</v>
      </c>
      <c r="B509" s="73" t="s">
        <v>317</v>
      </c>
      <c r="C509" s="73"/>
      <c r="D509" s="73" t="s">
        <v>324</v>
      </c>
      <c r="E509" s="73"/>
      <c r="F509" s="73" t="s">
        <v>335</v>
      </c>
      <c r="G509" s="73" t="s">
        <v>336</v>
      </c>
      <c r="H509" s="73" t="s">
        <v>337</v>
      </c>
      <c r="I509" s="73"/>
      <c r="J509" s="73" t="s">
        <v>338</v>
      </c>
      <c r="K509" s="73"/>
      <c r="L509" s="73"/>
      <c r="M509" s="149" t="s">
        <v>539</v>
      </c>
      <c r="N509" s="149" t="s">
        <v>540</v>
      </c>
      <c r="O509" s="149" t="s">
        <v>541</v>
      </c>
      <c r="P509" s="149" t="s">
        <v>542</v>
      </c>
      <c r="Q509" s="149" t="s">
        <v>543</v>
      </c>
      <c r="R509" s="149" t="s">
        <v>544</v>
      </c>
    </row>
    <row r="510" customFormat="false" ht="21.75" hidden="false" customHeight="true" outlineLevel="0" collapsed="false">
      <c r="A510" s="74" t="n">
        <f aca="false">IF('Calendario F'!A10="","",'Calendario F'!A10)</f>
        <v>141</v>
      </c>
      <c r="B510" s="42" t="str">
        <f aca="false">IF('Calendario F'!B10="","",'Calendario F'!B10)</f>
        <v>Antilopi Ardite</v>
      </c>
      <c r="C510" s="43" t="str">
        <f aca="false">IF('Calendario F'!C10="","",'Calendario F'!C10)</f>
        <v>F01</v>
      </c>
      <c r="D510" s="42" t="str">
        <f aca="false">IF('Calendario F'!D10="","",'Calendario F'!D10)</f>
        <v>Iene Ilari</v>
      </c>
      <c r="E510" s="43" t="str">
        <f aca="false">IF('Calendario F'!E10="","",'Calendario F'!E10)</f>
        <v>F08</v>
      </c>
      <c r="F510" s="44" t="n">
        <f aca="false">IF('Calendario F'!F10="","",'Calendario F'!F10)</f>
        <v>46313.3958333333</v>
      </c>
      <c r="G510" s="44"/>
      <c r="H510" s="44"/>
      <c r="I510" s="44"/>
      <c r="J510" s="137" t="n">
        <f aca="false">IF('Calendario F'!J10="","",'Calendario F'!J10)</f>
        <v>57</v>
      </c>
      <c r="K510" s="138" t="s">
        <v>339</v>
      </c>
      <c r="L510" s="137" t="n">
        <f aca="false">IF('Calendario F'!L10="","",'Calendario F'!L10)</f>
        <v>66</v>
      </c>
      <c r="M510" s="139"/>
      <c r="N510" s="139"/>
      <c r="O510" s="139"/>
      <c r="P510" s="139"/>
      <c r="Q510" s="139"/>
      <c r="R510" s="139"/>
    </row>
    <row r="511" customFormat="false" ht="15" hidden="false" customHeight="true" outlineLevel="0" collapsed="false">
      <c r="A511" s="74"/>
      <c r="B511" s="48" t="str">
        <f aca="false">IF('Calendario F'!B11="","",'Calendario F'!B11)</f>
        <v>PalaAntilopi, Via dello Sport 1, Antilopiopoli AI</v>
      </c>
      <c r="C511" s="48"/>
      <c r="D511" s="48"/>
      <c r="E511" s="48"/>
      <c r="F511" s="48"/>
      <c r="G511" s="48"/>
      <c r="H511" s="48"/>
      <c r="I511" s="43" t="str">
        <f aca="false">IF('Calendario F'!I11="","",'Calendario F'!I11)</f>
        <v>F01</v>
      </c>
      <c r="J511" s="137"/>
      <c r="K511" s="137"/>
      <c r="L511" s="137"/>
      <c r="M511" s="137"/>
      <c r="N511" s="137"/>
      <c r="O511" s="137"/>
      <c r="P511" s="137"/>
      <c r="Q511" s="137"/>
      <c r="R511" s="137"/>
    </row>
    <row r="512" customFormat="false" ht="13.5" hidden="false" customHeight="true" outlineLevel="0" collapsed="false">
      <c r="A512" s="73" t="s">
        <v>334</v>
      </c>
      <c r="B512" s="73" t="s">
        <v>317</v>
      </c>
      <c r="C512" s="73"/>
      <c r="D512" s="73" t="s">
        <v>324</v>
      </c>
      <c r="E512" s="73"/>
      <c r="F512" s="73" t="s">
        <v>335</v>
      </c>
      <c r="G512" s="73" t="s">
        <v>336</v>
      </c>
      <c r="H512" s="73" t="s">
        <v>337</v>
      </c>
      <c r="I512" s="73"/>
      <c r="J512" s="73" t="s">
        <v>338</v>
      </c>
      <c r="K512" s="73"/>
      <c r="L512" s="73"/>
      <c r="M512" s="149" t="s">
        <v>539</v>
      </c>
      <c r="N512" s="149" t="s">
        <v>540</v>
      </c>
      <c r="O512" s="149" t="s">
        <v>541</v>
      </c>
      <c r="P512" s="149" t="s">
        <v>542</v>
      </c>
      <c r="Q512" s="149" t="s">
        <v>543</v>
      </c>
      <c r="R512" s="149" t="s">
        <v>544</v>
      </c>
    </row>
    <row r="513" customFormat="false" ht="21.75" hidden="false" customHeight="true" outlineLevel="0" collapsed="false">
      <c r="A513" s="74" t="n">
        <f aca="false">IF('Calendario F'!A13="","",'Calendario F'!A13)</f>
        <v>142</v>
      </c>
      <c r="B513" s="42" t="str">
        <f aca="false">IF('Calendario F'!B13="","",'Calendario F'!B13)</f>
        <v>Gufi Golosi</v>
      </c>
      <c r="C513" s="43" t="str">
        <f aca="false">IF('Calendario F'!C13="","",'Calendario F'!C13)</f>
        <v>F07</v>
      </c>
      <c r="D513" s="42" t="str">
        <f aca="false">IF('Calendario F'!D13="","",'Calendario F'!D13)</f>
        <v>Balene Bizzarre</v>
      </c>
      <c r="E513" s="43" t="str">
        <f aca="false">IF('Calendario F'!E13="","",'Calendario F'!E13)</f>
        <v>F02</v>
      </c>
      <c r="F513" s="44" t="n">
        <f aca="false">IF('Calendario F'!F13="","",'Calendario F'!F13)</f>
        <v>46313.4791666667</v>
      </c>
      <c r="G513" s="44"/>
      <c r="H513" s="44"/>
      <c r="I513" s="44"/>
      <c r="J513" s="137" t="n">
        <f aca="false">IF('Calendario F'!J13="","",'Calendario F'!J13)</f>
        <v>66</v>
      </c>
      <c r="K513" s="138" t="s">
        <v>339</v>
      </c>
      <c r="L513" s="137" t="n">
        <f aca="false">IF('Calendario F'!L13="","",'Calendario F'!L13)</f>
        <v>56</v>
      </c>
      <c r="M513" s="139"/>
      <c r="N513" s="139"/>
      <c r="O513" s="139"/>
      <c r="P513" s="139"/>
      <c r="Q513" s="139"/>
      <c r="R513" s="139"/>
    </row>
    <row r="514" customFormat="false" ht="15" hidden="false" customHeight="true" outlineLevel="0" collapsed="false">
      <c r="A514" s="74"/>
      <c r="B514" s="48" t="str">
        <f aca="false">IF('Calendario F'!B14="","",'Calendario F'!B14)</f>
        <v>PalaAntilopi, Via dello Sport 1, Antilopiopoli AI</v>
      </c>
      <c r="C514" s="48"/>
      <c r="D514" s="48"/>
      <c r="E514" s="48"/>
      <c r="F514" s="48"/>
      <c r="G514" s="48"/>
      <c r="H514" s="48"/>
      <c r="I514" s="43" t="str">
        <f aca="false">IF('Calendario F'!I14="","",'Calendario F'!I14)</f>
        <v>F01</v>
      </c>
      <c r="J514" s="137"/>
      <c r="K514" s="137"/>
      <c r="L514" s="137"/>
      <c r="M514" s="137"/>
      <c r="N514" s="137"/>
      <c r="O514" s="137"/>
      <c r="P514" s="137"/>
      <c r="Q514" s="137"/>
      <c r="R514" s="137"/>
    </row>
    <row r="515" customFormat="false" ht="13.5" hidden="false" customHeight="true" outlineLevel="0" collapsed="false">
      <c r="A515" s="73" t="s">
        <v>334</v>
      </c>
      <c r="B515" s="73" t="s">
        <v>317</v>
      </c>
      <c r="C515" s="73"/>
      <c r="D515" s="73" t="s">
        <v>324</v>
      </c>
      <c r="E515" s="73"/>
      <c r="F515" s="73" t="s">
        <v>335</v>
      </c>
      <c r="G515" s="73" t="s">
        <v>336</v>
      </c>
      <c r="H515" s="73" t="s">
        <v>337</v>
      </c>
      <c r="I515" s="73"/>
      <c r="J515" s="73" t="s">
        <v>338</v>
      </c>
      <c r="K515" s="73"/>
      <c r="L515" s="73"/>
      <c r="M515" s="149" t="s">
        <v>539</v>
      </c>
      <c r="N515" s="149" t="s">
        <v>540</v>
      </c>
      <c r="O515" s="149" t="s">
        <v>541</v>
      </c>
      <c r="P515" s="149" t="s">
        <v>542</v>
      </c>
      <c r="Q515" s="149" t="s">
        <v>543</v>
      </c>
      <c r="R515" s="149" t="s">
        <v>544</v>
      </c>
    </row>
    <row r="516" customFormat="false" ht="21.75" hidden="false" customHeight="true" outlineLevel="0" collapsed="false">
      <c r="A516" s="74" t="n">
        <f aca="false">IF('Calendario F'!A16="","",'Calendario F'!A16)</f>
        <v>143</v>
      </c>
      <c r="B516" s="42" t="str">
        <f aca="false">IF('Calendario F'!B16="","",'Calendario F'!B16)</f>
        <v>Camaleonti Caotici</v>
      </c>
      <c r="C516" s="43" t="str">
        <f aca="false">IF('Calendario F'!C16="","",'Calendario F'!C16)</f>
        <v>F03</v>
      </c>
      <c r="D516" s="42" t="str">
        <f aca="false">IF('Calendario F'!D16="","",'Calendario F'!D16)</f>
        <v>Foche Frenetiche</v>
      </c>
      <c r="E516" s="43" t="str">
        <f aca="false">IF('Calendario F'!E16="","",'Calendario F'!E16)</f>
        <v>F06</v>
      </c>
      <c r="F516" s="44" t="n">
        <f aca="false">IF('Calendario F'!F16="","",'Calendario F'!F16)</f>
        <v>46313.625</v>
      </c>
      <c r="G516" s="44"/>
      <c r="H516" s="44"/>
      <c r="I516" s="44"/>
      <c r="J516" s="137" t="n">
        <f aca="false">IF('Calendario F'!J16="","",'Calendario F'!J16)</f>
        <v>49</v>
      </c>
      <c r="K516" s="138" t="s">
        <v>339</v>
      </c>
      <c r="L516" s="137" t="n">
        <f aca="false">IF('Calendario F'!L16="","",'Calendario F'!L16)</f>
        <v>57</v>
      </c>
      <c r="M516" s="139"/>
      <c r="N516" s="139"/>
      <c r="O516" s="139"/>
      <c r="P516" s="139"/>
      <c r="Q516" s="139"/>
      <c r="R516" s="139"/>
    </row>
    <row r="517" customFormat="false" ht="15" hidden="false" customHeight="true" outlineLevel="0" collapsed="false">
      <c r="A517" s="74"/>
      <c r="B517" s="48" t="str">
        <f aca="false">IF('Calendario F'!B17="","",'Calendario F'!B17)</f>
        <v>PalaAntilopi, Via dello Sport 1, Antilopiopoli AI</v>
      </c>
      <c r="C517" s="48"/>
      <c r="D517" s="48"/>
      <c r="E517" s="48"/>
      <c r="F517" s="48"/>
      <c r="G517" s="48"/>
      <c r="H517" s="48"/>
      <c r="I517" s="43" t="str">
        <f aca="false">IF('Calendario F'!I17="","",'Calendario F'!I17)</f>
        <v>F01</v>
      </c>
      <c r="J517" s="137"/>
      <c r="K517" s="137"/>
      <c r="L517" s="137"/>
      <c r="M517" s="137"/>
      <c r="N517" s="137"/>
      <c r="O517" s="137"/>
      <c r="P517" s="137"/>
      <c r="Q517" s="137"/>
      <c r="R517" s="137"/>
    </row>
    <row r="518" customFormat="false" ht="13.5" hidden="false" customHeight="true" outlineLevel="0" collapsed="false">
      <c r="A518" s="73" t="s">
        <v>334</v>
      </c>
      <c r="B518" s="73" t="s">
        <v>317</v>
      </c>
      <c r="C518" s="73"/>
      <c r="D518" s="73" t="s">
        <v>324</v>
      </c>
      <c r="E518" s="73"/>
      <c r="F518" s="73" t="s">
        <v>335</v>
      </c>
      <c r="G518" s="73" t="s">
        <v>336</v>
      </c>
      <c r="H518" s="73" t="s">
        <v>337</v>
      </c>
      <c r="I518" s="73"/>
      <c r="J518" s="73" t="s">
        <v>338</v>
      </c>
      <c r="K518" s="73"/>
      <c r="L518" s="73"/>
      <c r="M518" s="149" t="s">
        <v>539</v>
      </c>
      <c r="N518" s="149" t="s">
        <v>540</v>
      </c>
      <c r="O518" s="149" t="s">
        <v>541</v>
      </c>
      <c r="P518" s="149" t="s">
        <v>542</v>
      </c>
      <c r="Q518" s="149" t="s">
        <v>543</v>
      </c>
      <c r="R518" s="149" t="s">
        <v>544</v>
      </c>
    </row>
    <row r="519" customFormat="false" ht="21.75" hidden="false" customHeight="true" outlineLevel="0" collapsed="false">
      <c r="A519" s="74" t="n">
        <f aca="false">IF('Calendario F'!A19="","",'Calendario F'!A19)</f>
        <v>144</v>
      </c>
      <c r="B519" s="42" t="str">
        <f aca="false">IF('Calendario F'!B19="","",'Calendario F'!B19)</f>
        <v>Emu Energici</v>
      </c>
      <c r="C519" s="43" t="str">
        <f aca="false">IF('Calendario F'!C19="","",'Calendario F'!C19)</f>
        <v>F05</v>
      </c>
      <c r="D519" s="42" t="str">
        <f aca="false">IF('Calendario F'!D19="","",'Calendario F'!D19)</f>
        <v>Donnole Determinate</v>
      </c>
      <c r="E519" s="43" t="str">
        <f aca="false">IF('Calendario F'!E19="","",'Calendario F'!E19)</f>
        <v>F04</v>
      </c>
      <c r="F519" s="44" t="n">
        <f aca="false">IF('Calendario F'!F19="","",'Calendario F'!F19)</f>
        <v>46313.7083333333</v>
      </c>
      <c r="G519" s="44"/>
      <c r="H519" s="44"/>
      <c r="I519" s="44"/>
      <c r="J519" s="137" t="n">
        <f aca="false">IF('Calendario F'!J19="","",'Calendario F'!J19)</f>
        <v>62</v>
      </c>
      <c r="K519" s="138" t="s">
        <v>339</v>
      </c>
      <c r="L519" s="137" t="n">
        <f aca="false">IF('Calendario F'!L19="","",'Calendario F'!L19)</f>
        <v>58</v>
      </c>
      <c r="M519" s="139"/>
      <c r="N519" s="139"/>
      <c r="O519" s="139"/>
      <c r="P519" s="139"/>
      <c r="Q519" s="139"/>
      <c r="R519" s="139"/>
    </row>
    <row r="520" customFormat="false" ht="15" hidden="false" customHeight="true" outlineLevel="0" collapsed="false">
      <c r="A520" s="74"/>
      <c r="B520" s="48" t="str">
        <f aca="false">IF('Calendario F'!B20="","",'Calendario F'!B20)</f>
        <v>PalaAntilopi, Via dello Sport 1, Antilopiopoli AI</v>
      </c>
      <c r="C520" s="48"/>
      <c r="D520" s="48"/>
      <c r="E520" s="48"/>
      <c r="F520" s="48"/>
      <c r="G520" s="48"/>
      <c r="H520" s="48"/>
      <c r="I520" s="43" t="str">
        <f aca="false">IF('Calendario F'!I20="","",'Calendario F'!I20)</f>
        <v>F01</v>
      </c>
      <c r="J520" s="137"/>
      <c r="K520" s="137"/>
      <c r="L520" s="137"/>
      <c r="M520" s="137"/>
      <c r="N520" s="137"/>
      <c r="O520" s="137"/>
      <c r="P520" s="137"/>
      <c r="Q520" s="137"/>
      <c r="R520" s="137"/>
    </row>
    <row r="522" customFormat="false" ht="19.5" hidden="false" customHeight="true" outlineLevel="0" collapsed="false">
      <c r="A522" s="71" t="str">
        <f aca="false">IF('Calendario F'!A22="","",'Calendario F'!A22)</f>
        <v>2F</v>
      </c>
      <c r="B522" s="72" t="str">
        <f aca="false">IF('Calendario F'!B22="","",'Calendario F'!B22)</f>
        <v>GIORNATA II - GIRONE F</v>
      </c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148" t="s">
        <v>537</v>
      </c>
      <c r="N522" s="148"/>
      <c r="O522" s="148"/>
      <c r="P522" s="148" t="s">
        <v>538</v>
      </c>
      <c r="Q522" s="148"/>
      <c r="R522" s="148"/>
    </row>
    <row r="523" customFormat="false" ht="13.5" hidden="false" customHeight="true" outlineLevel="0" collapsed="false">
      <c r="A523" s="73" t="s">
        <v>334</v>
      </c>
      <c r="B523" s="73" t="s">
        <v>317</v>
      </c>
      <c r="C523" s="73"/>
      <c r="D523" s="73" t="s">
        <v>324</v>
      </c>
      <c r="E523" s="73"/>
      <c r="F523" s="73" t="s">
        <v>335</v>
      </c>
      <c r="G523" s="73" t="s">
        <v>336</v>
      </c>
      <c r="H523" s="73" t="s">
        <v>337</v>
      </c>
      <c r="I523" s="73"/>
      <c r="J523" s="73" t="s">
        <v>338</v>
      </c>
      <c r="K523" s="73"/>
      <c r="L523" s="73"/>
      <c r="M523" s="149" t="s">
        <v>539</v>
      </c>
      <c r="N523" s="149" t="s">
        <v>540</v>
      </c>
      <c r="O523" s="149" t="s">
        <v>541</v>
      </c>
      <c r="P523" s="149" t="s">
        <v>542</v>
      </c>
      <c r="Q523" s="149" t="s">
        <v>543</v>
      </c>
      <c r="R523" s="149" t="s">
        <v>544</v>
      </c>
    </row>
    <row r="524" customFormat="false" ht="21.75" hidden="false" customHeight="true" outlineLevel="0" collapsed="false">
      <c r="A524" s="74" t="n">
        <f aca="false">IF('Calendario F'!A24="","",'Calendario F'!A24)</f>
        <v>145</v>
      </c>
      <c r="B524" s="42" t="str">
        <f aca="false">IF('Calendario F'!B24="","",'Calendario F'!B24)</f>
        <v>Gufi Golosi</v>
      </c>
      <c r="C524" s="43" t="str">
        <f aca="false">IF('Calendario F'!C24="","",'Calendario F'!C24)</f>
        <v>F07</v>
      </c>
      <c r="D524" s="42" t="str">
        <f aca="false">IF('Calendario F'!D24="","",'Calendario F'!D24)</f>
        <v>Antilopi Ardite</v>
      </c>
      <c r="E524" s="43" t="str">
        <f aca="false">IF('Calendario F'!E24="","",'Calendario F'!E24)</f>
        <v>F01</v>
      </c>
      <c r="F524" s="44" t="n">
        <f aca="false">IF('Calendario F'!F24="","",'Calendario F'!F24)</f>
        <v>46334.3958333333</v>
      </c>
      <c r="G524" s="44"/>
      <c r="H524" s="44"/>
      <c r="I524" s="44"/>
      <c r="J524" s="137" t="n">
        <f aca="false">IF('Calendario F'!J24="","",'Calendario F'!J24)</f>
        <v>62</v>
      </c>
      <c r="K524" s="138" t="s">
        <v>339</v>
      </c>
      <c r="L524" s="137" t="n">
        <f aca="false">IF('Calendario F'!L24="","",'Calendario F'!L24)</f>
        <v>58</v>
      </c>
      <c r="M524" s="139"/>
      <c r="N524" s="139"/>
      <c r="O524" s="139"/>
      <c r="P524" s="139"/>
      <c r="Q524" s="139"/>
      <c r="R524" s="139"/>
    </row>
    <row r="525" customFormat="false" ht="15" hidden="false" customHeight="true" outlineLevel="0" collapsed="false">
      <c r="A525" s="74"/>
      <c r="B525" s="48" t="str">
        <f aca="false">IF('Calendario F'!B25="","",'Calendario F'!B25)</f>
        <v>PalaBalene, Via dello Sport 2, Baleneopoli BE</v>
      </c>
      <c r="C525" s="48"/>
      <c r="D525" s="48"/>
      <c r="E525" s="48"/>
      <c r="F525" s="48"/>
      <c r="G525" s="48"/>
      <c r="H525" s="48"/>
      <c r="I525" s="43" t="str">
        <f aca="false">IF('Calendario F'!I25="","",'Calendario F'!I25)</f>
        <v>F02</v>
      </c>
      <c r="J525" s="137"/>
      <c r="K525" s="137"/>
      <c r="L525" s="137"/>
      <c r="M525" s="137"/>
      <c r="N525" s="137"/>
      <c r="O525" s="137"/>
      <c r="P525" s="137"/>
      <c r="Q525" s="137"/>
      <c r="R525" s="137"/>
    </row>
    <row r="526" customFormat="false" ht="13.5" hidden="false" customHeight="true" outlineLevel="0" collapsed="false">
      <c r="A526" s="73" t="s">
        <v>334</v>
      </c>
      <c r="B526" s="73" t="s">
        <v>317</v>
      </c>
      <c r="C526" s="73"/>
      <c r="D526" s="73" t="s">
        <v>324</v>
      </c>
      <c r="E526" s="73"/>
      <c r="F526" s="73" t="s">
        <v>335</v>
      </c>
      <c r="G526" s="73" t="s">
        <v>336</v>
      </c>
      <c r="H526" s="73" t="s">
        <v>337</v>
      </c>
      <c r="I526" s="73"/>
      <c r="J526" s="73" t="s">
        <v>338</v>
      </c>
      <c r="K526" s="73"/>
      <c r="L526" s="73"/>
      <c r="M526" s="149" t="s">
        <v>539</v>
      </c>
      <c r="N526" s="149" t="s">
        <v>540</v>
      </c>
      <c r="O526" s="149" t="s">
        <v>541</v>
      </c>
      <c r="P526" s="149" t="s">
        <v>542</v>
      </c>
      <c r="Q526" s="149" t="s">
        <v>543</v>
      </c>
      <c r="R526" s="149" t="s">
        <v>544</v>
      </c>
    </row>
    <row r="527" customFormat="false" ht="21.75" hidden="false" customHeight="true" outlineLevel="0" collapsed="false">
      <c r="A527" s="74" t="n">
        <f aca="false">IF('Calendario F'!A27="","",'Calendario F'!A27)</f>
        <v>146</v>
      </c>
      <c r="B527" s="42" t="str">
        <f aca="false">IF('Calendario F'!B27="","",'Calendario F'!B27)</f>
        <v>Iene Ilari</v>
      </c>
      <c r="C527" s="43" t="str">
        <f aca="false">IF('Calendario F'!C27="","",'Calendario F'!C27)</f>
        <v>F08</v>
      </c>
      <c r="D527" s="42" t="str">
        <f aca="false">IF('Calendario F'!D27="","",'Calendario F'!D27)</f>
        <v>Foche Frenetiche</v>
      </c>
      <c r="E527" s="43" t="str">
        <f aca="false">IF('Calendario F'!E27="","",'Calendario F'!E27)</f>
        <v>F06</v>
      </c>
      <c r="F527" s="44" t="n">
        <f aca="false">IF('Calendario F'!F27="","",'Calendario F'!F27)</f>
        <v>46334.4791666667</v>
      </c>
      <c r="G527" s="44"/>
      <c r="H527" s="44"/>
      <c r="I527" s="44"/>
      <c r="J527" s="137" t="n">
        <f aca="false">IF('Calendario F'!J27="","",'Calendario F'!J27)</f>
        <v>83</v>
      </c>
      <c r="K527" s="138" t="s">
        <v>339</v>
      </c>
      <c r="L527" s="137" t="n">
        <f aca="false">IF('Calendario F'!L27="","",'Calendario F'!L27)</f>
        <v>51</v>
      </c>
      <c r="M527" s="139"/>
      <c r="N527" s="139"/>
      <c r="O527" s="139"/>
      <c r="P527" s="139"/>
      <c r="Q527" s="139"/>
      <c r="R527" s="139"/>
    </row>
    <row r="528" customFormat="false" ht="15" hidden="false" customHeight="true" outlineLevel="0" collapsed="false">
      <c r="A528" s="74"/>
      <c r="B528" s="48" t="str">
        <f aca="false">IF('Calendario F'!B28="","",'Calendario F'!B28)</f>
        <v>PalaBalene, Via dello Sport 2, Baleneopoli BE</v>
      </c>
      <c r="C528" s="48"/>
      <c r="D528" s="48"/>
      <c r="E528" s="48"/>
      <c r="F528" s="48"/>
      <c r="G528" s="48"/>
      <c r="H528" s="48"/>
      <c r="I528" s="43" t="str">
        <f aca="false">IF('Calendario F'!I28="","",'Calendario F'!I28)</f>
        <v>F02</v>
      </c>
      <c r="J528" s="137"/>
      <c r="K528" s="137"/>
      <c r="L528" s="137"/>
      <c r="M528" s="137"/>
      <c r="N528" s="137"/>
      <c r="O528" s="137"/>
      <c r="P528" s="137"/>
      <c r="Q528" s="137"/>
      <c r="R528" s="137"/>
    </row>
    <row r="529" customFormat="false" ht="13.5" hidden="false" customHeight="true" outlineLevel="0" collapsed="false">
      <c r="A529" s="73" t="s">
        <v>334</v>
      </c>
      <c r="B529" s="73" t="s">
        <v>317</v>
      </c>
      <c r="C529" s="73"/>
      <c r="D529" s="73" t="s">
        <v>324</v>
      </c>
      <c r="E529" s="73"/>
      <c r="F529" s="73" t="s">
        <v>335</v>
      </c>
      <c r="G529" s="73" t="s">
        <v>336</v>
      </c>
      <c r="H529" s="73" t="s">
        <v>337</v>
      </c>
      <c r="I529" s="73"/>
      <c r="J529" s="73" t="s">
        <v>338</v>
      </c>
      <c r="K529" s="73"/>
      <c r="L529" s="73"/>
      <c r="M529" s="149" t="s">
        <v>539</v>
      </c>
      <c r="N529" s="149" t="s">
        <v>540</v>
      </c>
      <c r="O529" s="149" t="s">
        <v>541</v>
      </c>
      <c r="P529" s="149" t="s">
        <v>542</v>
      </c>
      <c r="Q529" s="149" t="s">
        <v>543</v>
      </c>
      <c r="R529" s="149" t="s">
        <v>544</v>
      </c>
    </row>
    <row r="530" customFormat="false" ht="21.75" hidden="false" customHeight="true" outlineLevel="0" collapsed="false">
      <c r="A530" s="74" t="n">
        <f aca="false">IF('Calendario F'!A30="","",'Calendario F'!A30)</f>
        <v>147</v>
      </c>
      <c r="B530" s="42" t="str">
        <f aca="false">IF('Calendario F'!B30="","",'Calendario F'!B30)</f>
        <v>Emu Energici</v>
      </c>
      <c r="C530" s="43" t="str">
        <f aca="false">IF('Calendario F'!C30="","",'Calendario F'!C30)</f>
        <v>F05</v>
      </c>
      <c r="D530" s="42" t="str">
        <f aca="false">IF('Calendario F'!D30="","",'Calendario F'!D30)</f>
        <v>Balene Bizzarre</v>
      </c>
      <c r="E530" s="43" t="str">
        <f aca="false">IF('Calendario F'!E30="","",'Calendario F'!E30)</f>
        <v>F02</v>
      </c>
      <c r="F530" s="44" t="n">
        <f aca="false">IF('Calendario F'!F30="","",'Calendario F'!F30)</f>
        <v>46334.625</v>
      </c>
      <c r="G530" s="44"/>
      <c r="H530" s="44"/>
      <c r="I530" s="44"/>
      <c r="J530" s="137" t="n">
        <f aca="false">IF('Calendario F'!J30="","",'Calendario F'!J30)</f>
        <v>73</v>
      </c>
      <c r="K530" s="138" t="s">
        <v>339</v>
      </c>
      <c r="L530" s="137" t="n">
        <f aca="false">IF('Calendario F'!L30="","",'Calendario F'!L30)</f>
        <v>34</v>
      </c>
      <c r="M530" s="139"/>
      <c r="N530" s="139"/>
      <c r="O530" s="139"/>
      <c r="P530" s="139"/>
      <c r="Q530" s="139"/>
      <c r="R530" s="139"/>
    </row>
    <row r="531" customFormat="false" ht="15" hidden="false" customHeight="true" outlineLevel="0" collapsed="false">
      <c r="A531" s="74"/>
      <c r="B531" s="48" t="str">
        <f aca="false">IF('Calendario F'!B31="","",'Calendario F'!B31)</f>
        <v>PalaBalene, Via dello Sport 2, Baleneopoli BE</v>
      </c>
      <c r="C531" s="48"/>
      <c r="D531" s="48"/>
      <c r="E531" s="48"/>
      <c r="F531" s="48"/>
      <c r="G531" s="48"/>
      <c r="H531" s="48"/>
      <c r="I531" s="43" t="str">
        <f aca="false">IF('Calendario F'!I31="","",'Calendario F'!I31)</f>
        <v>F02</v>
      </c>
      <c r="J531" s="137"/>
      <c r="K531" s="137"/>
      <c r="L531" s="137"/>
      <c r="M531" s="137"/>
      <c r="N531" s="137"/>
      <c r="O531" s="137"/>
      <c r="P531" s="137"/>
      <c r="Q531" s="137"/>
      <c r="R531" s="137"/>
    </row>
    <row r="532" customFormat="false" ht="13.5" hidden="false" customHeight="true" outlineLevel="0" collapsed="false">
      <c r="A532" s="73" t="s">
        <v>334</v>
      </c>
      <c r="B532" s="73" t="s">
        <v>317</v>
      </c>
      <c r="C532" s="73"/>
      <c r="D532" s="73" t="s">
        <v>324</v>
      </c>
      <c r="E532" s="73"/>
      <c r="F532" s="73" t="s">
        <v>335</v>
      </c>
      <c r="G532" s="73" t="s">
        <v>336</v>
      </c>
      <c r="H532" s="73" t="s">
        <v>337</v>
      </c>
      <c r="I532" s="73"/>
      <c r="J532" s="73" t="s">
        <v>338</v>
      </c>
      <c r="K532" s="73"/>
      <c r="L532" s="73"/>
      <c r="M532" s="149" t="s">
        <v>539</v>
      </c>
      <c r="N532" s="149" t="s">
        <v>540</v>
      </c>
      <c r="O532" s="149" t="s">
        <v>541</v>
      </c>
      <c r="P532" s="149" t="s">
        <v>542</v>
      </c>
      <c r="Q532" s="149" t="s">
        <v>543</v>
      </c>
      <c r="R532" s="149" t="s">
        <v>544</v>
      </c>
    </row>
    <row r="533" customFormat="false" ht="21.75" hidden="false" customHeight="true" outlineLevel="0" collapsed="false">
      <c r="A533" s="74" t="n">
        <f aca="false">IF('Calendario F'!A33="","",'Calendario F'!A33)</f>
        <v>148</v>
      </c>
      <c r="B533" s="42" t="str">
        <f aca="false">IF('Calendario F'!B33="","",'Calendario F'!B33)</f>
        <v>Camaleonti Caotici</v>
      </c>
      <c r="C533" s="43" t="str">
        <f aca="false">IF('Calendario F'!C33="","",'Calendario F'!C33)</f>
        <v>F03</v>
      </c>
      <c r="D533" s="42" t="str">
        <f aca="false">IF('Calendario F'!D33="","",'Calendario F'!D33)</f>
        <v>Donnole Determinate</v>
      </c>
      <c r="E533" s="43" t="str">
        <f aca="false">IF('Calendario F'!E33="","",'Calendario F'!E33)</f>
        <v>F04</v>
      </c>
      <c r="F533" s="44" t="n">
        <f aca="false">IF('Calendario F'!F33="","",'Calendario F'!F33)</f>
        <v>46334.7083333333</v>
      </c>
      <c r="G533" s="44"/>
      <c r="H533" s="44"/>
      <c r="I533" s="44"/>
      <c r="J533" s="137" t="n">
        <f aca="false">IF('Calendario F'!J33="","",'Calendario F'!J33)</f>
        <v>53</v>
      </c>
      <c r="K533" s="138" t="s">
        <v>339</v>
      </c>
      <c r="L533" s="137" t="n">
        <f aca="false">IF('Calendario F'!L33="","",'Calendario F'!L33)</f>
        <v>66</v>
      </c>
      <c r="M533" s="139"/>
      <c r="N533" s="139"/>
      <c r="O533" s="139"/>
      <c r="P533" s="139"/>
      <c r="Q533" s="139"/>
      <c r="R533" s="139"/>
    </row>
    <row r="534" customFormat="false" ht="15" hidden="false" customHeight="true" outlineLevel="0" collapsed="false">
      <c r="A534" s="74"/>
      <c r="B534" s="48" t="str">
        <f aca="false">IF('Calendario F'!B34="","",'Calendario F'!B34)</f>
        <v>PalaBalene, Via dello Sport 2, Baleneopoli BE</v>
      </c>
      <c r="C534" s="48"/>
      <c r="D534" s="48"/>
      <c r="E534" s="48"/>
      <c r="F534" s="48"/>
      <c r="G534" s="48"/>
      <c r="H534" s="48"/>
      <c r="I534" s="43" t="str">
        <f aca="false">IF('Calendario F'!I34="","",'Calendario F'!I34)</f>
        <v>F02</v>
      </c>
      <c r="J534" s="137"/>
      <c r="K534" s="137"/>
      <c r="L534" s="137"/>
      <c r="M534" s="137"/>
      <c r="N534" s="137"/>
      <c r="O534" s="137"/>
      <c r="P534" s="137"/>
      <c r="Q534" s="137"/>
      <c r="R534" s="137"/>
    </row>
    <row r="536" customFormat="false" ht="19.5" hidden="false" customHeight="true" outlineLevel="0" collapsed="false">
      <c r="A536" s="71" t="str">
        <f aca="false">IF('Calendario F'!A36="","",'Calendario F'!A36)</f>
        <v>3F</v>
      </c>
      <c r="B536" s="72" t="str">
        <f aca="false">IF('Calendario F'!B36="","",'Calendario F'!B36)</f>
        <v>GIORNATA III - GIRONE F</v>
      </c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148" t="s">
        <v>537</v>
      </c>
      <c r="N536" s="148"/>
      <c r="O536" s="148"/>
      <c r="P536" s="148" t="s">
        <v>538</v>
      </c>
      <c r="Q536" s="148"/>
      <c r="R536" s="148"/>
    </row>
    <row r="537" customFormat="false" ht="13.5" hidden="false" customHeight="true" outlineLevel="0" collapsed="false">
      <c r="A537" s="73" t="s">
        <v>334</v>
      </c>
      <c r="B537" s="73" t="s">
        <v>317</v>
      </c>
      <c r="C537" s="73"/>
      <c r="D537" s="73" t="s">
        <v>324</v>
      </c>
      <c r="E537" s="73"/>
      <c r="F537" s="73" t="s">
        <v>335</v>
      </c>
      <c r="G537" s="73" t="s">
        <v>336</v>
      </c>
      <c r="H537" s="73" t="s">
        <v>337</v>
      </c>
      <c r="I537" s="73"/>
      <c r="J537" s="73" t="s">
        <v>338</v>
      </c>
      <c r="K537" s="73"/>
      <c r="L537" s="73"/>
      <c r="M537" s="149" t="s">
        <v>539</v>
      </c>
      <c r="N537" s="149" t="s">
        <v>540</v>
      </c>
      <c r="O537" s="149" t="s">
        <v>541</v>
      </c>
      <c r="P537" s="149" t="s">
        <v>542</v>
      </c>
      <c r="Q537" s="149" t="s">
        <v>543</v>
      </c>
      <c r="R537" s="149" t="s">
        <v>544</v>
      </c>
    </row>
    <row r="538" customFormat="false" ht="21.75" hidden="false" customHeight="true" outlineLevel="0" collapsed="false">
      <c r="A538" s="74" t="n">
        <f aca="false">IF('Calendario F'!A38="","",'Calendario F'!A38)</f>
        <v>149</v>
      </c>
      <c r="B538" s="42" t="str">
        <f aca="false">IF('Calendario F'!B38="","",'Calendario F'!B38)</f>
        <v>Antilopi Ardite</v>
      </c>
      <c r="C538" s="43" t="str">
        <f aca="false">IF('Calendario F'!C38="","",'Calendario F'!C38)</f>
        <v>F01</v>
      </c>
      <c r="D538" s="42" t="str">
        <f aca="false">IF('Calendario F'!D38="","",'Calendario F'!D38)</f>
        <v>Foche Frenetiche</v>
      </c>
      <c r="E538" s="43" t="str">
        <f aca="false">IF('Calendario F'!E38="","",'Calendario F'!E38)</f>
        <v>F06</v>
      </c>
      <c r="F538" s="44" t="n">
        <f aca="false">IF('Calendario F'!F38="","",'Calendario F'!F38)</f>
        <v>46355.3958333333</v>
      </c>
      <c r="G538" s="44"/>
      <c r="H538" s="44"/>
      <c r="I538" s="44"/>
      <c r="J538" s="137" t="n">
        <f aca="false">IF('Calendario F'!J38="","",'Calendario F'!J38)</f>
        <v>58</v>
      </c>
      <c r="K538" s="138" t="s">
        <v>339</v>
      </c>
      <c r="L538" s="137" t="n">
        <f aca="false">IF('Calendario F'!L38="","",'Calendario F'!L38)</f>
        <v>52</v>
      </c>
      <c r="M538" s="139"/>
      <c r="N538" s="139"/>
      <c r="O538" s="139"/>
      <c r="P538" s="139"/>
      <c r="Q538" s="139"/>
      <c r="R538" s="139"/>
    </row>
    <row r="539" customFormat="false" ht="15" hidden="false" customHeight="true" outlineLevel="0" collapsed="false">
      <c r="A539" s="74"/>
      <c r="B539" s="48" t="str">
        <f aca="false">IF('Calendario F'!B39="","",'Calendario F'!B39)</f>
        <v>PalaCamaleonti, Via dello Sport 3, Camaleontiopoli CI</v>
      </c>
      <c r="C539" s="48"/>
      <c r="D539" s="48"/>
      <c r="E539" s="48"/>
      <c r="F539" s="48"/>
      <c r="G539" s="48"/>
      <c r="H539" s="48"/>
      <c r="I539" s="43" t="str">
        <f aca="false">IF('Calendario F'!I39="","",'Calendario F'!I39)</f>
        <v>F03</v>
      </c>
      <c r="J539" s="137"/>
      <c r="K539" s="137"/>
      <c r="L539" s="137"/>
      <c r="M539" s="137"/>
      <c r="N539" s="137"/>
      <c r="O539" s="137"/>
      <c r="P539" s="137"/>
      <c r="Q539" s="137"/>
      <c r="R539" s="137"/>
    </row>
    <row r="540" customFormat="false" ht="13.5" hidden="false" customHeight="true" outlineLevel="0" collapsed="false">
      <c r="A540" s="73" t="s">
        <v>334</v>
      </c>
      <c r="B540" s="73" t="s">
        <v>317</v>
      </c>
      <c r="C540" s="73"/>
      <c r="D540" s="73" t="s">
        <v>324</v>
      </c>
      <c r="E540" s="73"/>
      <c r="F540" s="73" t="s">
        <v>335</v>
      </c>
      <c r="G540" s="73" t="s">
        <v>336</v>
      </c>
      <c r="H540" s="73" t="s">
        <v>337</v>
      </c>
      <c r="I540" s="73"/>
      <c r="J540" s="73" t="s">
        <v>338</v>
      </c>
      <c r="K540" s="73"/>
      <c r="L540" s="73"/>
      <c r="M540" s="149" t="s">
        <v>539</v>
      </c>
      <c r="N540" s="149" t="s">
        <v>540</v>
      </c>
      <c r="O540" s="149" t="s">
        <v>541</v>
      </c>
      <c r="P540" s="149" t="s">
        <v>542</v>
      </c>
      <c r="Q540" s="149" t="s">
        <v>543</v>
      </c>
      <c r="R540" s="149" t="s">
        <v>544</v>
      </c>
    </row>
    <row r="541" customFormat="false" ht="21.75" hidden="false" customHeight="true" outlineLevel="0" collapsed="false">
      <c r="A541" s="74" t="n">
        <f aca="false">IF('Calendario F'!A41="","",'Calendario F'!A41)</f>
        <v>150</v>
      </c>
      <c r="B541" s="42" t="str">
        <f aca="false">IF('Calendario F'!B41="","",'Calendario F'!B41)</f>
        <v>Emu Energici</v>
      </c>
      <c r="C541" s="43" t="str">
        <f aca="false">IF('Calendario F'!C41="","",'Calendario F'!C41)</f>
        <v>F05</v>
      </c>
      <c r="D541" s="42" t="str">
        <f aca="false">IF('Calendario F'!D41="","",'Calendario F'!D41)</f>
        <v>Gufi Golosi</v>
      </c>
      <c r="E541" s="43" t="str">
        <f aca="false">IF('Calendario F'!E41="","",'Calendario F'!E41)</f>
        <v>F07</v>
      </c>
      <c r="F541" s="44" t="n">
        <f aca="false">IF('Calendario F'!F41="","",'Calendario F'!F41)</f>
        <v>46355.4791666667</v>
      </c>
      <c r="G541" s="44"/>
      <c r="H541" s="44"/>
      <c r="I541" s="44"/>
      <c r="J541" s="137" t="n">
        <f aca="false">IF('Calendario F'!J41="","",'Calendario F'!J41)</f>
        <v>54</v>
      </c>
      <c r="K541" s="138" t="s">
        <v>339</v>
      </c>
      <c r="L541" s="137" t="n">
        <f aca="false">IF('Calendario F'!L41="","",'Calendario F'!L41)</f>
        <v>55</v>
      </c>
      <c r="M541" s="139"/>
      <c r="N541" s="139"/>
      <c r="O541" s="139"/>
      <c r="P541" s="139"/>
      <c r="Q541" s="139"/>
      <c r="R541" s="139"/>
    </row>
    <row r="542" customFormat="false" ht="15" hidden="false" customHeight="true" outlineLevel="0" collapsed="false">
      <c r="A542" s="74"/>
      <c r="B542" s="48" t="str">
        <f aca="false">IF('Calendario F'!B42="","",'Calendario F'!B42)</f>
        <v>PalaCamaleonti, Via dello Sport 3, Camaleontiopoli CI</v>
      </c>
      <c r="C542" s="48"/>
      <c r="D542" s="48"/>
      <c r="E542" s="48"/>
      <c r="F542" s="48"/>
      <c r="G542" s="48"/>
      <c r="H542" s="48"/>
      <c r="I542" s="43" t="str">
        <f aca="false">IF('Calendario F'!I42="","",'Calendario F'!I42)</f>
        <v>F03</v>
      </c>
      <c r="J542" s="137"/>
      <c r="K542" s="137"/>
      <c r="L542" s="137"/>
      <c r="M542" s="137"/>
      <c r="N542" s="137"/>
      <c r="O542" s="137"/>
      <c r="P542" s="137"/>
      <c r="Q542" s="137"/>
      <c r="R542" s="137"/>
    </row>
    <row r="543" customFormat="false" ht="13.5" hidden="false" customHeight="true" outlineLevel="0" collapsed="false">
      <c r="A543" s="73" t="s">
        <v>334</v>
      </c>
      <c r="B543" s="73" t="s">
        <v>317</v>
      </c>
      <c r="C543" s="73"/>
      <c r="D543" s="73" t="s">
        <v>324</v>
      </c>
      <c r="E543" s="73"/>
      <c r="F543" s="73" t="s">
        <v>335</v>
      </c>
      <c r="G543" s="73" t="s">
        <v>336</v>
      </c>
      <c r="H543" s="73" t="s">
        <v>337</v>
      </c>
      <c r="I543" s="73"/>
      <c r="J543" s="73" t="s">
        <v>338</v>
      </c>
      <c r="K543" s="73"/>
      <c r="L543" s="73"/>
      <c r="M543" s="149" t="s">
        <v>539</v>
      </c>
      <c r="N543" s="149" t="s">
        <v>540</v>
      </c>
      <c r="O543" s="149" t="s">
        <v>541</v>
      </c>
      <c r="P543" s="149" t="s">
        <v>542</v>
      </c>
      <c r="Q543" s="149" t="s">
        <v>543</v>
      </c>
      <c r="R543" s="149" t="s">
        <v>544</v>
      </c>
    </row>
    <row r="544" customFormat="false" ht="21.75" hidden="false" customHeight="true" outlineLevel="0" collapsed="false">
      <c r="A544" s="74" t="n">
        <f aca="false">IF('Calendario F'!A44="","",'Calendario F'!A44)</f>
        <v>151</v>
      </c>
      <c r="B544" s="42" t="str">
        <f aca="false">IF('Calendario F'!B44="","",'Calendario F'!B44)</f>
        <v>Iene Ilari</v>
      </c>
      <c r="C544" s="43" t="str">
        <f aca="false">IF('Calendario F'!C44="","",'Calendario F'!C44)</f>
        <v>F08</v>
      </c>
      <c r="D544" s="42" t="str">
        <f aca="false">IF('Calendario F'!D44="","",'Calendario F'!D44)</f>
        <v>Donnole Determinate</v>
      </c>
      <c r="E544" s="43" t="str">
        <f aca="false">IF('Calendario F'!E44="","",'Calendario F'!E44)</f>
        <v>F04</v>
      </c>
      <c r="F544" s="44" t="n">
        <f aca="false">IF('Calendario F'!F44="","",'Calendario F'!F44)</f>
        <v>46355.625</v>
      </c>
      <c r="G544" s="44"/>
      <c r="H544" s="44"/>
      <c r="I544" s="44"/>
      <c r="J544" s="137" t="n">
        <f aca="false">IF('Calendario F'!J44="","",'Calendario F'!J44)</f>
        <v>61</v>
      </c>
      <c r="K544" s="138" t="s">
        <v>339</v>
      </c>
      <c r="L544" s="137" t="n">
        <f aca="false">IF('Calendario F'!L44="","",'Calendario F'!L44)</f>
        <v>73</v>
      </c>
      <c r="M544" s="139"/>
      <c r="N544" s="139"/>
      <c r="O544" s="139"/>
      <c r="P544" s="139"/>
      <c r="Q544" s="139"/>
      <c r="R544" s="139"/>
    </row>
    <row r="545" customFormat="false" ht="15" hidden="false" customHeight="true" outlineLevel="0" collapsed="false">
      <c r="A545" s="74"/>
      <c r="B545" s="48" t="str">
        <f aca="false">IF('Calendario F'!B45="","",'Calendario F'!B45)</f>
        <v>PalaCamaleonti, Via dello Sport 3, Camaleontiopoli CI</v>
      </c>
      <c r="C545" s="48"/>
      <c r="D545" s="48"/>
      <c r="E545" s="48"/>
      <c r="F545" s="48"/>
      <c r="G545" s="48"/>
      <c r="H545" s="48"/>
      <c r="I545" s="43" t="str">
        <f aca="false">IF('Calendario F'!I45="","",'Calendario F'!I45)</f>
        <v>F03</v>
      </c>
      <c r="J545" s="137"/>
      <c r="K545" s="137"/>
      <c r="L545" s="137"/>
      <c r="M545" s="137"/>
      <c r="N545" s="137"/>
      <c r="O545" s="137"/>
      <c r="P545" s="137"/>
      <c r="Q545" s="137"/>
      <c r="R545" s="137"/>
    </row>
    <row r="546" customFormat="false" ht="13.5" hidden="false" customHeight="true" outlineLevel="0" collapsed="false">
      <c r="A546" s="73" t="s">
        <v>334</v>
      </c>
      <c r="B546" s="73" t="s">
        <v>317</v>
      </c>
      <c r="C546" s="73"/>
      <c r="D546" s="73" t="s">
        <v>324</v>
      </c>
      <c r="E546" s="73"/>
      <c r="F546" s="73" t="s">
        <v>335</v>
      </c>
      <c r="G546" s="73" t="s">
        <v>336</v>
      </c>
      <c r="H546" s="73" t="s">
        <v>337</v>
      </c>
      <c r="I546" s="73"/>
      <c r="J546" s="73" t="s">
        <v>338</v>
      </c>
      <c r="K546" s="73"/>
      <c r="L546" s="73"/>
      <c r="M546" s="149" t="s">
        <v>539</v>
      </c>
      <c r="N546" s="149" t="s">
        <v>540</v>
      </c>
      <c r="O546" s="149" t="s">
        <v>541</v>
      </c>
      <c r="P546" s="149" t="s">
        <v>542</v>
      </c>
      <c r="Q546" s="149" t="s">
        <v>543</v>
      </c>
      <c r="R546" s="149" t="s">
        <v>544</v>
      </c>
    </row>
    <row r="547" customFormat="false" ht="21.75" hidden="false" customHeight="true" outlineLevel="0" collapsed="false">
      <c r="A547" s="74" t="n">
        <f aca="false">IF('Calendario F'!A47="","",'Calendario F'!A47)</f>
        <v>152</v>
      </c>
      <c r="B547" s="42" t="str">
        <f aca="false">IF('Calendario F'!B47="","",'Calendario F'!B47)</f>
        <v>Camaleonti Caotici</v>
      </c>
      <c r="C547" s="43" t="str">
        <f aca="false">IF('Calendario F'!C47="","",'Calendario F'!C47)</f>
        <v>F03</v>
      </c>
      <c r="D547" s="42" t="str">
        <f aca="false">IF('Calendario F'!D47="","",'Calendario F'!D47)</f>
        <v>Balene Bizzarre</v>
      </c>
      <c r="E547" s="43" t="str">
        <f aca="false">IF('Calendario F'!E47="","",'Calendario F'!E47)</f>
        <v>F02</v>
      </c>
      <c r="F547" s="44" t="n">
        <f aca="false">IF('Calendario F'!F47="","",'Calendario F'!F47)</f>
        <v>46355.7083333333</v>
      </c>
      <c r="G547" s="44"/>
      <c r="H547" s="44"/>
      <c r="I547" s="44"/>
      <c r="J547" s="137" t="n">
        <f aca="false">IF('Calendario F'!J47="","",'Calendario F'!J47)</f>
        <v>76</v>
      </c>
      <c r="K547" s="138" t="s">
        <v>339</v>
      </c>
      <c r="L547" s="137" t="n">
        <f aca="false">IF('Calendario F'!L47="","",'Calendario F'!L47)</f>
        <v>63</v>
      </c>
      <c r="M547" s="139"/>
      <c r="N547" s="139"/>
      <c r="O547" s="139"/>
      <c r="P547" s="139"/>
      <c r="Q547" s="139"/>
      <c r="R547" s="139"/>
    </row>
    <row r="548" customFormat="false" ht="15" hidden="false" customHeight="true" outlineLevel="0" collapsed="false">
      <c r="A548" s="74"/>
      <c r="B548" s="48" t="str">
        <f aca="false">IF('Calendario F'!B48="","",'Calendario F'!B48)</f>
        <v>PalaCamaleonti, Via dello Sport 3, Camaleontiopoli CI</v>
      </c>
      <c r="C548" s="48"/>
      <c r="D548" s="48"/>
      <c r="E548" s="48"/>
      <c r="F548" s="48"/>
      <c r="G548" s="48"/>
      <c r="H548" s="48"/>
      <c r="I548" s="43" t="str">
        <f aca="false">IF('Calendario F'!I48="","",'Calendario F'!I48)</f>
        <v>F03</v>
      </c>
      <c r="J548" s="137"/>
      <c r="K548" s="137"/>
      <c r="L548" s="137"/>
      <c r="M548" s="137"/>
      <c r="N548" s="137"/>
      <c r="O548" s="137"/>
      <c r="P548" s="137"/>
      <c r="Q548" s="137"/>
      <c r="R548" s="137"/>
    </row>
    <row r="550" customFormat="false" ht="19.5" hidden="false" customHeight="true" outlineLevel="0" collapsed="false">
      <c r="A550" s="71" t="str">
        <f aca="false">IF('Calendario F'!A50="","",'Calendario F'!A50)</f>
        <v>4F</v>
      </c>
      <c r="B550" s="72" t="str">
        <f aca="false">IF('Calendario F'!B50="","",'Calendario F'!B50)</f>
        <v>GIORNATA IV - GIRONE F</v>
      </c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148" t="s">
        <v>537</v>
      </c>
      <c r="N550" s="148"/>
      <c r="O550" s="148"/>
      <c r="P550" s="148" t="s">
        <v>538</v>
      </c>
      <c r="Q550" s="148"/>
      <c r="R550" s="148"/>
    </row>
    <row r="551" customFormat="false" ht="13.5" hidden="false" customHeight="true" outlineLevel="0" collapsed="false">
      <c r="A551" s="73" t="s">
        <v>334</v>
      </c>
      <c r="B551" s="73" t="s">
        <v>317</v>
      </c>
      <c r="C551" s="73"/>
      <c r="D551" s="73" t="s">
        <v>324</v>
      </c>
      <c r="E551" s="73"/>
      <c r="F551" s="73" t="s">
        <v>335</v>
      </c>
      <c r="G551" s="73" t="s">
        <v>336</v>
      </c>
      <c r="H551" s="73" t="s">
        <v>337</v>
      </c>
      <c r="I551" s="73"/>
      <c r="J551" s="73" t="s">
        <v>338</v>
      </c>
      <c r="K551" s="73"/>
      <c r="L551" s="73"/>
      <c r="M551" s="149" t="s">
        <v>539</v>
      </c>
      <c r="N551" s="149" t="s">
        <v>540</v>
      </c>
      <c r="O551" s="149" t="s">
        <v>541</v>
      </c>
      <c r="P551" s="149" t="s">
        <v>542</v>
      </c>
      <c r="Q551" s="149" t="s">
        <v>543</v>
      </c>
      <c r="R551" s="149" t="s">
        <v>544</v>
      </c>
    </row>
    <row r="552" customFormat="false" ht="21.75" hidden="false" customHeight="true" outlineLevel="0" collapsed="false">
      <c r="A552" s="74" t="n">
        <f aca="false">IF('Calendario F'!A52="","",'Calendario F'!A52)</f>
        <v>153</v>
      </c>
      <c r="B552" s="42" t="str">
        <f aca="false">IF('Calendario F'!B52="","",'Calendario F'!B52)</f>
        <v>Emu Energici</v>
      </c>
      <c r="C552" s="43" t="str">
        <f aca="false">IF('Calendario F'!C52="","",'Calendario F'!C52)</f>
        <v>F05</v>
      </c>
      <c r="D552" s="42" t="str">
        <f aca="false">IF('Calendario F'!D52="","",'Calendario F'!D52)</f>
        <v>Antilopi Ardite</v>
      </c>
      <c r="E552" s="43" t="str">
        <f aca="false">IF('Calendario F'!E52="","",'Calendario F'!E52)</f>
        <v>F01</v>
      </c>
      <c r="F552" s="44" t="n">
        <f aca="false">IF('Calendario F'!F52="","",'Calendario F'!F52)</f>
        <v>46369.3958333333</v>
      </c>
      <c r="G552" s="44"/>
      <c r="H552" s="44"/>
      <c r="I552" s="44"/>
      <c r="J552" s="137" t="n">
        <f aca="false">IF('Calendario F'!J52="","",'Calendario F'!J52)</f>
        <v>90</v>
      </c>
      <c r="K552" s="138" t="s">
        <v>339</v>
      </c>
      <c r="L552" s="137" t="n">
        <f aca="false">IF('Calendario F'!L52="","",'Calendario F'!L52)</f>
        <v>51</v>
      </c>
      <c r="M552" s="139"/>
      <c r="N552" s="139"/>
      <c r="O552" s="139"/>
      <c r="P552" s="139"/>
      <c r="Q552" s="139"/>
      <c r="R552" s="139"/>
    </row>
    <row r="553" customFormat="false" ht="15" hidden="false" customHeight="true" outlineLevel="0" collapsed="false">
      <c r="A553" s="74"/>
      <c r="B553" s="48" t="str">
        <f aca="false">IF('Calendario F'!B53="","",'Calendario F'!B53)</f>
        <v>PalaDonnole, Via dello Sport 4, Donnoleopoli DE</v>
      </c>
      <c r="C553" s="48"/>
      <c r="D553" s="48"/>
      <c r="E553" s="48"/>
      <c r="F553" s="48"/>
      <c r="G553" s="48"/>
      <c r="H553" s="48"/>
      <c r="I553" s="43" t="str">
        <f aca="false">IF('Calendario F'!I53="","",'Calendario F'!I53)</f>
        <v>F04</v>
      </c>
      <c r="J553" s="137"/>
      <c r="K553" s="137"/>
      <c r="L553" s="137"/>
      <c r="M553" s="137"/>
      <c r="N553" s="137"/>
      <c r="O553" s="137"/>
      <c r="P553" s="137"/>
      <c r="Q553" s="137"/>
      <c r="R553" s="137"/>
    </row>
    <row r="554" customFormat="false" ht="13.5" hidden="false" customHeight="true" outlineLevel="0" collapsed="false">
      <c r="A554" s="73" t="s">
        <v>334</v>
      </c>
      <c r="B554" s="73" t="s">
        <v>317</v>
      </c>
      <c r="C554" s="73"/>
      <c r="D554" s="73" t="s">
        <v>324</v>
      </c>
      <c r="E554" s="73"/>
      <c r="F554" s="73" t="s">
        <v>335</v>
      </c>
      <c r="G554" s="73" t="s">
        <v>336</v>
      </c>
      <c r="H554" s="73" t="s">
        <v>337</v>
      </c>
      <c r="I554" s="73"/>
      <c r="J554" s="73" t="s">
        <v>338</v>
      </c>
      <c r="K554" s="73"/>
      <c r="L554" s="73"/>
      <c r="M554" s="149" t="s">
        <v>539</v>
      </c>
      <c r="N554" s="149" t="s">
        <v>540</v>
      </c>
      <c r="O554" s="149" t="s">
        <v>541</v>
      </c>
      <c r="P554" s="149" t="s">
        <v>542</v>
      </c>
      <c r="Q554" s="149" t="s">
        <v>543</v>
      </c>
      <c r="R554" s="149" t="s">
        <v>544</v>
      </c>
    </row>
    <row r="555" customFormat="false" ht="21.75" hidden="false" customHeight="true" outlineLevel="0" collapsed="false">
      <c r="A555" s="74" t="n">
        <f aca="false">IF('Calendario F'!A55="","",'Calendario F'!A55)</f>
        <v>154</v>
      </c>
      <c r="B555" s="42" t="str">
        <f aca="false">IF('Calendario F'!B55="","",'Calendario F'!B55)</f>
        <v>Foche Frenetiche</v>
      </c>
      <c r="C555" s="43" t="str">
        <f aca="false">IF('Calendario F'!C55="","",'Calendario F'!C55)</f>
        <v>F06</v>
      </c>
      <c r="D555" s="42" t="str">
        <f aca="false">IF('Calendario F'!D55="","",'Calendario F'!D55)</f>
        <v>Donnole Determinate</v>
      </c>
      <c r="E555" s="43" t="str">
        <f aca="false">IF('Calendario F'!E55="","",'Calendario F'!E55)</f>
        <v>F04</v>
      </c>
      <c r="F555" s="44" t="n">
        <f aca="false">IF('Calendario F'!F55="","",'Calendario F'!F55)</f>
        <v>46369.4791666667</v>
      </c>
      <c r="G555" s="44"/>
      <c r="H555" s="44"/>
      <c r="I555" s="44"/>
      <c r="J555" s="137" t="n">
        <f aca="false">IF('Calendario F'!J55="","",'Calendario F'!J55)</f>
        <v>57</v>
      </c>
      <c r="K555" s="138" t="s">
        <v>339</v>
      </c>
      <c r="L555" s="137" t="n">
        <f aca="false">IF('Calendario F'!L55="","",'Calendario F'!L55)</f>
        <v>72</v>
      </c>
      <c r="M555" s="139"/>
      <c r="N555" s="139"/>
      <c r="O555" s="139"/>
      <c r="P555" s="139"/>
      <c r="Q555" s="139"/>
      <c r="R555" s="139"/>
    </row>
    <row r="556" customFormat="false" ht="15" hidden="false" customHeight="true" outlineLevel="0" collapsed="false">
      <c r="A556" s="74"/>
      <c r="B556" s="48" t="str">
        <f aca="false">IF('Calendario F'!B56="","",'Calendario F'!B56)</f>
        <v>PalaDonnole, Via dello Sport 4, Donnoleopoli DE</v>
      </c>
      <c r="C556" s="48"/>
      <c r="D556" s="48"/>
      <c r="E556" s="48"/>
      <c r="F556" s="48"/>
      <c r="G556" s="48"/>
      <c r="H556" s="48"/>
      <c r="I556" s="43" t="str">
        <f aca="false">IF('Calendario F'!I56="","",'Calendario F'!I56)</f>
        <v>F04</v>
      </c>
      <c r="J556" s="137"/>
      <c r="K556" s="137"/>
      <c r="L556" s="137"/>
      <c r="M556" s="137"/>
      <c r="N556" s="137"/>
      <c r="O556" s="137"/>
      <c r="P556" s="137"/>
      <c r="Q556" s="137"/>
      <c r="R556" s="137"/>
    </row>
    <row r="557" customFormat="false" ht="13.5" hidden="false" customHeight="true" outlineLevel="0" collapsed="false">
      <c r="A557" s="73" t="s">
        <v>334</v>
      </c>
      <c r="B557" s="73" t="s">
        <v>317</v>
      </c>
      <c r="C557" s="73"/>
      <c r="D557" s="73" t="s">
        <v>324</v>
      </c>
      <c r="E557" s="73"/>
      <c r="F557" s="73" t="s">
        <v>335</v>
      </c>
      <c r="G557" s="73" t="s">
        <v>336</v>
      </c>
      <c r="H557" s="73" t="s">
        <v>337</v>
      </c>
      <c r="I557" s="73"/>
      <c r="J557" s="73" t="s">
        <v>338</v>
      </c>
      <c r="K557" s="73"/>
      <c r="L557" s="73"/>
      <c r="M557" s="149" t="s">
        <v>539</v>
      </c>
      <c r="N557" s="149" t="s">
        <v>540</v>
      </c>
      <c r="O557" s="149" t="s">
        <v>541</v>
      </c>
      <c r="P557" s="149" t="s">
        <v>542</v>
      </c>
      <c r="Q557" s="149" t="s">
        <v>543</v>
      </c>
      <c r="R557" s="149" t="s">
        <v>544</v>
      </c>
    </row>
    <row r="558" customFormat="false" ht="21.75" hidden="false" customHeight="true" outlineLevel="0" collapsed="false">
      <c r="A558" s="74" t="n">
        <f aca="false">IF('Calendario F'!A58="","",'Calendario F'!A58)</f>
        <v>155</v>
      </c>
      <c r="B558" s="42" t="str">
        <f aca="false">IF('Calendario F'!B58="","",'Calendario F'!B58)</f>
        <v>Camaleonti Caotici</v>
      </c>
      <c r="C558" s="43" t="str">
        <f aca="false">IF('Calendario F'!C58="","",'Calendario F'!C58)</f>
        <v>F03</v>
      </c>
      <c r="D558" s="42" t="str">
        <f aca="false">IF('Calendario F'!D58="","",'Calendario F'!D58)</f>
        <v>Gufi Golosi</v>
      </c>
      <c r="E558" s="43" t="str">
        <f aca="false">IF('Calendario F'!E58="","",'Calendario F'!E58)</f>
        <v>F07</v>
      </c>
      <c r="F558" s="44" t="n">
        <f aca="false">IF('Calendario F'!F58="","",'Calendario F'!F58)</f>
        <v>46369.625</v>
      </c>
      <c r="G558" s="44"/>
      <c r="H558" s="44"/>
      <c r="I558" s="44"/>
      <c r="J558" s="137" t="n">
        <f aca="false">IF('Calendario F'!J58="","",'Calendario F'!J58)</f>
        <v>57</v>
      </c>
      <c r="K558" s="138" t="s">
        <v>339</v>
      </c>
      <c r="L558" s="137" t="n">
        <f aca="false">IF('Calendario F'!L58="","",'Calendario F'!L58)</f>
        <v>61</v>
      </c>
      <c r="M558" s="139"/>
      <c r="N558" s="139"/>
      <c r="O558" s="139"/>
      <c r="P558" s="139"/>
      <c r="Q558" s="139"/>
      <c r="R558" s="139"/>
    </row>
    <row r="559" customFormat="false" ht="15" hidden="false" customHeight="true" outlineLevel="0" collapsed="false">
      <c r="A559" s="74"/>
      <c r="B559" s="48" t="str">
        <f aca="false">IF('Calendario F'!B59="","",'Calendario F'!B59)</f>
        <v>PalaDonnole, Via dello Sport 4, Donnoleopoli DE</v>
      </c>
      <c r="C559" s="48"/>
      <c r="D559" s="48"/>
      <c r="E559" s="48"/>
      <c r="F559" s="48"/>
      <c r="G559" s="48"/>
      <c r="H559" s="48"/>
      <c r="I559" s="43" t="str">
        <f aca="false">IF('Calendario F'!I59="","",'Calendario F'!I59)</f>
        <v>F04</v>
      </c>
      <c r="J559" s="137"/>
      <c r="K559" s="137"/>
      <c r="L559" s="137"/>
      <c r="M559" s="137"/>
      <c r="N559" s="137"/>
      <c r="O559" s="137"/>
      <c r="P559" s="137"/>
      <c r="Q559" s="137"/>
      <c r="R559" s="137"/>
    </row>
    <row r="560" customFormat="false" ht="13.5" hidden="false" customHeight="true" outlineLevel="0" collapsed="false">
      <c r="A560" s="73" t="s">
        <v>334</v>
      </c>
      <c r="B560" s="73" t="s">
        <v>317</v>
      </c>
      <c r="C560" s="73"/>
      <c r="D560" s="73" t="s">
        <v>324</v>
      </c>
      <c r="E560" s="73"/>
      <c r="F560" s="73" t="s">
        <v>335</v>
      </c>
      <c r="G560" s="73" t="s">
        <v>336</v>
      </c>
      <c r="H560" s="73" t="s">
        <v>337</v>
      </c>
      <c r="I560" s="73"/>
      <c r="J560" s="73" t="s">
        <v>338</v>
      </c>
      <c r="K560" s="73"/>
      <c r="L560" s="73"/>
      <c r="M560" s="149" t="s">
        <v>539</v>
      </c>
      <c r="N560" s="149" t="s">
        <v>540</v>
      </c>
      <c r="O560" s="149" t="s">
        <v>541</v>
      </c>
      <c r="P560" s="149" t="s">
        <v>542</v>
      </c>
      <c r="Q560" s="149" t="s">
        <v>543</v>
      </c>
      <c r="R560" s="149" t="s">
        <v>544</v>
      </c>
    </row>
    <row r="561" customFormat="false" ht="21.75" hidden="false" customHeight="true" outlineLevel="0" collapsed="false">
      <c r="A561" s="74" t="n">
        <f aca="false">IF('Calendario F'!A61="","",'Calendario F'!A61)</f>
        <v>156</v>
      </c>
      <c r="B561" s="42" t="str">
        <f aca="false">IF('Calendario F'!B61="","",'Calendario F'!B61)</f>
        <v>Iene Ilari</v>
      </c>
      <c r="C561" s="43" t="str">
        <f aca="false">IF('Calendario F'!C61="","",'Calendario F'!C61)</f>
        <v>F08</v>
      </c>
      <c r="D561" s="42" t="str">
        <f aca="false">IF('Calendario F'!D61="","",'Calendario F'!D61)</f>
        <v>Balene Bizzarre</v>
      </c>
      <c r="E561" s="43" t="str">
        <f aca="false">IF('Calendario F'!E61="","",'Calendario F'!E61)</f>
        <v>F02</v>
      </c>
      <c r="F561" s="44" t="n">
        <f aca="false">IF('Calendario F'!F61="","",'Calendario F'!F61)</f>
        <v>46369.7083333333</v>
      </c>
      <c r="G561" s="44"/>
      <c r="H561" s="44"/>
      <c r="I561" s="44"/>
      <c r="J561" s="137" t="n">
        <f aca="false">IF('Calendario F'!J61="","",'Calendario F'!J61)</f>
        <v>70</v>
      </c>
      <c r="K561" s="138" t="s">
        <v>339</v>
      </c>
      <c r="L561" s="137" t="n">
        <f aca="false">IF('Calendario F'!L61="","",'Calendario F'!L61)</f>
        <v>57</v>
      </c>
      <c r="M561" s="139"/>
      <c r="N561" s="139"/>
      <c r="O561" s="139"/>
      <c r="P561" s="139"/>
      <c r="Q561" s="139"/>
      <c r="R561" s="139"/>
    </row>
    <row r="562" customFormat="false" ht="15" hidden="false" customHeight="true" outlineLevel="0" collapsed="false">
      <c r="A562" s="74"/>
      <c r="B562" s="48" t="str">
        <f aca="false">IF('Calendario F'!B62="","",'Calendario F'!B62)</f>
        <v>PalaDonnole, Via dello Sport 4, Donnoleopoli DE</v>
      </c>
      <c r="C562" s="48"/>
      <c r="D562" s="48"/>
      <c r="E562" s="48"/>
      <c r="F562" s="48"/>
      <c r="G562" s="48"/>
      <c r="H562" s="48"/>
      <c r="I562" s="43" t="str">
        <f aca="false">IF('Calendario F'!I62="","",'Calendario F'!I62)</f>
        <v>F04</v>
      </c>
      <c r="J562" s="137"/>
      <c r="K562" s="137"/>
      <c r="L562" s="137"/>
      <c r="M562" s="137"/>
      <c r="N562" s="137"/>
      <c r="O562" s="137"/>
      <c r="P562" s="137"/>
      <c r="Q562" s="137"/>
      <c r="R562" s="137"/>
    </row>
    <row r="564" customFormat="false" ht="19.5" hidden="false" customHeight="true" outlineLevel="0" collapsed="false">
      <c r="A564" s="71" t="str">
        <f aca="false">IF('Calendario F'!A64="","",'Calendario F'!A64)</f>
        <v>5F</v>
      </c>
      <c r="B564" s="72" t="str">
        <f aca="false">IF('Calendario F'!B64="","",'Calendario F'!B64)</f>
        <v>GIORNATA V - GIRONE F</v>
      </c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148" t="s">
        <v>537</v>
      </c>
      <c r="N564" s="148"/>
      <c r="O564" s="148"/>
      <c r="P564" s="148" t="s">
        <v>538</v>
      </c>
      <c r="Q564" s="148"/>
      <c r="R564" s="148"/>
    </row>
    <row r="565" customFormat="false" ht="13.5" hidden="false" customHeight="true" outlineLevel="0" collapsed="false">
      <c r="A565" s="73" t="s">
        <v>334</v>
      </c>
      <c r="B565" s="73" t="s">
        <v>317</v>
      </c>
      <c r="C565" s="73"/>
      <c r="D565" s="73" t="s">
        <v>324</v>
      </c>
      <c r="E565" s="73"/>
      <c r="F565" s="73" t="s">
        <v>335</v>
      </c>
      <c r="G565" s="73" t="s">
        <v>336</v>
      </c>
      <c r="H565" s="73" t="s">
        <v>337</v>
      </c>
      <c r="I565" s="73"/>
      <c r="J565" s="73" t="s">
        <v>338</v>
      </c>
      <c r="K565" s="73"/>
      <c r="L565" s="73"/>
      <c r="M565" s="149" t="s">
        <v>539</v>
      </c>
      <c r="N565" s="149" t="s">
        <v>540</v>
      </c>
      <c r="O565" s="149" t="s">
        <v>541</v>
      </c>
      <c r="P565" s="149" t="s">
        <v>542</v>
      </c>
      <c r="Q565" s="149" t="s">
        <v>543</v>
      </c>
      <c r="R565" s="149" t="s">
        <v>544</v>
      </c>
    </row>
    <row r="566" customFormat="false" ht="21.75" hidden="false" customHeight="true" outlineLevel="0" collapsed="false">
      <c r="A566" s="74" t="n">
        <f aca="false">IF('Calendario F'!A66="","",'Calendario F'!A66)</f>
        <v>157</v>
      </c>
      <c r="B566" s="42" t="str">
        <f aca="false">IF('Calendario F'!B66="","",'Calendario F'!B66)</f>
        <v>Antilopi Ardite</v>
      </c>
      <c r="C566" s="43" t="str">
        <f aca="false">IF('Calendario F'!C66="","",'Calendario F'!C66)</f>
        <v>F01</v>
      </c>
      <c r="D566" s="42" t="str">
        <f aca="false">IF('Calendario F'!D66="","",'Calendario F'!D66)</f>
        <v>Donnole Determinate</v>
      </c>
      <c r="E566" s="43" t="str">
        <f aca="false">IF('Calendario F'!E66="","",'Calendario F'!E66)</f>
        <v>F04</v>
      </c>
      <c r="F566" s="44" t="n">
        <f aca="false">IF('Calendario F'!F66="","",'Calendario F'!F66)</f>
        <v>46411.3958333333</v>
      </c>
      <c r="G566" s="44"/>
      <c r="H566" s="44"/>
      <c r="I566" s="44"/>
      <c r="J566" s="137" t="n">
        <f aca="false">IF('Calendario F'!J66="","",'Calendario F'!J66)</f>
        <v>29</v>
      </c>
      <c r="K566" s="138" t="s">
        <v>339</v>
      </c>
      <c r="L566" s="137" t="n">
        <f aca="false">IF('Calendario F'!L66="","",'Calendario F'!L66)</f>
        <v>81</v>
      </c>
      <c r="M566" s="139"/>
      <c r="N566" s="139"/>
      <c r="O566" s="139"/>
      <c r="P566" s="139"/>
      <c r="Q566" s="139"/>
      <c r="R566" s="139"/>
    </row>
    <row r="567" customFormat="false" ht="15" hidden="false" customHeight="true" outlineLevel="0" collapsed="false">
      <c r="A567" s="74"/>
      <c r="B567" s="48" t="str">
        <f aca="false">IF('Calendario F'!B67="","",'Calendario F'!B67)</f>
        <v>PalaEmu, Via dello Sport 5, Emuopoli EU</v>
      </c>
      <c r="C567" s="48"/>
      <c r="D567" s="48"/>
      <c r="E567" s="48"/>
      <c r="F567" s="48"/>
      <c r="G567" s="48"/>
      <c r="H567" s="48"/>
      <c r="I567" s="43" t="str">
        <f aca="false">IF('Calendario F'!I67="","",'Calendario F'!I67)</f>
        <v>F05</v>
      </c>
      <c r="J567" s="137"/>
      <c r="K567" s="137"/>
      <c r="L567" s="137"/>
      <c r="M567" s="137"/>
      <c r="N567" s="137"/>
      <c r="O567" s="137"/>
      <c r="P567" s="137"/>
      <c r="Q567" s="137"/>
      <c r="R567" s="137"/>
    </row>
    <row r="568" customFormat="false" ht="13.5" hidden="false" customHeight="true" outlineLevel="0" collapsed="false">
      <c r="A568" s="73" t="s">
        <v>334</v>
      </c>
      <c r="B568" s="73" t="s">
        <v>317</v>
      </c>
      <c r="C568" s="73"/>
      <c r="D568" s="73" t="s">
        <v>324</v>
      </c>
      <c r="E568" s="73"/>
      <c r="F568" s="73" t="s">
        <v>335</v>
      </c>
      <c r="G568" s="73" t="s">
        <v>336</v>
      </c>
      <c r="H568" s="73" t="s">
        <v>337</v>
      </c>
      <c r="I568" s="73"/>
      <c r="J568" s="73" t="s">
        <v>338</v>
      </c>
      <c r="K568" s="73"/>
      <c r="L568" s="73"/>
      <c r="M568" s="149" t="s">
        <v>539</v>
      </c>
      <c r="N568" s="149" t="s">
        <v>540</v>
      </c>
      <c r="O568" s="149" t="s">
        <v>541</v>
      </c>
      <c r="P568" s="149" t="s">
        <v>542</v>
      </c>
      <c r="Q568" s="149" t="s">
        <v>543</v>
      </c>
      <c r="R568" s="149" t="s">
        <v>544</v>
      </c>
    </row>
    <row r="569" customFormat="false" ht="21.75" hidden="false" customHeight="true" outlineLevel="0" collapsed="false">
      <c r="A569" s="74" t="n">
        <f aca="false">IF('Calendario F'!A69="","",'Calendario F'!A69)</f>
        <v>158</v>
      </c>
      <c r="B569" s="42" t="str">
        <f aca="false">IF('Calendario F'!B69="","",'Calendario F'!B69)</f>
        <v>Camaleonti Caotici</v>
      </c>
      <c r="C569" s="43" t="str">
        <f aca="false">IF('Calendario F'!C69="","",'Calendario F'!C69)</f>
        <v>F03</v>
      </c>
      <c r="D569" s="42" t="str">
        <f aca="false">IF('Calendario F'!D69="","",'Calendario F'!D69)</f>
        <v>Emu Energici</v>
      </c>
      <c r="E569" s="43" t="str">
        <f aca="false">IF('Calendario F'!E69="","",'Calendario F'!E69)</f>
        <v>F05</v>
      </c>
      <c r="F569" s="44" t="n">
        <f aca="false">IF('Calendario F'!F69="","",'Calendario F'!F69)</f>
        <v>46411.4791666667</v>
      </c>
      <c r="G569" s="44"/>
      <c r="H569" s="44"/>
      <c r="I569" s="44"/>
      <c r="J569" s="137" t="n">
        <f aca="false">IF('Calendario F'!J69="","",'Calendario F'!J69)</f>
        <v>59</v>
      </c>
      <c r="K569" s="138" t="s">
        <v>339</v>
      </c>
      <c r="L569" s="137" t="n">
        <f aca="false">IF('Calendario F'!L69="","",'Calendario F'!L69)</f>
        <v>48</v>
      </c>
      <c r="M569" s="139"/>
      <c r="N569" s="139"/>
      <c r="O569" s="139"/>
      <c r="P569" s="139"/>
      <c r="Q569" s="139"/>
      <c r="R569" s="139"/>
    </row>
    <row r="570" customFormat="false" ht="15" hidden="false" customHeight="true" outlineLevel="0" collapsed="false">
      <c r="A570" s="74"/>
      <c r="B570" s="48" t="str">
        <f aca="false">IF('Calendario F'!B70="","",'Calendario F'!B70)</f>
        <v>PalaEmu, Via dello Sport 5, Emuopoli EU</v>
      </c>
      <c r="C570" s="48"/>
      <c r="D570" s="48"/>
      <c r="E570" s="48"/>
      <c r="F570" s="48"/>
      <c r="G570" s="48"/>
      <c r="H570" s="48"/>
      <c r="I570" s="43" t="str">
        <f aca="false">IF('Calendario F'!I70="","",'Calendario F'!I70)</f>
        <v>F05</v>
      </c>
      <c r="J570" s="137"/>
      <c r="K570" s="137"/>
      <c r="L570" s="137"/>
      <c r="M570" s="137"/>
      <c r="N570" s="137"/>
      <c r="O570" s="137"/>
      <c r="P570" s="137"/>
      <c r="Q570" s="137"/>
      <c r="R570" s="137"/>
    </row>
    <row r="571" customFormat="false" ht="13.5" hidden="false" customHeight="true" outlineLevel="0" collapsed="false">
      <c r="A571" s="73" t="s">
        <v>334</v>
      </c>
      <c r="B571" s="73" t="s">
        <v>317</v>
      </c>
      <c r="C571" s="73"/>
      <c r="D571" s="73" t="s">
        <v>324</v>
      </c>
      <c r="E571" s="73"/>
      <c r="F571" s="73" t="s">
        <v>335</v>
      </c>
      <c r="G571" s="73" t="s">
        <v>336</v>
      </c>
      <c r="H571" s="73" t="s">
        <v>337</v>
      </c>
      <c r="I571" s="73"/>
      <c r="J571" s="73" t="s">
        <v>338</v>
      </c>
      <c r="K571" s="73"/>
      <c r="L571" s="73"/>
      <c r="M571" s="149" t="s">
        <v>539</v>
      </c>
      <c r="N571" s="149" t="s">
        <v>540</v>
      </c>
      <c r="O571" s="149" t="s">
        <v>541</v>
      </c>
      <c r="P571" s="149" t="s">
        <v>542</v>
      </c>
      <c r="Q571" s="149" t="s">
        <v>543</v>
      </c>
      <c r="R571" s="149" t="s">
        <v>544</v>
      </c>
    </row>
    <row r="572" customFormat="false" ht="21.75" hidden="false" customHeight="true" outlineLevel="0" collapsed="false">
      <c r="A572" s="74" t="n">
        <f aca="false">IF('Calendario F'!A72="","",'Calendario F'!A72)</f>
        <v>159</v>
      </c>
      <c r="B572" s="42" t="str">
        <f aca="false">IF('Calendario F'!B72="","",'Calendario F'!B72)</f>
        <v>Foche Frenetiche</v>
      </c>
      <c r="C572" s="43" t="str">
        <f aca="false">IF('Calendario F'!C72="","",'Calendario F'!C72)</f>
        <v>F06</v>
      </c>
      <c r="D572" s="42" t="str">
        <f aca="false">IF('Calendario F'!D72="","",'Calendario F'!D72)</f>
        <v>Balene Bizzarre</v>
      </c>
      <c r="E572" s="43" t="str">
        <f aca="false">IF('Calendario F'!E72="","",'Calendario F'!E72)</f>
        <v>F02</v>
      </c>
      <c r="F572" s="44" t="n">
        <f aca="false">IF('Calendario F'!F72="","",'Calendario F'!F72)</f>
        <v>46411.625</v>
      </c>
      <c r="G572" s="44"/>
      <c r="H572" s="44"/>
      <c r="I572" s="44"/>
      <c r="J572" s="137" t="n">
        <f aca="false">IF('Calendario F'!J72="","",'Calendario F'!J72)</f>
        <v>58</v>
      </c>
      <c r="K572" s="138" t="s">
        <v>339</v>
      </c>
      <c r="L572" s="137" t="n">
        <f aca="false">IF('Calendario F'!L72="","",'Calendario F'!L72)</f>
        <v>55</v>
      </c>
      <c r="M572" s="139"/>
      <c r="N572" s="139"/>
      <c r="O572" s="139"/>
      <c r="P572" s="139"/>
      <c r="Q572" s="139"/>
      <c r="R572" s="139"/>
    </row>
    <row r="573" customFormat="false" ht="15" hidden="false" customHeight="true" outlineLevel="0" collapsed="false">
      <c r="A573" s="74"/>
      <c r="B573" s="48" t="str">
        <f aca="false">IF('Calendario F'!B73="","",'Calendario F'!B73)</f>
        <v>PalaEmu, Via dello Sport 5, Emuopoli EU</v>
      </c>
      <c r="C573" s="48"/>
      <c r="D573" s="48"/>
      <c r="E573" s="48"/>
      <c r="F573" s="48"/>
      <c r="G573" s="48"/>
      <c r="H573" s="48"/>
      <c r="I573" s="43" t="str">
        <f aca="false">IF('Calendario F'!I73="","",'Calendario F'!I73)</f>
        <v>F05</v>
      </c>
      <c r="J573" s="137"/>
      <c r="K573" s="137"/>
      <c r="L573" s="137"/>
      <c r="M573" s="137"/>
      <c r="N573" s="137"/>
      <c r="O573" s="137"/>
      <c r="P573" s="137"/>
      <c r="Q573" s="137"/>
      <c r="R573" s="137"/>
    </row>
    <row r="574" customFormat="false" ht="13.5" hidden="false" customHeight="true" outlineLevel="0" collapsed="false">
      <c r="A574" s="73" t="s">
        <v>334</v>
      </c>
      <c r="B574" s="73" t="s">
        <v>317</v>
      </c>
      <c r="C574" s="73"/>
      <c r="D574" s="73" t="s">
        <v>324</v>
      </c>
      <c r="E574" s="73"/>
      <c r="F574" s="73" t="s">
        <v>335</v>
      </c>
      <c r="G574" s="73" t="s">
        <v>336</v>
      </c>
      <c r="H574" s="73" t="s">
        <v>337</v>
      </c>
      <c r="I574" s="73"/>
      <c r="J574" s="73" t="s">
        <v>338</v>
      </c>
      <c r="K574" s="73"/>
      <c r="L574" s="73"/>
      <c r="M574" s="149" t="s">
        <v>539</v>
      </c>
      <c r="N574" s="149" t="s">
        <v>540</v>
      </c>
      <c r="O574" s="149" t="s">
        <v>541</v>
      </c>
      <c r="P574" s="149" t="s">
        <v>542</v>
      </c>
      <c r="Q574" s="149" t="s">
        <v>543</v>
      </c>
      <c r="R574" s="149" t="s">
        <v>544</v>
      </c>
    </row>
    <row r="575" customFormat="false" ht="21.75" hidden="false" customHeight="true" outlineLevel="0" collapsed="false">
      <c r="A575" s="74" t="n">
        <f aca="false">IF('Calendario F'!A75="","",'Calendario F'!A75)</f>
        <v>160</v>
      </c>
      <c r="B575" s="42" t="str">
        <f aca="false">IF('Calendario F'!B75="","",'Calendario F'!B75)</f>
        <v>Iene Ilari</v>
      </c>
      <c r="C575" s="43" t="str">
        <f aca="false">IF('Calendario F'!C75="","",'Calendario F'!C75)</f>
        <v>F08</v>
      </c>
      <c r="D575" s="42" t="str">
        <f aca="false">IF('Calendario F'!D75="","",'Calendario F'!D75)</f>
        <v>Gufi Golosi</v>
      </c>
      <c r="E575" s="43" t="str">
        <f aca="false">IF('Calendario F'!E75="","",'Calendario F'!E75)</f>
        <v>F07</v>
      </c>
      <c r="F575" s="44" t="n">
        <f aca="false">IF('Calendario F'!F75="","",'Calendario F'!F75)</f>
        <v>46411.7083333333</v>
      </c>
      <c r="G575" s="44"/>
      <c r="H575" s="44"/>
      <c r="I575" s="44"/>
      <c r="J575" s="137" t="n">
        <f aca="false">IF('Calendario F'!J75="","",'Calendario F'!J75)</f>
        <v>67</v>
      </c>
      <c r="K575" s="138" t="s">
        <v>339</v>
      </c>
      <c r="L575" s="137" t="n">
        <f aca="false">IF('Calendario F'!L75="","",'Calendario F'!L75)</f>
        <v>49</v>
      </c>
      <c r="M575" s="139"/>
      <c r="N575" s="139"/>
      <c r="O575" s="139"/>
      <c r="P575" s="139"/>
      <c r="Q575" s="139"/>
      <c r="R575" s="139"/>
    </row>
    <row r="576" customFormat="false" ht="15" hidden="false" customHeight="true" outlineLevel="0" collapsed="false">
      <c r="A576" s="74"/>
      <c r="B576" s="48" t="str">
        <f aca="false">IF('Calendario F'!B76="","",'Calendario F'!B76)</f>
        <v>PalaEmu, Via dello Sport 5, Emuopoli EU</v>
      </c>
      <c r="C576" s="48"/>
      <c r="D576" s="48"/>
      <c r="E576" s="48"/>
      <c r="F576" s="48"/>
      <c r="G576" s="48"/>
      <c r="H576" s="48"/>
      <c r="I576" s="43" t="str">
        <f aca="false">IF('Calendario F'!I76="","",'Calendario F'!I76)</f>
        <v>F05</v>
      </c>
      <c r="J576" s="137"/>
      <c r="K576" s="137"/>
      <c r="L576" s="137"/>
      <c r="M576" s="137"/>
      <c r="N576" s="137"/>
      <c r="O576" s="137"/>
      <c r="P576" s="137"/>
      <c r="Q576" s="137"/>
      <c r="R576" s="137"/>
    </row>
    <row r="578" customFormat="false" ht="19.5" hidden="false" customHeight="true" outlineLevel="0" collapsed="false">
      <c r="A578" s="71" t="str">
        <f aca="false">IF('Calendario F'!A78="","",'Calendario F'!A78)</f>
        <v>6F</v>
      </c>
      <c r="B578" s="72" t="str">
        <f aca="false">IF('Calendario F'!B78="","",'Calendario F'!B78)</f>
        <v>GIORNATA VI - GIRONE F</v>
      </c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148" t="s">
        <v>537</v>
      </c>
      <c r="N578" s="148"/>
      <c r="O578" s="148"/>
      <c r="P578" s="148" t="s">
        <v>538</v>
      </c>
      <c r="Q578" s="148"/>
      <c r="R578" s="148"/>
    </row>
    <row r="579" customFormat="false" ht="13.5" hidden="false" customHeight="true" outlineLevel="0" collapsed="false">
      <c r="A579" s="73" t="s">
        <v>334</v>
      </c>
      <c r="B579" s="73" t="s">
        <v>317</v>
      </c>
      <c r="C579" s="73"/>
      <c r="D579" s="73" t="s">
        <v>324</v>
      </c>
      <c r="E579" s="73"/>
      <c r="F579" s="73" t="s">
        <v>335</v>
      </c>
      <c r="G579" s="73" t="s">
        <v>336</v>
      </c>
      <c r="H579" s="73" t="s">
        <v>337</v>
      </c>
      <c r="I579" s="73"/>
      <c r="J579" s="73" t="s">
        <v>338</v>
      </c>
      <c r="K579" s="73"/>
      <c r="L579" s="73"/>
      <c r="M579" s="149" t="s">
        <v>539</v>
      </c>
      <c r="N579" s="149" t="s">
        <v>540</v>
      </c>
      <c r="O579" s="149" t="s">
        <v>541</v>
      </c>
      <c r="P579" s="149" t="s">
        <v>542</v>
      </c>
      <c r="Q579" s="149" t="s">
        <v>543</v>
      </c>
      <c r="R579" s="149" t="s">
        <v>544</v>
      </c>
    </row>
    <row r="580" customFormat="false" ht="21.75" hidden="false" customHeight="true" outlineLevel="0" collapsed="false">
      <c r="A580" s="74" t="n">
        <f aca="false">IF('Calendario F'!A80="","",'Calendario F'!A80)</f>
        <v>161</v>
      </c>
      <c r="B580" s="42" t="str">
        <f aca="false">IF('Calendario F'!B80="","",'Calendario F'!B80)</f>
        <v>Camaleonti Caotici</v>
      </c>
      <c r="C580" s="43" t="str">
        <f aca="false">IF('Calendario F'!C80="","",'Calendario F'!C80)</f>
        <v>F03</v>
      </c>
      <c r="D580" s="42" t="str">
        <f aca="false">IF('Calendario F'!D80="","",'Calendario F'!D80)</f>
        <v>Antilopi Ardite</v>
      </c>
      <c r="E580" s="43" t="str">
        <f aca="false">IF('Calendario F'!E80="","",'Calendario F'!E80)</f>
        <v>F01</v>
      </c>
      <c r="F580" s="44" t="n">
        <f aca="false">IF('Calendario F'!F80="","",'Calendario F'!F80)</f>
        <v>46432.3958333333</v>
      </c>
      <c r="G580" s="44"/>
      <c r="H580" s="44"/>
      <c r="I580" s="44"/>
      <c r="J580" s="137" t="n">
        <f aca="false">IF('Calendario F'!J80="","",'Calendario F'!J80)</f>
        <v>67</v>
      </c>
      <c r="K580" s="138" t="s">
        <v>339</v>
      </c>
      <c r="L580" s="137" t="n">
        <f aca="false">IF('Calendario F'!L80="","",'Calendario F'!L80)</f>
        <v>56</v>
      </c>
      <c r="M580" s="139"/>
      <c r="N580" s="139"/>
      <c r="O580" s="139"/>
      <c r="P580" s="139"/>
      <c r="Q580" s="139"/>
      <c r="R580" s="139"/>
    </row>
    <row r="581" customFormat="false" ht="15" hidden="false" customHeight="true" outlineLevel="0" collapsed="false">
      <c r="A581" s="74"/>
      <c r="B581" s="48" t="str">
        <f aca="false">IF('Calendario F'!B81="","",'Calendario F'!B81)</f>
        <v>PalaFoche, Via dello Sport 6, Focheopoli FE</v>
      </c>
      <c r="C581" s="48"/>
      <c r="D581" s="48"/>
      <c r="E581" s="48"/>
      <c r="F581" s="48"/>
      <c r="G581" s="48"/>
      <c r="H581" s="48"/>
      <c r="I581" s="43" t="str">
        <f aca="false">IF('Calendario F'!I81="","",'Calendario F'!I81)</f>
        <v>F06</v>
      </c>
      <c r="J581" s="137"/>
      <c r="K581" s="137"/>
      <c r="L581" s="137"/>
      <c r="M581" s="137"/>
      <c r="N581" s="137"/>
      <c r="O581" s="137"/>
      <c r="P581" s="137"/>
      <c r="Q581" s="137"/>
      <c r="R581" s="137"/>
    </row>
    <row r="582" customFormat="false" ht="13.5" hidden="false" customHeight="true" outlineLevel="0" collapsed="false">
      <c r="A582" s="73" t="s">
        <v>334</v>
      </c>
      <c r="B582" s="73" t="s">
        <v>317</v>
      </c>
      <c r="C582" s="73"/>
      <c r="D582" s="73" t="s">
        <v>324</v>
      </c>
      <c r="E582" s="73"/>
      <c r="F582" s="73" t="s">
        <v>335</v>
      </c>
      <c r="G582" s="73" t="s">
        <v>336</v>
      </c>
      <c r="H582" s="73" t="s">
        <v>337</v>
      </c>
      <c r="I582" s="73"/>
      <c r="J582" s="73" t="s">
        <v>338</v>
      </c>
      <c r="K582" s="73"/>
      <c r="L582" s="73"/>
      <c r="M582" s="149" t="s">
        <v>539</v>
      </c>
      <c r="N582" s="149" t="s">
        <v>540</v>
      </c>
      <c r="O582" s="149" t="s">
        <v>541</v>
      </c>
      <c r="P582" s="149" t="s">
        <v>542</v>
      </c>
      <c r="Q582" s="149" t="s">
        <v>543</v>
      </c>
      <c r="R582" s="149" t="s">
        <v>544</v>
      </c>
    </row>
    <row r="583" customFormat="false" ht="21.75" hidden="false" customHeight="true" outlineLevel="0" collapsed="false">
      <c r="A583" s="74" t="n">
        <f aca="false">IF('Calendario F'!A83="","",'Calendario F'!A83)</f>
        <v>162</v>
      </c>
      <c r="B583" s="42" t="str">
        <f aca="false">IF('Calendario F'!B83="","",'Calendario F'!B83)</f>
        <v>Donnole Determinate</v>
      </c>
      <c r="C583" s="43" t="str">
        <f aca="false">IF('Calendario F'!C83="","",'Calendario F'!C83)</f>
        <v>F04</v>
      </c>
      <c r="D583" s="42" t="str">
        <f aca="false">IF('Calendario F'!D83="","",'Calendario F'!D83)</f>
        <v>Balene Bizzarre</v>
      </c>
      <c r="E583" s="43" t="str">
        <f aca="false">IF('Calendario F'!E83="","",'Calendario F'!E83)</f>
        <v>F02</v>
      </c>
      <c r="F583" s="44" t="n">
        <f aca="false">IF('Calendario F'!F83="","",'Calendario F'!F83)</f>
        <v>46432.4791666667</v>
      </c>
      <c r="G583" s="44"/>
      <c r="H583" s="44"/>
      <c r="I583" s="44"/>
      <c r="J583" s="137" t="n">
        <f aca="false">IF('Calendario F'!J83="","",'Calendario F'!J83)</f>
        <v>66</v>
      </c>
      <c r="K583" s="138" t="s">
        <v>339</v>
      </c>
      <c r="L583" s="137" t="n">
        <f aca="false">IF('Calendario F'!L83="","",'Calendario F'!L83)</f>
        <v>58</v>
      </c>
      <c r="M583" s="139"/>
      <c r="N583" s="139"/>
      <c r="O583" s="139"/>
      <c r="P583" s="139"/>
      <c r="Q583" s="139"/>
      <c r="R583" s="139"/>
    </row>
    <row r="584" customFormat="false" ht="15" hidden="false" customHeight="true" outlineLevel="0" collapsed="false">
      <c r="A584" s="74"/>
      <c r="B584" s="48" t="str">
        <f aca="false">IF('Calendario F'!B84="","",'Calendario F'!B84)</f>
        <v>PalaFoche, Via dello Sport 6, Focheopoli FE</v>
      </c>
      <c r="C584" s="48"/>
      <c r="D584" s="48"/>
      <c r="E584" s="48"/>
      <c r="F584" s="48"/>
      <c r="G584" s="48"/>
      <c r="H584" s="48"/>
      <c r="I584" s="43" t="str">
        <f aca="false">IF('Calendario F'!I84="","",'Calendario F'!I84)</f>
        <v>F06</v>
      </c>
      <c r="J584" s="137"/>
      <c r="K584" s="137"/>
      <c r="L584" s="137"/>
      <c r="M584" s="137"/>
      <c r="N584" s="137"/>
      <c r="O584" s="137"/>
      <c r="P584" s="137"/>
      <c r="Q584" s="137"/>
      <c r="R584" s="137"/>
    </row>
    <row r="585" customFormat="false" ht="13.5" hidden="false" customHeight="true" outlineLevel="0" collapsed="false">
      <c r="A585" s="73" t="s">
        <v>334</v>
      </c>
      <c r="B585" s="73" t="s">
        <v>317</v>
      </c>
      <c r="C585" s="73"/>
      <c r="D585" s="73" t="s">
        <v>324</v>
      </c>
      <c r="E585" s="73"/>
      <c r="F585" s="73" t="s">
        <v>335</v>
      </c>
      <c r="G585" s="73" t="s">
        <v>336</v>
      </c>
      <c r="H585" s="73" t="s">
        <v>337</v>
      </c>
      <c r="I585" s="73"/>
      <c r="J585" s="73" t="s">
        <v>338</v>
      </c>
      <c r="K585" s="73"/>
      <c r="L585" s="73"/>
      <c r="M585" s="149" t="s">
        <v>539</v>
      </c>
      <c r="N585" s="149" t="s">
        <v>540</v>
      </c>
      <c r="O585" s="149" t="s">
        <v>541</v>
      </c>
      <c r="P585" s="149" t="s">
        <v>542</v>
      </c>
      <c r="Q585" s="149" t="s">
        <v>543</v>
      </c>
      <c r="R585" s="149" t="s">
        <v>544</v>
      </c>
    </row>
    <row r="586" customFormat="false" ht="21.75" hidden="false" customHeight="true" outlineLevel="0" collapsed="false">
      <c r="A586" s="74" t="n">
        <f aca="false">IF('Calendario F'!A86="","",'Calendario F'!A86)</f>
        <v>163</v>
      </c>
      <c r="B586" s="42" t="str">
        <f aca="false">IF('Calendario F'!B86="","",'Calendario F'!B86)</f>
        <v>Iene Ilari</v>
      </c>
      <c r="C586" s="43" t="str">
        <f aca="false">IF('Calendario F'!C86="","",'Calendario F'!C86)</f>
        <v>F08</v>
      </c>
      <c r="D586" s="42" t="str">
        <f aca="false">IF('Calendario F'!D86="","",'Calendario F'!D86)</f>
        <v>Emu Energici</v>
      </c>
      <c r="E586" s="43" t="str">
        <f aca="false">IF('Calendario F'!E86="","",'Calendario F'!E86)</f>
        <v>F05</v>
      </c>
      <c r="F586" s="44" t="n">
        <f aca="false">IF('Calendario F'!F86="","",'Calendario F'!F86)</f>
        <v>46432.625</v>
      </c>
      <c r="G586" s="44"/>
      <c r="H586" s="44"/>
      <c r="I586" s="44"/>
      <c r="J586" s="137" t="n">
        <f aca="false">IF('Calendario F'!J86="","",'Calendario F'!J86)</f>
        <v>68</v>
      </c>
      <c r="K586" s="138" t="s">
        <v>339</v>
      </c>
      <c r="L586" s="137" t="n">
        <f aca="false">IF('Calendario F'!L86="","",'Calendario F'!L86)</f>
        <v>59</v>
      </c>
      <c r="M586" s="139"/>
      <c r="N586" s="139"/>
      <c r="O586" s="139"/>
      <c r="P586" s="139"/>
      <c r="Q586" s="139"/>
      <c r="R586" s="139"/>
    </row>
    <row r="587" customFormat="false" ht="15" hidden="false" customHeight="true" outlineLevel="0" collapsed="false">
      <c r="A587" s="74"/>
      <c r="B587" s="48" t="str">
        <f aca="false">IF('Calendario F'!B87="","",'Calendario F'!B87)</f>
        <v>PalaFoche, Via dello Sport 6, Focheopoli FE</v>
      </c>
      <c r="C587" s="48"/>
      <c r="D587" s="48"/>
      <c r="E587" s="48"/>
      <c r="F587" s="48"/>
      <c r="G587" s="48"/>
      <c r="H587" s="48"/>
      <c r="I587" s="43" t="str">
        <f aca="false">IF('Calendario F'!I87="","",'Calendario F'!I87)</f>
        <v>F06</v>
      </c>
      <c r="J587" s="137"/>
      <c r="K587" s="137"/>
      <c r="L587" s="137"/>
      <c r="M587" s="137"/>
      <c r="N587" s="137"/>
      <c r="O587" s="137"/>
      <c r="P587" s="137"/>
      <c r="Q587" s="137"/>
      <c r="R587" s="137"/>
    </row>
    <row r="588" customFormat="false" ht="13.5" hidden="false" customHeight="true" outlineLevel="0" collapsed="false">
      <c r="A588" s="73" t="s">
        <v>334</v>
      </c>
      <c r="B588" s="73" t="s">
        <v>317</v>
      </c>
      <c r="C588" s="73"/>
      <c r="D588" s="73" t="s">
        <v>324</v>
      </c>
      <c r="E588" s="73"/>
      <c r="F588" s="73" t="s">
        <v>335</v>
      </c>
      <c r="G588" s="73" t="s">
        <v>336</v>
      </c>
      <c r="H588" s="73" t="s">
        <v>337</v>
      </c>
      <c r="I588" s="73"/>
      <c r="J588" s="73" t="s">
        <v>338</v>
      </c>
      <c r="K588" s="73"/>
      <c r="L588" s="73"/>
      <c r="M588" s="149" t="s">
        <v>539</v>
      </c>
      <c r="N588" s="149" t="s">
        <v>540</v>
      </c>
      <c r="O588" s="149" t="s">
        <v>541</v>
      </c>
      <c r="P588" s="149" t="s">
        <v>542</v>
      </c>
      <c r="Q588" s="149" t="s">
        <v>543</v>
      </c>
      <c r="R588" s="149" t="s">
        <v>544</v>
      </c>
    </row>
    <row r="589" customFormat="false" ht="21.75" hidden="false" customHeight="true" outlineLevel="0" collapsed="false">
      <c r="A589" s="74" t="n">
        <f aca="false">IF('Calendario F'!A89="","",'Calendario F'!A89)</f>
        <v>164</v>
      </c>
      <c r="B589" s="42" t="str">
        <f aca="false">IF('Calendario F'!B89="","",'Calendario F'!B89)</f>
        <v>Foche Frenetiche</v>
      </c>
      <c r="C589" s="43" t="str">
        <f aca="false">IF('Calendario F'!C89="","",'Calendario F'!C89)</f>
        <v>F06</v>
      </c>
      <c r="D589" s="42" t="str">
        <f aca="false">IF('Calendario F'!D89="","",'Calendario F'!D89)</f>
        <v>Gufi Golosi</v>
      </c>
      <c r="E589" s="43" t="str">
        <f aca="false">IF('Calendario F'!E89="","",'Calendario F'!E89)</f>
        <v>F07</v>
      </c>
      <c r="F589" s="44" t="n">
        <f aca="false">IF('Calendario F'!F89="","",'Calendario F'!F89)</f>
        <v>46432.7083333333</v>
      </c>
      <c r="G589" s="44"/>
      <c r="H589" s="44"/>
      <c r="I589" s="44"/>
      <c r="J589" s="137" t="n">
        <f aca="false">IF('Calendario F'!J89="","",'Calendario F'!J89)</f>
        <v>60</v>
      </c>
      <c r="K589" s="138" t="s">
        <v>339</v>
      </c>
      <c r="L589" s="137" t="n">
        <f aca="false">IF('Calendario F'!L89="","",'Calendario F'!L89)</f>
        <v>63</v>
      </c>
      <c r="M589" s="139"/>
      <c r="N589" s="139"/>
      <c r="O589" s="139"/>
      <c r="P589" s="139"/>
      <c r="Q589" s="139"/>
      <c r="R589" s="139"/>
    </row>
    <row r="590" customFormat="false" ht="15" hidden="false" customHeight="true" outlineLevel="0" collapsed="false">
      <c r="A590" s="74"/>
      <c r="B590" s="48" t="str">
        <f aca="false">IF('Calendario F'!B90="","",'Calendario F'!B90)</f>
        <v>PalaFoche, Via dello Sport 6, Focheopoli FE</v>
      </c>
      <c r="C590" s="48"/>
      <c r="D590" s="48"/>
      <c r="E590" s="48"/>
      <c r="F590" s="48"/>
      <c r="G590" s="48"/>
      <c r="H590" s="48"/>
      <c r="I590" s="43" t="str">
        <f aca="false">IF('Calendario F'!I90="","",'Calendario F'!I90)</f>
        <v>F06</v>
      </c>
      <c r="J590" s="137"/>
      <c r="K590" s="137"/>
      <c r="L590" s="137"/>
      <c r="M590" s="137"/>
      <c r="N590" s="137"/>
      <c r="O590" s="137"/>
      <c r="P590" s="137"/>
      <c r="Q590" s="137"/>
      <c r="R590" s="137"/>
    </row>
    <row r="592" customFormat="false" ht="19.5" hidden="false" customHeight="true" outlineLevel="0" collapsed="false">
      <c r="A592" s="71" t="str">
        <f aca="false">IF('Calendario F'!A92="","",'Calendario F'!A92)</f>
        <v>7F</v>
      </c>
      <c r="B592" s="72" t="str">
        <f aca="false">IF('Calendario F'!B92="","",'Calendario F'!B92)</f>
        <v>GIORNATA VII - GIRONE F</v>
      </c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148" t="s">
        <v>537</v>
      </c>
      <c r="N592" s="148"/>
      <c r="O592" s="148"/>
      <c r="P592" s="148" t="s">
        <v>538</v>
      </c>
      <c r="Q592" s="148"/>
      <c r="R592" s="148"/>
    </row>
    <row r="593" customFormat="false" ht="13.5" hidden="false" customHeight="true" outlineLevel="0" collapsed="false">
      <c r="A593" s="73" t="s">
        <v>334</v>
      </c>
      <c r="B593" s="73" t="s">
        <v>317</v>
      </c>
      <c r="C593" s="73"/>
      <c r="D593" s="73" t="s">
        <v>324</v>
      </c>
      <c r="E593" s="73"/>
      <c r="F593" s="73" t="s">
        <v>335</v>
      </c>
      <c r="G593" s="73" t="s">
        <v>336</v>
      </c>
      <c r="H593" s="73" t="s">
        <v>337</v>
      </c>
      <c r="I593" s="73"/>
      <c r="J593" s="73" t="s">
        <v>338</v>
      </c>
      <c r="K593" s="73"/>
      <c r="L593" s="73"/>
      <c r="M593" s="149" t="s">
        <v>539</v>
      </c>
      <c r="N593" s="149" t="s">
        <v>540</v>
      </c>
      <c r="O593" s="149" t="s">
        <v>541</v>
      </c>
      <c r="P593" s="149" t="s">
        <v>542</v>
      </c>
      <c r="Q593" s="149" t="s">
        <v>543</v>
      </c>
      <c r="R593" s="149" t="s">
        <v>544</v>
      </c>
    </row>
    <row r="594" customFormat="false" ht="21.75" hidden="false" customHeight="true" outlineLevel="0" collapsed="false">
      <c r="A594" s="74" t="n">
        <f aca="false">IF('Calendario F'!A94="","",'Calendario F'!A94)</f>
        <v>165</v>
      </c>
      <c r="B594" s="42" t="str">
        <f aca="false">IF('Calendario F'!B94="","",'Calendario F'!B94)</f>
        <v>Antilopi Ardite</v>
      </c>
      <c r="C594" s="43" t="str">
        <f aca="false">IF('Calendario F'!C94="","",'Calendario F'!C94)</f>
        <v>F01</v>
      </c>
      <c r="D594" s="42" t="str">
        <f aca="false">IF('Calendario F'!D94="","",'Calendario F'!D94)</f>
        <v>Balene Bizzarre</v>
      </c>
      <c r="E594" s="43" t="str">
        <f aca="false">IF('Calendario F'!E94="","",'Calendario F'!E94)</f>
        <v>F02</v>
      </c>
      <c r="F594" s="44" t="n">
        <f aca="false">IF('Calendario F'!F94="","",'Calendario F'!F94)</f>
        <v>46453.3958333333</v>
      </c>
      <c r="G594" s="44"/>
      <c r="H594" s="44"/>
      <c r="I594" s="44"/>
      <c r="J594" s="137" t="n">
        <f aca="false">IF('Calendario F'!J94="","",'Calendario F'!J94)</f>
        <v>58</v>
      </c>
      <c r="K594" s="138" t="s">
        <v>339</v>
      </c>
      <c r="L594" s="137" t="n">
        <f aca="false">IF('Calendario F'!L94="","",'Calendario F'!L94)</f>
        <v>64</v>
      </c>
      <c r="M594" s="139"/>
      <c r="N594" s="139"/>
      <c r="O594" s="139"/>
      <c r="P594" s="139"/>
      <c r="Q594" s="139"/>
      <c r="R594" s="139"/>
    </row>
    <row r="595" customFormat="false" ht="15" hidden="false" customHeight="true" outlineLevel="0" collapsed="false">
      <c r="A595" s="74"/>
      <c r="B595" s="48" t="str">
        <f aca="false">IF('Calendario F'!B95="","",'Calendario F'!B95)</f>
        <v>PalaGufi, Via dello Sport 7, Gufiopoli GI</v>
      </c>
      <c r="C595" s="48"/>
      <c r="D595" s="48"/>
      <c r="E595" s="48"/>
      <c r="F595" s="48"/>
      <c r="G595" s="48"/>
      <c r="H595" s="48"/>
      <c r="I595" s="43" t="str">
        <f aca="false">IF('Calendario F'!I95="","",'Calendario F'!I95)</f>
        <v>F07</v>
      </c>
      <c r="J595" s="137"/>
      <c r="K595" s="137"/>
      <c r="L595" s="137"/>
      <c r="M595" s="137"/>
      <c r="N595" s="137"/>
      <c r="O595" s="137"/>
      <c r="P595" s="137"/>
      <c r="Q595" s="137"/>
      <c r="R595" s="137"/>
    </row>
    <row r="596" customFormat="false" ht="13.5" hidden="false" customHeight="true" outlineLevel="0" collapsed="false">
      <c r="A596" s="73" t="s">
        <v>334</v>
      </c>
      <c r="B596" s="73" t="s">
        <v>317</v>
      </c>
      <c r="C596" s="73"/>
      <c r="D596" s="73" t="s">
        <v>324</v>
      </c>
      <c r="E596" s="73"/>
      <c r="F596" s="73" t="s">
        <v>335</v>
      </c>
      <c r="G596" s="73" t="s">
        <v>336</v>
      </c>
      <c r="H596" s="73" t="s">
        <v>337</v>
      </c>
      <c r="I596" s="73"/>
      <c r="J596" s="73" t="s">
        <v>338</v>
      </c>
      <c r="K596" s="73"/>
      <c r="L596" s="73"/>
      <c r="M596" s="149" t="s">
        <v>539</v>
      </c>
      <c r="N596" s="149" t="s">
        <v>540</v>
      </c>
      <c r="O596" s="149" t="s">
        <v>541</v>
      </c>
      <c r="P596" s="149" t="s">
        <v>542</v>
      </c>
      <c r="Q596" s="149" t="s">
        <v>543</v>
      </c>
      <c r="R596" s="149" t="s">
        <v>544</v>
      </c>
    </row>
    <row r="597" customFormat="false" ht="21.75" hidden="false" customHeight="true" outlineLevel="0" collapsed="false">
      <c r="A597" s="74" t="n">
        <f aca="false">IF('Calendario F'!A97="","",'Calendario F'!A97)</f>
        <v>166</v>
      </c>
      <c r="B597" s="42" t="str">
        <f aca="false">IF('Calendario F'!B97="","",'Calendario F'!B97)</f>
        <v>Iene Ilari</v>
      </c>
      <c r="C597" s="43" t="str">
        <f aca="false">IF('Calendario F'!C97="","",'Calendario F'!C97)</f>
        <v>F08</v>
      </c>
      <c r="D597" s="42" t="str">
        <f aca="false">IF('Calendario F'!D97="","",'Calendario F'!D97)</f>
        <v>Camaleonti Caotici</v>
      </c>
      <c r="E597" s="43" t="str">
        <f aca="false">IF('Calendario F'!E97="","",'Calendario F'!E97)</f>
        <v>F03</v>
      </c>
      <c r="F597" s="44" t="n">
        <f aca="false">IF('Calendario F'!F97="","",'Calendario F'!F97)</f>
        <v>46453.4791666667</v>
      </c>
      <c r="G597" s="44"/>
      <c r="H597" s="44"/>
      <c r="I597" s="44"/>
      <c r="J597" s="137" t="n">
        <f aca="false">IF('Calendario F'!J97="","",'Calendario F'!J97)</f>
        <v>71</v>
      </c>
      <c r="K597" s="138" t="s">
        <v>339</v>
      </c>
      <c r="L597" s="137" t="n">
        <f aca="false">IF('Calendario F'!L97="","",'Calendario F'!L97)</f>
        <v>55</v>
      </c>
      <c r="M597" s="139"/>
      <c r="N597" s="139"/>
      <c r="O597" s="139"/>
      <c r="P597" s="139"/>
      <c r="Q597" s="139"/>
      <c r="R597" s="139"/>
    </row>
    <row r="598" customFormat="false" ht="15" hidden="false" customHeight="true" outlineLevel="0" collapsed="false">
      <c r="A598" s="74"/>
      <c r="B598" s="48" t="str">
        <f aca="false">IF('Calendario F'!B98="","",'Calendario F'!B98)</f>
        <v>PalaGufi, Via dello Sport 7, Gufiopoli GI</v>
      </c>
      <c r="C598" s="48"/>
      <c r="D598" s="48"/>
      <c r="E598" s="48"/>
      <c r="F598" s="48"/>
      <c r="G598" s="48"/>
      <c r="H598" s="48"/>
      <c r="I598" s="43" t="str">
        <f aca="false">IF('Calendario F'!I98="","",'Calendario F'!I98)</f>
        <v>F07</v>
      </c>
      <c r="J598" s="137"/>
      <c r="K598" s="137"/>
      <c r="L598" s="137"/>
      <c r="M598" s="137"/>
      <c r="N598" s="137"/>
      <c r="O598" s="137"/>
      <c r="P598" s="137"/>
      <c r="Q598" s="137"/>
      <c r="R598" s="137"/>
    </row>
    <row r="599" customFormat="false" ht="13.5" hidden="false" customHeight="true" outlineLevel="0" collapsed="false">
      <c r="A599" s="73" t="s">
        <v>334</v>
      </c>
      <c r="B599" s="73" t="s">
        <v>317</v>
      </c>
      <c r="C599" s="73"/>
      <c r="D599" s="73" t="s">
        <v>324</v>
      </c>
      <c r="E599" s="73"/>
      <c r="F599" s="73" t="s">
        <v>335</v>
      </c>
      <c r="G599" s="73" t="s">
        <v>336</v>
      </c>
      <c r="H599" s="73" t="s">
        <v>337</v>
      </c>
      <c r="I599" s="73"/>
      <c r="J599" s="73" t="s">
        <v>338</v>
      </c>
      <c r="K599" s="73"/>
      <c r="L599" s="73"/>
      <c r="M599" s="149" t="s">
        <v>539</v>
      </c>
      <c r="N599" s="149" t="s">
        <v>540</v>
      </c>
      <c r="O599" s="149" t="s">
        <v>541</v>
      </c>
      <c r="P599" s="149" t="s">
        <v>542</v>
      </c>
      <c r="Q599" s="149" t="s">
        <v>543</v>
      </c>
      <c r="R599" s="149" t="s">
        <v>544</v>
      </c>
    </row>
    <row r="600" customFormat="false" ht="21.75" hidden="false" customHeight="true" outlineLevel="0" collapsed="false">
      <c r="A600" s="74" t="n">
        <f aca="false">IF('Calendario F'!A100="","",'Calendario F'!A100)</f>
        <v>167</v>
      </c>
      <c r="B600" s="42" t="str">
        <f aca="false">IF('Calendario F'!B100="","",'Calendario F'!B100)</f>
        <v>Donnole Determinate</v>
      </c>
      <c r="C600" s="43" t="str">
        <f aca="false">IF('Calendario F'!C100="","",'Calendario F'!C100)</f>
        <v>F04</v>
      </c>
      <c r="D600" s="42" t="str">
        <f aca="false">IF('Calendario F'!D100="","",'Calendario F'!D100)</f>
        <v>Gufi Golosi</v>
      </c>
      <c r="E600" s="43" t="str">
        <f aca="false">IF('Calendario F'!E100="","",'Calendario F'!E100)</f>
        <v>F07</v>
      </c>
      <c r="F600" s="44" t="n">
        <f aca="false">IF('Calendario F'!F100="","",'Calendario F'!F100)</f>
        <v>46453.625</v>
      </c>
      <c r="G600" s="44"/>
      <c r="H600" s="44"/>
      <c r="I600" s="44"/>
      <c r="J600" s="137" t="n">
        <f aca="false">IF('Calendario F'!J100="","",'Calendario F'!J100)</f>
        <v>65</v>
      </c>
      <c r="K600" s="138" t="s">
        <v>339</v>
      </c>
      <c r="L600" s="137" t="n">
        <f aca="false">IF('Calendario F'!L100="","",'Calendario F'!L100)</f>
        <v>54</v>
      </c>
      <c r="M600" s="139"/>
      <c r="N600" s="139"/>
      <c r="O600" s="139"/>
      <c r="P600" s="139"/>
      <c r="Q600" s="139"/>
      <c r="R600" s="139"/>
    </row>
    <row r="601" customFormat="false" ht="15" hidden="false" customHeight="true" outlineLevel="0" collapsed="false">
      <c r="A601" s="74"/>
      <c r="B601" s="48" t="str">
        <f aca="false">IF('Calendario F'!B101="","",'Calendario F'!B101)</f>
        <v>PalaGufi, Via dello Sport 7, Gufiopoli GI</v>
      </c>
      <c r="C601" s="48"/>
      <c r="D601" s="48"/>
      <c r="E601" s="48"/>
      <c r="F601" s="48"/>
      <c r="G601" s="48"/>
      <c r="H601" s="48"/>
      <c r="I601" s="43" t="str">
        <f aca="false">IF('Calendario F'!I101="","",'Calendario F'!I101)</f>
        <v>F07</v>
      </c>
      <c r="J601" s="137"/>
      <c r="K601" s="137"/>
      <c r="L601" s="137"/>
      <c r="M601" s="137"/>
      <c r="N601" s="137"/>
      <c r="O601" s="137"/>
      <c r="P601" s="137"/>
      <c r="Q601" s="137"/>
      <c r="R601" s="137"/>
    </row>
    <row r="602" customFormat="false" ht="13.5" hidden="false" customHeight="true" outlineLevel="0" collapsed="false">
      <c r="A602" s="73" t="s">
        <v>334</v>
      </c>
      <c r="B602" s="73" t="s">
        <v>317</v>
      </c>
      <c r="C602" s="73"/>
      <c r="D602" s="73" t="s">
        <v>324</v>
      </c>
      <c r="E602" s="73"/>
      <c r="F602" s="73" t="s">
        <v>335</v>
      </c>
      <c r="G602" s="73" t="s">
        <v>336</v>
      </c>
      <c r="H602" s="73" t="s">
        <v>337</v>
      </c>
      <c r="I602" s="73"/>
      <c r="J602" s="73" t="s">
        <v>338</v>
      </c>
      <c r="K602" s="73"/>
      <c r="L602" s="73"/>
      <c r="M602" s="149" t="s">
        <v>539</v>
      </c>
      <c r="N602" s="149" t="s">
        <v>540</v>
      </c>
      <c r="O602" s="149" t="s">
        <v>541</v>
      </c>
      <c r="P602" s="149" t="s">
        <v>542</v>
      </c>
      <c r="Q602" s="149" t="s">
        <v>543</v>
      </c>
      <c r="R602" s="149" t="s">
        <v>544</v>
      </c>
    </row>
    <row r="603" customFormat="false" ht="21.75" hidden="false" customHeight="true" outlineLevel="0" collapsed="false">
      <c r="A603" s="74" t="n">
        <f aca="false">IF('Calendario F'!A103="","",'Calendario F'!A103)</f>
        <v>168</v>
      </c>
      <c r="B603" s="42" t="str">
        <f aca="false">IF('Calendario F'!B103="","",'Calendario F'!B103)</f>
        <v>Foche Frenetiche</v>
      </c>
      <c r="C603" s="43" t="str">
        <f aca="false">IF('Calendario F'!C103="","",'Calendario F'!C103)</f>
        <v>F06</v>
      </c>
      <c r="D603" s="42" t="str">
        <f aca="false">IF('Calendario F'!D103="","",'Calendario F'!D103)</f>
        <v>Emu Energici</v>
      </c>
      <c r="E603" s="43" t="str">
        <f aca="false">IF('Calendario F'!E103="","",'Calendario F'!E103)</f>
        <v>F05</v>
      </c>
      <c r="F603" s="44" t="n">
        <f aca="false">IF('Calendario F'!F103="","",'Calendario F'!F103)</f>
        <v>46453.7083333333</v>
      </c>
      <c r="G603" s="44"/>
      <c r="H603" s="44"/>
      <c r="I603" s="44"/>
      <c r="J603" s="137" t="n">
        <f aca="false">IF('Calendario F'!J103="","",'Calendario F'!J103)</f>
        <v>42</v>
      </c>
      <c r="K603" s="138" t="s">
        <v>339</v>
      </c>
      <c r="L603" s="137" t="n">
        <f aca="false">IF('Calendario F'!L103="","",'Calendario F'!L103)</f>
        <v>70</v>
      </c>
      <c r="M603" s="139"/>
      <c r="N603" s="139"/>
      <c r="O603" s="139"/>
      <c r="P603" s="139"/>
      <c r="Q603" s="139"/>
      <c r="R603" s="139"/>
    </row>
    <row r="604" customFormat="false" ht="15" hidden="false" customHeight="true" outlineLevel="0" collapsed="false">
      <c r="A604" s="74"/>
      <c r="B604" s="48" t="str">
        <f aca="false">IF('Calendario F'!B104="","",'Calendario F'!B104)</f>
        <v>PalaGufi, Via dello Sport 7, Gufiopoli GI</v>
      </c>
      <c r="C604" s="48"/>
      <c r="D604" s="48"/>
      <c r="E604" s="48"/>
      <c r="F604" s="48"/>
      <c r="G604" s="48"/>
      <c r="H604" s="48"/>
      <c r="I604" s="43" t="str">
        <f aca="false">IF('Calendario F'!I104="","",'Calendario F'!I104)</f>
        <v>F07</v>
      </c>
      <c r="J604" s="137"/>
      <c r="K604" s="137"/>
      <c r="L604" s="137"/>
      <c r="M604" s="137"/>
      <c r="N604" s="137"/>
      <c r="O604" s="137"/>
      <c r="P604" s="137"/>
      <c r="Q604" s="137"/>
      <c r="R604" s="137"/>
    </row>
    <row r="608" customFormat="false" ht="19.5" hidden="false" customHeight="true" outlineLevel="0" collapsed="false">
      <c r="A608" s="76" t="str">
        <f aca="false">IF('Calendario G'!A8="","",'Calendario G'!A8)</f>
        <v>1G</v>
      </c>
      <c r="B608" s="77" t="str">
        <f aca="false">IF('Calendario G'!B8="","",'Calendario G'!B8)</f>
        <v>GIORNATA I - GIRONE G</v>
      </c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150" t="s">
        <v>537</v>
      </c>
      <c r="N608" s="150"/>
      <c r="O608" s="150"/>
      <c r="P608" s="150" t="s">
        <v>538</v>
      </c>
      <c r="Q608" s="150"/>
      <c r="R608" s="150"/>
    </row>
    <row r="609" customFormat="false" ht="13.5" hidden="false" customHeight="true" outlineLevel="0" collapsed="false">
      <c r="A609" s="78" t="s">
        <v>334</v>
      </c>
      <c r="B609" s="78" t="s">
        <v>317</v>
      </c>
      <c r="C609" s="78"/>
      <c r="D609" s="78" t="s">
        <v>324</v>
      </c>
      <c r="E609" s="78"/>
      <c r="F609" s="78" t="s">
        <v>335</v>
      </c>
      <c r="G609" s="78" t="s">
        <v>336</v>
      </c>
      <c r="H609" s="78" t="s">
        <v>337</v>
      </c>
      <c r="I609" s="78"/>
      <c r="J609" s="78" t="s">
        <v>338</v>
      </c>
      <c r="K609" s="78"/>
      <c r="L609" s="78"/>
      <c r="M609" s="151" t="s">
        <v>539</v>
      </c>
      <c r="N609" s="151" t="s">
        <v>540</v>
      </c>
      <c r="O609" s="151" t="s">
        <v>541</v>
      </c>
      <c r="P609" s="151" t="s">
        <v>542</v>
      </c>
      <c r="Q609" s="151" t="s">
        <v>543</v>
      </c>
      <c r="R609" s="151" t="s">
        <v>544</v>
      </c>
    </row>
    <row r="610" customFormat="false" ht="21.75" hidden="false" customHeight="true" outlineLevel="0" collapsed="false">
      <c r="A610" s="79" t="n">
        <f aca="false">IF('Calendario G'!A10="","",'Calendario G'!A10)</f>
        <v>169</v>
      </c>
      <c r="B610" s="42" t="str">
        <f aca="false">IF('Calendario G'!B10="","",'Calendario G'!B10)</f>
        <v>Koala Kolossali</v>
      </c>
      <c r="C610" s="43" t="str">
        <f aca="false">IF('Calendario G'!C10="","",'Calendario G'!C10)</f>
        <v>G01</v>
      </c>
      <c r="D610" s="42" t="str">
        <f aca="false">IF('Calendario G'!D10="","",'Calendario G'!D10)</f>
        <v>Struzzi Strepitosi</v>
      </c>
      <c r="E610" s="43" t="str">
        <f aca="false">IF('Calendario G'!E10="","",'Calendario G'!E10)</f>
        <v>G08</v>
      </c>
      <c r="F610" s="44" t="n">
        <f aca="false">IF('Calendario G'!F10="","",'Calendario G'!F10)</f>
        <v>46313.3958333333</v>
      </c>
      <c r="G610" s="44"/>
      <c r="H610" s="44"/>
      <c r="I610" s="44"/>
      <c r="J610" s="137" t="n">
        <f aca="false">IF('Calendario G'!J10="","",'Calendario G'!J10)</f>
        <v>53</v>
      </c>
      <c r="K610" s="138" t="s">
        <v>339</v>
      </c>
      <c r="L610" s="137" t="n">
        <f aca="false">IF('Calendario G'!L10="","",'Calendario G'!L10)</f>
        <v>54</v>
      </c>
      <c r="M610" s="139"/>
      <c r="N610" s="139"/>
      <c r="O610" s="139"/>
      <c r="P610" s="139"/>
      <c r="Q610" s="139"/>
      <c r="R610" s="139"/>
    </row>
    <row r="611" customFormat="false" ht="15" hidden="false" customHeight="true" outlineLevel="0" collapsed="false">
      <c r="A611" s="79"/>
      <c r="B611" s="48" t="str">
        <f aca="false">IF('Calendario G'!B11="","",'Calendario G'!B11)</f>
        <v>PalaKoala, Via dello Sport 9, Koalaopoli KA</v>
      </c>
      <c r="C611" s="48"/>
      <c r="D611" s="48"/>
      <c r="E611" s="48"/>
      <c r="F611" s="48"/>
      <c r="G611" s="48"/>
      <c r="H611" s="48"/>
      <c r="I611" s="43" t="str">
        <f aca="false">IF('Calendario G'!I11="","",'Calendario G'!I11)</f>
        <v>G01</v>
      </c>
      <c r="J611" s="137"/>
      <c r="K611" s="137"/>
      <c r="L611" s="137"/>
      <c r="M611" s="137"/>
      <c r="N611" s="137"/>
      <c r="O611" s="137"/>
      <c r="P611" s="137"/>
      <c r="Q611" s="137"/>
      <c r="R611" s="137"/>
    </row>
    <row r="612" customFormat="false" ht="13.5" hidden="false" customHeight="true" outlineLevel="0" collapsed="false">
      <c r="A612" s="78" t="s">
        <v>334</v>
      </c>
      <c r="B612" s="78" t="s">
        <v>317</v>
      </c>
      <c r="C612" s="78"/>
      <c r="D612" s="78" t="s">
        <v>324</v>
      </c>
      <c r="E612" s="78"/>
      <c r="F612" s="78" t="s">
        <v>335</v>
      </c>
      <c r="G612" s="78" t="s">
        <v>336</v>
      </c>
      <c r="H612" s="78" t="s">
        <v>337</v>
      </c>
      <c r="I612" s="78"/>
      <c r="J612" s="78" t="s">
        <v>338</v>
      </c>
      <c r="K612" s="78"/>
      <c r="L612" s="78"/>
      <c r="M612" s="151" t="s">
        <v>539</v>
      </c>
      <c r="N612" s="151" t="s">
        <v>540</v>
      </c>
      <c r="O612" s="151" t="s">
        <v>541</v>
      </c>
      <c r="P612" s="151" t="s">
        <v>542</v>
      </c>
      <c r="Q612" s="151" t="s">
        <v>543</v>
      </c>
      <c r="R612" s="151" t="s">
        <v>544</v>
      </c>
    </row>
    <row r="613" customFormat="false" ht="21.75" hidden="false" customHeight="true" outlineLevel="0" collapsed="false">
      <c r="A613" s="79" t="n">
        <f aca="false">IF('Calendario G'!A13="","",'Calendario G'!A13)</f>
        <v>170</v>
      </c>
      <c r="B613" s="42" t="str">
        <f aca="false">IF('Calendario G'!B13="","",'Calendario G'!B13)</f>
        <v>Renne Rocambolesche</v>
      </c>
      <c r="C613" s="43" t="str">
        <f aca="false">IF('Calendario G'!C13="","",'Calendario G'!C13)</f>
        <v>G07</v>
      </c>
      <c r="D613" s="42" t="str">
        <f aca="false">IF('Calendario G'!D13="","",'Calendario G'!D13)</f>
        <v>Leopardi Leggiadri</v>
      </c>
      <c r="E613" s="43" t="str">
        <f aca="false">IF('Calendario G'!E13="","",'Calendario G'!E13)</f>
        <v>G02</v>
      </c>
      <c r="F613" s="44" t="n">
        <f aca="false">IF('Calendario G'!F13="","",'Calendario G'!F13)</f>
        <v>46313.4791666667</v>
      </c>
      <c r="G613" s="44"/>
      <c r="H613" s="44"/>
      <c r="I613" s="44"/>
      <c r="J613" s="137" t="n">
        <f aca="false">IF('Calendario G'!J13="","",'Calendario G'!J13)</f>
        <v>57</v>
      </c>
      <c r="K613" s="138" t="s">
        <v>339</v>
      </c>
      <c r="L613" s="137" t="n">
        <f aca="false">IF('Calendario G'!L13="","",'Calendario G'!L13)</f>
        <v>61</v>
      </c>
      <c r="M613" s="139"/>
      <c r="N613" s="139"/>
      <c r="O613" s="139"/>
      <c r="P613" s="139"/>
      <c r="Q613" s="139"/>
      <c r="R613" s="139"/>
    </row>
    <row r="614" customFormat="false" ht="15" hidden="false" customHeight="true" outlineLevel="0" collapsed="false">
      <c r="A614" s="79"/>
      <c r="B614" s="48" t="str">
        <f aca="false">IF('Calendario G'!B14="","",'Calendario G'!B14)</f>
        <v>PalaKoala, Via dello Sport 9, Koalaopoli KA</v>
      </c>
      <c r="C614" s="48"/>
      <c r="D614" s="48"/>
      <c r="E614" s="48"/>
      <c r="F614" s="48"/>
      <c r="G614" s="48"/>
      <c r="H614" s="48"/>
      <c r="I614" s="43" t="str">
        <f aca="false">IF('Calendario G'!I14="","",'Calendario G'!I14)</f>
        <v>G01</v>
      </c>
      <c r="J614" s="137"/>
      <c r="K614" s="137"/>
      <c r="L614" s="137"/>
      <c r="M614" s="137"/>
      <c r="N614" s="137"/>
      <c r="O614" s="137"/>
      <c r="P614" s="137"/>
      <c r="Q614" s="137"/>
      <c r="R614" s="137"/>
    </row>
    <row r="615" customFormat="false" ht="13.5" hidden="false" customHeight="true" outlineLevel="0" collapsed="false">
      <c r="A615" s="78" t="s">
        <v>334</v>
      </c>
      <c r="B615" s="78" t="s">
        <v>317</v>
      </c>
      <c r="C615" s="78"/>
      <c r="D615" s="78" t="s">
        <v>324</v>
      </c>
      <c r="E615" s="78"/>
      <c r="F615" s="78" t="s">
        <v>335</v>
      </c>
      <c r="G615" s="78" t="s">
        <v>336</v>
      </c>
      <c r="H615" s="78" t="s">
        <v>337</v>
      </c>
      <c r="I615" s="78"/>
      <c r="J615" s="78" t="s">
        <v>338</v>
      </c>
      <c r="K615" s="78"/>
      <c r="L615" s="78"/>
      <c r="M615" s="151" t="s">
        <v>539</v>
      </c>
      <c r="N615" s="151" t="s">
        <v>540</v>
      </c>
      <c r="O615" s="151" t="s">
        <v>541</v>
      </c>
      <c r="P615" s="151" t="s">
        <v>542</v>
      </c>
      <c r="Q615" s="151" t="s">
        <v>543</v>
      </c>
      <c r="R615" s="151" t="s">
        <v>544</v>
      </c>
    </row>
    <row r="616" customFormat="false" ht="21.75" hidden="false" customHeight="true" outlineLevel="0" collapsed="false">
      <c r="A616" s="79" t="n">
        <f aca="false">IF('Calendario G'!A16="","",'Calendario G'!A16)</f>
        <v>171</v>
      </c>
      <c r="B616" s="42" t="str">
        <f aca="false">IF('Calendario G'!B16="","",'Calendario G'!B16)</f>
        <v>Meduse Malandrine</v>
      </c>
      <c r="C616" s="43" t="str">
        <f aca="false">IF('Calendario G'!C16="","",'Calendario G'!C16)</f>
        <v>G03</v>
      </c>
      <c r="D616" s="42" t="str">
        <f aca="false">IF('Calendario G'!D16="","",'Calendario G'!D16)</f>
        <v>Pinguini Prodigiosi</v>
      </c>
      <c r="E616" s="43" t="str">
        <f aca="false">IF('Calendario G'!E16="","",'Calendario G'!E16)</f>
        <v>G06</v>
      </c>
      <c r="F616" s="44" t="n">
        <f aca="false">IF('Calendario G'!F16="","",'Calendario G'!F16)</f>
        <v>46313.625</v>
      </c>
      <c r="G616" s="44"/>
      <c r="H616" s="44"/>
      <c r="I616" s="44"/>
      <c r="J616" s="137" t="n">
        <f aca="false">IF('Calendario G'!J16="","",'Calendario G'!J16)</f>
        <v>59</v>
      </c>
      <c r="K616" s="138" t="s">
        <v>339</v>
      </c>
      <c r="L616" s="137" t="n">
        <f aca="false">IF('Calendario G'!L16="","",'Calendario G'!L16)</f>
        <v>95</v>
      </c>
      <c r="M616" s="139"/>
      <c r="N616" s="139"/>
      <c r="O616" s="139"/>
      <c r="P616" s="139"/>
      <c r="Q616" s="139"/>
      <c r="R616" s="139"/>
    </row>
    <row r="617" customFormat="false" ht="15" hidden="false" customHeight="true" outlineLevel="0" collapsed="false">
      <c r="A617" s="79"/>
      <c r="B617" s="48" t="str">
        <f aca="false">IF('Calendario G'!B17="","",'Calendario G'!B17)</f>
        <v>PalaKoala, Via dello Sport 9, Koalaopoli KA</v>
      </c>
      <c r="C617" s="48"/>
      <c r="D617" s="48"/>
      <c r="E617" s="48"/>
      <c r="F617" s="48"/>
      <c r="G617" s="48"/>
      <c r="H617" s="48"/>
      <c r="I617" s="43" t="str">
        <f aca="false">IF('Calendario G'!I17="","",'Calendario G'!I17)</f>
        <v>G01</v>
      </c>
      <c r="J617" s="137"/>
      <c r="K617" s="137"/>
      <c r="L617" s="137"/>
      <c r="M617" s="137"/>
      <c r="N617" s="137"/>
      <c r="O617" s="137"/>
      <c r="P617" s="137"/>
      <c r="Q617" s="137"/>
      <c r="R617" s="137"/>
    </row>
    <row r="618" customFormat="false" ht="13.5" hidden="false" customHeight="true" outlineLevel="0" collapsed="false">
      <c r="A618" s="78" t="s">
        <v>334</v>
      </c>
      <c r="B618" s="78" t="s">
        <v>317</v>
      </c>
      <c r="C618" s="78"/>
      <c r="D618" s="78" t="s">
        <v>324</v>
      </c>
      <c r="E618" s="78"/>
      <c r="F618" s="78" t="s">
        <v>335</v>
      </c>
      <c r="G618" s="78" t="s">
        <v>336</v>
      </c>
      <c r="H618" s="78" t="s">
        <v>337</v>
      </c>
      <c r="I618" s="78"/>
      <c r="J618" s="78" t="s">
        <v>338</v>
      </c>
      <c r="K618" s="78"/>
      <c r="L618" s="78"/>
      <c r="M618" s="151" t="s">
        <v>539</v>
      </c>
      <c r="N618" s="151" t="s">
        <v>540</v>
      </c>
      <c r="O618" s="151" t="s">
        <v>541</v>
      </c>
      <c r="P618" s="151" t="s">
        <v>542</v>
      </c>
      <c r="Q618" s="151" t="s">
        <v>543</v>
      </c>
      <c r="R618" s="151" t="s">
        <v>544</v>
      </c>
    </row>
    <row r="619" customFormat="false" ht="21.75" hidden="false" customHeight="true" outlineLevel="0" collapsed="false">
      <c r="A619" s="79" t="n">
        <f aca="false">IF('Calendario G'!A19="","",'Calendario G'!A19)</f>
        <v>172</v>
      </c>
      <c r="B619" s="42" t="str">
        <f aca="false">IF('Calendario G'!B19="","",'Calendario G'!B19)</f>
        <v>Orangotanghi Operosi</v>
      </c>
      <c r="C619" s="43" t="str">
        <f aca="false">IF('Calendario G'!C19="","",'Calendario G'!C19)</f>
        <v>G05</v>
      </c>
      <c r="D619" s="42" t="str">
        <f aca="false">IF('Calendario G'!D19="","",'Calendario G'!D19)</f>
        <v>Nandu Nottambuli</v>
      </c>
      <c r="E619" s="43" t="str">
        <f aca="false">IF('Calendario G'!E19="","",'Calendario G'!E19)</f>
        <v>G04</v>
      </c>
      <c r="F619" s="44" t="n">
        <f aca="false">IF('Calendario G'!F19="","",'Calendario G'!F19)</f>
        <v>46313.7083333333</v>
      </c>
      <c r="G619" s="44"/>
      <c r="H619" s="44"/>
      <c r="I619" s="44"/>
      <c r="J619" s="137" t="n">
        <f aca="false">IF('Calendario G'!J19="","",'Calendario G'!J19)</f>
        <v>83</v>
      </c>
      <c r="K619" s="138" t="s">
        <v>339</v>
      </c>
      <c r="L619" s="137" t="n">
        <f aca="false">IF('Calendario G'!L19="","",'Calendario G'!L19)</f>
        <v>56</v>
      </c>
      <c r="M619" s="139"/>
      <c r="N619" s="139"/>
      <c r="O619" s="139"/>
      <c r="P619" s="139"/>
      <c r="Q619" s="139"/>
      <c r="R619" s="139"/>
    </row>
    <row r="620" customFormat="false" ht="15" hidden="false" customHeight="true" outlineLevel="0" collapsed="false">
      <c r="A620" s="79"/>
      <c r="B620" s="48" t="str">
        <f aca="false">IF('Calendario G'!B20="","",'Calendario G'!B20)</f>
        <v>PalaKoala, Via dello Sport 9, Koalaopoli KA</v>
      </c>
      <c r="C620" s="48"/>
      <c r="D620" s="48"/>
      <c r="E620" s="48"/>
      <c r="F620" s="48"/>
      <c r="G620" s="48"/>
      <c r="H620" s="48"/>
      <c r="I620" s="43" t="str">
        <f aca="false">IF('Calendario G'!I20="","",'Calendario G'!I20)</f>
        <v>G01</v>
      </c>
      <c r="J620" s="137"/>
      <c r="K620" s="137"/>
      <c r="L620" s="137"/>
      <c r="M620" s="137"/>
      <c r="N620" s="137"/>
      <c r="O620" s="137"/>
      <c r="P620" s="137"/>
      <c r="Q620" s="137"/>
      <c r="R620" s="137"/>
    </row>
    <row r="622" customFormat="false" ht="19.5" hidden="false" customHeight="true" outlineLevel="0" collapsed="false">
      <c r="A622" s="76" t="str">
        <f aca="false">IF('Calendario G'!A22="","",'Calendario G'!A22)</f>
        <v>2G</v>
      </c>
      <c r="B622" s="77" t="str">
        <f aca="false">IF('Calendario G'!B22="","",'Calendario G'!B22)</f>
        <v>GIORNATA II - GIRONE G</v>
      </c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150" t="s">
        <v>537</v>
      </c>
      <c r="N622" s="150"/>
      <c r="O622" s="150"/>
      <c r="P622" s="150" t="s">
        <v>538</v>
      </c>
      <c r="Q622" s="150"/>
      <c r="R622" s="150"/>
    </row>
    <row r="623" customFormat="false" ht="13.5" hidden="false" customHeight="true" outlineLevel="0" collapsed="false">
      <c r="A623" s="78" t="s">
        <v>334</v>
      </c>
      <c r="B623" s="78" t="s">
        <v>317</v>
      </c>
      <c r="C623" s="78"/>
      <c r="D623" s="78" t="s">
        <v>324</v>
      </c>
      <c r="E623" s="78"/>
      <c r="F623" s="78" t="s">
        <v>335</v>
      </c>
      <c r="G623" s="78" t="s">
        <v>336</v>
      </c>
      <c r="H623" s="78" t="s">
        <v>337</v>
      </c>
      <c r="I623" s="78"/>
      <c r="J623" s="78" t="s">
        <v>338</v>
      </c>
      <c r="K623" s="78"/>
      <c r="L623" s="78"/>
      <c r="M623" s="151" t="s">
        <v>539</v>
      </c>
      <c r="N623" s="151" t="s">
        <v>540</v>
      </c>
      <c r="O623" s="151" t="s">
        <v>541</v>
      </c>
      <c r="P623" s="151" t="s">
        <v>542</v>
      </c>
      <c r="Q623" s="151" t="s">
        <v>543</v>
      </c>
      <c r="R623" s="151" t="s">
        <v>544</v>
      </c>
    </row>
    <row r="624" customFormat="false" ht="21.75" hidden="false" customHeight="true" outlineLevel="0" collapsed="false">
      <c r="A624" s="79" t="n">
        <f aca="false">IF('Calendario G'!A24="","",'Calendario G'!A24)</f>
        <v>173</v>
      </c>
      <c r="B624" s="42" t="str">
        <f aca="false">IF('Calendario G'!B24="","",'Calendario G'!B24)</f>
        <v>Renne Rocambolesche</v>
      </c>
      <c r="C624" s="43" t="str">
        <f aca="false">IF('Calendario G'!C24="","",'Calendario G'!C24)</f>
        <v>G07</v>
      </c>
      <c r="D624" s="42" t="str">
        <f aca="false">IF('Calendario G'!D24="","",'Calendario G'!D24)</f>
        <v>Koala Kolossali</v>
      </c>
      <c r="E624" s="43" t="str">
        <f aca="false">IF('Calendario G'!E24="","",'Calendario G'!E24)</f>
        <v>G01</v>
      </c>
      <c r="F624" s="44" t="n">
        <f aca="false">IF('Calendario G'!F24="","",'Calendario G'!F24)</f>
        <v>46334.3958333333</v>
      </c>
      <c r="G624" s="44"/>
      <c r="H624" s="44"/>
      <c r="I624" s="44"/>
      <c r="J624" s="137" t="n">
        <f aca="false">IF('Calendario G'!J24="","",'Calendario G'!J24)</f>
        <v>44</v>
      </c>
      <c r="K624" s="138" t="s">
        <v>339</v>
      </c>
      <c r="L624" s="137" t="n">
        <f aca="false">IF('Calendario G'!L24="","",'Calendario G'!L24)</f>
        <v>77</v>
      </c>
      <c r="M624" s="139"/>
      <c r="N624" s="139"/>
      <c r="O624" s="139"/>
      <c r="P624" s="139"/>
      <c r="Q624" s="139"/>
      <c r="R624" s="139"/>
    </row>
    <row r="625" customFormat="false" ht="15" hidden="false" customHeight="true" outlineLevel="0" collapsed="false">
      <c r="A625" s="79"/>
      <c r="B625" s="48" t="str">
        <f aca="false">IF('Calendario G'!B25="","",'Calendario G'!B25)</f>
        <v>PalaLeopardi, Via dello Sport 10, Leopardiopoli LI</v>
      </c>
      <c r="C625" s="48"/>
      <c r="D625" s="48"/>
      <c r="E625" s="48"/>
      <c r="F625" s="48"/>
      <c r="G625" s="48"/>
      <c r="H625" s="48"/>
      <c r="I625" s="43" t="str">
        <f aca="false">IF('Calendario G'!I25="","",'Calendario G'!I25)</f>
        <v>G02</v>
      </c>
      <c r="J625" s="137"/>
      <c r="K625" s="137"/>
      <c r="L625" s="137"/>
      <c r="M625" s="137"/>
      <c r="N625" s="137"/>
      <c r="O625" s="137"/>
      <c r="P625" s="137"/>
      <c r="Q625" s="137"/>
      <c r="R625" s="137"/>
    </row>
    <row r="626" customFormat="false" ht="13.5" hidden="false" customHeight="true" outlineLevel="0" collapsed="false">
      <c r="A626" s="78" t="s">
        <v>334</v>
      </c>
      <c r="B626" s="78" t="s">
        <v>317</v>
      </c>
      <c r="C626" s="78"/>
      <c r="D626" s="78" t="s">
        <v>324</v>
      </c>
      <c r="E626" s="78"/>
      <c r="F626" s="78" t="s">
        <v>335</v>
      </c>
      <c r="G626" s="78" t="s">
        <v>336</v>
      </c>
      <c r="H626" s="78" t="s">
        <v>337</v>
      </c>
      <c r="I626" s="78"/>
      <c r="J626" s="78" t="s">
        <v>338</v>
      </c>
      <c r="K626" s="78"/>
      <c r="L626" s="78"/>
      <c r="M626" s="151" t="s">
        <v>539</v>
      </c>
      <c r="N626" s="151" t="s">
        <v>540</v>
      </c>
      <c r="O626" s="151" t="s">
        <v>541</v>
      </c>
      <c r="P626" s="151" t="s">
        <v>542</v>
      </c>
      <c r="Q626" s="151" t="s">
        <v>543</v>
      </c>
      <c r="R626" s="151" t="s">
        <v>544</v>
      </c>
    </row>
    <row r="627" customFormat="false" ht="21.75" hidden="false" customHeight="true" outlineLevel="0" collapsed="false">
      <c r="A627" s="79" t="n">
        <f aca="false">IF('Calendario G'!A27="","",'Calendario G'!A27)</f>
        <v>174</v>
      </c>
      <c r="B627" s="42" t="str">
        <f aca="false">IF('Calendario G'!B27="","",'Calendario G'!B27)</f>
        <v>Struzzi Strepitosi</v>
      </c>
      <c r="C627" s="43" t="str">
        <f aca="false">IF('Calendario G'!C27="","",'Calendario G'!C27)</f>
        <v>G08</v>
      </c>
      <c r="D627" s="42" t="str">
        <f aca="false">IF('Calendario G'!D27="","",'Calendario G'!D27)</f>
        <v>Pinguini Prodigiosi</v>
      </c>
      <c r="E627" s="43" t="str">
        <f aca="false">IF('Calendario G'!E27="","",'Calendario G'!E27)</f>
        <v>G06</v>
      </c>
      <c r="F627" s="44" t="n">
        <f aca="false">IF('Calendario G'!F27="","",'Calendario G'!F27)</f>
        <v>46334.4791666667</v>
      </c>
      <c r="G627" s="44"/>
      <c r="H627" s="44"/>
      <c r="I627" s="44"/>
      <c r="J627" s="137" t="n">
        <f aca="false">IF('Calendario G'!J27="","",'Calendario G'!J27)</f>
        <v>55</v>
      </c>
      <c r="K627" s="138" t="s">
        <v>339</v>
      </c>
      <c r="L627" s="137" t="n">
        <f aca="false">IF('Calendario G'!L27="","",'Calendario G'!L27)</f>
        <v>60</v>
      </c>
      <c r="M627" s="139"/>
      <c r="N627" s="139"/>
      <c r="O627" s="139"/>
      <c r="P627" s="139"/>
      <c r="Q627" s="139"/>
      <c r="R627" s="139"/>
    </row>
    <row r="628" customFormat="false" ht="15" hidden="false" customHeight="true" outlineLevel="0" collapsed="false">
      <c r="A628" s="79"/>
      <c r="B628" s="48" t="str">
        <f aca="false">IF('Calendario G'!B28="","",'Calendario G'!B28)</f>
        <v>PalaLeopardi, Via dello Sport 10, Leopardiopoli LI</v>
      </c>
      <c r="C628" s="48"/>
      <c r="D628" s="48"/>
      <c r="E628" s="48"/>
      <c r="F628" s="48"/>
      <c r="G628" s="48"/>
      <c r="H628" s="48"/>
      <c r="I628" s="43" t="str">
        <f aca="false">IF('Calendario G'!I28="","",'Calendario G'!I28)</f>
        <v>G02</v>
      </c>
      <c r="J628" s="137"/>
      <c r="K628" s="137"/>
      <c r="L628" s="137"/>
      <c r="M628" s="137"/>
      <c r="N628" s="137"/>
      <c r="O628" s="137"/>
      <c r="P628" s="137"/>
      <c r="Q628" s="137"/>
      <c r="R628" s="137"/>
    </row>
    <row r="629" customFormat="false" ht="13.5" hidden="false" customHeight="true" outlineLevel="0" collapsed="false">
      <c r="A629" s="78" t="s">
        <v>334</v>
      </c>
      <c r="B629" s="78" t="s">
        <v>317</v>
      </c>
      <c r="C629" s="78"/>
      <c r="D629" s="78" t="s">
        <v>324</v>
      </c>
      <c r="E629" s="78"/>
      <c r="F629" s="78" t="s">
        <v>335</v>
      </c>
      <c r="G629" s="78" t="s">
        <v>336</v>
      </c>
      <c r="H629" s="78" t="s">
        <v>337</v>
      </c>
      <c r="I629" s="78"/>
      <c r="J629" s="78" t="s">
        <v>338</v>
      </c>
      <c r="K629" s="78"/>
      <c r="L629" s="78"/>
      <c r="M629" s="151" t="s">
        <v>539</v>
      </c>
      <c r="N629" s="151" t="s">
        <v>540</v>
      </c>
      <c r="O629" s="151" t="s">
        <v>541</v>
      </c>
      <c r="P629" s="151" t="s">
        <v>542</v>
      </c>
      <c r="Q629" s="151" t="s">
        <v>543</v>
      </c>
      <c r="R629" s="151" t="s">
        <v>544</v>
      </c>
    </row>
    <row r="630" customFormat="false" ht="21.75" hidden="false" customHeight="true" outlineLevel="0" collapsed="false">
      <c r="A630" s="79" t="n">
        <f aca="false">IF('Calendario G'!A30="","",'Calendario G'!A30)</f>
        <v>175</v>
      </c>
      <c r="B630" s="42" t="str">
        <f aca="false">IF('Calendario G'!B30="","",'Calendario G'!B30)</f>
        <v>Orangotanghi Operosi</v>
      </c>
      <c r="C630" s="43" t="str">
        <f aca="false">IF('Calendario G'!C30="","",'Calendario G'!C30)</f>
        <v>G05</v>
      </c>
      <c r="D630" s="42" t="str">
        <f aca="false">IF('Calendario G'!D30="","",'Calendario G'!D30)</f>
        <v>Leopardi Leggiadri</v>
      </c>
      <c r="E630" s="43" t="str">
        <f aca="false">IF('Calendario G'!E30="","",'Calendario G'!E30)</f>
        <v>G02</v>
      </c>
      <c r="F630" s="44" t="n">
        <f aca="false">IF('Calendario G'!F30="","",'Calendario G'!F30)</f>
        <v>46334.625</v>
      </c>
      <c r="G630" s="44"/>
      <c r="H630" s="44"/>
      <c r="I630" s="44"/>
      <c r="J630" s="137" t="n">
        <f aca="false">IF('Calendario G'!J30="","",'Calendario G'!J30)</f>
        <v>53</v>
      </c>
      <c r="K630" s="138" t="s">
        <v>339</v>
      </c>
      <c r="L630" s="137" t="n">
        <f aca="false">IF('Calendario G'!L30="","",'Calendario G'!L30)</f>
        <v>56</v>
      </c>
      <c r="M630" s="139"/>
      <c r="N630" s="139"/>
      <c r="O630" s="139"/>
      <c r="P630" s="139"/>
      <c r="Q630" s="139"/>
      <c r="R630" s="139"/>
    </row>
    <row r="631" customFormat="false" ht="15" hidden="false" customHeight="true" outlineLevel="0" collapsed="false">
      <c r="A631" s="79"/>
      <c r="B631" s="48" t="str">
        <f aca="false">IF('Calendario G'!B31="","",'Calendario G'!B31)</f>
        <v>PalaLeopardi, Via dello Sport 10, Leopardiopoli LI</v>
      </c>
      <c r="C631" s="48"/>
      <c r="D631" s="48"/>
      <c r="E631" s="48"/>
      <c r="F631" s="48"/>
      <c r="G631" s="48"/>
      <c r="H631" s="48"/>
      <c r="I631" s="43" t="str">
        <f aca="false">IF('Calendario G'!I31="","",'Calendario G'!I31)</f>
        <v>G02</v>
      </c>
      <c r="J631" s="137"/>
      <c r="K631" s="137"/>
      <c r="L631" s="137"/>
      <c r="M631" s="137"/>
      <c r="N631" s="137"/>
      <c r="O631" s="137"/>
      <c r="P631" s="137"/>
      <c r="Q631" s="137"/>
      <c r="R631" s="137"/>
    </row>
    <row r="632" customFormat="false" ht="13.5" hidden="false" customHeight="true" outlineLevel="0" collapsed="false">
      <c r="A632" s="78" t="s">
        <v>334</v>
      </c>
      <c r="B632" s="78" t="s">
        <v>317</v>
      </c>
      <c r="C632" s="78"/>
      <c r="D632" s="78" t="s">
        <v>324</v>
      </c>
      <c r="E632" s="78"/>
      <c r="F632" s="78" t="s">
        <v>335</v>
      </c>
      <c r="G632" s="78" t="s">
        <v>336</v>
      </c>
      <c r="H632" s="78" t="s">
        <v>337</v>
      </c>
      <c r="I632" s="78"/>
      <c r="J632" s="78" t="s">
        <v>338</v>
      </c>
      <c r="K632" s="78"/>
      <c r="L632" s="78"/>
      <c r="M632" s="151" t="s">
        <v>539</v>
      </c>
      <c r="N632" s="151" t="s">
        <v>540</v>
      </c>
      <c r="O632" s="151" t="s">
        <v>541</v>
      </c>
      <c r="P632" s="151" t="s">
        <v>542</v>
      </c>
      <c r="Q632" s="151" t="s">
        <v>543</v>
      </c>
      <c r="R632" s="151" t="s">
        <v>544</v>
      </c>
    </row>
    <row r="633" customFormat="false" ht="21.75" hidden="false" customHeight="true" outlineLevel="0" collapsed="false">
      <c r="A633" s="79" t="n">
        <f aca="false">IF('Calendario G'!A33="","",'Calendario G'!A33)</f>
        <v>176</v>
      </c>
      <c r="B633" s="42" t="str">
        <f aca="false">IF('Calendario G'!B33="","",'Calendario G'!B33)</f>
        <v>Meduse Malandrine</v>
      </c>
      <c r="C633" s="43" t="str">
        <f aca="false">IF('Calendario G'!C33="","",'Calendario G'!C33)</f>
        <v>G03</v>
      </c>
      <c r="D633" s="42" t="str">
        <f aca="false">IF('Calendario G'!D33="","",'Calendario G'!D33)</f>
        <v>Nandu Nottambuli</v>
      </c>
      <c r="E633" s="43" t="str">
        <f aca="false">IF('Calendario G'!E33="","",'Calendario G'!E33)</f>
        <v>G04</v>
      </c>
      <c r="F633" s="44" t="n">
        <f aca="false">IF('Calendario G'!F33="","",'Calendario G'!F33)</f>
        <v>46334.7083333333</v>
      </c>
      <c r="G633" s="44"/>
      <c r="H633" s="44"/>
      <c r="I633" s="44"/>
      <c r="J633" s="137" t="n">
        <f aca="false">IF('Calendario G'!J33="","",'Calendario G'!J33)</f>
        <v>61</v>
      </c>
      <c r="K633" s="138" t="s">
        <v>339</v>
      </c>
      <c r="L633" s="137" t="n">
        <f aca="false">IF('Calendario G'!L33="","",'Calendario G'!L33)</f>
        <v>54</v>
      </c>
      <c r="M633" s="139"/>
      <c r="N633" s="139"/>
      <c r="O633" s="139"/>
      <c r="P633" s="139"/>
      <c r="Q633" s="139"/>
      <c r="R633" s="139"/>
    </row>
    <row r="634" customFormat="false" ht="15" hidden="false" customHeight="true" outlineLevel="0" collapsed="false">
      <c r="A634" s="79"/>
      <c r="B634" s="48" t="str">
        <f aca="false">IF('Calendario G'!B34="","",'Calendario G'!B34)</f>
        <v>PalaLeopardi, Via dello Sport 10, Leopardiopoli LI</v>
      </c>
      <c r="C634" s="48"/>
      <c r="D634" s="48"/>
      <c r="E634" s="48"/>
      <c r="F634" s="48"/>
      <c r="G634" s="48"/>
      <c r="H634" s="48"/>
      <c r="I634" s="43" t="str">
        <f aca="false">IF('Calendario G'!I34="","",'Calendario G'!I34)</f>
        <v>G02</v>
      </c>
      <c r="J634" s="137"/>
      <c r="K634" s="137"/>
      <c r="L634" s="137"/>
      <c r="M634" s="137"/>
      <c r="N634" s="137"/>
      <c r="O634" s="137"/>
      <c r="P634" s="137"/>
      <c r="Q634" s="137"/>
      <c r="R634" s="137"/>
    </row>
    <row r="636" customFormat="false" ht="19.5" hidden="false" customHeight="true" outlineLevel="0" collapsed="false">
      <c r="A636" s="76" t="str">
        <f aca="false">IF('Calendario G'!A36="","",'Calendario G'!A36)</f>
        <v>3G</v>
      </c>
      <c r="B636" s="77" t="str">
        <f aca="false">IF('Calendario G'!B36="","",'Calendario G'!B36)</f>
        <v>GIORNATA III - GIRONE G</v>
      </c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150" t="s">
        <v>537</v>
      </c>
      <c r="N636" s="150"/>
      <c r="O636" s="150"/>
      <c r="P636" s="150" t="s">
        <v>538</v>
      </c>
      <c r="Q636" s="150"/>
      <c r="R636" s="150"/>
    </row>
    <row r="637" customFormat="false" ht="13.5" hidden="false" customHeight="true" outlineLevel="0" collapsed="false">
      <c r="A637" s="78" t="s">
        <v>334</v>
      </c>
      <c r="B637" s="78" t="s">
        <v>317</v>
      </c>
      <c r="C637" s="78"/>
      <c r="D637" s="78" t="s">
        <v>324</v>
      </c>
      <c r="E637" s="78"/>
      <c r="F637" s="78" t="s">
        <v>335</v>
      </c>
      <c r="G637" s="78" t="s">
        <v>336</v>
      </c>
      <c r="H637" s="78" t="s">
        <v>337</v>
      </c>
      <c r="I637" s="78"/>
      <c r="J637" s="78" t="s">
        <v>338</v>
      </c>
      <c r="K637" s="78"/>
      <c r="L637" s="78"/>
      <c r="M637" s="151" t="s">
        <v>539</v>
      </c>
      <c r="N637" s="151" t="s">
        <v>540</v>
      </c>
      <c r="O637" s="151" t="s">
        <v>541</v>
      </c>
      <c r="P637" s="151" t="s">
        <v>542</v>
      </c>
      <c r="Q637" s="151" t="s">
        <v>543</v>
      </c>
      <c r="R637" s="151" t="s">
        <v>544</v>
      </c>
    </row>
    <row r="638" customFormat="false" ht="21.75" hidden="false" customHeight="true" outlineLevel="0" collapsed="false">
      <c r="A638" s="79" t="n">
        <f aca="false">IF('Calendario G'!A38="","",'Calendario G'!A38)</f>
        <v>177</v>
      </c>
      <c r="B638" s="42" t="str">
        <f aca="false">IF('Calendario G'!B38="","",'Calendario G'!B38)</f>
        <v>Koala Kolossali</v>
      </c>
      <c r="C638" s="43" t="str">
        <f aca="false">IF('Calendario G'!C38="","",'Calendario G'!C38)</f>
        <v>G01</v>
      </c>
      <c r="D638" s="42" t="str">
        <f aca="false">IF('Calendario G'!D38="","",'Calendario G'!D38)</f>
        <v>Pinguini Prodigiosi</v>
      </c>
      <c r="E638" s="43" t="str">
        <f aca="false">IF('Calendario G'!E38="","",'Calendario G'!E38)</f>
        <v>G06</v>
      </c>
      <c r="F638" s="44" t="n">
        <f aca="false">IF('Calendario G'!F38="","",'Calendario G'!F38)</f>
        <v>46355.3958333333</v>
      </c>
      <c r="G638" s="44"/>
      <c r="H638" s="44"/>
      <c r="I638" s="44"/>
      <c r="J638" s="137" t="n">
        <f aca="false">IF('Calendario G'!J38="","",'Calendario G'!J38)</f>
        <v>39</v>
      </c>
      <c r="K638" s="138" t="s">
        <v>339</v>
      </c>
      <c r="L638" s="137" t="n">
        <f aca="false">IF('Calendario G'!L38="","",'Calendario G'!L38)</f>
        <v>83</v>
      </c>
      <c r="M638" s="139"/>
      <c r="N638" s="139"/>
      <c r="O638" s="139"/>
      <c r="P638" s="139"/>
      <c r="Q638" s="139"/>
      <c r="R638" s="139"/>
    </row>
    <row r="639" customFormat="false" ht="15" hidden="false" customHeight="true" outlineLevel="0" collapsed="false">
      <c r="A639" s="79"/>
      <c r="B639" s="48" t="str">
        <f aca="false">IF('Calendario G'!B39="","",'Calendario G'!B39)</f>
        <v>PalaMeduse, Via dello Sport 11, Meduseopoli ME</v>
      </c>
      <c r="C639" s="48"/>
      <c r="D639" s="48"/>
      <c r="E639" s="48"/>
      <c r="F639" s="48"/>
      <c r="G639" s="48"/>
      <c r="H639" s="48"/>
      <c r="I639" s="43" t="str">
        <f aca="false">IF('Calendario G'!I39="","",'Calendario G'!I39)</f>
        <v>G03</v>
      </c>
      <c r="J639" s="137"/>
      <c r="K639" s="137"/>
      <c r="L639" s="137"/>
      <c r="M639" s="137"/>
      <c r="N639" s="137"/>
      <c r="O639" s="137"/>
      <c r="P639" s="137"/>
      <c r="Q639" s="137"/>
      <c r="R639" s="137"/>
    </row>
    <row r="640" customFormat="false" ht="13.5" hidden="false" customHeight="true" outlineLevel="0" collapsed="false">
      <c r="A640" s="78" t="s">
        <v>334</v>
      </c>
      <c r="B640" s="78" t="s">
        <v>317</v>
      </c>
      <c r="C640" s="78"/>
      <c r="D640" s="78" t="s">
        <v>324</v>
      </c>
      <c r="E640" s="78"/>
      <c r="F640" s="78" t="s">
        <v>335</v>
      </c>
      <c r="G640" s="78" t="s">
        <v>336</v>
      </c>
      <c r="H640" s="78" t="s">
        <v>337</v>
      </c>
      <c r="I640" s="78"/>
      <c r="J640" s="78" t="s">
        <v>338</v>
      </c>
      <c r="K640" s="78"/>
      <c r="L640" s="78"/>
      <c r="M640" s="151" t="s">
        <v>539</v>
      </c>
      <c r="N640" s="151" t="s">
        <v>540</v>
      </c>
      <c r="O640" s="151" t="s">
        <v>541</v>
      </c>
      <c r="P640" s="151" t="s">
        <v>542</v>
      </c>
      <c r="Q640" s="151" t="s">
        <v>543</v>
      </c>
      <c r="R640" s="151" t="s">
        <v>544</v>
      </c>
    </row>
    <row r="641" customFormat="false" ht="21.75" hidden="false" customHeight="true" outlineLevel="0" collapsed="false">
      <c r="A641" s="79" t="n">
        <f aca="false">IF('Calendario G'!A41="","",'Calendario G'!A41)</f>
        <v>178</v>
      </c>
      <c r="B641" s="42" t="str">
        <f aca="false">IF('Calendario G'!B41="","",'Calendario G'!B41)</f>
        <v>Orangotanghi Operosi</v>
      </c>
      <c r="C641" s="43" t="str">
        <f aca="false">IF('Calendario G'!C41="","",'Calendario G'!C41)</f>
        <v>G05</v>
      </c>
      <c r="D641" s="42" t="str">
        <f aca="false">IF('Calendario G'!D41="","",'Calendario G'!D41)</f>
        <v>Renne Rocambolesche</v>
      </c>
      <c r="E641" s="43" t="str">
        <f aca="false">IF('Calendario G'!E41="","",'Calendario G'!E41)</f>
        <v>G07</v>
      </c>
      <c r="F641" s="44" t="n">
        <f aca="false">IF('Calendario G'!F41="","",'Calendario G'!F41)</f>
        <v>46355.4791666667</v>
      </c>
      <c r="G641" s="44"/>
      <c r="H641" s="44"/>
      <c r="I641" s="44"/>
      <c r="J641" s="137" t="n">
        <f aca="false">IF('Calendario G'!J41="","",'Calendario G'!J41)</f>
        <v>73</v>
      </c>
      <c r="K641" s="138" t="s">
        <v>339</v>
      </c>
      <c r="L641" s="137" t="n">
        <f aca="false">IF('Calendario G'!L41="","",'Calendario G'!L41)</f>
        <v>57</v>
      </c>
      <c r="M641" s="139"/>
      <c r="N641" s="139"/>
      <c r="O641" s="139"/>
      <c r="P641" s="139"/>
      <c r="Q641" s="139"/>
      <c r="R641" s="139"/>
    </row>
    <row r="642" customFormat="false" ht="15" hidden="false" customHeight="true" outlineLevel="0" collapsed="false">
      <c r="A642" s="79"/>
      <c r="B642" s="48" t="str">
        <f aca="false">IF('Calendario G'!B42="","",'Calendario G'!B42)</f>
        <v>PalaMeduse, Via dello Sport 11, Meduseopoli ME</v>
      </c>
      <c r="C642" s="48"/>
      <c r="D642" s="48"/>
      <c r="E642" s="48"/>
      <c r="F642" s="48"/>
      <c r="G642" s="48"/>
      <c r="H642" s="48"/>
      <c r="I642" s="43" t="str">
        <f aca="false">IF('Calendario G'!I42="","",'Calendario G'!I42)</f>
        <v>G03</v>
      </c>
      <c r="J642" s="137"/>
      <c r="K642" s="137"/>
      <c r="L642" s="137"/>
      <c r="M642" s="137"/>
      <c r="N642" s="137"/>
      <c r="O642" s="137"/>
      <c r="P642" s="137"/>
      <c r="Q642" s="137"/>
      <c r="R642" s="137"/>
    </row>
    <row r="643" customFormat="false" ht="13.5" hidden="false" customHeight="true" outlineLevel="0" collapsed="false">
      <c r="A643" s="78" t="s">
        <v>334</v>
      </c>
      <c r="B643" s="78" t="s">
        <v>317</v>
      </c>
      <c r="C643" s="78"/>
      <c r="D643" s="78" t="s">
        <v>324</v>
      </c>
      <c r="E643" s="78"/>
      <c r="F643" s="78" t="s">
        <v>335</v>
      </c>
      <c r="G643" s="78" t="s">
        <v>336</v>
      </c>
      <c r="H643" s="78" t="s">
        <v>337</v>
      </c>
      <c r="I643" s="78"/>
      <c r="J643" s="78" t="s">
        <v>338</v>
      </c>
      <c r="K643" s="78"/>
      <c r="L643" s="78"/>
      <c r="M643" s="151" t="s">
        <v>539</v>
      </c>
      <c r="N643" s="151" t="s">
        <v>540</v>
      </c>
      <c r="O643" s="151" t="s">
        <v>541</v>
      </c>
      <c r="P643" s="151" t="s">
        <v>542</v>
      </c>
      <c r="Q643" s="151" t="s">
        <v>543</v>
      </c>
      <c r="R643" s="151" t="s">
        <v>544</v>
      </c>
    </row>
    <row r="644" customFormat="false" ht="21.75" hidden="false" customHeight="true" outlineLevel="0" collapsed="false">
      <c r="A644" s="79" t="n">
        <f aca="false">IF('Calendario G'!A44="","",'Calendario G'!A44)</f>
        <v>179</v>
      </c>
      <c r="B644" s="42" t="str">
        <f aca="false">IF('Calendario G'!B44="","",'Calendario G'!B44)</f>
        <v>Struzzi Strepitosi</v>
      </c>
      <c r="C644" s="43" t="str">
        <f aca="false">IF('Calendario G'!C44="","",'Calendario G'!C44)</f>
        <v>G08</v>
      </c>
      <c r="D644" s="42" t="str">
        <f aca="false">IF('Calendario G'!D44="","",'Calendario G'!D44)</f>
        <v>Nandu Nottambuli</v>
      </c>
      <c r="E644" s="43" t="str">
        <f aca="false">IF('Calendario G'!E44="","",'Calendario G'!E44)</f>
        <v>G04</v>
      </c>
      <c r="F644" s="44" t="n">
        <f aca="false">IF('Calendario G'!F44="","",'Calendario G'!F44)</f>
        <v>46355.625</v>
      </c>
      <c r="G644" s="44"/>
      <c r="H644" s="44"/>
      <c r="I644" s="44"/>
      <c r="J644" s="137" t="n">
        <f aca="false">IF('Calendario G'!J44="","",'Calendario G'!J44)</f>
        <v>72</v>
      </c>
      <c r="K644" s="138" t="s">
        <v>339</v>
      </c>
      <c r="L644" s="137" t="n">
        <f aca="false">IF('Calendario G'!L44="","",'Calendario G'!L44)</f>
        <v>59</v>
      </c>
      <c r="M644" s="139"/>
      <c r="N644" s="139"/>
      <c r="O644" s="139"/>
      <c r="P644" s="139"/>
      <c r="Q644" s="139"/>
      <c r="R644" s="139"/>
    </row>
    <row r="645" customFormat="false" ht="15" hidden="false" customHeight="true" outlineLevel="0" collapsed="false">
      <c r="A645" s="79"/>
      <c r="B645" s="48" t="str">
        <f aca="false">IF('Calendario G'!B45="","",'Calendario G'!B45)</f>
        <v>PalaMeduse, Via dello Sport 11, Meduseopoli ME</v>
      </c>
      <c r="C645" s="48"/>
      <c r="D645" s="48"/>
      <c r="E645" s="48"/>
      <c r="F645" s="48"/>
      <c r="G645" s="48"/>
      <c r="H645" s="48"/>
      <c r="I645" s="43" t="str">
        <f aca="false">IF('Calendario G'!I45="","",'Calendario G'!I45)</f>
        <v>G03</v>
      </c>
      <c r="J645" s="137"/>
      <c r="K645" s="137"/>
      <c r="L645" s="137"/>
      <c r="M645" s="137"/>
      <c r="N645" s="137"/>
      <c r="O645" s="137"/>
      <c r="P645" s="137"/>
      <c r="Q645" s="137"/>
      <c r="R645" s="137"/>
    </row>
    <row r="646" customFormat="false" ht="13.5" hidden="false" customHeight="true" outlineLevel="0" collapsed="false">
      <c r="A646" s="78" t="s">
        <v>334</v>
      </c>
      <c r="B646" s="78" t="s">
        <v>317</v>
      </c>
      <c r="C646" s="78"/>
      <c r="D646" s="78" t="s">
        <v>324</v>
      </c>
      <c r="E646" s="78"/>
      <c r="F646" s="78" t="s">
        <v>335</v>
      </c>
      <c r="G646" s="78" t="s">
        <v>336</v>
      </c>
      <c r="H646" s="78" t="s">
        <v>337</v>
      </c>
      <c r="I646" s="78"/>
      <c r="J646" s="78" t="s">
        <v>338</v>
      </c>
      <c r="K646" s="78"/>
      <c r="L646" s="78"/>
      <c r="M646" s="151" t="s">
        <v>539</v>
      </c>
      <c r="N646" s="151" t="s">
        <v>540</v>
      </c>
      <c r="O646" s="151" t="s">
        <v>541</v>
      </c>
      <c r="P646" s="151" t="s">
        <v>542</v>
      </c>
      <c r="Q646" s="151" t="s">
        <v>543</v>
      </c>
      <c r="R646" s="151" t="s">
        <v>544</v>
      </c>
    </row>
    <row r="647" customFormat="false" ht="21.75" hidden="false" customHeight="true" outlineLevel="0" collapsed="false">
      <c r="A647" s="79" t="n">
        <f aca="false">IF('Calendario G'!A47="","",'Calendario G'!A47)</f>
        <v>180</v>
      </c>
      <c r="B647" s="42" t="str">
        <f aca="false">IF('Calendario G'!B47="","",'Calendario G'!B47)</f>
        <v>Meduse Malandrine</v>
      </c>
      <c r="C647" s="43" t="str">
        <f aca="false">IF('Calendario G'!C47="","",'Calendario G'!C47)</f>
        <v>G03</v>
      </c>
      <c r="D647" s="42" t="str">
        <f aca="false">IF('Calendario G'!D47="","",'Calendario G'!D47)</f>
        <v>Leopardi Leggiadri</v>
      </c>
      <c r="E647" s="43" t="str">
        <f aca="false">IF('Calendario G'!E47="","",'Calendario G'!E47)</f>
        <v>G02</v>
      </c>
      <c r="F647" s="44" t="n">
        <f aca="false">IF('Calendario G'!F47="","",'Calendario G'!F47)</f>
        <v>46355.7083333333</v>
      </c>
      <c r="G647" s="44"/>
      <c r="H647" s="44"/>
      <c r="I647" s="44"/>
      <c r="J647" s="137" t="n">
        <f aca="false">IF('Calendario G'!J47="","",'Calendario G'!J47)</f>
        <v>66</v>
      </c>
      <c r="K647" s="138" t="s">
        <v>339</v>
      </c>
      <c r="L647" s="137" t="n">
        <f aca="false">IF('Calendario G'!L47="","",'Calendario G'!L47)</f>
        <v>75</v>
      </c>
      <c r="M647" s="139"/>
      <c r="N647" s="139"/>
      <c r="O647" s="139"/>
      <c r="P647" s="139"/>
      <c r="Q647" s="139"/>
      <c r="R647" s="139"/>
    </row>
    <row r="648" customFormat="false" ht="15" hidden="false" customHeight="true" outlineLevel="0" collapsed="false">
      <c r="A648" s="79"/>
      <c r="B648" s="48" t="str">
        <f aca="false">IF('Calendario G'!B48="","",'Calendario G'!B48)</f>
        <v>PalaMeduse, Via dello Sport 11, Meduseopoli ME</v>
      </c>
      <c r="C648" s="48"/>
      <c r="D648" s="48"/>
      <c r="E648" s="48"/>
      <c r="F648" s="48"/>
      <c r="G648" s="48"/>
      <c r="H648" s="48"/>
      <c r="I648" s="43" t="str">
        <f aca="false">IF('Calendario G'!I48="","",'Calendario G'!I48)</f>
        <v>G03</v>
      </c>
      <c r="J648" s="137"/>
      <c r="K648" s="137"/>
      <c r="L648" s="137"/>
      <c r="M648" s="137"/>
      <c r="N648" s="137"/>
      <c r="O648" s="137"/>
      <c r="P648" s="137"/>
      <c r="Q648" s="137"/>
      <c r="R648" s="137"/>
    </row>
    <row r="650" customFormat="false" ht="19.5" hidden="false" customHeight="true" outlineLevel="0" collapsed="false">
      <c r="A650" s="76" t="str">
        <f aca="false">IF('Calendario G'!A50="","",'Calendario G'!A50)</f>
        <v>4G</v>
      </c>
      <c r="B650" s="77" t="str">
        <f aca="false">IF('Calendario G'!B50="","",'Calendario G'!B50)</f>
        <v>GIORNATA IV - GIRONE G</v>
      </c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150" t="s">
        <v>537</v>
      </c>
      <c r="N650" s="150"/>
      <c r="O650" s="150"/>
      <c r="P650" s="150" t="s">
        <v>538</v>
      </c>
      <c r="Q650" s="150"/>
      <c r="R650" s="150"/>
    </row>
    <row r="651" customFormat="false" ht="13.5" hidden="false" customHeight="true" outlineLevel="0" collapsed="false">
      <c r="A651" s="78" t="s">
        <v>334</v>
      </c>
      <c r="B651" s="78" t="s">
        <v>317</v>
      </c>
      <c r="C651" s="78"/>
      <c r="D651" s="78" t="s">
        <v>324</v>
      </c>
      <c r="E651" s="78"/>
      <c r="F651" s="78" t="s">
        <v>335</v>
      </c>
      <c r="G651" s="78" t="s">
        <v>336</v>
      </c>
      <c r="H651" s="78" t="s">
        <v>337</v>
      </c>
      <c r="I651" s="78"/>
      <c r="J651" s="78" t="s">
        <v>338</v>
      </c>
      <c r="K651" s="78"/>
      <c r="L651" s="78"/>
      <c r="M651" s="151" t="s">
        <v>539</v>
      </c>
      <c r="N651" s="151" t="s">
        <v>540</v>
      </c>
      <c r="O651" s="151" t="s">
        <v>541</v>
      </c>
      <c r="P651" s="151" t="s">
        <v>542</v>
      </c>
      <c r="Q651" s="151" t="s">
        <v>543</v>
      </c>
      <c r="R651" s="151" t="s">
        <v>544</v>
      </c>
    </row>
    <row r="652" customFormat="false" ht="21.75" hidden="false" customHeight="true" outlineLevel="0" collapsed="false">
      <c r="A652" s="79" t="n">
        <f aca="false">IF('Calendario G'!A52="","",'Calendario G'!A52)</f>
        <v>181</v>
      </c>
      <c r="B652" s="42" t="str">
        <f aca="false">IF('Calendario G'!B52="","",'Calendario G'!B52)</f>
        <v>Orangotanghi Operosi</v>
      </c>
      <c r="C652" s="43" t="str">
        <f aca="false">IF('Calendario G'!C52="","",'Calendario G'!C52)</f>
        <v>G05</v>
      </c>
      <c r="D652" s="42" t="str">
        <f aca="false">IF('Calendario G'!D52="","",'Calendario G'!D52)</f>
        <v>Koala Kolossali</v>
      </c>
      <c r="E652" s="43" t="str">
        <f aca="false">IF('Calendario G'!E52="","",'Calendario G'!E52)</f>
        <v>G01</v>
      </c>
      <c r="F652" s="44" t="n">
        <f aca="false">IF('Calendario G'!F52="","",'Calendario G'!F52)</f>
        <v>46369.3958333333</v>
      </c>
      <c r="G652" s="44"/>
      <c r="H652" s="44"/>
      <c r="I652" s="44"/>
      <c r="J652" s="137" t="n">
        <f aca="false">IF('Calendario G'!J52="","",'Calendario G'!J52)</f>
        <v>62</v>
      </c>
      <c r="K652" s="138" t="s">
        <v>339</v>
      </c>
      <c r="L652" s="137" t="n">
        <f aca="false">IF('Calendario G'!L52="","",'Calendario G'!L52)</f>
        <v>65</v>
      </c>
      <c r="M652" s="139"/>
      <c r="N652" s="139"/>
      <c r="O652" s="139"/>
      <c r="P652" s="139"/>
      <c r="Q652" s="139"/>
      <c r="R652" s="139"/>
    </row>
    <row r="653" customFormat="false" ht="15" hidden="false" customHeight="true" outlineLevel="0" collapsed="false">
      <c r="A653" s="79"/>
      <c r="B653" s="48" t="str">
        <f aca="false">IF('Calendario G'!B53="","",'Calendario G'!B53)</f>
        <v>PalaNandu, Via dello Sport 12, Nanduopoli NU</v>
      </c>
      <c r="C653" s="48"/>
      <c r="D653" s="48"/>
      <c r="E653" s="48"/>
      <c r="F653" s="48"/>
      <c r="G653" s="48"/>
      <c r="H653" s="48"/>
      <c r="I653" s="43" t="str">
        <f aca="false">IF('Calendario G'!I53="","",'Calendario G'!I53)</f>
        <v>G04</v>
      </c>
      <c r="J653" s="137"/>
      <c r="K653" s="137"/>
      <c r="L653" s="137"/>
      <c r="M653" s="137"/>
      <c r="N653" s="137"/>
      <c r="O653" s="137"/>
      <c r="P653" s="137"/>
      <c r="Q653" s="137"/>
      <c r="R653" s="137"/>
    </row>
    <row r="654" customFormat="false" ht="13.5" hidden="false" customHeight="true" outlineLevel="0" collapsed="false">
      <c r="A654" s="78" t="s">
        <v>334</v>
      </c>
      <c r="B654" s="78" t="s">
        <v>317</v>
      </c>
      <c r="C654" s="78"/>
      <c r="D654" s="78" t="s">
        <v>324</v>
      </c>
      <c r="E654" s="78"/>
      <c r="F654" s="78" t="s">
        <v>335</v>
      </c>
      <c r="G654" s="78" t="s">
        <v>336</v>
      </c>
      <c r="H654" s="78" t="s">
        <v>337</v>
      </c>
      <c r="I654" s="78"/>
      <c r="J654" s="78" t="s">
        <v>338</v>
      </c>
      <c r="K654" s="78"/>
      <c r="L654" s="78"/>
      <c r="M654" s="151" t="s">
        <v>539</v>
      </c>
      <c r="N654" s="151" t="s">
        <v>540</v>
      </c>
      <c r="O654" s="151" t="s">
        <v>541</v>
      </c>
      <c r="P654" s="151" t="s">
        <v>542</v>
      </c>
      <c r="Q654" s="151" t="s">
        <v>543</v>
      </c>
      <c r="R654" s="151" t="s">
        <v>544</v>
      </c>
    </row>
    <row r="655" customFormat="false" ht="21.75" hidden="false" customHeight="true" outlineLevel="0" collapsed="false">
      <c r="A655" s="79" t="n">
        <f aca="false">IF('Calendario G'!A55="","",'Calendario G'!A55)</f>
        <v>182</v>
      </c>
      <c r="B655" s="42" t="str">
        <f aca="false">IF('Calendario G'!B55="","",'Calendario G'!B55)</f>
        <v>Pinguini Prodigiosi</v>
      </c>
      <c r="C655" s="43" t="str">
        <f aca="false">IF('Calendario G'!C55="","",'Calendario G'!C55)</f>
        <v>G06</v>
      </c>
      <c r="D655" s="42" t="str">
        <f aca="false">IF('Calendario G'!D55="","",'Calendario G'!D55)</f>
        <v>Nandu Nottambuli</v>
      </c>
      <c r="E655" s="43" t="str">
        <f aca="false">IF('Calendario G'!E55="","",'Calendario G'!E55)</f>
        <v>G04</v>
      </c>
      <c r="F655" s="44" t="n">
        <f aca="false">IF('Calendario G'!F55="","",'Calendario G'!F55)</f>
        <v>46369.4791666667</v>
      </c>
      <c r="G655" s="44"/>
      <c r="H655" s="44"/>
      <c r="I655" s="44"/>
      <c r="J655" s="137" t="n">
        <f aca="false">IF('Calendario G'!J55="","",'Calendario G'!J55)</f>
        <v>71</v>
      </c>
      <c r="K655" s="138" t="s">
        <v>339</v>
      </c>
      <c r="L655" s="137" t="n">
        <f aca="false">IF('Calendario G'!L55="","",'Calendario G'!L55)</f>
        <v>45</v>
      </c>
      <c r="M655" s="139"/>
      <c r="N655" s="139"/>
      <c r="O655" s="139"/>
      <c r="P655" s="139"/>
      <c r="Q655" s="139"/>
      <c r="R655" s="139"/>
    </row>
    <row r="656" customFormat="false" ht="15" hidden="false" customHeight="true" outlineLevel="0" collapsed="false">
      <c r="A656" s="79"/>
      <c r="B656" s="48" t="str">
        <f aca="false">IF('Calendario G'!B56="","",'Calendario G'!B56)</f>
        <v>PalaNandu, Via dello Sport 12, Nanduopoli NU</v>
      </c>
      <c r="C656" s="48"/>
      <c r="D656" s="48"/>
      <c r="E656" s="48"/>
      <c r="F656" s="48"/>
      <c r="G656" s="48"/>
      <c r="H656" s="48"/>
      <c r="I656" s="43" t="str">
        <f aca="false">IF('Calendario G'!I56="","",'Calendario G'!I56)</f>
        <v>G04</v>
      </c>
      <c r="J656" s="137"/>
      <c r="K656" s="137"/>
      <c r="L656" s="137"/>
      <c r="M656" s="137"/>
      <c r="N656" s="137"/>
      <c r="O656" s="137"/>
      <c r="P656" s="137"/>
      <c r="Q656" s="137"/>
      <c r="R656" s="137"/>
    </row>
    <row r="657" customFormat="false" ht="13.5" hidden="false" customHeight="true" outlineLevel="0" collapsed="false">
      <c r="A657" s="78" t="s">
        <v>334</v>
      </c>
      <c r="B657" s="78" t="s">
        <v>317</v>
      </c>
      <c r="C657" s="78"/>
      <c r="D657" s="78" t="s">
        <v>324</v>
      </c>
      <c r="E657" s="78"/>
      <c r="F657" s="78" t="s">
        <v>335</v>
      </c>
      <c r="G657" s="78" t="s">
        <v>336</v>
      </c>
      <c r="H657" s="78" t="s">
        <v>337</v>
      </c>
      <c r="I657" s="78"/>
      <c r="J657" s="78" t="s">
        <v>338</v>
      </c>
      <c r="K657" s="78"/>
      <c r="L657" s="78"/>
      <c r="M657" s="151" t="s">
        <v>539</v>
      </c>
      <c r="N657" s="151" t="s">
        <v>540</v>
      </c>
      <c r="O657" s="151" t="s">
        <v>541</v>
      </c>
      <c r="P657" s="151" t="s">
        <v>542</v>
      </c>
      <c r="Q657" s="151" t="s">
        <v>543</v>
      </c>
      <c r="R657" s="151" t="s">
        <v>544</v>
      </c>
    </row>
    <row r="658" customFormat="false" ht="21.75" hidden="false" customHeight="true" outlineLevel="0" collapsed="false">
      <c r="A658" s="79" t="n">
        <f aca="false">IF('Calendario G'!A58="","",'Calendario G'!A58)</f>
        <v>183</v>
      </c>
      <c r="B658" s="42" t="str">
        <f aca="false">IF('Calendario G'!B58="","",'Calendario G'!B58)</f>
        <v>Meduse Malandrine</v>
      </c>
      <c r="C658" s="43" t="str">
        <f aca="false">IF('Calendario G'!C58="","",'Calendario G'!C58)</f>
        <v>G03</v>
      </c>
      <c r="D658" s="42" t="str">
        <f aca="false">IF('Calendario G'!D58="","",'Calendario G'!D58)</f>
        <v>Renne Rocambolesche</v>
      </c>
      <c r="E658" s="43" t="str">
        <f aca="false">IF('Calendario G'!E58="","",'Calendario G'!E58)</f>
        <v>G07</v>
      </c>
      <c r="F658" s="44" t="n">
        <f aca="false">IF('Calendario G'!F58="","",'Calendario G'!F58)</f>
        <v>46369.625</v>
      </c>
      <c r="G658" s="44"/>
      <c r="H658" s="44"/>
      <c r="I658" s="44"/>
      <c r="J658" s="137" t="n">
        <f aca="false">IF('Calendario G'!J58="","",'Calendario G'!J58)</f>
        <v>56</v>
      </c>
      <c r="K658" s="138" t="s">
        <v>339</v>
      </c>
      <c r="L658" s="137" t="n">
        <f aca="false">IF('Calendario G'!L58="","",'Calendario G'!L58)</f>
        <v>53</v>
      </c>
      <c r="M658" s="139"/>
      <c r="N658" s="139"/>
      <c r="O658" s="139"/>
      <c r="P658" s="139"/>
      <c r="Q658" s="139"/>
      <c r="R658" s="139"/>
    </row>
    <row r="659" customFormat="false" ht="15" hidden="false" customHeight="true" outlineLevel="0" collapsed="false">
      <c r="A659" s="79"/>
      <c r="B659" s="48" t="str">
        <f aca="false">IF('Calendario G'!B59="","",'Calendario G'!B59)</f>
        <v>PalaNandu, Via dello Sport 12, Nanduopoli NU</v>
      </c>
      <c r="C659" s="48"/>
      <c r="D659" s="48"/>
      <c r="E659" s="48"/>
      <c r="F659" s="48"/>
      <c r="G659" s="48"/>
      <c r="H659" s="48"/>
      <c r="I659" s="43" t="str">
        <f aca="false">IF('Calendario G'!I59="","",'Calendario G'!I59)</f>
        <v>G04</v>
      </c>
      <c r="J659" s="137"/>
      <c r="K659" s="137"/>
      <c r="L659" s="137"/>
      <c r="M659" s="137"/>
      <c r="N659" s="137"/>
      <c r="O659" s="137"/>
      <c r="P659" s="137"/>
      <c r="Q659" s="137"/>
      <c r="R659" s="137"/>
    </row>
    <row r="660" customFormat="false" ht="13.5" hidden="false" customHeight="true" outlineLevel="0" collapsed="false">
      <c r="A660" s="78" t="s">
        <v>334</v>
      </c>
      <c r="B660" s="78" t="s">
        <v>317</v>
      </c>
      <c r="C660" s="78"/>
      <c r="D660" s="78" t="s">
        <v>324</v>
      </c>
      <c r="E660" s="78"/>
      <c r="F660" s="78" t="s">
        <v>335</v>
      </c>
      <c r="G660" s="78" t="s">
        <v>336</v>
      </c>
      <c r="H660" s="78" t="s">
        <v>337</v>
      </c>
      <c r="I660" s="78"/>
      <c r="J660" s="78" t="s">
        <v>338</v>
      </c>
      <c r="K660" s="78"/>
      <c r="L660" s="78"/>
      <c r="M660" s="151" t="s">
        <v>539</v>
      </c>
      <c r="N660" s="151" t="s">
        <v>540</v>
      </c>
      <c r="O660" s="151" t="s">
        <v>541</v>
      </c>
      <c r="P660" s="151" t="s">
        <v>542</v>
      </c>
      <c r="Q660" s="151" t="s">
        <v>543</v>
      </c>
      <c r="R660" s="151" t="s">
        <v>544</v>
      </c>
    </row>
    <row r="661" customFormat="false" ht="21.75" hidden="false" customHeight="true" outlineLevel="0" collapsed="false">
      <c r="A661" s="79" t="n">
        <f aca="false">IF('Calendario G'!A61="","",'Calendario G'!A61)</f>
        <v>184</v>
      </c>
      <c r="B661" s="42" t="str">
        <f aca="false">IF('Calendario G'!B61="","",'Calendario G'!B61)</f>
        <v>Struzzi Strepitosi</v>
      </c>
      <c r="C661" s="43" t="str">
        <f aca="false">IF('Calendario G'!C61="","",'Calendario G'!C61)</f>
        <v>G08</v>
      </c>
      <c r="D661" s="42" t="str">
        <f aca="false">IF('Calendario G'!D61="","",'Calendario G'!D61)</f>
        <v>Leopardi Leggiadri</v>
      </c>
      <c r="E661" s="43" t="str">
        <f aca="false">IF('Calendario G'!E61="","",'Calendario G'!E61)</f>
        <v>G02</v>
      </c>
      <c r="F661" s="44" t="n">
        <f aca="false">IF('Calendario G'!F61="","",'Calendario G'!F61)</f>
        <v>46369.7083333333</v>
      </c>
      <c r="G661" s="44"/>
      <c r="H661" s="44"/>
      <c r="I661" s="44"/>
      <c r="J661" s="137" t="n">
        <f aca="false">IF('Calendario G'!J61="","",'Calendario G'!J61)</f>
        <v>72</v>
      </c>
      <c r="K661" s="138" t="s">
        <v>339</v>
      </c>
      <c r="L661" s="137" t="n">
        <f aca="false">IF('Calendario G'!L61="","",'Calendario G'!L61)</f>
        <v>47</v>
      </c>
      <c r="M661" s="139"/>
      <c r="N661" s="139"/>
      <c r="O661" s="139"/>
      <c r="P661" s="139"/>
      <c r="Q661" s="139"/>
      <c r="R661" s="139"/>
    </row>
    <row r="662" customFormat="false" ht="15" hidden="false" customHeight="true" outlineLevel="0" collapsed="false">
      <c r="A662" s="79"/>
      <c r="B662" s="48" t="str">
        <f aca="false">IF('Calendario G'!B62="","",'Calendario G'!B62)</f>
        <v>PalaNandu, Via dello Sport 12, Nanduopoli NU</v>
      </c>
      <c r="C662" s="48"/>
      <c r="D662" s="48"/>
      <c r="E662" s="48"/>
      <c r="F662" s="48"/>
      <c r="G662" s="48"/>
      <c r="H662" s="48"/>
      <c r="I662" s="43" t="str">
        <f aca="false">IF('Calendario G'!I62="","",'Calendario G'!I62)</f>
        <v>G04</v>
      </c>
      <c r="J662" s="137"/>
      <c r="K662" s="137"/>
      <c r="L662" s="137"/>
      <c r="M662" s="137"/>
      <c r="N662" s="137"/>
      <c r="O662" s="137"/>
      <c r="P662" s="137"/>
      <c r="Q662" s="137"/>
      <c r="R662" s="137"/>
    </row>
    <row r="664" customFormat="false" ht="19.5" hidden="false" customHeight="true" outlineLevel="0" collapsed="false">
      <c r="A664" s="76" t="str">
        <f aca="false">IF('Calendario G'!A64="","",'Calendario G'!A64)</f>
        <v>5G</v>
      </c>
      <c r="B664" s="77" t="str">
        <f aca="false">IF('Calendario G'!B64="","",'Calendario G'!B64)</f>
        <v>GIORNATA V - GIRONE G</v>
      </c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150" t="s">
        <v>537</v>
      </c>
      <c r="N664" s="150"/>
      <c r="O664" s="150"/>
      <c r="P664" s="150" t="s">
        <v>538</v>
      </c>
      <c r="Q664" s="150"/>
      <c r="R664" s="150"/>
    </row>
    <row r="665" customFormat="false" ht="13.5" hidden="false" customHeight="true" outlineLevel="0" collapsed="false">
      <c r="A665" s="78" t="s">
        <v>334</v>
      </c>
      <c r="B665" s="78" t="s">
        <v>317</v>
      </c>
      <c r="C665" s="78"/>
      <c r="D665" s="78" t="s">
        <v>324</v>
      </c>
      <c r="E665" s="78"/>
      <c r="F665" s="78" t="s">
        <v>335</v>
      </c>
      <c r="G665" s="78" t="s">
        <v>336</v>
      </c>
      <c r="H665" s="78" t="s">
        <v>337</v>
      </c>
      <c r="I665" s="78"/>
      <c r="J665" s="78" t="s">
        <v>338</v>
      </c>
      <c r="K665" s="78"/>
      <c r="L665" s="78"/>
      <c r="M665" s="151" t="s">
        <v>539</v>
      </c>
      <c r="N665" s="151" t="s">
        <v>540</v>
      </c>
      <c r="O665" s="151" t="s">
        <v>541</v>
      </c>
      <c r="P665" s="151" t="s">
        <v>542</v>
      </c>
      <c r="Q665" s="151" t="s">
        <v>543</v>
      </c>
      <c r="R665" s="151" t="s">
        <v>544</v>
      </c>
    </row>
    <row r="666" customFormat="false" ht="21.75" hidden="false" customHeight="true" outlineLevel="0" collapsed="false">
      <c r="A666" s="79" t="n">
        <f aca="false">IF('Calendario G'!A66="","",'Calendario G'!A66)</f>
        <v>185</v>
      </c>
      <c r="B666" s="42" t="str">
        <f aca="false">IF('Calendario G'!B66="","",'Calendario G'!B66)</f>
        <v>Koala Kolossali</v>
      </c>
      <c r="C666" s="43" t="str">
        <f aca="false">IF('Calendario G'!C66="","",'Calendario G'!C66)</f>
        <v>G01</v>
      </c>
      <c r="D666" s="42" t="str">
        <f aca="false">IF('Calendario G'!D66="","",'Calendario G'!D66)</f>
        <v>Nandu Nottambuli</v>
      </c>
      <c r="E666" s="43" t="str">
        <f aca="false">IF('Calendario G'!E66="","",'Calendario G'!E66)</f>
        <v>G04</v>
      </c>
      <c r="F666" s="44" t="n">
        <f aca="false">IF('Calendario G'!F66="","",'Calendario G'!F66)</f>
        <v>46411.3958333333</v>
      </c>
      <c r="G666" s="44"/>
      <c r="H666" s="44"/>
      <c r="I666" s="44"/>
      <c r="J666" s="137" t="n">
        <f aca="false">IF('Calendario G'!J66="","",'Calendario G'!J66)</f>
        <v>72</v>
      </c>
      <c r="K666" s="138" t="s">
        <v>339</v>
      </c>
      <c r="L666" s="137" t="n">
        <f aca="false">IF('Calendario G'!L66="","",'Calendario G'!L66)</f>
        <v>59</v>
      </c>
      <c r="M666" s="139"/>
      <c r="N666" s="139"/>
      <c r="O666" s="139"/>
      <c r="P666" s="139"/>
      <c r="Q666" s="139"/>
      <c r="R666" s="139"/>
    </row>
    <row r="667" customFormat="false" ht="15" hidden="false" customHeight="true" outlineLevel="0" collapsed="false">
      <c r="A667" s="79"/>
      <c r="B667" s="48" t="str">
        <f aca="false">IF('Calendario G'!B67="","",'Calendario G'!B67)</f>
        <v>PalaOrangotanghi, Via dello Sport 13, Orangotanghiopoli OI</v>
      </c>
      <c r="C667" s="48"/>
      <c r="D667" s="48"/>
      <c r="E667" s="48"/>
      <c r="F667" s="48"/>
      <c r="G667" s="48"/>
      <c r="H667" s="48"/>
      <c r="I667" s="43" t="str">
        <f aca="false">IF('Calendario G'!I67="","",'Calendario G'!I67)</f>
        <v>G05</v>
      </c>
      <c r="J667" s="137"/>
      <c r="K667" s="137"/>
      <c r="L667" s="137"/>
      <c r="M667" s="137"/>
      <c r="N667" s="137"/>
      <c r="O667" s="137"/>
      <c r="P667" s="137"/>
      <c r="Q667" s="137"/>
      <c r="R667" s="137"/>
    </row>
    <row r="668" customFormat="false" ht="13.5" hidden="false" customHeight="true" outlineLevel="0" collapsed="false">
      <c r="A668" s="78" t="s">
        <v>334</v>
      </c>
      <c r="B668" s="78" t="s">
        <v>317</v>
      </c>
      <c r="C668" s="78"/>
      <c r="D668" s="78" t="s">
        <v>324</v>
      </c>
      <c r="E668" s="78"/>
      <c r="F668" s="78" t="s">
        <v>335</v>
      </c>
      <c r="G668" s="78" t="s">
        <v>336</v>
      </c>
      <c r="H668" s="78" t="s">
        <v>337</v>
      </c>
      <c r="I668" s="78"/>
      <c r="J668" s="78" t="s">
        <v>338</v>
      </c>
      <c r="K668" s="78"/>
      <c r="L668" s="78"/>
      <c r="M668" s="151" t="s">
        <v>539</v>
      </c>
      <c r="N668" s="151" t="s">
        <v>540</v>
      </c>
      <c r="O668" s="151" t="s">
        <v>541</v>
      </c>
      <c r="P668" s="151" t="s">
        <v>542</v>
      </c>
      <c r="Q668" s="151" t="s">
        <v>543</v>
      </c>
      <c r="R668" s="151" t="s">
        <v>544</v>
      </c>
    </row>
    <row r="669" customFormat="false" ht="21.75" hidden="false" customHeight="true" outlineLevel="0" collapsed="false">
      <c r="A669" s="79" t="n">
        <f aca="false">IF('Calendario G'!A69="","",'Calendario G'!A69)</f>
        <v>186</v>
      </c>
      <c r="B669" s="42" t="str">
        <f aca="false">IF('Calendario G'!B69="","",'Calendario G'!B69)</f>
        <v>Meduse Malandrine</v>
      </c>
      <c r="C669" s="43" t="str">
        <f aca="false">IF('Calendario G'!C69="","",'Calendario G'!C69)</f>
        <v>G03</v>
      </c>
      <c r="D669" s="42" t="str">
        <f aca="false">IF('Calendario G'!D69="","",'Calendario G'!D69)</f>
        <v>Orangotanghi Operosi</v>
      </c>
      <c r="E669" s="43" t="str">
        <f aca="false">IF('Calendario G'!E69="","",'Calendario G'!E69)</f>
        <v>G05</v>
      </c>
      <c r="F669" s="44" t="n">
        <f aca="false">IF('Calendario G'!F69="","",'Calendario G'!F69)</f>
        <v>46411.4791666667</v>
      </c>
      <c r="G669" s="44"/>
      <c r="H669" s="44"/>
      <c r="I669" s="44"/>
      <c r="J669" s="137" t="n">
        <f aca="false">IF('Calendario G'!J69="","",'Calendario G'!J69)</f>
        <v>58</v>
      </c>
      <c r="K669" s="138" t="s">
        <v>339</v>
      </c>
      <c r="L669" s="137" t="n">
        <f aca="false">IF('Calendario G'!L69="","",'Calendario G'!L69)</f>
        <v>50</v>
      </c>
      <c r="M669" s="139"/>
      <c r="N669" s="139"/>
      <c r="O669" s="139"/>
      <c r="P669" s="139"/>
      <c r="Q669" s="139"/>
      <c r="R669" s="139"/>
    </row>
    <row r="670" customFormat="false" ht="15" hidden="false" customHeight="true" outlineLevel="0" collapsed="false">
      <c r="A670" s="79"/>
      <c r="B670" s="48" t="str">
        <f aca="false">IF('Calendario G'!B70="","",'Calendario G'!B70)</f>
        <v>PalaOrangotanghi, Via dello Sport 13, Orangotanghiopoli OI</v>
      </c>
      <c r="C670" s="48"/>
      <c r="D670" s="48"/>
      <c r="E670" s="48"/>
      <c r="F670" s="48"/>
      <c r="G670" s="48"/>
      <c r="H670" s="48"/>
      <c r="I670" s="43" t="str">
        <f aca="false">IF('Calendario G'!I70="","",'Calendario G'!I70)</f>
        <v>G05</v>
      </c>
      <c r="J670" s="137"/>
      <c r="K670" s="137"/>
      <c r="L670" s="137"/>
      <c r="M670" s="137"/>
      <c r="N670" s="137"/>
      <c r="O670" s="137"/>
      <c r="P670" s="137"/>
      <c r="Q670" s="137"/>
      <c r="R670" s="137"/>
    </row>
    <row r="671" customFormat="false" ht="13.5" hidden="false" customHeight="true" outlineLevel="0" collapsed="false">
      <c r="A671" s="78" t="s">
        <v>334</v>
      </c>
      <c r="B671" s="78" t="s">
        <v>317</v>
      </c>
      <c r="C671" s="78"/>
      <c r="D671" s="78" t="s">
        <v>324</v>
      </c>
      <c r="E671" s="78"/>
      <c r="F671" s="78" t="s">
        <v>335</v>
      </c>
      <c r="G671" s="78" t="s">
        <v>336</v>
      </c>
      <c r="H671" s="78" t="s">
        <v>337</v>
      </c>
      <c r="I671" s="78"/>
      <c r="J671" s="78" t="s">
        <v>338</v>
      </c>
      <c r="K671" s="78"/>
      <c r="L671" s="78"/>
      <c r="M671" s="151" t="s">
        <v>539</v>
      </c>
      <c r="N671" s="151" t="s">
        <v>540</v>
      </c>
      <c r="O671" s="151" t="s">
        <v>541</v>
      </c>
      <c r="P671" s="151" t="s">
        <v>542</v>
      </c>
      <c r="Q671" s="151" t="s">
        <v>543</v>
      </c>
      <c r="R671" s="151" t="s">
        <v>544</v>
      </c>
    </row>
    <row r="672" customFormat="false" ht="21.75" hidden="false" customHeight="true" outlineLevel="0" collapsed="false">
      <c r="A672" s="79" t="n">
        <f aca="false">IF('Calendario G'!A72="","",'Calendario G'!A72)</f>
        <v>187</v>
      </c>
      <c r="B672" s="42" t="str">
        <f aca="false">IF('Calendario G'!B72="","",'Calendario G'!B72)</f>
        <v>Pinguini Prodigiosi</v>
      </c>
      <c r="C672" s="43" t="str">
        <f aca="false">IF('Calendario G'!C72="","",'Calendario G'!C72)</f>
        <v>G06</v>
      </c>
      <c r="D672" s="42" t="str">
        <f aca="false">IF('Calendario G'!D72="","",'Calendario G'!D72)</f>
        <v>Leopardi Leggiadri</v>
      </c>
      <c r="E672" s="43" t="str">
        <f aca="false">IF('Calendario G'!E72="","",'Calendario G'!E72)</f>
        <v>G02</v>
      </c>
      <c r="F672" s="44" t="n">
        <f aca="false">IF('Calendario G'!F72="","",'Calendario G'!F72)</f>
        <v>46411.625</v>
      </c>
      <c r="G672" s="44"/>
      <c r="H672" s="44"/>
      <c r="I672" s="44"/>
      <c r="J672" s="137" t="n">
        <f aca="false">IF('Calendario G'!J72="","",'Calendario G'!J72)</f>
        <v>79</v>
      </c>
      <c r="K672" s="138" t="s">
        <v>339</v>
      </c>
      <c r="L672" s="137" t="n">
        <f aca="false">IF('Calendario G'!L72="","",'Calendario G'!L72)</f>
        <v>67</v>
      </c>
      <c r="M672" s="139"/>
      <c r="N672" s="139"/>
      <c r="O672" s="139"/>
      <c r="P672" s="139"/>
      <c r="Q672" s="139"/>
      <c r="R672" s="139"/>
    </row>
    <row r="673" customFormat="false" ht="15" hidden="false" customHeight="true" outlineLevel="0" collapsed="false">
      <c r="A673" s="79"/>
      <c r="B673" s="48" t="str">
        <f aca="false">IF('Calendario G'!B73="","",'Calendario G'!B73)</f>
        <v>PalaOrangotanghi, Via dello Sport 13, Orangotanghiopoli OI</v>
      </c>
      <c r="C673" s="48"/>
      <c r="D673" s="48"/>
      <c r="E673" s="48"/>
      <c r="F673" s="48"/>
      <c r="G673" s="48"/>
      <c r="H673" s="48"/>
      <c r="I673" s="43" t="str">
        <f aca="false">IF('Calendario G'!I73="","",'Calendario G'!I73)</f>
        <v>G05</v>
      </c>
      <c r="J673" s="137"/>
      <c r="K673" s="137"/>
      <c r="L673" s="137"/>
      <c r="M673" s="137"/>
      <c r="N673" s="137"/>
      <c r="O673" s="137"/>
      <c r="P673" s="137"/>
      <c r="Q673" s="137"/>
      <c r="R673" s="137"/>
    </row>
    <row r="674" customFormat="false" ht="13.5" hidden="false" customHeight="true" outlineLevel="0" collapsed="false">
      <c r="A674" s="78" t="s">
        <v>334</v>
      </c>
      <c r="B674" s="78" t="s">
        <v>317</v>
      </c>
      <c r="C674" s="78"/>
      <c r="D674" s="78" t="s">
        <v>324</v>
      </c>
      <c r="E674" s="78"/>
      <c r="F674" s="78" t="s">
        <v>335</v>
      </c>
      <c r="G674" s="78" t="s">
        <v>336</v>
      </c>
      <c r="H674" s="78" t="s">
        <v>337</v>
      </c>
      <c r="I674" s="78"/>
      <c r="J674" s="78" t="s">
        <v>338</v>
      </c>
      <c r="K674" s="78"/>
      <c r="L674" s="78"/>
      <c r="M674" s="151" t="s">
        <v>539</v>
      </c>
      <c r="N674" s="151" t="s">
        <v>540</v>
      </c>
      <c r="O674" s="151" t="s">
        <v>541</v>
      </c>
      <c r="P674" s="151" t="s">
        <v>542</v>
      </c>
      <c r="Q674" s="151" t="s">
        <v>543</v>
      </c>
      <c r="R674" s="151" t="s">
        <v>544</v>
      </c>
    </row>
    <row r="675" customFormat="false" ht="21.75" hidden="false" customHeight="true" outlineLevel="0" collapsed="false">
      <c r="A675" s="79" t="n">
        <f aca="false">IF('Calendario G'!A75="","",'Calendario G'!A75)</f>
        <v>188</v>
      </c>
      <c r="B675" s="42" t="str">
        <f aca="false">IF('Calendario G'!B75="","",'Calendario G'!B75)</f>
        <v>Struzzi Strepitosi</v>
      </c>
      <c r="C675" s="43" t="str">
        <f aca="false">IF('Calendario G'!C75="","",'Calendario G'!C75)</f>
        <v>G08</v>
      </c>
      <c r="D675" s="42" t="str">
        <f aca="false">IF('Calendario G'!D75="","",'Calendario G'!D75)</f>
        <v>Renne Rocambolesche</v>
      </c>
      <c r="E675" s="43" t="str">
        <f aca="false">IF('Calendario G'!E75="","",'Calendario G'!E75)</f>
        <v>G07</v>
      </c>
      <c r="F675" s="44" t="n">
        <f aca="false">IF('Calendario G'!F75="","",'Calendario G'!F75)</f>
        <v>46411.7083333333</v>
      </c>
      <c r="G675" s="44"/>
      <c r="H675" s="44"/>
      <c r="I675" s="44"/>
      <c r="J675" s="137" t="n">
        <f aca="false">IF('Calendario G'!J75="","",'Calendario G'!J75)</f>
        <v>77</v>
      </c>
      <c r="K675" s="138" t="s">
        <v>339</v>
      </c>
      <c r="L675" s="137" t="n">
        <f aca="false">IF('Calendario G'!L75="","",'Calendario G'!L75)</f>
        <v>57</v>
      </c>
      <c r="M675" s="139"/>
      <c r="N675" s="139"/>
      <c r="O675" s="139"/>
      <c r="P675" s="139"/>
      <c r="Q675" s="139"/>
      <c r="R675" s="139"/>
    </row>
    <row r="676" customFormat="false" ht="15" hidden="false" customHeight="true" outlineLevel="0" collapsed="false">
      <c r="A676" s="79"/>
      <c r="B676" s="48" t="str">
        <f aca="false">IF('Calendario G'!B76="","",'Calendario G'!B76)</f>
        <v>PalaOrangotanghi, Via dello Sport 13, Orangotanghiopoli OI</v>
      </c>
      <c r="C676" s="48"/>
      <c r="D676" s="48"/>
      <c r="E676" s="48"/>
      <c r="F676" s="48"/>
      <c r="G676" s="48"/>
      <c r="H676" s="48"/>
      <c r="I676" s="43" t="str">
        <f aca="false">IF('Calendario G'!I76="","",'Calendario G'!I76)</f>
        <v>G05</v>
      </c>
      <c r="J676" s="137"/>
      <c r="K676" s="137"/>
      <c r="L676" s="137"/>
      <c r="M676" s="137"/>
      <c r="N676" s="137"/>
      <c r="O676" s="137"/>
      <c r="P676" s="137"/>
      <c r="Q676" s="137"/>
      <c r="R676" s="137"/>
    </row>
    <row r="678" customFormat="false" ht="19.5" hidden="false" customHeight="true" outlineLevel="0" collapsed="false">
      <c r="A678" s="76" t="str">
        <f aca="false">IF('Calendario G'!A78="","",'Calendario G'!A78)</f>
        <v>6G</v>
      </c>
      <c r="B678" s="77" t="str">
        <f aca="false">IF('Calendario G'!B78="","",'Calendario G'!B78)</f>
        <v>GIORNATA VI - GIRONE G</v>
      </c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150" t="s">
        <v>537</v>
      </c>
      <c r="N678" s="150"/>
      <c r="O678" s="150"/>
      <c r="P678" s="150" t="s">
        <v>538</v>
      </c>
      <c r="Q678" s="150"/>
      <c r="R678" s="150"/>
    </row>
    <row r="679" customFormat="false" ht="13.5" hidden="false" customHeight="true" outlineLevel="0" collapsed="false">
      <c r="A679" s="78" t="s">
        <v>334</v>
      </c>
      <c r="B679" s="78" t="s">
        <v>317</v>
      </c>
      <c r="C679" s="78"/>
      <c r="D679" s="78" t="s">
        <v>324</v>
      </c>
      <c r="E679" s="78"/>
      <c r="F679" s="78" t="s">
        <v>335</v>
      </c>
      <c r="G679" s="78" t="s">
        <v>336</v>
      </c>
      <c r="H679" s="78" t="s">
        <v>337</v>
      </c>
      <c r="I679" s="78"/>
      <c r="J679" s="78" t="s">
        <v>338</v>
      </c>
      <c r="K679" s="78"/>
      <c r="L679" s="78"/>
      <c r="M679" s="151" t="s">
        <v>539</v>
      </c>
      <c r="N679" s="151" t="s">
        <v>540</v>
      </c>
      <c r="O679" s="151" t="s">
        <v>541</v>
      </c>
      <c r="P679" s="151" t="s">
        <v>542</v>
      </c>
      <c r="Q679" s="151" t="s">
        <v>543</v>
      </c>
      <c r="R679" s="151" t="s">
        <v>544</v>
      </c>
    </row>
    <row r="680" customFormat="false" ht="21.75" hidden="false" customHeight="true" outlineLevel="0" collapsed="false">
      <c r="A680" s="79" t="n">
        <f aca="false">IF('Calendario G'!A80="","",'Calendario G'!A80)</f>
        <v>189</v>
      </c>
      <c r="B680" s="42" t="str">
        <f aca="false">IF('Calendario G'!B80="","",'Calendario G'!B80)</f>
        <v>Meduse Malandrine</v>
      </c>
      <c r="C680" s="43" t="str">
        <f aca="false">IF('Calendario G'!C80="","",'Calendario G'!C80)</f>
        <v>G03</v>
      </c>
      <c r="D680" s="42" t="str">
        <f aca="false">IF('Calendario G'!D80="","",'Calendario G'!D80)</f>
        <v>Koala Kolossali</v>
      </c>
      <c r="E680" s="43" t="str">
        <f aca="false">IF('Calendario G'!E80="","",'Calendario G'!E80)</f>
        <v>G01</v>
      </c>
      <c r="F680" s="44" t="n">
        <f aca="false">IF('Calendario G'!F80="","",'Calendario G'!F80)</f>
        <v>46432.3958333333</v>
      </c>
      <c r="G680" s="44"/>
      <c r="H680" s="44"/>
      <c r="I680" s="44"/>
      <c r="J680" s="137" t="n">
        <f aca="false">IF('Calendario G'!J80="","",'Calendario G'!J80)</f>
        <v>65</v>
      </c>
      <c r="K680" s="138" t="s">
        <v>339</v>
      </c>
      <c r="L680" s="137" t="n">
        <f aca="false">IF('Calendario G'!L80="","",'Calendario G'!L80)</f>
        <v>49</v>
      </c>
      <c r="M680" s="139"/>
      <c r="N680" s="139"/>
      <c r="O680" s="139"/>
      <c r="P680" s="139"/>
      <c r="Q680" s="139"/>
      <c r="R680" s="139"/>
    </row>
    <row r="681" customFormat="false" ht="15" hidden="false" customHeight="true" outlineLevel="0" collapsed="false">
      <c r="A681" s="79"/>
      <c r="B681" s="48" t="str">
        <f aca="false">IF('Calendario G'!B81="","",'Calendario G'!B81)</f>
        <v>PalaPinguini, Via dello Sport 14, Pinguiniopoli PI</v>
      </c>
      <c r="C681" s="48"/>
      <c r="D681" s="48"/>
      <c r="E681" s="48"/>
      <c r="F681" s="48"/>
      <c r="G681" s="48"/>
      <c r="H681" s="48"/>
      <c r="I681" s="43" t="str">
        <f aca="false">IF('Calendario G'!I81="","",'Calendario G'!I81)</f>
        <v>G06</v>
      </c>
      <c r="J681" s="137"/>
      <c r="K681" s="137"/>
      <c r="L681" s="137"/>
      <c r="M681" s="137"/>
      <c r="N681" s="137"/>
      <c r="O681" s="137"/>
      <c r="P681" s="137"/>
      <c r="Q681" s="137"/>
      <c r="R681" s="137"/>
    </row>
    <row r="682" customFormat="false" ht="13.5" hidden="false" customHeight="true" outlineLevel="0" collapsed="false">
      <c r="A682" s="78" t="s">
        <v>334</v>
      </c>
      <c r="B682" s="78" t="s">
        <v>317</v>
      </c>
      <c r="C682" s="78"/>
      <c r="D682" s="78" t="s">
        <v>324</v>
      </c>
      <c r="E682" s="78"/>
      <c r="F682" s="78" t="s">
        <v>335</v>
      </c>
      <c r="G682" s="78" t="s">
        <v>336</v>
      </c>
      <c r="H682" s="78" t="s">
        <v>337</v>
      </c>
      <c r="I682" s="78"/>
      <c r="J682" s="78" t="s">
        <v>338</v>
      </c>
      <c r="K682" s="78"/>
      <c r="L682" s="78"/>
      <c r="M682" s="151" t="s">
        <v>539</v>
      </c>
      <c r="N682" s="151" t="s">
        <v>540</v>
      </c>
      <c r="O682" s="151" t="s">
        <v>541</v>
      </c>
      <c r="P682" s="151" t="s">
        <v>542</v>
      </c>
      <c r="Q682" s="151" t="s">
        <v>543</v>
      </c>
      <c r="R682" s="151" t="s">
        <v>544</v>
      </c>
    </row>
    <row r="683" customFormat="false" ht="21.75" hidden="false" customHeight="true" outlineLevel="0" collapsed="false">
      <c r="A683" s="79" t="n">
        <f aca="false">IF('Calendario G'!A83="","",'Calendario G'!A83)</f>
        <v>190</v>
      </c>
      <c r="B683" s="42" t="str">
        <f aca="false">IF('Calendario G'!B83="","",'Calendario G'!B83)</f>
        <v>Nandu Nottambuli</v>
      </c>
      <c r="C683" s="43" t="str">
        <f aca="false">IF('Calendario G'!C83="","",'Calendario G'!C83)</f>
        <v>G04</v>
      </c>
      <c r="D683" s="42" t="str">
        <f aca="false">IF('Calendario G'!D83="","",'Calendario G'!D83)</f>
        <v>Leopardi Leggiadri</v>
      </c>
      <c r="E683" s="43" t="str">
        <f aca="false">IF('Calendario G'!E83="","",'Calendario G'!E83)</f>
        <v>G02</v>
      </c>
      <c r="F683" s="44" t="n">
        <f aca="false">IF('Calendario G'!F83="","",'Calendario G'!F83)</f>
        <v>46432.4791666667</v>
      </c>
      <c r="G683" s="44"/>
      <c r="H683" s="44"/>
      <c r="I683" s="44"/>
      <c r="J683" s="137" t="n">
        <f aca="false">IF('Calendario G'!J83="","",'Calendario G'!J83)</f>
        <v>64</v>
      </c>
      <c r="K683" s="138" t="s">
        <v>339</v>
      </c>
      <c r="L683" s="137" t="n">
        <f aca="false">IF('Calendario G'!L83="","",'Calendario G'!L83)</f>
        <v>57</v>
      </c>
      <c r="M683" s="139"/>
      <c r="N683" s="139"/>
      <c r="O683" s="139"/>
      <c r="P683" s="139"/>
      <c r="Q683" s="139"/>
      <c r="R683" s="139"/>
    </row>
    <row r="684" customFormat="false" ht="15" hidden="false" customHeight="true" outlineLevel="0" collapsed="false">
      <c r="A684" s="79"/>
      <c r="B684" s="48" t="str">
        <f aca="false">IF('Calendario G'!B84="","",'Calendario G'!B84)</f>
        <v>PalaPinguini, Via dello Sport 14, Pinguiniopoli PI</v>
      </c>
      <c r="C684" s="48"/>
      <c r="D684" s="48"/>
      <c r="E684" s="48"/>
      <c r="F684" s="48"/>
      <c r="G684" s="48"/>
      <c r="H684" s="48"/>
      <c r="I684" s="43" t="str">
        <f aca="false">IF('Calendario G'!I84="","",'Calendario G'!I84)</f>
        <v>G06</v>
      </c>
      <c r="J684" s="137"/>
      <c r="K684" s="137"/>
      <c r="L684" s="137"/>
      <c r="M684" s="137"/>
      <c r="N684" s="137"/>
      <c r="O684" s="137"/>
      <c r="P684" s="137"/>
      <c r="Q684" s="137"/>
      <c r="R684" s="137"/>
    </row>
    <row r="685" customFormat="false" ht="13.5" hidden="false" customHeight="true" outlineLevel="0" collapsed="false">
      <c r="A685" s="78" t="s">
        <v>334</v>
      </c>
      <c r="B685" s="78" t="s">
        <v>317</v>
      </c>
      <c r="C685" s="78"/>
      <c r="D685" s="78" t="s">
        <v>324</v>
      </c>
      <c r="E685" s="78"/>
      <c r="F685" s="78" t="s">
        <v>335</v>
      </c>
      <c r="G685" s="78" t="s">
        <v>336</v>
      </c>
      <c r="H685" s="78" t="s">
        <v>337</v>
      </c>
      <c r="I685" s="78"/>
      <c r="J685" s="78" t="s">
        <v>338</v>
      </c>
      <c r="K685" s="78"/>
      <c r="L685" s="78"/>
      <c r="M685" s="151" t="s">
        <v>539</v>
      </c>
      <c r="N685" s="151" t="s">
        <v>540</v>
      </c>
      <c r="O685" s="151" t="s">
        <v>541</v>
      </c>
      <c r="P685" s="151" t="s">
        <v>542</v>
      </c>
      <c r="Q685" s="151" t="s">
        <v>543</v>
      </c>
      <c r="R685" s="151" t="s">
        <v>544</v>
      </c>
    </row>
    <row r="686" customFormat="false" ht="21.75" hidden="false" customHeight="true" outlineLevel="0" collapsed="false">
      <c r="A686" s="79" t="n">
        <f aca="false">IF('Calendario G'!A86="","",'Calendario G'!A86)</f>
        <v>191</v>
      </c>
      <c r="B686" s="42" t="str">
        <f aca="false">IF('Calendario G'!B86="","",'Calendario G'!B86)</f>
        <v>Struzzi Strepitosi</v>
      </c>
      <c r="C686" s="43" t="str">
        <f aca="false">IF('Calendario G'!C86="","",'Calendario G'!C86)</f>
        <v>G08</v>
      </c>
      <c r="D686" s="42" t="str">
        <f aca="false">IF('Calendario G'!D86="","",'Calendario G'!D86)</f>
        <v>Orangotanghi Operosi</v>
      </c>
      <c r="E686" s="43" t="str">
        <f aca="false">IF('Calendario G'!E86="","",'Calendario G'!E86)</f>
        <v>G05</v>
      </c>
      <c r="F686" s="44" t="n">
        <f aca="false">IF('Calendario G'!F86="","",'Calendario G'!F86)</f>
        <v>46432.625</v>
      </c>
      <c r="G686" s="44"/>
      <c r="H686" s="44"/>
      <c r="I686" s="44"/>
      <c r="J686" s="137" t="n">
        <f aca="false">IF('Calendario G'!J86="","",'Calendario G'!J86)</f>
        <v>75</v>
      </c>
      <c r="K686" s="138" t="s">
        <v>339</v>
      </c>
      <c r="L686" s="137" t="n">
        <f aca="false">IF('Calendario G'!L86="","",'Calendario G'!L86)</f>
        <v>56</v>
      </c>
      <c r="M686" s="139"/>
      <c r="N686" s="139"/>
      <c r="O686" s="139"/>
      <c r="P686" s="139"/>
      <c r="Q686" s="139"/>
      <c r="R686" s="139"/>
    </row>
    <row r="687" customFormat="false" ht="15" hidden="false" customHeight="true" outlineLevel="0" collapsed="false">
      <c r="A687" s="79"/>
      <c r="B687" s="48" t="str">
        <f aca="false">IF('Calendario G'!B87="","",'Calendario G'!B87)</f>
        <v>PalaPinguini, Via dello Sport 14, Pinguiniopoli PI</v>
      </c>
      <c r="C687" s="48"/>
      <c r="D687" s="48"/>
      <c r="E687" s="48"/>
      <c r="F687" s="48"/>
      <c r="G687" s="48"/>
      <c r="H687" s="48"/>
      <c r="I687" s="43" t="str">
        <f aca="false">IF('Calendario G'!I87="","",'Calendario G'!I87)</f>
        <v>G06</v>
      </c>
      <c r="J687" s="137"/>
      <c r="K687" s="137"/>
      <c r="L687" s="137"/>
      <c r="M687" s="137"/>
      <c r="N687" s="137"/>
      <c r="O687" s="137"/>
      <c r="P687" s="137"/>
      <c r="Q687" s="137"/>
      <c r="R687" s="137"/>
    </row>
    <row r="688" customFormat="false" ht="13.5" hidden="false" customHeight="true" outlineLevel="0" collapsed="false">
      <c r="A688" s="78" t="s">
        <v>334</v>
      </c>
      <c r="B688" s="78" t="s">
        <v>317</v>
      </c>
      <c r="C688" s="78"/>
      <c r="D688" s="78" t="s">
        <v>324</v>
      </c>
      <c r="E688" s="78"/>
      <c r="F688" s="78" t="s">
        <v>335</v>
      </c>
      <c r="G688" s="78" t="s">
        <v>336</v>
      </c>
      <c r="H688" s="78" t="s">
        <v>337</v>
      </c>
      <c r="I688" s="78"/>
      <c r="J688" s="78" t="s">
        <v>338</v>
      </c>
      <c r="K688" s="78"/>
      <c r="L688" s="78"/>
      <c r="M688" s="151" t="s">
        <v>539</v>
      </c>
      <c r="N688" s="151" t="s">
        <v>540</v>
      </c>
      <c r="O688" s="151" t="s">
        <v>541</v>
      </c>
      <c r="P688" s="151" t="s">
        <v>542</v>
      </c>
      <c r="Q688" s="151" t="s">
        <v>543</v>
      </c>
      <c r="R688" s="151" t="s">
        <v>544</v>
      </c>
    </row>
    <row r="689" customFormat="false" ht="21.75" hidden="false" customHeight="true" outlineLevel="0" collapsed="false">
      <c r="A689" s="79" t="n">
        <f aca="false">IF('Calendario G'!A89="","",'Calendario G'!A89)</f>
        <v>192</v>
      </c>
      <c r="B689" s="42" t="str">
        <f aca="false">IF('Calendario G'!B89="","",'Calendario G'!B89)</f>
        <v>Pinguini Prodigiosi</v>
      </c>
      <c r="C689" s="43" t="str">
        <f aca="false">IF('Calendario G'!C89="","",'Calendario G'!C89)</f>
        <v>G06</v>
      </c>
      <c r="D689" s="42" t="str">
        <f aca="false">IF('Calendario G'!D89="","",'Calendario G'!D89)</f>
        <v>Renne Rocambolesche</v>
      </c>
      <c r="E689" s="43" t="str">
        <f aca="false">IF('Calendario G'!E89="","",'Calendario G'!E89)</f>
        <v>G07</v>
      </c>
      <c r="F689" s="44" t="n">
        <f aca="false">IF('Calendario G'!F89="","",'Calendario G'!F89)</f>
        <v>46432.7083333333</v>
      </c>
      <c r="G689" s="44"/>
      <c r="H689" s="44"/>
      <c r="I689" s="44"/>
      <c r="J689" s="137" t="n">
        <f aca="false">IF('Calendario G'!J89="","",'Calendario G'!J89)</f>
        <v>55</v>
      </c>
      <c r="K689" s="138" t="s">
        <v>339</v>
      </c>
      <c r="L689" s="137" t="n">
        <f aca="false">IF('Calendario G'!L89="","",'Calendario G'!L89)</f>
        <v>29</v>
      </c>
      <c r="M689" s="139"/>
      <c r="N689" s="139"/>
      <c r="O689" s="139"/>
      <c r="P689" s="139"/>
      <c r="Q689" s="139"/>
      <c r="R689" s="139"/>
    </row>
    <row r="690" customFormat="false" ht="15" hidden="false" customHeight="true" outlineLevel="0" collapsed="false">
      <c r="A690" s="79"/>
      <c r="B690" s="48" t="str">
        <f aca="false">IF('Calendario G'!B90="","",'Calendario G'!B90)</f>
        <v>PalaPinguini, Via dello Sport 14, Pinguiniopoli PI</v>
      </c>
      <c r="C690" s="48"/>
      <c r="D690" s="48"/>
      <c r="E690" s="48"/>
      <c r="F690" s="48"/>
      <c r="G690" s="48"/>
      <c r="H690" s="48"/>
      <c r="I690" s="43" t="str">
        <f aca="false">IF('Calendario G'!I90="","",'Calendario G'!I90)</f>
        <v>G06</v>
      </c>
      <c r="J690" s="137"/>
      <c r="K690" s="137"/>
      <c r="L690" s="137"/>
      <c r="M690" s="137"/>
      <c r="N690" s="137"/>
      <c r="O690" s="137"/>
      <c r="P690" s="137"/>
      <c r="Q690" s="137"/>
      <c r="R690" s="137"/>
    </row>
    <row r="692" customFormat="false" ht="19.5" hidden="false" customHeight="true" outlineLevel="0" collapsed="false">
      <c r="A692" s="76" t="str">
        <f aca="false">IF('Calendario G'!A92="","",'Calendario G'!A92)</f>
        <v>7G</v>
      </c>
      <c r="B692" s="77" t="str">
        <f aca="false">IF('Calendario G'!B92="","",'Calendario G'!B92)</f>
        <v>GIORNATA VII - GIRONE G</v>
      </c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150" t="s">
        <v>537</v>
      </c>
      <c r="N692" s="150"/>
      <c r="O692" s="150"/>
      <c r="P692" s="150" t="s">
        <v>538</v>
      </c>
      <c r="Q692" s="150"/>
      <c r="R692" s="150"/>
    </row>
    <row r="693" customFormat="false" ht="13.5" hidden="false" customHeight="true" outlineLevel="0" collapsed="false">
      <c r="A693" s="78" t="s">
        <v>334</v>
      </c>
      <c r="B693" s="78" t="s">
        <v>317</v>
      </c>
      <c r="C693" s="78"/>
      <c r="D693" s="78" t="s">
        <v>324</v>
      </c>
      <c r="E693" s="78"/>
      <c r="F693" s="78" t="s">
        <v>335</v>
      </c>
      <c r="G693" s="78" t="s">
        <v>336</v>
      </c>
      <c r="H693" s="78" t="s">
        <v>337</v>
      </c>
      <c r="I693" s="78"/>
      <c r="J693" s="78" t="s">
        <v>338</v>
      </c>
      <c r="K693" s="78"/>
      <c r="L693" s="78"/>
      <c r="M693" s="151" t="s">
        <v>539</v>
      </c>
      <c r="N693" s="151" t="s">
        <v>540</v>
      </c>
      <c r="O693" s="151" t="s">
        <v>541</v>
      </c>
      <c r="P693" s="151" t="s">
        <v>542</v>
      </c>
      <c r="Q693" s="151" t="s">
        <v>543</v>
      </c>
      <c r="R693" s="151" t="s">
        <v>544</v>
      </c>
    </row>
    <row r="694" customFormat="false" ht="21.75" hidden="false" customHeight="true" outlineLevel="0" collapsed="false">
      <c r="A694" s="79" t="n">
        <f aca="false">IF('Calendario G'!A94="","",'Calendario G'!A94)</f>
        <v>193</v>
      </c>
      <c r="B694" s="42" t="str">
        <f aca="false">IF('Calendario G'!B94="","",'Calendario G'!B94)</f>
        <v>Koala Kolossali</v>
      </c>
      <c r="C694" s="43" t="str">
        <f aca="false">IF('Calendario G'!C94="","",'Calendario G'!C94)</f>
        <v>G01</v>
      </c>
      <c r="D694" s="42" t="str">
        <f aca="false">IF('Calendario G'!D94="","",'Calendario G'!D94)</f>
        <v>Leopardi Leggiadri</v>
      </c>
      <c r="E694" s="43" t="str">
        <f aca="false">IF('Calendario G'!E94="","",'Calendario G'!E94)</f>
        <v>G02</v>
      </c>
      <c r="F694" s="44" t="n">
        <f aca="false">IF('Calendario G'!F94="","",'Calendario G'!F94)</f>
        <v>46453.3958333333</v>
      </c>
      <c r="G694" s="44"/>
      <c r="H694" s="44"/>
      <c r="I694" s="44"/>
      <c r="J694" s="137" t="n">
        <f aca="false">IF('Calendario G'!J94="","",'Calendario G'!J94)</f>
        <v>53</v>
      </c>
      <c r="K694" s="138" t="s">
        <v>339</v>
      </c>
      <c r="L694" s="137" t="n">
        <f aca="false">IF('Calendario G'!L94="","",'Calendario G'!L94)</f>
        <v>56</v>
      </c>
      <c r="M694" s="139"/>
      <c r="N694" s="139"/>
      <c r="O694" s="139"/>
      <c r="P694" s="139"/>
      <c r="Q694" s="139"/>
      <c r="R694" s="139"/>
    </row>
    <row r="695" customFormat="false" ht="15" hidden="false" customHeight="true" outlineLevel="0" collapsed="false">
      <c r="A695" s="79"/>
      <c r="B695" s="48" t="str">
        <f aca="false">IF('Calendario G'!B95="","",'Calendario G'!B95)</f>
        <v>PalaRenne, Via dello Sport 15, Renneopoli RE</v>
      </c>
      <c r="C695" s="48"/>
      <c r="D695" s="48"/>
      <c r="E695" s="48"/>
      <c r="F695" s="48"/>
      <c r="G695" s="48"/>
      <c r="H695" s="48"/>
      <c r="I695" s="43" t="str">
        <f aca="false">IF('Calendario G'!I95="","",'Calendario G'!I95)</f>
        <v>G07</v>
      </c>
      <c r="J695" s="137"/>
      <c r="K695" s="137"/>
      <c r="L695" s="137"/>
      <c r="M695" s="137"/>
      <c r="N695" s="137"/>
      <c r="O695" s="137"/>
      <c r="P695" s="137"/>
      <c r="Q695" s="137"/>
      <c r="R695" s="137"/>
    </row>
    <row r="696" customFormat="false" ht="13.5" hidden="false" customHeight="true" outlineLevel="0" collapsed="false">
      <c r="A696" s="78" t="s">
        <v>334</v>
      </c>
      <c r="B696" s="78" t="s">
        <v>317</v>
      </c>
      <c r="C696" s="78"/>
      <c r="D696" s="78" t="s">
        <v>324</v>
      </c>
      <c r="E696" s="78"/>
      <c r="F696" s="78" t="s">
        <v>335</v>
      </c>
      <c r="G696" s="78" t="s">
        <v>336</v>
      </c>
      <c r="H696" s="78" t="s">
        <v>337</v>
      </c>
      <c r="I696" s="78"/>
      <c r="J696" s="78" t="s">
        <v>338</v>
      </c>
      <c r="K696" s="78"/>
      <c r="L696" s="78"/>
      <c r="M696" s="151" t="s">
        <v>539</v>
      </c>
      <c r="N696" s="151" t="s">
        <v>540</v>
      </c>
      <c r="O696" s="151" t="s">
        <v>541</v>
      </c>
      <c r="P696" s="151" t="s">
        <v>542</v>
      </c>
      <c r="Q696" s="151" t="s">
        <v>543</v>
      </c>
      <c r="R696" s="151" t="s">
        <v>544</v>
      </c>
    </row>
    <row r="697" customFormat="false" ht="21.75" hidden="false" customHeight="true" outlineLevel="0" collapsed="false">
      <c r="A697" s="79" t="n">
        <f aca="false">IF('Calendario G'!A97="","",'Calendario G'!A97)</f>
        <v>194</v>
      </c>
      <c r="B697" s="42" t="str">
        <f aca="false">IF('Calendario G'!B97="","",'Calendario G'!B97)</f>
        <v>Struzzi Strepitosi</v>
      </c>
      <c r="C697" s="43" t="str">
        <f aca="false">IF('Calendario G'!C97="","",'Calendario G'!C97)</f>
        <v>G08</v>
      </c>
      <c r="D697" s="42" t="str">
        <f aca="false">IF('Calendario G'!D97="","",'Calendario G'!D97)</f>
        <v>Meduse Malandrine</v>
      </c>
      <c r="E697" s="43" t="str">
        <f aca="false">IF('Calendario G'!E97="","",'Calendario G'!E97)</f>
        <v>G03</v>
      </c>
      <c r="F697" s="44" t="n">
        <f aca="false">IF('Calendario G'!F97="","",'Calendario G'!F97)</f>
        <v>46453.4791666667</v>
      </c>
      <c r="G697" s="44"/>
      <c r="H697" s="44"/>
      <c r="I697" s="44"/>
      <c r="J697" s="137" t="n">
        <f aca="false">IF('Calendario G'!J97="","",'Calendario G'!J97)</f>
        <v>62</v>
      </c>
      <c r="K697" s="138" t="s">
        <v>339</v>
      </c>
      <c r="L697" s="137" t="n">
        <f aca="false">IF('Calendario G'!L97="","",'Calendario G'!L97)</f>
        <v>45</v>
      </c>
      <c r="M697" s="139"/>
      <c r="N697" s="139"/>
      <c r="O697" s="139"/>
      <c r="P697" s="139"/>
      <c r="Q697" s="139"/>
      <c r="R697" s="139"/>
    </row>
    <row r="698" customFormat="false" ht="15" hidden="false" customHeight="true" outlineLevel="0" collapsed="false">
      <c r="A698" s="79"/>
      <c r="B698" s="48" t="str">
        <f aca="false">IF('Calendario G'!B98="","",'Calendario G'!B98)</f>
        <v>PalaRenne, Via dello Sport 15, Renneopoli RE</v>
      </c>
      <c r="C698" s="48"/>
      <c r="D698" s="48"/>
      <c r="E698" s="48"/>
      <c r="F698" s="48"/>
      <c r="G698" s="48"/>
      <c r="H698" s="48"/>
      <c r="I698" s="43" t="str">
        <f aca="false">IF('Calendario G'!I98="","",'Calendario G'!I98)</f>
        <v>G07</v>
      </c>
      <c r="J698" s="137"/>
      <c r="K698" s="137"/>
      <c r="L698" s="137"/>
      <c r="M698" s="137"/>
      <c r="N698" s="137"/>
      <c r="O698" s="137"/>
      <c r="P698" s="137"/>
      <c r="Q698" s="137"/>
      <c r="R698" s="137"/>
    </row>
    <row r="699" customFormat="false" ht="13.5" hidden="false" customHeight="true" outlineLevel="0" collapsed="false">
      <c r="A699" s="78" t="s">
        <v>334</v>
      </c>
      <c r="B699" s="78" t="s">
        <v>317</v>
      </c>
      <c r="C699" s="78"/>
      <c r="D699" s="78" t="s">
        <v>324</v>
      </c>
      <c r="E699" s="78"/>
      <c r="F699" s="78" t="s">
        <v>335</v>
      </c>
      <c r="G699" s="78" t="s">
        <v>336</v>
      </c>
      <c r="H699" s="78" t="s">
        <v>337</v>
      </c>
      <c r="I699" s="78"/>
      <c r="J699" s="78" t="s">
        <v>338</v>
      </c>
      <c r="K699" s="78"/>
      <c r="L699" s="78"/>
      <c r="M699" s="151" t="s">
        <v>539</v>
      </c>
      <c r="N699" s="151" t="s">
        <v>540</v>
      </c>
      <c r="O699" s="151" t="s">
        <v>541</v>
      </c>
      <c r="P699" s="151" t="s">
        <v>542</v>
      </c>
      <c r="Q699" s="151" t="s">
        <v>543</v>
      </c>
      <c r="R699" s="151" t="s">
        <v>544</v>
      </c>
    </row>
    <row r="700" customFormat="false" ht="21.75" hidden="false" customHeight="true" outlineLevel="0" collapsed="false">
      <c r="A700" s="79" t="n">
        <f aca="false">IF('Calendario G'!A100="","",'Calendario G'!A100)</f>
        <v>195</v>
      </c>
      <c r="B700" s="42" t="str">
        <f aca="false">IF('Calendario G'!B100="","",'Calendario G'!B100)</f>
        <v>Nandu Nottambuli</v>
      </c>
      <c r="C700" s="43" t="str">
        <f aca="false">IF('Calendario G'!C100="","",'Calendario G'!C100)</f>
        <v>G04</v>
      </c>
      <c r="D700" s="42" t="str">
        <f aca="false">IF('Calendario G'!D100="","",'Calendario G'!D100)</f>
        <v>Renne Rocambolesche</v>
      </c>
      <c r="E700" s="43" t="str">
        <f aca="false">IF('Calendario G'!E100="","",'Calendario G'!E100)</f>
        <v>G07</v>
      </c>
      <c r="F700" s="44" t="n">
        <f aca="false">IF('Calendario G'!F100="","",'Calendario G'!F100)</f>
        <v>46453.625</v>
      </c>
      <c r="G700" s="44"/>
      <c r="H700" s="44"/>
      <c r="I700" s="44"/>
      <c r="J700" s="137" t="n">
        <f aca="false">IF('Calendario G'!J100="","",'Calendario G'!J100)</f>
        <v>60</v>
      </c>
      <c r="K700" s="138" t="s">
        <v>339</v>
      </c>
      <c r="L700" s="137" t="n">
        <f aca="false">IF('Calendario G'!L100="","",'Calendario G'!L100)</f>
        <v>74</v>
      </c>
      <c r="M700" s="139"/>
      <c r="N700" s="139"/>
      <c r="O700" s="139"/>
      <c r="P700" s="139"/>
      <c r="Q700" s="139"/>
      <c r="R700" s="139"/>
    </row>
    <row r="701" customFormat="false" ht="15" hidden="false" customHeight="true" outlineLevel="0" collapsed="false">
      <c r="A701" s="79"/>
      <c r="B701" s="48" t="str">
        <f aca="false">IF('Calendario G'!B101="","",'Calendario G'!B101)</f>
        <v>PalaRenne, Via dello Sport 15, Renneopoli RE</v>
      </c>
      <c r="C701" s="48"/>
      <c r="D701" s="48"/>
      <c r="E701" s="48"/>
      <c r="F701" s="48"/>
      <c r="G701" s="48"/>
      <c r="H701" s="48"/>
      <c r="I701" s="43" t="str">
        <f aca="false">IF('Calendario G'!I101="","",'Calendario G'!I101)</f>
        <v>G07</v>
      </c>
      <c r="J701" s="137"/>
      <c r="K701" s="137"/>
      <c r="L701" s="137"/>
      <c r="M701" s="137"/>
      <c r="N701" s="137"/>
      <c r="O701" s="137"/>
      <c r="P701" s="137"/>
      <c r="Q701" s="137"/>
      <c r="R701" s="137"/>
    </row>
    <row r="702" customFormat="false" ht="13.5" hidden="false" customHeight="true" outlineLevel="0" collapsed="false">
      <c r="A702" s="78" t="s">
        <v>334</v>
      </c>
      <c r="B702" s="78" t="s">
        <v>317</v>
      </c>
      <c r="C702" s="78"/>
      <c r="D702" s="78" t="s">
        <v>324</v>
      </c>
      <c r="E702" s="78"/>
      <c r="F702" s="78" t="s">
        <v>335</v>
      </c>
      <c r="G702" s="78" t="s">
        <v>336</v>
      </c>
      <c r="H702" s="78" t="s">
        <v>337</v>
      </c>
      <c r="I702" s="78"/>
      <c r="J702" s="78" t="s">
        <v>338</v>
      </c>
      <c r="K702" s="78"/>
      <c r="L702" s="78"/>
      <c r="M702" s="151" t="s">
        <v>539</v>
      </c>
      <c r="N702" s="151" t="s">
        <v>540</v>
      </c>
      <c r="O702" s="151" t="s">
        <v>541</v>
      </c>
      <c r="P702" s="151" t="s">
        <v>542</v>
      </c>
      <c r="Q702" s="151" t="s">
        <v>543</v>
      </c>
      <c r="R702" s="151" t="s">
        <v>544</v>
      </c>
    </row>
    <row r="703" customFormat="false" ht="21.75" hidden="false" customHeight="true" outlineLevel="0" collapsed="false">
      <c r="A703" s="79" t="n">
        <f aca="false">IF('Calendario G'!A103="","",'Calendario G'!A103)</f>
        <v>196</v>
      </c>
      <c r="B703" s="42" t="str">
        <f aca="false">IF('Calendario G'!B103="","",'Calendario G'!B103)</f>
        <v>Pinguini Prodigiosi</v>
      </c>
      <c r="C703" s="43" t="str">
        <f aca="false">IF('Calendario G'!C103="","",'Calendario G'!C103)</f>
        <v>G06</v>
      </c>
      <c r="D703" s="42" t="str">
        <f aca="false">IF('Calendario G'!D103="","",'Calendario G'!D103)</f>
        <v>Orangotanghi Operosi</v>
      </c>
      <c r="E703" s="43" t="str">
        <f aca="false">IF('Calendario G'!E103="","",'Calendario G'!E103)</f>
        <v>G05</v>
      </c>
      <c r="F703" s="44" t="n">
        <f aca="false">IF('Calendario G'!F103="","",'Calendario G'!F103)</f>
        <v>46453.7083333333</v>
      </c>
      <c r="G703" s="44"/>
      <c r="H703" s="44"/>
      <c r="I703" s="44"/>
      <c r="J703" s="137" t="n">
        <f aca="false">IF('Calendario G'!J103="","",'Calendario G'!J103)</f>
        <v>78</v>
      </c>
      <c r="K703" s="138" t="s">
        <v>339</v>
      </c>
      <c r="L703" s="137" t="n">
        <f aca="false">IF('Calendario G'!L103="","",'Calendario G'!L103)</f>
        <v>42</v>
      </c>
      <c r="M703" s="139"/>
      <c r="N703" s="139"/>
      <c r="O703" s="139"/>
      <c r="P703" s="139"/>
      <c r="Q703" s="139"/>
      <c r="R703" s="139"/>
    </row>
    <row r="704" customFormat="false" ht="15" hidden="false" customHeight="true" outlineLevel="0" collapsed="false">
      <c r="A704" s="79"/>
      <c r="B704" s="48" t="str">
        <f aca="false">IF('Calendario G'!B104="","",'Calendario G'!B104)</f>
        <v>PalaRenne, Via dello Sport 15, Renneopoli RE</v>
      </c>
      <c r="C704" s="48"/>
      <c r="D704" s="48"/>
      <c r="E704" s="48"/>
      <c r="F704" s="48"/>
      <c r="G704" s="48"/>
      <c r="H704" s="48"/>
      <c r="I704" s="43" t="str">
        <f aca="false">IF('Calendario G'!I104="","",'Calendario G'!I104)</f>
        <v>G07</v>
      </c>
      <c r="J704" s="137"/>
      <c r="K704" s="137"/>
      <c r="L704" s="137"/>
      <c r="M704" s="137"/>
      <c r="N704" s="137"/>
      <c r="O704" s="137"/>
      <c r="P704" s="137"/>
      <c r="Q704" s="137"/>
      <c r="R704" s="137"/>
    </row>
    <row r="708" customFormat="false" ht="19.5" hidden="false" customHeight="true" outlineLevel="0" collapsed="false">
      <c r="A708" s="81" t="str">
        <f aca="false">IF('Calendario H'!A8="","",'Calendario H'!A8)</f>
        <v>1H</v>
      </c>
      <c r="B708" s="82" t="str">
        <f aca="false">IF('Calendario H'!B8="","",'Calendario H'!B8)</f>
        <v>GIORNATA I - GIRONE H</v>
      </c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152" t="s">
        <v>537</v>
      </c>
      <c r="N708" s="152"/>
      <c r="O708" s="152"/>
      <c r="P708" s="152" t="s">
        <v>538</v>
      </c>
      <c r="Q708" s="152"/>
      <c r="R708" s="152"/>
    </row>
    <row r="709" customFormat="false" ht="13.5" hidden="false" customHeight="true" outlineLevel="0" collapsed="false">
      <c r="A709" s="83" t="s">
        <v>334</v>
      </c>
      <c r="B709" s="83" t="s">
        <v>317</v>
      </c>
      <c r="C709" s="83"/>
      <c r="D709" s="83" t="s">
        <v>324</v>
      </c>
      <c r="E709" s="83"/>
      <c r="F709" s="83" t="s">
        <v>335</v>
      </c>
      <c r="G709" s="83" t="s">
        <v>336</v>
      </c>
      <c r="H709" s="83" t="s">
        <v>337</v>
      </c>
      <c r="I709" s="83"/>
      <c r="J709" s="83" t="s">
        <v>338</v>
      </c>
      <c r="K709" s="83"/>
      <c r="L709" s="83"/>
      <c r="M709" s="153" t="s">
        <v>539</v>
      </c>
      <c r="N709" s="153" t="s">
        <v>540</v>
      </c>
      <c r="O709" s="153" t="s">
        <v>541</v>
      </c>
      <c r="P709" s="153" t="s">
        <v>542</v>
      </c>
      <c r="Q709" s="153" t="s">
        <v>543</v>
      </c>
      <c r="R709" s="153" t="s">
        <v>544</v>
      </c>
    </row>
    <row r="710" customFormat="false" ht="21.75" hidden="false" customHeight="true" outlineLevel="0" collapsed="false">
      <c r="A710" s="84" t="n">
        <f aca="false">IF('Calendario H'!A10="","",'Calendario H'!A10)</f>
        <v>197</v>
      </c>
      <c r="B710" s="42" t="str">
        <f aca="false">IF('Calendario H'!B10="","",'Calendario H'!B10)</f>
        <v>Tartarughe Testarde</v>
      </c>
      <c r="C710" s="43" t="str">
        <f aca="false">IF('Calendario H'!C10="","",'Calendario H'!C10)</f>
        <v>H01</v>
      </c>
      <c r="D710" s="42" t="str">
        <f aca="false">IF('Calendario H'!D10="","",'Calendario H'!D10)</f>
        <v>Draghi Dinamici</v>
      </c>
      <c r="E710" s="43" t="str">
        <f aca="false">IF('Calendario H'!E10="","",'Calendario H'!E10)</f>
        <v>H08</v>
      </c>
      <c r="F710" s="44" t="n">
        <f aca="false">IF('Calendario H'!F10="","",'Calendario H'!F10)</f>
        <v>46313.3958333333</v>
      </c>
      <c r="G710" s="44"/>
      <c r="H710" s="44"/>
      <c r="I710" s="44"/>
      <c r="J710" s="137" t="n">
        <f aca="false">IF('Calendario H'!J10="","",'Calendario H'!J10)</f>
        <v>69</v>
      </c>
      <c r="K710" s="138" t="s">
        <v>339</v>
      </c>
      <c r="L710" s="137" t="n">
        <f aca="false">IF('Calendario H'!L10="","",'Calendario H'!L10)</f>
        <v>49</v>
      </c>
      <c r="M710" s="139"/>
      <c r="N710" s="139"/>
      <c r="O710" s="139"/>
      <c r="P710" s="139"/>
      <c r="Q710" s="139"/>
      <c r="R710" s="139"/>
    </row>
    <row r="711" customFormat="false" ht="15" hidden="false" customHeight="true" outlineLevel="0" collapsed="false">
      <c r="A711" s="84"/>
      <c r="B711" s="48" t="str">
        <f aca="false">IF('Calendario H'!B11="","",'Calendario H'!B11)</f>
        <v>PalaTartarughe, Via dello Sport 17, Tartarugheopoli TE</v>
      </c>
      <c r="C711" s="48"/>
      <c r="D711" s="48"/>
      <c r="E711" s="48"/>
      <c r="F711" s="48"/>
      <c r="G711" s="48"/>
      <c r="H711" s="48"/>
      <c r="I711" s="43" t="str">
        <f aca="false">IF('Calendario H'!I11="","",'Calendario H'!I11)</f>
        <v>H01</v>
      </c>
      <c r="J711" s="137"/>
      <c r="K711" s="137"/>
      <c r="L711" s="137"/>
      <c r="M711" s="137"/>
      <c r="N711" s="137"/>
      <c r="O711" s="137"/>
      <c r="P711" s="137"/>
      <c r="Q711" s="137"/>
      <c r="R711" s="137"/>
    </row>
    <row r="712" customFormat="false" ht="13.5" hidden="false" customHeight="true" outlineLevel="0" collapsed="false">
      <c r="A712" s="83" t="s">
        <v>334</v>
      </c>
      <c r="B712" s="83" t="s">
        <v>317</v>
      </c>
      <c r="C712" s="83"/>
      <c r="D712" s="83" t="s">
        <v>324</v>
      </c>
      <c r="E712" s="83"/>
      <c r="F712" s="83" t="s">
        <v>335</v>
      </c>
      <c r="G712" s="83" t="s">
        <v>336</v>
      </c>
      <c r="H712" s="83" t="s">
        <v>337</v>
      </c>
      <c r="I712" s="83"/>
      <c r="J712" s="83" t="s">
        <v>338</v>
      </c>
      <c r="K712" s="83"/>
      <c r="L712" s="83"/>
      <c r="M712" s="153" t="s">
        <v>539</v>
      </c>
      <c r="N712" s="153" t="s">
        <v>540</v>
      </c>
      <c r="O712" s="153" t="s">
        <v>541</v>
      </c>
      <c r="P712" s="153" t="s">
        <v>542</v>
      </c>
      <c r="Q712" s="153" t="s">
        <v>543</v>
      </c>
      <c r="R712" s="153" t="s">
        <v>544</v>
      </c>
    </row>
    <row r="713" customFormat="false" ht="21.75" hidden="false" customHeight="true" outlineLevel="0" collapsed="false">
      <c r="A713" s="84" t="n">
        <f aca="false">IF('Calendario H'!A13="","",'Calendario H'!A13)</f>
        <v>198</v>
      </c>
      <c r="B713" s="42" t="str">
        <f aca="false">IF('Calendario H'!B13="","",'Calendario H'!B13)</f>
        <v>Castori Cocciuti</v>
      </c>
      <c r="C713" s="43" t="str">
        <f aca="false">IF('Calendario H'!C13="","",'Calendario H'!C13)</f>
        <v>H07</v>
      </c>
      <c r="D713" s="42" t="str">
        <f aca="false">IF('Calendario H'!D13="","",'Calendario H'!D13)</f>
        <v>Urubu Urlanti</v>
      </c>
      <c r="E713" s="43" t="str">
        <f aca="false">IF('Calendario H'!E13="","",'Calendario H'!E13)</f>
        <v>H02</v>
      </c>
      <c r="F713" s="44" t="n">
        <f aca="false">IF('Calendario H'!F13="","",'Calendario H'!F13)</f>
        <v>46313.4791666667</v>
      </c>
      <c r="G713" s="44"/>
      <c r="H713" s="44"/>
      <c r="I713" s="44"/>
      <c r="J713" s="137" t="n">
        <f aca="false">IF('Calendario H'!J13="","",'Calendario H'!J13)</f>
        <v>44</v>
      </c>
      <c r="K713" s="138" t="s">
        <v>339</v>
      </c>
      <c r="L713" s="137" t="n">
        <f aca="false">IF('Calendario H'!L13="","",'Calendario H'!L13)</f>
        <v>69</v>
      </c>
      <c r="M713" s="139"/>
      <c r="N713" s="139"/>
      <c r="O713" s="139"/>
      <c r="P713" s="139"/>
      <c r="Q713" s="139"/>
      <c r="R713" s="139"/>
    </row>
    <row r="714" customFormat="false" ht="15" hidden="false" customHeight="true" outlineLevel="0" collapsed="false">
      <c r="A714" s="84"/>
      <c r="B714" s="48" t="str">
        <f aca="false">IF('Calendario H'!B14="","",'Calendario H'!B14)</f>
        <v>PalaTartarughe, Via dello Sport 17, Tartarugheopoli TE</v>
      </c>
      <c r="C714" s="48"/>
      <c r="D714" s="48"/>
      <c r="E714" s="48"/>
      <c r="F714" s="48"/>
      <c r="G714" s="48"/>
      <c r="H714" s="48"/>
      <c r="I714" s="43" t="str">
        <f aca="false">IF('Calendario H'!I14="","",'Calendario H'!I14)</f>
        <v>H01</v>
      </c>
      <c r="J714" s="137"/>
      <c r="K714" s="137"/>
      <c r="L714" s="137"/>
      <c r="M714" s="137"/>
      <c r="N714" s="137"/>
      <c r="O714" s="137"/>
      <c r="P714" s="137"/>
      <c r="Q714" s="137"/>
      <c r="R714" s="137"/>
    </row>
    <row r="715" customFormat="false" ht="13.5" hidden="false" customHeight="true" outlineLevel="0" collapsed="false">
      <c r="A715" s="83" t="s">
        <v>334</v>
      </c>
      <c r="B715" s="83" t="s">
        <v>317</v>
      </c>
      <c r="C715" s="83"/>
      <c r="D715" s="83" t="s">
        <v>324</v>
      </c>
      <c r="E715" s="83"/>
      <c r="F715" s="83" t="s">
        <v>335</v>
      </c>
      <c r="G715" s="83" t="s">
        <v>336</v>
      </c>
      <c r="H715" s="83" t="s">
        <v>337</v>
      </c>
      <c r="I715" s="83"/>
      <c r="J715" s="83" t="s">
        <v>338</v>
      </c>
      <c r="K715" s="83"/>
      <c r="L715" s="83"/>
      <c r="M715" s="153" t="s">
        <v>539</v>
      </c>
      <c r="N715" s="153" t="s">
        <v>540</v>
      </c>
      <c r="O715" s="153" t="s">
        <v>541</v>
      </c>
      <c r="P715" s="153" t="s">
        <v>542</v>
      </c>
      <c r="Q715" s="153" t="s">
        <v>543</v>
      </c>
      <c r="R715" s="153" t="s">
        <v>544</v>
      </c>
    </row>
    <row r="716" customFormat="false" ht="21.75" hidden="false" customHeight="true" outlineLevel="0" collapsed="false">
      <c r="A716" s="84" t="n">
        <f aca="false">IF('Calendario H'!A16="","",'Calendario H'!A16)</f>
        <v>199</v>
      </c>
      <c r="B716" s="42" t="str">
        <f aca="false">IF('Calendario H'!B16="","",'Calendario H'!B16)</f>
        <v>Visoni Vigorosi</v>
      </c>
      <c r="C716" s="43" t="str">
        <f aca="false">IF('Calendario H'!C16="","",'Calendario H'!C16)</f>
        <v>H03</v>
      </c>
      <c r="D716" s="42" t="str">
        <f aca="false">IF('Calendario H'!D16="","",'Calendario H'!D16)</f>
        <v>Bradipi Brillanti</v>
      </c>
      <c r="E716" s="43" t="str">
        <f aca="false">IF('Calendario H'!E16="","",'Calendario H'!E16)</f>
        <v>H06</v>
      </c>
      <c r="F716" s="44" t="n">
        <f aca="false">IF('Calendario H'!F16="","",'Calendario H'!F16)</f>
        <v>46313.625</v>
      </c>
      <c r="G716" s="44"/>
      <c r="H716" s="44"/>
      <c r="I716" s="44"/>
      <c r="J716" s="137" t="n">
        <f aca="false">IF('Calendario H'!J16="","",'Calendario H'!J16)</f>
        <v>77</v>
      </c>
      <c r="K716" s="138" t="s">
        <v>339</v>
      </c>
      <c r="L716" s="137" t="n">
        <f aca="false">IF('Calendario H'!L16="","",'Calendario H'!L16)</f>
        <v>63</v>
      </c>
      <c r="M716" s="139"/>
      <c r="N716" s="139"/>
      <c r="O716" s="139"/>
      <c r="P716" s="139"/>
      <c r="Q716" s="139"/>
      <c r="R716" s="139"/>
    </row>
    <row r="717" customFormat="false" ht="15" hidden="false" customHeight="true" outlineLevel="0" collapsed="false">
      <c r="A717" s="84"/>
      <c r="B717" s="48" t="str">
        <f aca="false">IF('Calendario H'!B17="","",'Calendario H'!B17)</f>
        <v>PalaTartarughe, Via dello Sport 17, Tartarugheopoli TE</v>
      </c>
      <c r="C717" s="48"/>
      <c r="D717" s="48"/>
      <c r="E717" s="48"/>
      <c r="F717" s="48"/>
      <c r="G717" s="48"/>
      <c r="H717" s="48"/>
      <c r="I717" s="43" t="str">
        <f aca="false">IF('Calendario H'!I17="","",'Calendario H'!I17)</f>
        <v>H01</v>
      </c>
      <c r="J717" s="137"/>
      <c r="K717" s="137"/>
      <c r="L717" s="137"/>
      <c r="M717" s="137"/>
      <c r="N717" s="137"/>
      <c r="O717" s="137"/>
      <c r="P717" s="137"/>
      <c r="Q717" s="137"/>
      <c r="R717" s="137"/>
    </row>
    <row r="718" customFormat="false" ht="13.5" hidden="false" customHeight="true" outlineLevel="0" collapsed="false">
      <c r="A718" s="83" t="s">
        <v>334</v>
      </c>
      <c r="B718" s="83" t="s">
        <v>317</v>
      </c>
      <c r="C718" s="83"/>
      <c r="D718" s="83" t="s">
        <v>324</v>
      </c>
      <c r="E718" s="83"/>
      <c r="F718" s="83" t="s">
        <v>335</v>
      </c>
      <c r="G718" s="83" t="s">
        <v>336</v>
      </c>
      <c r="H718" s="83" t="s">
        <v>337</v>
      </c>
      <c r="I718" s="83"/>
      <c r="J718" s="83" t="s">
        <v>338</v>
      </c>
      <c r="K718" s="83"/>
      <c r="L718" s="83"/>
      <c r="M718" s="153" t="s">
        <v>539</v>
      </c>
      <c r="N718" s="153" t="s">
        <v>540</v>
      </c>
      <c r="O718" s="153" t="s">
        <v>541</v>
      </c>
      <c r="P718" s="153" t="s">
        <v>542</v>
      </c>
      <c r="Q718" s="153" t="s">
        <v>543</v>
      </c>
      <c r="R718" s="153" t="s">
        <v>544</v>
      </c>
    </row>
    <row r="719" customFormat="false" ht="21.75" hidden="false" customHeight="true" outlineLevel="0" collapsed="false">
      <c r="A719" s="84" t="n">
        <f aca="false">IF('Calendario H'!A19="","",'Calendario H'!A19)</f>
        <v>200</v>
      </c>
      <c r="B719" s="42" t="str">
        <f aca="false">IF('Calendario H'!B19="","",'Calendario H'!B19)</f>
        <v>Aquile Audaci</v>
      </c>
      <c r="C719" s="43" t="str">
        <f aca="false">IF('Calendario H'!C19="","",'Calendario H'!C19)</f>
        <v>H05</v>
      </c>
      <c r="D719" s="42" t="str">
        <f aca="false">IF('Calendario H'!D19="","",'Calendario H'!D19)</f>
        <v>Zanzare Zampettanti</v>
      </c>
      <c r="E719" s="43" t="str">
        <f aca="false">IF('Calendario H'!E19="","",'Calendario H'!E19)</f>
        <v>H04</v>
      </c>
      <c r="F719" s="44" t="n">
        <f aca="false">IF('Calendario H'!F19="","",'Calendario H'!F19)</f>
        <v>46313.7083333333</v>
      </c>
      <c r="G719" s="44"/>
      <c r="H719" s="44"/>
      <c r="I719" s="44"/>
      <c r="J719" s="137" t="n">
        <f aca="false">IF('Calendario H'!J19="","",'Calendario H'!J19)</f>
        <v>52</v>
      </c>
      <c r="K719" s="138" t="s">
        <v>339</v>
      </c>
      <c r="L719" s="137" t="n">
        <f aca="false">IF('Calendario H'!L19="","",'Calendario H'!L19)</f>
        <v>65</v>
      </c>
      <c r="M719" s="139"/>
      <c r="N719" s="139"/>
      <c r="O719" s="139"/>
      <c r="P719" s="139"/>
      <c r="Q719" s="139"/>
      <c r="R719" s="139"/>
    </row>
    <row r="720" customFormat="false" ht="15" hidden="false" customHeight="true" outlineLevel="0" collapsed="false">
      <c r="A720" s="84"/>
      <c r="B720" s="48" t="str">
        <f aca="false">IF('Calendario H'!B20="","",'Calendario H'!B20)</f>
        <v>PalaTartarughe, Via dello Sport 17, Tartarugheopoli TE</v>
      </c>
      <c r="C720" s="48"/>
      <c r="D720" s="48"/>
      <c r="E720" s="48"/>
      <c r="F720" s="48"/>
      <c r="G720" s="48"/>
      <c r="H720" s="48"/>
      <c r="I720" s="43" t="str">
        <f aca="false">IF('Calendario H'!I20="","",'Calendario H'!I20)</f>
        <v>H01</v>
      </c>
      <c r="J720" s="137"/>
      <c r="K720" s="137"/>
      <c r="L720" s="137"/>
      <c r="M720" s="137"/>
      <c r="N720" s="137"/>
      <c r="O720" s="137"/>
      <c r="P720" s="137"/>
      <c r="Q720" s="137"/>
      <c r="R720" s="137"/>
    </row>
    <row r="722" customFormat="false" ht="19.5" hidden="false" customHeight="true" outlineLevel="0" collapsed="false">
      <c r="A722" s="81" t="str">
        <f aca="false">IF('Calendario H'!A22="","",'Calendario H'!A22)</f>
        <v>2H</v>
      </c>
      <c r="B722" s="82" t="str">
        <f aca="false">IF('Calendario H'!B22="","",'Calendario H'!B22)</f>
        <v>GIORNATA II - GIRONE H</v>
      </c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152" t="s">
        <v>537</v>
      </c>
      <c r="N722" s="152"/>
      <c r="O722" s="152"/>
      <c r="P722" s="152" t="s">
        <v>538</v>
      </c>
      <c r="Q722" s="152"/>
      <c r="R722" s="152"/>
    </row>
    <row r="723" customFormat="false" ht="13.5" hidden="false" customHeight="true" outlineLevel="0" collapsed="false">
      <c r="A723" s="83" t="s">
        <v>334</v>
      </c>
      <c r="B723" s="83" t="s">
        <v>317</v>
      </c>
      <c r="C723" s="83"/>
      <c r="D723" s="83" t="s">
        <v>324</v>
      </c>
      <c r="E723" s="83"/>
      <c r="F723" s="83" t="s">
        <v>335</v>
      </c>
      <c r="G723" s="83" t="s">
        <v>336</v>
      </c>
      <c r="H723" s="83" t="s">
        <v>337</v>
      </c>
      <c r="I723" s="83"/>
      <c r="J723" s="83" t="s">
        <v>338</v>
      </c>
      <c r="K723" s="83"/>
      <c r="L723" s="83"/>
      <c r="M723" s="153" t="s">
        <v>539</v>
      </c>
      <c r="N723" s="153" t="s">
        <v>540</v>
      </c>
      <c r="O723" s="153" t="s">
        <v>541</v>
      </c>
      <c r="P723" s="153" t="s">
        <v>542</v>
      </c>
      <c r="Q723" s="153" t="s">
        <v>543</v>
      </c>
      <c r="R723" s="153" t="s">
        <v>544</v>
      </c>
    </row>
    <row r="724" customFormat="false" ht="21.75" hidden="false" customHeight="true" outlineLevel="0" collapsed="false">
      <c r="A724" s="84" t="n">
        <f aca="false">IF('Calendario H'!A24="","",'Calendario H'!A24)</f>
        <v>201</v>
      </c>
      <c r="B724" s="42" t="str">
        <f aca="false">IF('Calendario H'!B24="","",'Calendario H'!B24)</f>
        <v>Castori Cocciuti</v>
      </c>
      <c r="C724" s="43" t="str">
        <f aca="false">IF('Calendario H'!C24="","",'Calendario H'!C24)</f>
        <v>H07</v>
      </c>
      <c r="D724" s="42" t="str">
        <f aca="false">IF('Calendario H'!D24="","",'Calendario H'!D24)</f>
        <v>Tartarughe Testarde</v>
      </c>
      <c r="E724" s="43" t="str">
        <f aca="false">IF('Calendario H'!E24="","",'Calendario H'!E24)</f>
        <v>H01</v>
      </c>
      <c r="F724" s="44" t="n">
        <f aca="false">IF('Calendario H'!F24="","",'Calendario H'!F24)</f>
        <v>46334.3958333333</v>
      </c>
      <c r="G724" s="44"/>
      <c r="H724" s="44"/>
      <c r="I724" s="44"/>
      <c r="J724" s="137" t="n">
        <f aca="false">IF('Calendario H'!J24="","",'Calendario H'!J24)</f>
        <v>53</v>
      </c>
      <c r="K724" s="138" t="s">
        <v>339</v>
      </c>
      <c r="L724" s="137" t="n">
        <f aca="false">IF('Calendario H'!L24="","",'Calendario H'!L24)</f>
        <v>56</v>
      </c>
      <c r="M724" s="139"/>
      <c r="N724" s="139"/>
      <c r="O724" s="139"/>
      <c r="P724" s="139"/>
      <c r="Q724" s="139"/>
      <c r="R724" s="139"/>
    </row>
    <row r="725" customFormat="false" ht="15" hidden="false" customHeight="true" outlineLevel="0" collapsed="false">
      <c r="A725" s="84"/>
      <c r="B725" s="48" t="str">
        <f aca="false">IF('Calendario H'!B25="","",'Calendario H'!B25)</f>
        <v>PalaUrubu, Via dello Sport 18, Urubuopoli UU</v>
      </c>
      <c r="C725" s="48"/>
      <c r="D725" s="48"/>
      <c r="E725" s="48"/>
      <c r="F725" s="48"/>
      <c r="G725" s="48"/>
      <c r="H725" s="48"/>
      <c r="I725" s="43" t="str">
        <f aca="false">IF('Calendario H'!I25="","",'Calendario H'!I25)</f>
        <v>H02</v>
      </c>
      <c r="J725" s="137"/>
      <c r="K725" s="137"/>
      <c r="L725" s="137"/>
      <c r="M725" s="137"/>
      <c r="N725" s="137"/>
      <c r="O725" s="137"/>
      <c r="P725" s="137"/>
      <c r="Q725" s="137"/>
      <c r="R725" s="137"/>
    </row>
    <row r="726" customFormat="false" ht="13.5" hidden="false" customHeight="true" outlineLevel="0" collapsed="false">
      <c r="A726" s="83" t="s">
        <v>334</v>
      </c>
      <c r="B726" s="83" t="s">
        <v>317</v>
      </c>
      <c r="C726" s="83"/>
      <c r="D726" s="83" t="s">
        <v>324</v>
      </c>
      <c r="E726" s="83"/>
      <c r="F726" s="83" t="s">
        <v>335</v>
      </c>
      <c r="G726" s="83" t="s">
        <v>336</v>
      </c>
      <c r="H726" s="83" t="s">
        <v>337</v>
      </c>
      <c r="I726" s="83"/>
      <c r="J726" s="83" t="s">
        <v>338</v>
      </c>
      <c r="K726" s="83"/>
      <c r="L726" s="83"/>
      <c r="M726" s="153" t="s">
        <v>539</v>
      </c>
      <c r="N726" s="153" t="s">
        <v>540</v>
      </c>
      <c r="O726" s="153" t="s">
        <v>541</v>
      </c>
      <c r="P726" s="153" t="s">
        <v>542</v>
      </c>
      <c r="Q726" s="153" t="s">
        <v>543</v>
      </c>
      <c r="R726" s="153" t="s">
        <v>544</v>
      </c>
    </row>
    <row r="727" customFormat="false" ht="21.75" hidden="false" customHeight="true" outlineLevel="0" collapsed="false">
      <c r="A727" s="84" t="n">
        <f aca="false">IF('Calendario H'!A27="","",'Calendario H'!A27)</f>
        <v>202</v>
      </c>
      <c r="B727" s="42" t="str">
        <f aca="false">IF('Calendario H'!B27="","",'Calendario H'!B27)</f>
        <v>Draghi Dinamici</v>
      </c>
      <c r="C727" s="43" t="str">
        <f aca="false">IF('Calendario H'!C27="","",'Calendario H'!C27)</f>
        <v>H08</v>
      </c>
      <c r="D727" s="42" t="str">
        <f aca="false">IF('Calendario H'!D27="","",'Calendario H'!D27)</f>
        <v>Bradipi Brillanti</v>
      </c>
      <c r="E727" s="43" t="str">
        <f aca="false">IF('Calendario H'!E27="","",'Calendario H'!E27)</f>
        <v>H06</v>
      </c>
      <c r="F727" s="44" t="n">
        <f aca="false">IF('Calendario H'!F27="","",'Calendario H'!F27)</f>
        <v>46334.4791666667</v>
      </c>
      <c r="G727" s="44"/>
      <c r="H727" s="44"/>
      <c r="I727" s="44"/>
      <c r="J727" s="137" t="n">
        <f aca="false">IF('Calendario H'!J27="","",'Calendario H'!J27)</f>
        <v>76</v>
      </c>
      <c r="K727" s="138" t="s">
        <v>339</v>
      </c>
      <c r="L727" s="137" t="n">
        <f aca="false">IF('Calendario H'!L27="","",'Calendario H'!L27)</f>
        <v>61</v>
      </c>
      <c r="M727" s="139"/>
      <c r="N727" s="139"/>
      <c r="O727" s="139"/>
      <c r="P727" s="139"/>
      <c r="Q727" s="139"/>
      <c r="R727" s="139"/>
    </row>
    <row r="728" customFormat="false" ht="15" hidden="false" customHeight="true" outlineLevel="0" collapsed="false">
      <c r="A728" s="84"/>
      <c r="B728" s="48" t="str">
        <f aca="false">IF('Calendario H'!B28="","",'Calendario H'!B28)</f>
        <v>PalaUrubu, Via dello Sport 18, Urubuopoli UU</v>
      </c>
      <c r="C728" s="48"/>
      <c r="D728" s="48"/>
      <c r="E728" s="48"/>
      <c r="F728" s="48"/>
      <c r="G728" s="48"/>
      <c r="H728" s="48"/>
      <c r="I728" s="43" t="str">
        <f aca="false">IF('Calendario H'!I28="","",'Calendario H'!I28)</f>
        <v>H02</v>
      </c>
      <c r="J728" s="137"/>
      <c r="K728" s="137"/>
      <c r="L728" s="137"/>
      <c r="M728" s="137"/>
      <c r="N728" s="137"/>
      <c r="O728" s="137"/>
      <c r="P728" s="137"/>
      <c r="Q728" s="137"/>
      <c r="R728" s="137"/>
    </row>
    <row r="729" customFormat="false" ht="13.5" hidden="false" customHeight="true" outlineLevel="0" collapsed="false">
      <c r="A729" s="83" t="s">
        <v>334</v>
      </c>
      <c r="B729" s="83" t="s">
        <v>317</v>
      </c>
      <c r="C729" s="83"/>
      <c r="D729" s="83" t="s">
        <v>324</v>
      </c>
      <c r="E729" s="83"/>
      <c r="F729" s="83" t="s">
        <v>335</v>
      </c>
      <c r="G729" s="83" t="s">
        <v>336</v>
      </c>
      <c r="H729" s="83" t="s">
        <v>337</v>
      </c>
      <c r="I729" s="83"/>
      <c r="J729" s="83" t="s">
        <v>338</v>
      </c>
      <c r="K729" s="83"/>
      <c r="L729" s="83"/>
      <c r="M729" s="153" t="s">
        <v>539</v>
      </c>
      <c r="N729" s="153" t="s">
        <v>540</v>
      </c>
      <c r="O729" s="153" t="s">
        <v>541</v>
      </c>
      <c r="P729" s="153" t="s">
        <v>542</v>
      </c>
      <c r="Q729" s="153" t="s">
        <v>543</v>
      </c>
      <c r="R729" s="153" t="s">
        <v>544</v>
      </c>
    </row>
    <row r="730" customFormat="false" ht="21.75" hidden="false" customHeight="true" outlineLevel="0" collapsed="false">
      <c r="A730" s="84" t="n">
        <f aca="false">IF('Calendario H'!A30="","",'Calendario H'!A30)</f>
        <v>203</v>
      </c>
      <c r="B730" s="42" t="str">
        <f aca="false">IF('Calendario H'!B30="","",'Calendario H'!B30)</f>
        <v>Aquile Audaci</v>
      </c>
      <c r="C730" s="43" t="str">
        <f aca="false">IF('Calendario H'!C30="","",'Calendario H'!C30)</f>
        <v>H05</v>
      </c>
      <c r="D730" s="42" t="str">
        <f aca="false">IF('Calendario H'!D30="","",'Calendario H'!D30)</f>
        <v>Urubu Urlanti</v>
      </c>
      <c r="E730" s="43" t="str">
        <f aca="false">IF('Calendario H'!E30="","",'Calendario H'!E30)</f>
        <v>H02</v>
      </c>
      <c r="F730" s="44" t="n">
        <f aca="false">IF('Calendario H'!F30="","",'Calendario H'!F30)</f>
        <v>46334.625</v>
      </c>
      <c r="G730" s="44"/>
      <c r="H730" s="44"/>
      <c r="I730" s="44"/>
      <c r="J730" s="137" t="n">
        <f aca="false">IF('Calendario H'!J30="","",'Calendario H'!J30)</f>
        <v>53</v>
      </c>
      <c r="K730" s="138" t="s">
        <v>339</v>
      </c>
      <c r="L730" s="137" t="n">
        <f aca="false">IF('Calendario H'!L30="","",'Calendario H'!L30)</f>
        <v>56</v>
      </c>
      <c r="M730" s="139"/>
      <c r="N730" s="139"/>
      <c r="O730" s="139"/>
      <c r="P730" s="139"/>
      <c r="Q730" s="139"/>
      <c r="R730" s="139"/>
    </row>
    <row r="731" customFormat="false" ht="15" hidden="false" customHeight="true" outlineLevel="0" collapsed="false">
      <c r="A731" s="84"/>
      <c r="B731" s="48" t="str">
        <f aca="false">IF('Calendario H'!B31="","",'Calendario H'!B31)</f>
        <v>PalaUrubu, Via dello Sport 18, Urubuopoli UU</v>
      </c>
      <c r="C731" s="48"/>
      <c r="D731" s="48"/>
      <c r="E731" s="48"/>
      <c r="F731" s="48"/>
      <c r="G731" s="48"/>
      <c r="H731" s="48"/>
      <c r="I731" s="43" t="str">
        <f aca="false">IF('Calendario H'!I31="","",'Calendario H'!I31)</f>
        <v>H02</v>
      </c>
      <c r="J731" s="137"/>
      <c r="K731" s="137"/>
      <c r="L731" s="137"/>
      <c r="M731" s="137"/>
      <c r="N731" s="137"/>
      <c r="O731" s="137"/>
      <c r="P731" s="137"/>
      <c r="Q731" s="137"/>
      <c r="R731" s="137"/>
    </row>
    <row r="732" customFormat="false" ht="13.5" hidden="false" customHeight="true" outlineLevel="0" collapsed="false">
      <c r="A732" s="83" t="s">
        <v>334</v>
      </c>
      <c r="B732" s="83" t="s">
        <v>317</v>
      </c>
      <c r="C732" s="83"/>
      <c r="D732" s="83" t="s">
        <v>324</v>
      </c>
      <c r="E732" s="83"/>
      <c r="F732" s="83" t="s">
        <v>335</v>
      </c>
      <c r="G732" s="83" t="s">
        <v>336</v>
      </c>
      <c r="H732" s="83" t="s">
        <v>337</v>
      </c>
      <c r="I732" s="83"/>
      <c r="J732" s="83" t="s">
        <v>338</v>
      </c>
      <c r="K732" s="83"/>
      <c r="L732" s="83"/>
      <c r="M732" s="153" t="s">
        <v>539</v>
      </c>
      <c r="N732" s="153" t="s">
        <v>540</v>
      </c>
      <c r="O732" s="153" t="s">
        <v>541</v>
      </c>
      <c r="P732" s="153" t="s">
        <v>542</v>
      </c>
      <c r="Q732" s="153" t="s">
        <v>543</v>
      </c>
      <c r="R732" s="153" t="s">
        <v>544</v>
      </c>
    </row>
    <row r="733" customFormat="false" ht="21.75" hidden="false" customHeight="true" outlineLevel="0" collapsed="false">
      <c r="A733" s="84" t="n">
        <f aca="false">IF('Calendario H'!A33="","",'Calendario H'!A33)</f>
        <v>204</v>
      </c>
      <c r="B733" s="42" t="str">
        <f aca="false">IF('Calendario H'!B33="","",'Calendario H'!B33)</f>
        <v>Visoni Vigorosi</v>
      </c>
      <c r="C733" s="43" t="str">
        <f aca="false">IF('Calendario H'!C33="","",'Calendario H'!C33)</f>
        <v>H03</v>
      </c>
      <c r="D733" s="42" t="str">
        <f aca="false">IF('Calendario H'!D33="","",'Calendario H'!D33)</f>
        <v>Zanzare Zampettanti</v>
      </c>
      <c r="E733" s="43" t="str">
        <f aca="false">IF('Calendario H'!E33="","",'Calendario H'!E33)</f>
        <v>H04</v>
      </c>
      <c r="F733" s="44" t="n">
        <f aca="false">IF('Calendario H'!F33="","",'Calendario H'!F33)</f>
        <v>46334.7083333333</v>
      </c>
      <c r="G733" s="44"/>
      <c r="H733" s="44"/>
      <c r="I733" s="44"/>
      <c r="J733" s="137" t="n">
        <f aca="false">IF('Calendario H'!J33="","",'Calendario H'!J33)</f>
        <v>59</v>
      </c>
      <c r="K733" s="138" t="s">
        <v>339</v>
      </c>
      <c r="L733" s="137" t="n">
        <f aca="false">IF('Calendario H'!L33="","",'Calendario H'!L33)</f>
        <v>67</v>
      </c>
      <c r="M733" s="139"/>
      <c r="N733" s="139"/>
      <c r="O733" s="139"/>
      <c r="P733" s="139"/>
      <c r="Q733" s="139"/>
      <c r="R733" s="139"/>
    </row>
    <row r="734" customFormat="false" ht="15" hidden="false" customHeight="true" outlineLevel="0" collapsed="false">
      <c r="A734" s="84"/>
      <c r="B734" s="48" t="str">
        <f aca="false">IF('Calendario H'!B34="","",'Calendario H'!B34)</f>
        <v>PalaUrubu, Via dello Sport 18, Urubuopoli UU</v>
      </c>
      <c r="C734" s="48"/>
      <c r="D734" s="48"/>
      <c r="E734" s="48"/>
      <c r="F734" s="48"/>
      <c r="G734" s="48"/>
      <c r="H734" s="48"/>
      <c r="I734" s="43" t="str">
        <f aca="false">IF('Calendario H'!I34="","",'Calendario H'!I34)</f>
        <v>H02</v>
      </c>
      <c r="J734" s="137"/>
      <c r="K734" s="137"/>
      <c r="L734" s="137"/>
      <c r="M734" s="137"/>
      <c r="N734" s="137"/>
      <c r="O734" s="137"/>
      <c r="P734" s="137"/>
      <c r="Q734" s="137"/>
      <c r="R734" s="137"/>
    </row>
    <row r="736" customFormat="false" ht="19.5" hidden="false" customHeight="true" outlineLevel="0" collapsed="false">
      <c r="A736" s="81" t="str">
        <f aca="false">IF('Calendario H'!A36="","",'Calendario H'!A36)</f>
        <v>3H</v>
      </c>
      <c r="B736" s="82" t="str">
        <f aca="false">IF('Calendario H'!B36="","",'Calendario H'!B36)</f>
        <v>GIORNATA III - GIRONE H</v>
      </c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152" t="s">
        <v>537</v>
      </c>
      <c r="N736" s="152"/>
      <c r="O736" s="152"/>
      <c r="P736" s="152" t="s">
        <v>538</v>
      </c>
      <c r="Q736" s="152"/>
      <c r="R736" s="152"/>
    </row>
    <row r="737" customFormat="false" ht="13.5" hidden="false" customHeight="true" outlineLevel="0" collapsed="false">
      <c r="A737" s="83" t="s">
        <v>334</v>
      </c>
      <c r="B737" s="83" t="s">
        <v>317</v>
      </c>
      <c r="C737" s="83"/>
      <c r="D737" s="83" t="s">
        <v>324</v>
      </c>
      <c r="E737" s="83"/>
      <c r="F737" s="83" t="s">
        <v>335</v>
      </c>
      <c r="G737" s="83" t="s">
        <v>336</v>
      </c>
      <c r="H737" s="83" t="s">
        <v>337</v>
      </c>
      <c r="I737" s="83"/>
      <c r="J737" s="83" t="s">
        <v>338</v>
      </c>
      <c r="K737" s="83"/>
      <c r="L737" s="83"/>
      <c r="M737" s="153" t="s">
        <v>539</v>
      </c>
      <c r="N737" s="153" t="s">
        <v>540</v>
      </c>
      <c r="O737" s="153" t="s">
        <v>541</v>
      </c>
      <c r="P737" s="153" t="s">
        <v>542</v>
      </c>
      <c r="Q737" s="153" t="s">
        <v>543</v>
      </c>
      <c r="R737" s="153" t="s">
        <v>544</v>
      </c>
    </row>
    <row r="738" customFormat="false" ht="21.75" hidden="false" customHeight="true" outlineLevel="0" collapsed="false">
      <c r="A738" s="84" t="n">
        <f aca="false">IF('Calendario H'!A38="","",'Calendario H'!A38)</f>
        <v>205</v>
      </c>
      <c r="B738" s="42" t="str">
        <f aca="false">IF('Calendario H'!B38="","",'Calendario H'!B38)</f>
        <v>Tartarughe Testarde</v>
      </c>
      <c r="C738" s="43" t="str">
        <f aca="false">IF('Calendario H'!C38="","",'Calendario H'!C38)</f>
        <v>H01</v>
      </c>
      <c r="D738" s="42" t="str">
        <f aca="false">IF('Calendario H'!D38="","",'Calendario H'!D38)</f>
        <v>Bradipi Brillanti</v>
      </c>
      <c r="E738" s="43" t="str">
        <f aca="false">IF('Calendario H'!E38="","",'Calendario H'!E38)</f>
        <v>H06</v>
      </c>
      <c r="F738" s="44" t="n">
        <f aca="false">IF('Calendario H'!F38="","",'Calendario H'!F38)</f>
        <v>46355.3958333333</v>
      </c>
      <c r="G738" s="44"/>
      <c r="H738" s="44"/>
      <c r="I738" s="44"/>
      <c r="J738" s="137" t="n">
        <f aca="false">IF('Calendario H'!J38="","",'Calendario H'!J38)</f>
        <v>73</v>
      </c>
      <c r="K738" s="138" t="s">
        <v>339</v>
      </c>
      <c r="L738" s="137" t="n">
        <f aca="false">IF('Calendario H'!L38="","",'Calendario H'!L38)</f>
        <v>56</v>
      </c>
      <c r="M738" s="139"/>
      <c r="N738" s="139"/>
      <c r="O738" s="139"/>
      <c r="P738" s="139"/>
      <c r="Q738" s="139"/>
      <c r="R738" s="139"/>
    </row>
    <row r="739" customFormat="false" ht="15" hidden="false" customHeight="true" outlineLevel="0" collapsed="false">
      <c r="A739" s="84"/>
      <c r="B739" s="48" t="str">
        <f aca="false">IF('Calendario H'!B39="","",'Calendario H'!B39)</f>
        <v>PalaVisoni, Via dello Sport 19, Visoniopoli VI</v>
      </c>
      <c r="C739" s="48"/>
      <c r="D739" s="48"/>
      <c r="E739" s="48"/>
      <c r="F739" s="48"/>
      <c r="G739" s="48"/>
      <c r="H739" s="48"/>
      <c r="I739" s="43" t="str">
        <f aca="false">IF('Calendario H'!I39="","",'Calendario H'!I39)</f>
        <v>H03</v>
      </c>
      <c r="J739" s="137"/>
      <c r="K739" s="137"/>
      <c r="L739" s="137"/>
      <c r="M739" s="137"/>
      <c r="N739" s="137"/>
      <c r="O739" s="137"/>
      <c r="P739" s="137"/>
      <c r="Q739" s="137"/>
      <c r="R739" s="137"/>
    </row>
    <row r="740" customFormat="false" ht="13.5" hidden="false" customHeight="true" outlineLevel="0" collapsed="false">
      <c r="A740" s="83" t="s">
        <v>334</v>
      </c>
      <c r="B740" s="83" t="s">
        <v>317</v>
      </c>
      <c r="C740" s="83"/>
      <c r="D740" s="83" t="s">
        <v>324</v>
      </c>
      <c r="E740" s="83"/>
      <c r="F740" s="83" t="s">
        <v>335</v>
      </c>
      <c r="G740" s="83" t="s">
        <v>336</v>
      </c>
      <c r="H740" s="83" t="s">
        <v>337</v>
      </c>
      <c r="I740" s="83"/>
      <c r="J740" s="83" t="s">
        <v>338</v>
      </c>
      <c r="K740" s="83"/>
      <c r="L740" s="83"/>
      <c r="M740" s="153" t="s">
        <v>539</v>
      </c>
      <c r="N740" s="153" t="s">
        <v>540</v>
      </c>
      <c r="O740" s="153" t="s">
        <v>541</v>
      </c>
      <c r="P740" s="153" t="s">
        <v>542</v>
      </c>
      <c r="Q740" s="153" t="s">
        <v>543</v>
      </c>
      <c r="R740" s="153" t="s">
        <v>544</v>
      </c>
    </row>
    <row r="741" customFormat="false" ht="21.75" hidden="false" customHeight="true" outlineLevel="0" collapsed="false">
      <c r="A741" s="84" t="n">
        <f aca="false">IF('Calendario H'!A41="","",'Calendario H'!A41)</f>
        <v>206</v>
      </c>
      <c r="B741" s="42" t="str">
        <f aca="false">IF('Calendario H'!B41="","",'Calendario H'!B41)</f>
        <v>Aquile Audaci</v>
      </c>
      <c r="C741" s="43" t="str">
        <f aca="false">IF('Calendario H'!C41="","",'Calendario H'!C41)</f>
        <v>H05</v>
      </c>
      <c r="D741" s="42" t="str">
        <f aca="false">IF('Calendario H'!D41="","",'Calendario H'!D41)</f>
        <v>Castori Cocciuti</v>
      </c>
      <c r="E741" s="43" t="str">
        <f aca="false">IF('Calendario H'!E41="","",'Calendario H'!E41)</f>
        <v>H07</v>
      </c>
      <c r="F741" s="44" t="n">
        <f aca="false">IF('Calendario H'!F41="","",'Calendario H'!F41)</f>
        <v>46355.4791666667</v>
      </c>
      <c r="G741" s="44"/>
      <c r="H741" s="44"/>
      <c r="I741" s="44"/>
      <c r="J741" s="137" t="n">
        <f aca="false">IF('Calendario H'!J41="","",'Calendario H'!J41)</f>
        <v>77</v>
      </c>
      <c r="K741" s="138" t="s">
        <v>339</v>
      </c>
      <c r="L741" s="137" t="n">
        <f aca="false">IF('Calendario H'!L41="","",'Calendario H'!L41)</f>
        <v>48</v>
      </c>
      <c r="M741" s="139"/>
      <c r="N741" s="139"/>
      <c r="O741" s="139"/>
      <c r="P741" s="139"/>
      <c r="Q741" s="139"/>
      <c r="R741" s="139"/>
    </row>
    <row r="742" customFormat="false" ht="15" hidden="false" customHeight="true" outlineLevel="0" collapsed="false">
      <c r="A742" s="84"/>
      <c r="B742" s="48" t="str">
        <f aca="false">IF('Calendario H'!B42="","",'Calendario H'!B42)</f>
        <v>PalaVisoni, Via dello Sport 19, Visoniopoli VI</v>
      </c>
      <c r="C742" s="48"/>
      <c r="D742" s="48"/>
      <c r="E742" s="48"/>
      <c r="F742" s="48"/>
      <c r="G742" s="48"/>
      <c r="H742" s="48"/>
      <c r="I742" s="43" t="str">
        <f aca="false">IF('Calendario H'!I42="","",'Calendario H'!I42)</f>
        <v>H03</v>
      </c>
      <c r="J742" s="137"/>
      <c r="K742" s="137"/>
      <c r="L742" s="137"/>
      <c r="M742" s="137"/>
      <c r="N742" s="137"/>
      <c r="O742" s="137"/>
      <c r="P742" s="137"/>
      <c r="Q742" s="137"/>
      <c r="R742" s="137"/>
    </row>
    <row r="743" customFormat="false" ht="13.5" hidden="false" customHeight="true" outlineLevel="0" collapsed="false">
      <c r="A743" s="83" t="s">
        <v>334</v>
      </c>
      <c r="B743" s="83" t="s">
        <v>317</v>
      </c>
      <c r="C743" s="83"/>
      <c r="D743" s="83" t="s">
        <v>324</v>
      </c>
      <c r="E743" s="83"/>
      <c r="F743" s="83" t="s">
        <v>335</v>
      </c>
      <c r="G743" s="83" t="s">
        <v>336</v>
      </c>
      <c r="H743" s="83" t="s">
        <v>337</v>
      </c>
      <c r="I743" s="83"/>
      <c r="J743" s="83" t="s">
        <v>338</v>
      </c>
      <c r="K743" s="83"/>
      <c r="L743" s="83"/>
      <c r="M743" s="153" t="s">
        <v>539</v>
      </c>
      <c r="N743" s="153" t="s">
        <v>540</v>
      </c>
      <c r="O743" s="153" t="s">
        <v>541</v>
      </c>
      <c r="P743" s="153" t="s">
        <v>542</v>
      </c>
      <c r="Q743" s="153" t="s">
        <v>543</v>
      </c>
      <c r="R743" s="153" t="s">
        <v>544</v>
      </c>
    </row>
    <row r="744" customFormat="false" ht="21.75" hidden="false" customHeight="true" outlineLevel="0" collapsed="false">
      <c r="A744" s="84" t="n">
        <f aca="false">IF('Calendario H'!A44="","",'Calendario H'!A44)</f>
        <v>207</v>
      </c>
      <c r="B744" s="42" t="str">
        <f aca="false">IF('Calendario H'!B44="","",'Calendario H'!B44)</f>
        <v>Draghi Dinamici</v>
      </c>
      <c r="C744" s="43" t="str">
        <f aca="false">IF('Calendario H'!C44="","",'Calendario H'!C44)</f>
        <v>H08</v>
      </c>
      <c r="D744" s="42" t="str">
        <f aca="false">IF('Calendario H'!D44="","",'Calendario H'!D44)</f>
        <v>Zanzare Zampettanti</v>
      </c>
      <c r="E744" s="43" t="str">
        <f aca="false">IF('Calendario H'!E44="","",'Calendario H'!E44)</f>
        <v>H04</v>
      </c>
      <c r="F744" s="44" t="n">
        <f aca="false">IF('Calendario H'!F44="","",'Calendario H'!F44)</f>
        <v>46355.625</v>
      </c>
      <c r="G744" s="44"/>
      <c r="H744" s="44"/>
      <c r="I744" s="44"/>
      <c r="J744" s="137" t="n">
        <f aca="false">IF('Calendario H'!J44="","",'Calendario H'!J44)</f>
        <v>51</v>
      </c>
      <c r="K744" s="138" t="s">
        <v>339</v>
      </c>
      <c r="L744" s="137" t="n">
        <f aca="false">IF('Calendario H'!L44="","",'Calendario H'!L44)</f>
        <v>65</v>
      </c>
      <c r="M744" s="139"/>
      <c r="N744" s="139"/>
      <c r="O744" s="139"/>
      <c r="P744" s="139"/>
      <c r="Q744" s="139"/>
      <c r="R744" s="139"/>
    </row>
    <row r="745" customFormat="false" ht="15" hidden="false" customHeight="true" outlineLevel="0" collapsed="false">
      <c r="A745" s="84"/>
      <c r="B745" s="48" t="str">
        <f aca="false">IF('Calendario H'!B45="","",'Calendario H'!B45)</f>
        <v>PalaVisoni, Via dello Sport 19, Visoniopoli VI</v>
      </c>
      <c r="C745" s="48"/>
      <c r="D745" s="48"/>
      <c r="E745" s="48"/>
      <c r="F745" s="48"/>
      <c r="G745" s="48"/>
      <c r="H745" s="48"/>
      <c r="I745" s="43" t="str">
        <f aca="false">IF('Calendario H'!I45="","",'Calendario H'!I45)</f>
        <v>H03</v>
      </c>
      <c r="J745" s="137"/>
      <c r="K745" s="137"/>
      <c r="L745" s="137"/>
      <c r="M745" s="137"/>
      <c r="N745" s="137"/>
      <c r="O745" s="137"/>
      <c r="P745" s="137"/>
      <c r="Q745" s="137"/>
      <c r="R745" s="137"/>
    </row>
    <row r="746" customFormat="false" ht="13.5" hidden="false" customHeight="true" outlineLevel="0" collapsed="false">
      <c r="A746" s="83" t="s">
        <v>334</v>
      </c>
      <c r="B746" s="83" t="s">
        <v>317</v>
      </c>
      <c r="C746" s="83"/>
      <c r="D746" s="83" t="s">
        <v>324</v>
      </c>
      <c r="E746" s="83"/>
      <c r="F746" s="83" t="s">
        <v>335</v>
      </c>
      <c r="G746" s="83" t="s">
        <v>336</v>
      </c>
      <c r="H746" s="83" t="s">
        <v>337</v>
      </c>
      <c r="I746" s="83"/>
      <c r="J746" s="83" t="s">
        <v>338</v>
      </c>
      <c r="K746" s="83"/>
      <c r="L746" s="83"/>
      <c r="M746" s="153" t="s">
        <v>539</v>
      </c>
      <c r="N746" s="153" t="s">
        <v>540</v>
      </c>
      <c r="O746" s="153" t="s">
        <v>541</v>
      </c>
      <c r="P746" s="153" t="s">
        <v>542</v>
      </c>
      <c r="Q746" s="153" t="s">
        <v>543</v>
      </c>
      <c r="R746" s="153" t="s">
        <v>544</v>
      </c>
    </row>
    <row r="747" customFormat="false" ht="21.75" hidden="false" customHeight="true" outlineLevel="0" collapsed="false">
      <c r="A747" s="84" t="n">
        <f aca="false">IF('Calendario H'!A47="","",'Calendario H'!A47)</f>
        <v>208</v>
      </c>
      <c r="B747" s="42" t="str">
        <f aca="false">IF('Calendario H'!B47="","",'Calendario H'!B47)</f>
        <v>Visoni Vigorosi</v>
      </c>
      <c r="C747" s="43" t="str">
        <f aca="false">IF('Calendario H'!C47="","",'Calendario H'!C47)</f>
        <v>H03</v>
      </c>
      <c r="D747" s="42" t="str">
        <f aca="false">IF('Calendario H'!D47="","",'Calendario H'!D47)</f>
        <v>Urubu Urlanti</v>
      </c>
      <c r="E747" s="43" t="str">
        <f aca="false">IF('Calendario H'!E47="","",'Calendario H'!E47)</f>
        <v>H02</v>
      </c>
      <c r="F747" s="44" t="n">
        <f aca="false">IF('Calendario H'!F47="","",'Calendario H'!F47)</f>
        <v>46355.7083333333</v>
      </c>
      <c r="G747" s="44"/>
      <c r="H747" s="44"/>
      <c r="I747" s="44"/>
      <c r="J747" s="137" t="n">
        <f aca="false">IF('Calendario H'!J47="","",'Calendario H'!J47)</f>
        <v>38</v>
      </c>
      <c r="K747" s="138" t="s">
        <v>339</v>
      </c>
      <c r="L747" s="137" t="n">
        <f aca="false">IF('Calendario H'!L47="","",'Calendario H'!L47)</f>
        <v>74</v>
      </c>
      <c r="M747" s="139"/>
      <c r="N747" s="139"/>
      <c r="O747" s="139"/>
      <c r="P747" s="139"/>
      <c r="Q747" s="139"/>
      <c r="R747" s="139"/>
    </row>
    <row r="748" customFormat="false" ht="15" hidden="false" customHeight="true" outlineLevel="0" collapsed="false">
      <c r="A748" s="84"/>
      <c r="B748" s="48" t="str">
        <f aca="false">IF('Calendario H'!B48="","",'Calendario H'!B48)</f>
        <v>PalaVisoni, Via dello Sport 19, Visoniopoli VI</v>
      </c>
      <c r="C748" s="48"/>
      <c r="D748" s="48"/>
      <c r="E748" s="48"/>
      <c r="F748" s="48"/>
      <c r="G748" s="48"/>
      <c r="H748" s="48"/>
      <c r="I748" s="43" t="str">
        <f aca="false">IF('Calendario H'!I48="","",'Calendario H'!I48)</f>
        <v>H03</v>
      </c>
      <c r="J748" s="137"/>
      <c r="K748" s="137"/>
      <c r="L748" s="137"/>
      <c r="M748" s="137"/>
      <c r="N748" s="137"/>
      <c r="O748" s="137"/>
      <c r="P748" s="137"/>
      <c r="Q748" s="137"/>
      <c r="R748" s="137"/>
    </row>
    <row r="750" customFormat="false" ht="19.5" hidden="false" customHeight="true" outlineLevel="0" collapsed="false">
      <c r="A750" s="81" t="str">
        <f aca="false">IF('Calendario H'!A50="","",'Calendario H'!A50)</f>
        <v>4H</v>
      </c>
      <c r="B750" s="82" t="str">
        <f aca="false">IF('Calendario H'!B50="","",'Calendario H'!B50)</f>
        <v>GIORNATA IV - GIRONE H</v>
      </c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152" t="s">
        <v>537</v>
      </c>
      <c r="N750" s="152"/>
      <c r="O750" s="152"/>
      <c r="P750" s="152" t="s">
        <v>538</v>
      </c>
      <c r="Q750" s="152"/>
      <c r="R750" s="152"/>
    </row>
    <row r="751" customFormat="false" ht="13.5" hidden="false" customHeight="true" outlineLevel="0" collapsed="false">
      <c r="A751" s="83" t="s">
        <v>334</v>
      </c>
      <c r="B751" s="83" t="s">
        <v>317</v>
      </c>
      <c r="C751" s="83"/>
      <c r="D751" s="83" t="s">
        <v>324</v>
      </c>
      <c r="E751" s="83"/>
      <c r="F751" s="83" t="s">
        <v>335</v>
      </c>
      <c r="G751" s="83" t="s">
        <v>336</v>
      </c>
      <c r="H751" s="83" t="s">
        <v>337</v>
      </c>
      <c r="I751" s="83"/>
      <c r="J751" s="83" t="s">
        <v>338</v>
      </c>
      <c r="K751" s="83"/>
      <c r="L751" s="83"/>
      <c r="M751" s="153" t="s">
        <v>539</v>
      </c>
      <c r="N751" s="153" t="s">
        <v>540</v>
      </c>
      <c r="O751" s="153" t="s">
        <v>541</v>
      </c>
      <c r="P751" s="153" t="s">
        <v>542</v>
      </c>
      <c r="Q751" s="153" t="s">
        <v>543</v>
      </c>
      <c r="R751" s="153" t="s">
        <v>544</v>
      </c>
    </row>
    <row r="752" customFormat="false" ht="21.75" hidden="false" customHeight="true" outlineLevel="0" collapsed="false">
      <c r="A752" s="84" t="n">
        <f aca="false">IF('Calendario H'!A52="","",'Calendario H'!A52)</f>
        <v>209</v>
      </c>
      <c r="B752" s="42" t="str">
        <f aca="false">IF('Calendario H'!B52="","",'Calendario H'!B52)</f>
        <v>Aquile Audaci</v>
      </c>
      <c r="C752" s="43" t="str">
        <f aca="false">IF('Calendario H'!C52="","",'Calendario H'!C52)</f>
        <v>H05</v>
      </c>
      <c r="D752" s="42" t="str">
        <f aca="false">IF('Calendario H'!D52="","",'Calendario H'!D52)</f>
        <v>Tartarughe Testarde</v>
      </c>
      <c r="E752" s="43" t="str">
        <f aca="false">IF('Calendario H'!E52="","",'Calendario H'!E52)</f>
        <v>H01</v>
      </c>
      <c r="F752" s="44" t="n">
        <f aca="false">IF('Calendario H'!F52="","",'Calendario H'!F52)</f>
        <v>46369.3958333333</v>
      </c>
      <c r="G752" s="44"/>
      <c r="H752" s="44"/>
      <c r="I752" s="44"/>
      <c r="J752" s="137" t="n">
        <f aca="false">IF('Calendario H'!J52="","",'Calendario H'!J52)</f>
        <v>46</v>
      </c>
      <c r="K752" s="138" t="s">
        <v>339</v>
      </c>
      <c r="L752" s="137" t="n">
        <f aca="false">IF('Calendario H'!L52="","",'Calendario H'!L52)</f>
        <v>65</v>
      </c>
      <c r="M752" s="139"/>
      <c r="N752" s="139"/>
      <c r="O752" s="139"/>
      <c r="P752" s="139"/>
      <c r="Q752" s="139"/>
      <c r="R752" s="139"/>
    </row>
    <row r="753" customFormat="false" ht="15" hidden="false" customHeight="true" outlineLevel="0" collapsed="false">
      <c r="A753" s="84"/>
      <c r="B753" s="48" t="str">
        <f aca="false">IF('Calendario H'!B53="","",'Calendario H'!B53)</f>
        <v>PalaZanzare, Via dello Sport 20, Zanzareopoli ZE</v>
      </c>
      <c r="C753" s="48"/>
      <c r="D753" s="48"/>
      <c r="E753" s="48"/>
      <c r="F753" s="48"/>
      <c r="G753" s="48"/>
      <c r="H753" s="48"/>
      <c r="I753" s="43" t="str">
        <f aca="false">IF('Calendario H'!I53="","",'Calendario H'!I53)</f>
        <v>H04</v>
      </c>
      <c r="J753" s="137"/>
      <c r="K753" s="137"/>
      <c r="L753" s="137"/>
      <c r="M753" s="137"/>
      <c r="N753" s="137"/>
      <c r="O753" s="137"/>
      <c r="P753" s="137"/>
      <c r="Q753" s="137"/>
      <c r="R753" s="137"/>
    </row>
    <row r="754" customFormat="false" ht="13.5" hidden="false" customHeight="true" outlineLevel="0" collapsed="false">
      <c r="A754" s="83" t="s">
        <v>334</v>
      </c>
      <c r="B754" s="83" t="s">
        <v>317</v>
      </c>
      <c r="C754" s="83"/>
      <c r="D754" s="83" t="s">
        <v>324</v>
      </c>
      <c r="E754" s="83"/>
      <c r="F754" s="83" t="s">
        <v>335</v>
      </c>
      <c r="G754" s="83" t="s">
        <v>336</v>
      </c>
      <c r="H754" s="83" t="s">
        <v>337</v>
      </c>
      <c r="I754" s="83"/>
      <c r="J754" s="83" t="s">
        <v>338</v>
      </c>
      <c r="K754" s="83"/>
      <c r="L754" s="83"/>
      <c r="M754" s="153" t="s">
        <v>539</v>
      </c>
      <c r="N754" s="153" t="s">
        <v>540</v>
      </c>
      <c r="O754" s="153" t="s">
        <v>541</v>
      </c>
      <c r="P754" s="153" t="s">
        <v>542</v>
      </c>
      <c r="Q754" s="153" t="s">
        <v>543</v>
      </c>
      <c r="R754" s="153" t="s">
        <v>544</v>
      </c>
    </row>
    <row r="755" customFormat="false" ht="21.75" hidden="false" customHeight="true" outlineLevel="0" collapsed="false">
      <c r="A755" s="84" t="n">
        <f aca="false">IF('Calendario H'!A55="","",'Calendario H'!A55)</f>
        <v>210</v>
      </c>
      <c r="B755" s="42" t="str">
        <f aca="false">IF('Calendario H'!B55="","",'Calendario H'!B55)</f>
        <v>Bradipi Brillanti</v>
      </c>
      <c r="C755" s="43" t="str">
        <f aca="false">IF('Calendario H'!C55="","",'Calendario H'!C55)</f>
        <v>H06</v>
      </c>
      <c r="D755" s="42" t="str">
        <f aca="false">IF('Calendario H'!D55="","",'Calendario H'!D55)</f>
        <v>Zanzare Zampettanti</v>
      </c>
      <c r="E755" s="43" t="str">
        <f aca="false">IF('Calendario H'!E55="","",'Calendario H'!E55)</f>
        <v>H04</v>
      </c>
      <c r="F755" s="44" t="n">
        <f aca="false">IF('Calendario H'!F55="","",'Calendario H'!F55)</f>
        <v>46369.4791666667</v>
      </c>
      <c r="G755" s="44"/>
      <c r="H755" s="44"/>
      <c r="I755" s="44"/>
      <c r="J755" s="137" t="n">
        <f aca="false">IF('Calendario H'!J55="","",'Calendario H'!J55)</f>
        <v>51</v>
      </c>
      <c r="K755" s="138" t="s">
        <v>339</v>
      </c>
      <c r="L755" s="137" t="n">
        <f aca="false">IF('Calendario H'!L55="","",'Calendario H'!L55)</f>
        <v>76</v>
      </c>
      <c r="M755" s="139"/>
      <c r="N755" s="139"/>
      <c r="O755" s="139"/>
      <c r="P755" s="139"/>
      <c r="Q755" s="139"/>
      <c r="R755" s="139"/>
    </row>
    <row r="756" customFormat="false" ht="15" hidden="false" customHeight="true" outlineLevel="0" collapsed="false">
      <c r="A756" s="84"/>
      <c r="B756" s="48" t="str">
        <f aca="false">IF('Calendario H'!B56="","",'Calendario H'!B56)</f>
        <v>PalaZanzare, Via dello Sport 20, Zanzareopoli ZE</v>
      </c>
      <c r="C756" s="48"/>
      <c r="D756" s="48"/>
      <c r="E756" s="48"/>
      <c r="F756" s="48"/>
      <c r="G756" s="48"/>
      <c r="H756" s="48"/>
      <c r="I756" s="43" t="str">
        <f aca="false">IF('Calendario H'!I56="","",'Calendario H'!I56)</f>
        <v>H04</v>
      </c>
      <c r="J756" s="137"/>
      <c r="K756" s="137"/>
      <c r="L756" s="137"/>
      <c r="M756" s="137"/>
      <c r="N756" s="137"/>
      <c r="O756" s="137"/>
      <c r="P756" s="137"/>
      <c r="Q756" s="137"/>
      <c r="R756" s="137"/>
    </row>
    <row r="757" customFormat="false" ht="13.5" hidden="false" customHeight="true" outlineLevel="0" collapsed="false">
      <c r="A757" s="83" t="s">
        <v>334</v>
      </c>
      <c r="B757" s="83" t="s">
        <v>317</v>
      </c>
      <c r="C757" s="83"/>
      <c r="D757" s="83" t="s">
        <v>324</v>
      </c>
      <c r="E757" s="83"/>
      <c r="F757" s="83" t="s">
        <v>335</v>
      </c>
      <c r="G757" s="83" t="s">
        <v>336</v>
      </c>
      <c r="H757" s="83" t="s">
        <v>337</v>
      </c>
      <c r="I757" s="83"/>
      <c r="J757" s="83" t="s">
        <v>338</v>
      </c>
      <c r="K757" s="83"/>
      <c r="L757" s="83"/>
      <c r="M757" s="153" t="s">
        <v>539</v>
      </c>
      <c r="N757" s="153" t="s">
        <v>540</v>
      </c>
      <c r="O757" s="153" t="s">
        <v>541</v>
      </c>
      <c r="P757" s="153" t="s">
        <v>542</v>
      </c>
      <c r="Q757" s="153" t="s">
        <v>543</v>
      </c>
      <c r="R757" s="153" t="s">
        <v>544</v>
      </c>
    </row>
    <row r="758" customFormat="false" ht="21.75" hidden="false" customHeight="true" outlineLevel="0" collapsed="false">
      <c r="A758" s="84" t="n">
        <f aca="false">IF('Calendario H'!A58="","",'Calendario H'!A58)</f>
        <v>211</v>
      </c>
      <c r="B758" s="42" t="str">
        <f aca="false">IF('Calendario H'!B58="","",'Calendario H'!B58)</f>
        <v>Visoni Vigorosi</v>
      </c>
      <c r="C758" s="43" t="str">
        <f aca="false">IF('Calendario H'!C58="","",'Calendario H'!C58)</f>
        <v>H03</v>
      </c>
      <c r="D758" s="42" t="str">
        <f aca="false">IF('Calendario H'!D58="","",'Calendario H'!D58)</f>
        <v>Castori Cocciuti</v>
      </c>
      <c r="E758" s="43" t="str">
        <f aca="false">IF('Calendario H'!E58="","",'Calendario H'!E58)</f>
        <v>H07</v>
      </c>
      <c r="F758" s="44" t="n">
        <f aca="false">IF('Calendario H'!F58="","",'Calendario H'!F58)</f>
        <v>46369.625</v>
      </c>
      <c r="G758" s="44"/>
      <c r="H758" s="44"/>
      <c r="I758" s="44"/>
      <c r="J758" s="137" t="n">
        <f aca="false">IF('Calendario H'!J58="","",'Calendario H'!J58)</f>
        <v>78</v>
      </c>
      <c r="K758" s="138" t="s">
        <v>339</v>
      </c>
      <c r="L758" s="137" t="n">
        <f aca="false">IF('Calendario H'!L58="","",'Calendario H'!L58)</f>
        <v>54</v>
      </c>
      <c r="M758" s="139"/>
      <c r="N758" s="139"/>
      <c r="O758" s="139"/>
      <c r="P758" s="139"/>
      <c r="Q758" s="139"/>
      <c r="R758" s="139"/>
    </row>
    <row r="759" customFormat="false" ht="15" hidden="false" customHeight="true" outlineLevel="0" collapsed="false">
      <c r="A759" s="84"/>
      <c r="B759" s="48" t="str">
        <f aca="false">IF('Calendario H'!B59="","",'Calendario H'!B59)</f>
        <v>PalaZanzare, Via dello Sport 20, Zanzareopoli ZE</v>
      </c>
      <c r="C759" s="48"/>
      <c r="D759" s="48"/>
      <c r="E759" s="48"/>
      <c r="F759" s="48"/>
      <c r="G759" s="48"/>
      <c r="H759" s="48"/>
      <c r="I759" s="43" t="str">
        <f aca="false">IF('Calendario H'!I59="","",'Calendario H'!I59)</f>
        <v>H04</v>
      </c>
      <c r="J759" s="137"/>
      <c r="K759" s="137"/>
      <c r="L759" s="137"/>
      <c r="M759" s="137"/>
      <c r="N759" s="137"/>
      <c r="O759" s="137"/>
      <c r="P759" s="137"/>
      <c r="Q759" s="137"/>
      <c r="R759" s="137"/>
    </row>
    <row r="760" customFormat="false" ht="13.5" hidden="false" customHeight="true" outlineLevel="0" collapsed="false">
      <c r="A760" s="83" t="s">
        <v>334</v>
      </c>
      <c r="B760" s="83" t="s">
        <v>317</v>
      </c>
      <c r="C760" s="83"/>
      <c r="D760" s="83" t="s">
        <v>324</v>
      </c>
      <c r="E760" s="83"/>
      <c r="F760" s="83" t="s">
        <v>335</v>
      </c>
      <c r="G760" s="83" t="s">
        <v>336</v>
      </c>
      <c r="H760" s="83" t="s">
        <v>337</v>
      </c>
      <c r="I760" s="83"/>
      <c r="J760" s="83" t="s">
        <v>338</v>
      </c>
      <c r="K760" s="83"/>
      <c r="L760" s="83"/>
      <c r="M760" s="153" t="s">
        <v>539</v>
      </c>
      <c r="N760" s="153" t="s">
        <v>540</v>
      </c>
      <c r="O760" s="153" t="s">
        <v>541</v>
      </c>
      <c r="P760" s="153" t="s">
        <v>542</v>
      </c>
      <c r="Q760" s="153" t="s">
        <v>543</v>
      </c>
      <c r="R760" s="153" t="s">
        <v>544</v>
      </c>
    </row>
    <row r="761" customFormat="false" ht="21.75" hidden="false" customHeight="true" outlineLevel="0" collapsed="false">
      <c r="A761" s="84" t="n">
        <f aca="false">IF('Calendario H'!A61="","",'Calendario H'!A61)</f>
        <v>212</v>
      </c>
      <c r="B761" s="42" t="str">
        <f aca="false">IF('Calendario H'!B61="","",'Calendario H'!B61)</f>
        <v>Draghi Dinamici</v>
      </c>
      <c r="C761" s="43" t="str">
        <f aca="false">IF('Calendario H'!C61="","",'Calendario H'!C61)</f>
        <v>H08</v>
      </c>
      <c r="D761" s="42" t="str">
        <f aca="false">IF('Calendario H'!D61="","",'Calendario H'!D61)</f>
        <v>Urubu Urlanti</v>
      </c>
      <c r="E761" s="43" t="str">
        <f aca="false">IF('Calendario H'!E61="","",'Calendario H'!E61)</f>
        <v>H02</v>
      </c>
      <c r="F761" s="44" t="n">
        <f aca="false">IF('Calendario H'!F61="","",'Calendario H'!F61)</f>
        <v>46369.7083333333</v>
      </c>
      <c r="G761" s="44"/>
      <c r="H761" s="44"/>
      <c r="I761" s="44"/>
      <c r="J761" s="137" t="n">
        <f aca="false">IF('Calendario H'!J61="","",'Calendario H'!J61)</f>
        <v>65</v>
      </c>
      <c r="K761" s="138" t="s">
        <v>339</v>
      </c>
      <c r="L761" s="137" t="n">
        <f aca="false">IF('Calendario H'!L61="","",'Calendario H'!L61)</f>
        <v>67</v>
      </c>
      <c r="M761" s="139"/>
      <c r="N761" s="139"/>
      <c r="O761" s="139"/>
      <c r="P761" s="139"/>
      <c r="Q761" s="139"/>
      <c r="R761" s="139"/>
    </row>
    <row r="762" customFormat="false" ht="15" hidden="false" customHeight="true" outlineLevel="0" collapsed="false">
      <c r="A762" s="84"/>
      <c r="B762" s="48" t="str">
        <f aca="false">IF('Calendario H'!B62="","",'Calendario H'!B62)</f>
        <v>PalaZanzare, Via dello Sport 20, Zanzareopoli ZE</v>
      </c>
      <c r="C762" s="48"/>
      <c r="D762" s="48"/>
      <c r="E762" s="48"/>
      <c r="F762" s="48"/>
      <c r="G762" s="48"/>
      <c r="H762" s="48"/>
      <c r="I762" s="43" t="str">
        <f aca="false">IF('Calendario H'!I62="","",'Calendario H'!I62)</f>
        <v>H04</v>
      </c>
      <c r="J762" s="137"/>
      <c r="K762" s="137"/>
      <c r="L762" s="137"/>
      <c r="M762" s="137"/>
      <c r="N762" s="137"/>
      <c r="O762" s="137"/>
      <c r="P762" s="137"/>
      <c r="Q762" s="137"/>
      <c r="R762" s="137"/>
    </row>
    <row r="764" customFormat="false" ht="19.5" hidden="false" customHeight="true" outlineLevel="0" collapsed="false">
      <c r="A764" s="81" t="str">
        <f aca="false">IF('Calendario H'!A64="","",'Calendario H'!A64)</f>
        <v>5H</v>
      </c>
      <c r="B764" s="82" t="str">
        <f aca="false">IF('Calendario H'!B64="","",'Calendario H'!B64)</f>
        <v>GIORNATA V - GIRONE H</v>
      </c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152" t="s">
        <v>537</v>
      </c>
      <c r="N764" s="152"/>
      <c r="O764" s="152"/>
      <c r="P764" s="152" t="s">
        <v>538</v>
      </c>
      <c r="Q764" s="152"/>
      <c r="R764" s="152"/>
    </row>
    <row r="765" customFormat="false" ht="13.5" hidden="false" customHeight="true" outlineLevel="0" collapsed="false">
      <c r="A765" s="83" t="s">
        <v>334</v>
      </c>
      <c r="B765" s="83" t="s">
        <v>317</v>
      </c>
      <c r="C765" s="83"/>
      <c r="D765" s="83" t="s">
        <v>324</v>
      </c>
      <c r="E765" s="83"/>
      <c r="F765" s="83" t="s">
        <v>335</v>
      </c>
      <c r="G765" s="83" t="s">
        <v>336</v>
      </c>
      <c r="H765" s="83" t="s">
        <v>337</v>
      </c>
      <c r="I765" s="83"/>
      <c r="J765" s="83" t="s">
        <v>338</v>
      </c>
      <c r="K765" s="83"/>
      <c r="L765" s="83"/>
      <c r="M765" s="153" t="s">
        <v>539</v>
      </c>
      <c r="N765" s="153" t="s">
        <v>540</v>
      </c>
      <c r="O765" s="153" t="s">
        <v>541</v>
      </c>
      <c r="P765" s="153" t="s">
        <v>542</v>
      </c>
      <c r="Q765" s="153" t="s">
        <v>543</v>
      </c>
      <c r="R765" s="153" t="s">
        <v>544</v>
      </c>
    </row>
    <row r="766" customFormat="false" ht="21.75" hidden="false" customHeight="true" outlineLevel="0" collapsed="false">
      <c r="A766" s="84" t="n">
        <f aca="false">IF('Calendario H'!A66="","",'Calendario H'!A66)</f>
        <v>213</v>
      </c>
      <c r="B766" s="42" t="str">
        <f aca="false">IF('Calendario H'!B66="","",'Calendario H'!B66)</f>
        <v>Tartarughe Testarde</v>
      </c>
      <c r="C766" s="43" t="str">
        <f aca="false">IF('Calendario H'!C66="","",'Calendario H'!C66)</f>
        <v>H01</v>
      </c>
      <c r="D766" s="42" t="str">
        <f aca="false">IF('Calendario H'!D66="","",'Calendario H'!D66)</f>
        <v>Zanzare Zampettanti</v>
      </c>
      <c r="E766" s="43" t="str">
        <f aca="false">IF('Calendario H'!E66="","",'Calendario H'!E66)</f>
        <v>H04</v>
      </c>
      <c r="F766" s="44" t="n">
        <f aca="false">IF('Calendario H'!F66="","",'Calendario H'!F66)</f>
        <v>46411.3958333333</v>
      </c>
      <c r="G766" s="44"/>
      <c r="H766" s="44"/>
      <c r="I766" s="44"/>
      <c r="J766" s="137" t="n">
        <f aca="false">IF('Calendario H'!J66="","",'Calendario H'!J66)</f>
        <v>58</v>
      </c>
      <c r="K766" s="138" t="s">
        <v>339</v>
      </c>
      <c r="L766" s="137" t="n">
        <f aca="false">IF('Calendario H'!L66="","",'Calendario H'!L66)</f>
        <v>68</v>
      </c>
      <c r="M766" s="139"/>
      <c r="N766" s="139"/>
      <c r="O766" s="139"/>
      <c r="P766" s="139"/>
      <c r="Q766" s="139"/>
      <c r="R766" s="139"/>
    </row>
    <row r="767" customFormat="false" ht="15" hidden="false" customHeight="true" outlineLevel="0" collapsed="false">
      <c r="A767" s="84"/>
      <c r="B767" s="48" t="str">
        <f aca="false">IF('Calendario H'!B67="","",'Calendario H'!B67)</f>
        <v>PalaAquile, Via dello Sport 1, Aquileopoli AE</v>
      </c>
      <c r="C767" s="48"/>
      <c r="D767" s="48"/>
      <c r="E767" s="48"/>
      <c r="F767" s="48"/>
      <c r="G767" s="48"/>
      <c r="H767" s="48"/>
      <c r="I767" s="43" t="str">
        <f aca="false">IF('Calendario H'!I67="","",'Calendario H'!I67)</f>
        <v>H05</v>
      </c>
      <c r="J767" s="137"/>
      <c r="K767" s="137"/>
      <c r="L767" s="137"/>
      <c r="M767" s="137"/>
      <c r="N767" s="137"/>
      <c r="O767" s="137"/>
      <c r="P767" s="137"/>
      <c r="Q767" s="137"/>
      <c r="R767" s="137"/>
    </row>
    <row r="768" customFormat="false" ht="13.5" hidden="false" customHeight="true" outlineLevel="0" collapsed="false">
      <c r="A768" s="83" t="s">
        <v>334</v>
      </c>
      <c r="B768" s="83" t="s">
        <v>317</v>
      </c>
      <c r="C768" s="83"/>
      <c r="D768" s="83" t="s">
        <v>324</v>
      </c>
      <c r="E768" s="83"/>
      <c r="F768" s="83" t="s">
        <v>335</v>
      </c>
      <c r="G768" s="83" t="s">
        <v>336</v>
      </c>
      <c r="H768" s="83" t="s">
        <v>337</v>
      </c>
      <c r="I768" s="83"/>
      <c r="J768" s="83" t="s">
        <v>338</v>
      </c>
      <c r="K768" s="83"/>
      <c r="L768" s="83"/>
      <c r="M768" s="153" t="s">
        <v>539</v>
      </c>
      <c r="N768" s="153" t="s">
        <v>540</v>
      </c>
      <c r="O768" s="153" t="s">
        <v>541</v>
      </c>
      <c r="P768" s="153" t="s">
        <v>542</v>
      </c>
      <c r="Q768" s="153" t="s">
        <v>543</v>
      </c>
      <c r="R768" s="153" t="s">
        <v>544</v>
      </c>
    </row>
    <row r="769" customFormat="false" ht="21.75" hidden="false" customHeight="true" outlineLevel="0" collapsed="false">
      <c r="A769" s="84" t="n">
        <f aca="false">IF('Calendario H'!A69="","",'Calendario H'!A69)</f>
        <v>214</v>
      </c>
      <c r="B769" s="42" t="str">
        <f aca="false">IF('Calendario H'!B69="","",'Calendario H'!B69)</f>
        <v>Visoni Vigorosi</v>
      </c>
      <c r="C769" s="43" t="str">
        <f aca="false">IF('Calendario H'!C69="","",'Calendario H'!C69)</f>
        <v>H03</v>
      </c>
      <c r="D769" s="42" t="str">
        <f aca="false">IF('Calendario H'!D69="","",'Calendario H'!D69)</f>
        <v>Aquile Audaci</v>
      </c>
      <c r="E769" s="43" t="str">
        <f aca="false">IF('Calendario H'!E69="","",'Calendario H'!E69)</f>
        <v>H05</v>
      </c>
      <c r="F769" s="44" t="n">
        <f aca="false">IF('Calendario H'!F69="","",'Calendario H'!F69)</f>
        <v>46411.4791666667</v>
      </c>
      <c r="G769" s="44"/>
      <c r="H769" s="44"/>
      <c r="I769" s="44"/>
      <c r="J769" s="137" t="n">
        <f aca="false">IF('Calendario H'!J69="","",'Calendario H'!J69)</f>
        <v>71</v>
      </c>
      <c r="K769" s="138" t="s">
        <v>339</v>
      </c>
      <c r="L769" s="137" t="n">
        <f aca="false">IF('Calendario H'!L69="","",'Calendario H'!L69)</f>
        <v>63</v>
      </c>
      <c r="M769" s="139"/>
      <c r="N769" s="139"/>
      <c r="O769" s="139"/>
      <c r="P769" s="139"/>
      <c r="Q769" s="139"/>
      <c r="R769" s="139"/>
    </row>
    <row r="770" customFormat="false" ht="15" hidden="false" customHeight="true" outlineLevel="0" collapsed="false">
      <c r="A770" s="84"/>
      <c r="B770" s="48" t="str">
        <f aca="false">IF('Calendario H'!B70="","",'Calendario H'!B70)</f>
        <v>PalaAquile, Via dello Sport 1, Aquileopoli AE</v>
      </c>
      <c r="C770" s="48"/>
      <c r="D770" s="48"/>
      <c r="E770" s="48"/>
      <c r="F770" s="48"/>
      <c r="G770" s="48"/>
      <c r="H770" s="48"/>
      <c r="I770" s="43" t="str">
        <f aca="false">IF('Calendario H'!I70="","",'Calendario H'!I70)</f>
        <v>H05</v>
      </c>
      <c r="J770" s="137"/>
      <c r="K770" s="137"/>
      <c r="L770" s="137"/>
      <c r="M770" s="137"/>
      <c r="N770" s="137"/>
      <c r="O770" s="137"/>
      <c r="P770" s="137"/>
      <c r="Q770" s="137"/>
      <c r="R770" s="137"/>
    </row>
    <row r="771" customFormat="false" ht="13.5" hidden="false" customHeight="true" outlineLevel="0" collapsed="false">
      <c r="A771" s="83" t="s">
        <v>334</v>
      </c>
      <c r="B771" s="83" t="s">
        <v>317</v>
      </c>
      <c r="C771" s="83"/>
      <c r="D771" s="83" t="s">
        <v>324</v>
      </c>
      <c r="E771" s="83"/>
      <c r="F771" s="83" t="s">
        <v>335</v>
      </c>
      <c r="G771" s="83" t="s">
        <v>336</v>
      </c>
      <c r="H771" s="83" t="s">
        <v>337</v>
      </c>
      <c r="I771" s="83"/>
      <c r="J771" s="83" t="s">
        <v>338</v>
      </c>
      <c r="K771" s="83"/>
      <c r="L771" s="83"/>
      <c r="M771" s="153" t="s">
        <v>539</v>
      </c>
      <c r="N771" s="153" t="s">
        <v>540</v>
      </c>
      <c r="O771" s="153" t="s">
        <v>541</v>
      </c>
      <c r="P771" s="153" t="s">
        <v>542</v>
      </c>
      <c r="Q771" s="153" t="s">
        <v>543</v>
      </c>
      <c r="R771" s="153" t="s">
        <v>544</v>
      </c>
    </row>
    <row r="772" customFormat="false" ht="21.75" hidden="false" customHeight="true" outlineLevel="0" collapsed="false">
      <c r="A772" s="84" t="n">
        <f aca="false">IF('Calendario H'!A72="","",'Calendario H'!A72)</f>
        <v>215</v>
      </c>
      <c r="B772" s="42" t="str">
        <f aca="false">IF('Calendario H'!B72="","",'Calendario H'!B72)</f>
        <v>Bradipi Brillanti</v>
      </c>
      <c r="C772" s="43" t="str">
        <f aca="false">IF('Calendario H'!C72="","",'Calendario H'!C72)</f>
        <v>H06</v>
      </c>
      <c r="D772" s="42" t="str">
        <f aca="false">IF('Calendario H'!D72="","",'Calendario H'!D72)</f>
        <v>Urubu Urlanti</v>
      </c>
      <c r="E772" s="43" t="str">
        <f aca="false">IF('Calendario H'!E72="","",'Calendario H'!E72)</f>
        <v>H02</v>
      </c>
      <c r="F772" s="44" t="n">
        <f aca="false">IF('Calendario H'!F72="","",'Calendario H'!F72)</f>
        <v>46411.625</v>
      </c>
      <c r="G772" s="44"/>
      <c r="H772" s="44"/>
      <c r="I772" s="44"/>
      <c r="J772" s="137" t="n">
        <f aca="false">IF('Calendario H'!J72="","",'Calendario H'!J72)</f>
        <v>56</v>
      </c>
      <c r="K772" s="138" t="s">
        <v>339</v>
      </c>
      <c r="L772" s="137" t="n">
        <f aca="false">IF('Calendario H'!L72="","",'Calendario H'!L72)</f>
        <v>89</v>
      </c>
      <c r="M772" s="139"/>
      <c r="N772" s="139"/>
      <c r="O772" s="139"/>
      <c r="P772" s="139"/>
      <c r="Q772" s="139"/>
      <c r="R772" s="139"/>
    </row>
    <row r="773" customFormat="false" ht="15" hidden="false" customHeight="true" outlineLevel="0" collapsed="false">
      <c r="A773" s="84"/>
      <c r="B773" s="48" t="str">
        <f aca="false">IF('Calendario H'!B73="","",'Calendario H'!B73)</f>
        <v>PalaAquile, Via dello Sport 1, Aquileopoli AE</v>
      </c>
      <c r="C773" s="48"/>
      <c r="D773" s="48"/>
      <c r="E773" s="48"/>
      <c r="F773" s="48"/>
      <c r="G773" s="48"/>
      <c r="H773" s="48"/>
      <c r="I773" s="43" t="str">
        <f aca="false">IF('Calendario H'!I73="","",'Calendario H'!I73)</f>
        <v>H05</v>
      </c>
      <c r="J773" s="137"/>
      <c r="K773" s="137"/>
      <c r="L773" s="137"/>
      <c r="M773" s="137"/>
      <c r="N773" s="137"/>
      <c r="O773" s="137"/>
      <c r="P773" s="137"/>
      <c r="Q773" s="137"/>
      <c r="R773" s="137"/>
    </row>
    <row r="774" customFormat="false" ht="13.5" hidden="false" customHeight="true" outlineLevel="0" collapsed="false">
      <c r="A774" s="83" t="s">
        <v>334</v>
      </c>
      <c r="B774" s="83" t="s">
        <v>317</v>
      </c>
      <c r="C774" s="83"/>
      <c r="D774" s="83" t="s">
        <v>324</v>
      </c>
      <c r="E774" s="83"/>
      <c r="F774" s="83" t="s">
        <v>335</v>
      </c>
      <c r="G774" s="83" t="s">
        <v>336</v>
      </c>
      <c r="H774" s="83" t="s">
        <v>337</v>
      </c>
      <c r="I774" s="83"/>
      <c r="J774" s="83" t="s">
        <v>338</v>
      </c>
      <c r="K774" s="83"/>
      <c r="L774" s="83"/>
      <c r="M774" s="153" t="s">
        <v>539</v>
      </c>
      <c r="N774" s="153" t="s">
        <v>540</v>
      </c>
      <c r="O774" s="153" t="s">
        <v>541</v>
      </c>
      <c r="P774" s="153" t="s">
        <v>542</v>
      </c>
      <c r="Q774" s="153" t="s">
        <v>543</v>
      </c>
      <c r="R774" s="153" t="s">
        <v>544</v>
      </c>
    </row>
    <row r="775" customFormat="false" ht="21.75" hidden="false" customHeight="true" outlineLevel="0" collapsed="false">
      <c r="A775" s="84" t="n">
        <f aca="false">IF('Calendario H'!A75="","",'Calendario H'!A75)</f>
        <v>216</v>
      </c>
      <c r="B775" s="42" t="str">
        <f aca="false">IF('Calendario H'!B75="","",'Calendario H'!B75)</f>
        <v>Draghi Dinamici</v>
      </c>
      <c r="C775" s="43" t="str">
        <f aca="false">IF('Calendario H'!C75="","",'Calendario H'!C75)</f>
        <v>H08</v>
      </c>
      <c r="D775" s="42" t="str">
        <f aca="false">IF('Calendario H'!D75="","",'Calendario H'!D75)</f>
        <v>Castori Cocciuti</v>
      </c>
      <c r="E775" s="43" t="str">
        <f aca="false">IF('Calendario H'!E75="","",'Calendario H'!E75)</f>
        <v>H07</v>
      </c>
      <c r="F775" s="44" t="n">
        <f aca="false">IF('Calendario H'!F75="","",'Calendario H'!F75)</f>
        <v>46411.7083333333</v>
      </c>
      <c r="G775" s="44"/>
      <c r="H775" s="44"/>
      <c r="I775" s="44"/>
      <c r="J775" s="137" t="n">
        <f aca="false">IF('Calendario H'!J75="","",'Calendario H'!J75)</f>
        <v>79</v>
      </c>
      <c r="K775" s="138" t="s">
        <v>339</v>
      </c>
      <c r="L775" s="137" t="n">
        <f aca="false">IF('Calendario H'!L75="","",'Calendario H'!L75)</f>
        <v>58</v>
      </c>
      <c r="M775" s="139"/>
      <c r="N775" s="139"/>
      <c r="O775" s="139"/>
      <c r="P775" s="139"/>
      <c r="Q775" s="139"/>
      <c r="R775" s="139"/>
    </row>
    <row r="776" customFormat="false" ht="15" hidden="false" customHeight="true" outlineLevel="0" collapsed="false">
      <c r="A776" s="84"/>
      <c r="B776" s="48" t="str">
        <f aca="false">IF('Calendario H'!B76="","",'Calendario H'!B76)</f>
        <v>PalaAquile, Via dello Sport 1, Aquileopoli AE</v>
      </c>
      <c r="C776" s="48"/>
      <c r="D776" s="48"/>
      <c r="E776" s="48"/>
      <c r="F776" s="48"/>
      <c r="G776" s="48"/>
      <c r="H776" s="48"/>
      <c r="I776" s="43" t="str">
        <f aca="false">IF('Calendario H'!I76="","",'Calendario H'!I76)</f>
        <v>H05</v>
      </c>
      <c r="J776" s="137"/>
      <c r="K776" s="137"/>
      <c r="L776" s="137"/>
      <c r="M776" s="137"/>
      <c r="N776" s="137"/>
      <c r="O776" s="137"/>
      <c r="P776" s="137"/>
      <c r="Q776" s="137"/>
      <c r="R776" s="137"/>
    </row>
    <row r="778" customFormat="false" ht="19.5" hidden="false" customHeight="true" outlineLevel="0" collapsed="false">
      <c r="A778" s="81" t="str">
        <f aca="false">IF('Calendario H'!A78="","",'Calendario H'!A78)</f>
        <v>6H</v>
      </c>
      <c r="B778" s="82" t="str">
        <f aca="false">IF('Calendario H'!B78="","",'Calendario H'!B78)</f>
        <v>GIORNATA VI - GIRONE H</v>
      </c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152" t="s">
        <v>537</v>
      </c>
      <c r="N778" s="152"/>
      <c r="O778" s="152"/>
      <c r="P778" s="152" t="s">
        <v>538</v>
      </c>
      <c r="Q778" s="152"/>
      <c r="R778" s="152"/>
    </row>
    <row r="779" customFormat="false" ht="13.5" hidden="false" customHeight="true" outlineLevel="0" collapsed="false">
      <c r="A779" s="83" t="s">
        <v>334</v>
      </c>
      <c r="B779" s="83" t="s">
        <v>317</v>
      </c>
      <c r="C779" s="83"/>
      <c r="D779" s="83" t="s">
        <v>324</v>
      </c>
      <c r="E779" s="83"/>
      <c r="F779" s="83" t="s">
        <v>335</v>
      </c>
      <c r="G779" s="83" t="s">
        <v>336</v>
      </c>
      <c r="H779" s="83" t="s">
        <v>337</v>
      </c>
      <c r="I779" s="83"/>
      <c r="J779" s="83" t="s">
        <v>338</v>
      </c>
      <c r="K779" s="83"/>
      <c r="L779" s="83"/>
      <c r="M779" s="153" t="s">
        <v>539</v>
      </c>
      <c r="N779" s="153" t="s">
        <v>540</v>
      </c>
      <c r="O779" s="153" t="s">
        <v>541</v>
      </c>
      <c r="P779" s="153" t="s">
        <v>542</v>
      </c>
      <c r="Q779" s="153" t="s">
        <v>543</v>
      </c>
      <c r="R779" s="153" t="s">
        <v>544</v>
      </c>
    </row>
    <row r="780" customFormat="false" ht="21.75" hidden="false" customHeight="true" outlineLevel="0" collapsed="false">
      <c r="A780" s="84" t="n">
        <f aca="false">IF('Calendario H'!A80="","",'Calendario H'!A80)</f>
        <v>217</v>
      </c>
      <c r="B780" s="42" t="str">
        <f aca="false">IF('Calendario H'!B80="","",'Calendario H'!B80)</f>
        <v>Visoni Vigorosi</v>
      </c>
      <c r="C780" s="43" t="str">
        <f aca="false">IF('Calendario H'!C80="","",'Calendario H'!C80)</f>
        <v>H03</v>
      </c>
      <c r="D780" s="42" t="str">
        <f aca="false">IF('Calendario H'!D80="","",'Calendario H'!D80)</f>
        <v>Tartarughe Testarde</v>
      </c>
      <c r="E780" s="43" t="str">
        <f aca="false">IF('Calendario H'!E80="","",'Calendario H'!E80)</f>
        <v>H01</v>
      </c>
      <c r="F780" s="44" t="n">
        <f aca="false">IF('Calendario H'!F80="","",'Calendario H'!F80)</f>
        <v>46432.3958333333</v>
      </c>
      <c r="G780" s="44"/>
      <c r="H780" s="44"/>
      <c r="I780" s="44"/>
      <c r="J780" s="137" t="n">
        <f aca="false">IF('Calendario H'!J80="","",'Calendario H'!J80)</f>
        <v>45</v>
      </c>
      <c r="K780" s="138" t="s">
        <v>339</v>
      </c>
      <c r="L780" s="137" t="n">
        <f aca="false">IF('Calendario H'!L80="","",'Calendario H'!L80)</f>
        <v>84</v>
      </c>
      <c r="M780" s="139"/>
      <c r="N780" s="139"/>
      <c r="O780" s="139"/>
      <c r="P780" s="139"/>
      <c r="Q780" s="139"/>
      <c r="R780" s="139"/>
    </row>
    <row r="781" customFormat="false" ht="15" hidden="false" customHeight="true" outlineLevel="0" collapsed="false">
      <c r="A781" s="84"/>
      <c r="B781" s="48" t="str">
        <f aca="false">IF('Calendario H'!B81="","",'Calendario H'!B81)</f>
        <v>PalaBradipi, Via dello Sport 2, Bradipiopoli BI</v>
      </c>
      <c r="C781" s="48"/>
      <c r="D781" s="48"/>
      <c r="E781" s="48"/>
      <c r="F781" s="48"/>
      <c r="G781" s="48"/>
      <c r="H781" s="48"/>
      <c r="I781" s="43" t="str">
        <f aca="false">IF('Calendario H'!I81="","",'Calendario H'!I81)</f>
        <v>H06</v>
      </c>
      <c r="J781" s="137"/>
      <c r="K781" s="137"/>
      <c r="L781" s="137"/>
      <c r="M781" s="137"/>
      <c r="N781" s="137"/>
      <c r="O781" s="137"/>
      <c r="P781" s="137"/>
      <c r="Q781" s="137"/>
      <c r="R781" s="137"/>
    </row>
    <row r="782" customFormat="false" ht="13.5" hidden="false" customHeight="true" outlineLevel="0" collapsed="false">
      <c r="A782" s="83" t="s">
        <v>334</v>
      </c>
      <c r="B782" s="83" t="s">
        <v>317</v>
      </c>
      <c r="C782" s="83"/>
      <c r="D782" s="83" t="s">
        <v>324</v>
      </c>
      <c r="E782" s="83"/>
      <c r="F782" s="83" t="s">
        <v>335</v>
      </c>
      <c r="G782" s="83" t="s">
        <v>336</v>
      </c>
      <c r="H782" s="83" t="s">
        <v>337</v>
      </c>
      <c r="I782" s="83"/>
      <c r="J782" s="83" t="s">
        <v>338</v>
      </c>
      <c r="K782" s="83"/>
      <c r="L782" s="83"/>
      <c r="M782" s="153" t="s">
        <v>539</v>
      </c>
      <c r="N782" s="153" t="s">
        <v>540</v>
      </c>
      <c r="O782" s="153" t="s">
        <v>541</v>
      </c>
      <c r="P782" s="153" t="s">
        <v>542</v>
      </c>
      <c r="Q782" s="153" t="s">
        <v>543</v>
      </c>
      <c r="R782" s="153" t="s">
        <v>544</v>
      </c>
    </row>
    <row r="783" customFormat="false" ht="21.75" hidden="false" customHeight="true" outlineLevel="0" collapsed="false">
      <c r="A783" s="84" t="n">
        <f aca="false">IF('Calendario H'!A83="","",'Calendario H'!A83)</f>
        <v>218</v>
      </c>
      <c r="B783" s="42" t="str">
        <f aca="false">IF('Calendario H'!B83="","",'Calendario H'!B83)</f>
        <v>Zanzare Zampettanti</v>
      </c>
      <c r="C783" s="43" t="str">
        <f aca="false">IF('Calendario H'!C83="","",'Calendario H'!C83)</f>
        <v>H04</v>
      </c>
      <c r="D783" s="42" t="str">
        <f aca="false">IF('Calendario H'!D83="","",'Calendario H'!D83)</f>
        <v>Urubu Urlanti</v>
      </c>
      <c r="E783" s="43" t="str">
        <f aca="false">IF('Calendario H'!E83="","",'Calendario H'!E83)</f>
        <v>H02</v>
      </c>
      <c r="F783" s="44" t="n">
        <f aca="false">IF('Calendario H'!F83="","",'Calendario H'!F83)</f>
        <v>46432.4791666667</v>
      </c>
      <c r="G783" s="44"/>
      <c r="H783" s="44"/>
      <c r="I783" s="44"/>
      <c r="J783" s="137" t="n">
        <f aca="false">IF('Calendario H'!J83="","",'Calendario H'!J83)</f>
        <v>75</v>
      </c>
      <c r="K783" s="138" t="s">
        <v>339</v>
      </c>
      <c r="L783" s="137" t="n">
        <f aca="false">IF('Calendario H'!L83="","",'Calendario H'!L83)</f>
        <v>39</v>
      </c>
      <c r="M783" s="139"/>
      <c r="N783" s="139"/>
      <c r="O783" s="139"/>
      <c r="P783" s="139"/>
      <c r="Q783" s="139"/>
      <c r="R783" s="139"/>
    </row>
    <row r="784" customFormat="false" ht="15" hidden="false" customHeight="true" outlineLevel="0" collapsed="false">
      <c r="A784" s="84"/>
      <c r="B784" s="48" t="str">
        <f aca="false">IF('Calendario H'!B84="","",'Calendario H'!B84)</f>
        <v>PalaBradipi, Via dello Sport 2, Bradipiopoli BI</v>
      </c>
      <c r="C784" s="48"/>
      <c r="D784" s="48"/>
      <c r="E784" s="48"/>
      <c r="F784" s="48"/>
      <c r="G784" s="48"/>
      <c r="H784" s="48"/>
      <c r="I784" s="43" t="str">
        <f aca="false">IF('Calendario H'!I84="","",'Calendario H'!I84)</f>
        <v>H06</v>
      </c>
      <c r="J784" s="137"/>
      <c r="K784" s="137"/>
      <c r="L784" s="137"/>
      <c r="M784" s="137"/>
      <c r="N784" s="137"/>
      <c r="O784" s="137"/>
      <c r="P784" s="137"/>
      <c r="Q784" s="137"/>
      <c r="R784" s="137"/>
    </row>
    <row r="785" customFormat="false" ht="13.5" hidden="false" customHeight="true" outlineLevel="0" collapsed="false">
      <c r="A785" s="83" t="s">
        <v>334</v>
      </c>
      <c r="B785" s="83" t="s">
        <v>317</v>
      </c>
      <c r="C785" s="83"/>
      <c r="D785" s="83" t="s">
        <v>324</v>
      </c>
      <c r="E785" s="83"/>
      <c r="F785" s="83" t="s">
        <v>335</v>
      </c>
      <c r="G785" s="83" t="s">
        <v>336</v>
      </c>
      <c r="H785" s="83" t="s">
        <v>337</v>
      </c>
      <c r="I785" s="83"/>
      <c r="J785" s="83" t="s">
        <v>338</v>
      </c>
      <c r="K785" s="83"/>
      <c r="L785" s="83"/>
      <c r="M785" s="153" t="s">
        <v>539</v>
      </c>
      <c r="N785" s="153" t="s">
        <v>540</v>
      </c>
      <c r="O785" s="153" t="s">
        <v>541</v>
      </c>
      <c r="P785" s="153" t="s">
        <v>542</v>
      </c>
      <c r="Q785" s="153" t="s">
        <v>543</v>
      </c>
      <c r="R785" s="153" t="s">
        <v>544</v>
      </c>
    </row>
    <row r="786" customFormat="false" ht="21.75" hidden="false" customHeight="true" outlineLevel="0" collapsed="false">
      <c r="A786" s="84" t="n">
        <f aca="false">IF('Calendario H'!A86="","",'Calendario H'!A86)</f>
        <v>219</v>
      </c>
      <c r="B786" s="42" t="str">
        <f aca="false">IF('Calendario H'!B86="","",'Calendario H'!B86)</f>
        <v>Draghi Dinamici</v>
      </c>
      <c r="C786" s="43" t="str">
        <f aca="false">IF('Calendario H'!C86="","",'Calendario H'!C86)</f>
        <v>H08</v>
      </c>
      <c r="D786" s="42" t="str">
        <f aca="false">IF('Calendario H'!D86="","",'Calendario H'!D86)</f>
        <v>Aquile Audaci</v>
      </c>
      <c r="E786" s="43" t="str">
        <f aca="false">IF('Calendario H'!E86="","",'Calendario H'!E86)</f>
        <v>H05</v>
      </c>
      <c r="F786" s="44" t="n">
        <f aca="false">IF('Calendario H'!F86="","",'Calendario H'!F86)</f>
        <v>46432.625</v>
      </c>
      <c r="G786" s="44"/>
      <c r="H786" s="44"/>
      <c r="I786" s="44"/>
      <c r="J786" s="137" t="n">
        <f aca="false">IF('Calendario H'!J86="","",'Calendario H'!J86)</f>
        <v>45</v>
      </c>
      <c r="K786" s="138" t="s">
        <v>339</v>
      </c>
      <c r="L786" s="137" t="n">
        <f aca="false">IF('Calendario H'!L86="","",'Calendario H'!L86)</f>
        <v>85</v>
      </c>
      <c r="M786" s="139"/>
      <c r="N786" s="139"/>
      <c r="O786" s="139"/>
      <c r="P786" s="139"/>
      <c r="Q786" s="139"/>
      <c r="R786" s="139"/>
    </row>
    <row r="787" customFormat="false" ht="15" hidden="false" customHeight="true" outlineLevel="0" collapsed="false">
      <c r="A787" s="84"/>
      <c r="B787" s="48" t="str">
        <f aca="false">IF('Calendario H'!B87="","",'Calendario H'!B87)</f>
        <v>PalaBradipi, Via dello Sport 2, Bradipiopoli BI</v>
      </c>
      <c r="C787" s="48"/>
      <c r="D787" s="48"/>
      <c r="E787" s="48"/>
      <c r="F787" s="48"/>
      <c r="G787" s="48"/>
      <c r="H787" s="48"/>
      <c r="I787" s="43" t="str">
        <f aca="false">IF('Calendario H'!I87="","",'Calendario H'!I87)</f>
        <v>H06</v>
      </c>
      <c r="J787" s="137"/>
      <c r="K787" s="137"/>
      <c r="L787" s="137"/>
      <c r="M787" s="137"/>
      <c r="N787" s="137"/>
      <c r="O787" s="137"/>
      <c r="P787" s="137"/>
      <c r="Q787" s="137"/>
      <c r="R787" s="137"/>
    </row>
    <row r="788" customFormat="false" ht="13.5" hidden="false" customHeight="true" outlineLevel="0" collapsed="false">
      <c r="A788" s="83" t="s">
        <v>334</v>
      </c>
      <c r="B788" s="83" t="s">
        <v>317</v>
      </c>
      <c r="C788" s="83"/>
      <c r="D788" s="83" t="s">
        <v>324</v>
      </c>
      <c r="E788" s="83"/>
      <c r="F788" s="83" t="s">
        <v>335</v>
      </c>
      <c r="G788" s="83" t="s">
        <v>336</v>
      </c>
      <c r="H788" s="83" t="s">
        <v>337</v>
      </c>
      <c r="I788" s="83"/>
      <c r="J788" s="83" t="s">
        <v>338</v>
      </c>
      <c r="K788" s="83"/>
      <c r="L788" s="83"/>
      <c r="M788" s="153" t="s">
        <v>539</v>
      </c>
      <c r="N788" s="153" t="s">
        <v>540</v>
      </c>
      <c r="O788" s="153" t="s">
        <v>541</v>
      </c>
      <c r="P788" s="153" t="s">
        <v>542</v>
      </c>
      <c r="Q788" s="153" t="s">
        <v>543</v>
      </c>
      <c r="R788" s="153" t="s">
        <v>544</v>
      </c>
    </row>
    <row r="789" customFormat="false" ht="21.75" hidden="false" customHeight="true" outlineLevel="0" collapsed="false">
      <c r="A789" s="84" t="n">
        <f aca="false">IF('Calendario H'!A89="","",'Calendario H'!A89)</f>
        <v>220</v>
      </c>
      <c r="B789" s="42" t="str">
        <f aca="false">IF('Calendario H'!B89="","",'Calendario H'!B89)</f>
        <v>Bradipi Brillanti</v>
      </c>
      <c r="C789" s="43" t="str">
        <f aca="false">IF('Calendario H'!C89="","",'Calendario H'!C89)</f>
        <v>H06</v>
      </c>
      <c r="D789" s="42" t="str">
        <f aca="false">IF('Calendario H'!D89="","",'Calendario H'!D89)</f>
        <v>Castori Cocciuti</v>
      </c>
      <c r="E789" s="43" t="str">
        <f aca="false">IF('Calendario H'!E89="","",'Calendario H'!E89)</f>
        <v>H07</v>
      </c>
      <c r="F789" s="44" t="n">
        <f aca="false">IF('Calendario H'!F89="","",'Calendario H'!F89)</f>
        <v>46432.7083333333</v>
      </c>
      <c r="G789" s="44"/>
      <c r="H789" s="44"/>
      <c r="I789" s="44"/>
      <c r="J789" s="137" t="n">
        <f aca="false">IF('Calendario H'!J89="","",'Calendario H'!J89)</f>
        <v>48</v>
      </c>
      <c r="K789" s="138" t="s">
        <v>339</v>
      </c>
      <c r="L789" s="137" t="n">
        <f aca="false">IF('Calendario H'!L89="","",'Calendario H'!L89)</f>
        <v>62</v>
      </c>
      <c r="M789" s="139"/>
      <c r="N789" s="139"/>
      <c r="O789" s="139"/>
      <c r="P789" s="139"/>
      <c r="Q789" s="139"/>
      <c r="R789" s="139"/>
    </row>
    <row r="790" customFormat="false" ht="15" hidden="false" customHeight="true" outlineLevel="0" collapsed="false">
      <c r="A790" s="84"/>
      <c r="B790" s="48" t="str">
        <f aca="false">IF('Calendario H'!B90="","",'Calendario H'!B90)</f>
        <v>PalaBradipi, Via dello Sport 2, Bradipiopoli BI</v>
      </c>
      <c r="C790" s="48"/>
      <c r="D790" s="48"/>
      <c r="E790" s="48"/>
      <c r="F790" s="48"/>
      <c r="G790" s="48"/>
      <c r="H790" s="48"/>
      <c r="I790" s="43" t="str">
        <f aca="false">IF('Calendario H'!I90="","",'Calendario H'!I90)</f>
        <v>H06</v>
      </c>
      <c r="J790" s="137"/>
      <c r="K790" s="137"/>
      <c r="L790" s="137"/>
      <c r="M790" s="137"/>
      <c r="N790" s="137"/>
      <c r="O790" s="137"/>
      <c r="P790" s="137"/>
      <c r="Q790" s="137"/>
      <c r="R790" s="137"/>
    </row>
    <row r="792" customFormat="false" ht="19.5" hidden="false" customHeight="true" outlineLevel="0" collapsed="false">
      <c r="A792" s="81" t="str">
        <f aca="false">IF('Calendario H'!A92="","",'Calendario H'!A92)</f>
        <v>7H</v>
      </c>
      <c r="B792" s="82" t="str">
        <f aca="false">IF('Calendario H'!B92="","",'Calendario H'!B92)</f>
        <v>GIORNATA VII - GIRONE H</v>
      </c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152" t="s">
        <v>537</v>
      </c>
      <c r="N792" s="152"/>
      <c r="O792" s="152"/>
      <c r="P792" s="152" t="s">
        <v>538</v>
      </c>
      <c r="Q792" s="152"/>
      <c r="R792" s="152"/>
    </row>
    <row r="793" customFormat="false" ht="13.5" hidden="false" customHeight="true" outlineLevel="0" collapsed="false">
      <c r="A793" s="83" t="s">
        <v>334</v>
      </c>
      <c r="B793" s="83" t="s">
        <v>317</v>
      </c>
      <c r="C793" s="83"/>
      <c r="D793" s="83" t="s">
        <v>324</v>
      </c>
      <c r="E793" s="83"/>
      <c r="F793" s="83" t="s">
        <v>335</v>
      </c>
      <c r="G793" s="83" t="s">
        <v>336</v>
      </c>
      <c r="H793" s="83" t="s">
        <v>337</v>
      </c>
      <c r="I793" s="83"/>
      <c r="J793" s="83" t="s">
        <v>338</v>
      </c>
      <c r="K793" s="83"/>
      <c r="L793" s="83"/>
      <c r="M793" s="153" t="s">
        <v>539</v>
      </c>
      <c r="N793" s="153" t="s">
        <v>540</v>
      </c>
      <c r="O793" s="153" t="s">
        <v>541</v>
      </c>
      <c r="P793" s="153" t="s">
        <v>542</v>
      </c>
      <c r="Q793" s="153" t="s">
        <v>543</v>
      </c>
      <c r="R793" s="153" t="s">
        <v>544</v>
      </c>
    </row>
    <row r="794" customFormat="false" ht="21.75" hidden="false" customHeight="true" outlineLevel="0" collapsed="false">
      <c r="A794" s="84" t="n">
        <f aca="false">IF('Calendario H'!A94="","",'Calendario H'!A94)</f>
        <v>221</v>
      </c>
      <c r="B794" s="42" t="str">
        <f aca="false">IF('Calendario H'!B94="","",'Calendario H'!B94)</f>
        <v>Tartarughe Testarde</v>
      </c>
      <c r="C794" s="43" t="str">
        <f aca="false">IF('Calendario H'!C94="","",'Calendario H'!C94)</f>
        <v>H01</v>
      </c>
      <c r="D794" s="42" t="str">
        <f aca="false">IF('Calendario H'!D94="","",'Calendario H'!D94)</f>
        <v>Urubu Urlanti</v>
      </c>
      <c r="E794" s="43" t="str">
        <f aca="false">IF('Calendario H'!E94="","",'Calendario H'!E94)</f>
        <v>H02</v>
      </c>
      <c r="F794" s="44" t="n">
        <f aca="false">IF('Calendario H'!F94="","",'Calendario H'!F94)</f>
        <v>46453.3958333333</v>
      </c>
      <c r="G794" s="44"/>
      <c r="H794" s="44"/>
      <c r="I794" s="44"/>
      <c r="J794" s="137" t="n">
        <f aca="false">IF('Calendario H'!J94="","",'Calendario H'!J94)</f>
        <v>62</v>
      </c>
      <c r="K794" s="138" t="s">
        <v>339</v>
      </c>
      <c r="L794" s="137" t="n">
        <f aca="false">IF('Calendario H'!L94="","",'Calendario H'!L94)</f>
        <v>63</v>
      </c>
      <c r="M794" s="139"/>
      <c r="N794" s="139"/>
      <c r="O794" s="139"/>
      <c r="P794" s="139"/>
      <c r="Q794" s="139"/>
      <c r="R794" s="139"/>
    </row>
    <row r="795" customFormat="false" ht="15" hidden="false" customHeight="true" outlineLevel="0" collapsed="false">
      <c r="A795" s="84"/>
      <c r="B795" s="48" t="str">
        <f aca="false">IF('Calendario H'!B95="","",'Calendario H'!B95)</f>
        <v>PalaCastori, Via dello Sport 3, Castoriopoli CI</v>
      </c>
      <c r="C795" s="48"/>
      <c r="D795" s="48"/>
      <c r="E795" s="48"/>
      <c r="F795" s="48"/>
      <c r="G795" s="48"/>
      <c r="H795" s="48"/>
      <c r="I795" s="43" t="str">
        <f aca="false">IF('Calendario H'!I95="","",'Calendario H'!I95)</f>
        <v>H07</v>
      </c>
      <c r="J795" s="137"/>
      <c r="K795" s="137"/>
      <c r="L795" s="137"/>
      <c r="M795" s="137"/>
      <c r="N795" s="137"/>
      <c r="O795" s="137"/>
      <c r="P795" s="137"/>
      <c r="Q795" s="137"/>
      <c r="R795" s="137"/>
    </row>
    <row r="796" customFormat="false" ht="13.5" hidden="false" customHeight="true" outlineLevel="0" collapsed="false">
      <c r="A796" s="83" t="s">
        <v>334</v>
      </c>
      <c r="B796" s="83" t="s">
        <v>317</v>
      </c>
      <c r="C796" s="83"/>
      <c r="D796" s="83" t="s">
        <v>324</v>
      </c>
      <c r="E796" s="83"/>
      <c r="F796" s="83" t="s">
        <v>335</v>
      </c>
      <c r="G796" s="83" t="s">
        <v>336</v>
      </c>
      <c r="H796" s="83" t="s">
        <v>337</v>
      </c>
      <c r="I796" s="83"/>
      <c r="J796" s="83" t="s">
        <v>338</v>
      </c>
      <c r="K796" s="83"/>
      <c r="L796" s="83"/>
      <c r="M796" s="153" t="s">
        <v>539</v>
      </c>
      <c r="N796" s="153" t="s">
        <v>540</v>
      </c>
      <c r="O796" s="153" t="s">
        <v>541</v>
      </c>
      <c r="P796" s="153" t="s">
        <v>542</v>
      </c>
      <c r="Q796" s="153" t="s">
        <v>543</v>
      </c>
      <c r="R796" s="153" t="s">
        <v>544</v>
      </c>
    </row>
    <row r="797" customFormat="false" ht="21.75" hidden="false" customHeight="true" outlineLevel="0" collapsed="false">
      <c r="A797" s="84" t="n">
        <f aca="false">IF('Calendario H'!A97="","",'Calendario H'!A97)</f>
        <v>222</v>
      </c>
      <c r="B797" s="42" t="str">
        <f aca="false">IF('Calendario H'!B97="","",'Calendario H'!B97)</f>
        <v>Draghi Dinamici</v>
      </c>
      <c r="C797" s="43" t="str">
        <f aca="false">IF('Calendario H'!C97="","",'Calendario H'!C97)</f>
        <v>H08</v>
      </c>
      <c r="D797" s="42" t="str">
        <f aca="false">IF('Calendario H'!D97="","",'Calendario H'!D97)</f>
        <v>Visoni Vigorosi</v>
      </c>
      <c r="E797" s="43" t="str">
        <f aca="false">IF('Calendario H'!E97="","",'Calendario H'!E97)</f>
        <v>H03</v>
      </c>
      <c r="F797" s="44" t="n">
        <f aca="false">IF('Calendario H'!F97="","",'Calendario H'!F97)</f>
        <v>46453.4791666667</v>
      </c>
      <c r="G797" s="44"/>
      <c r="H797" s="44"/>
      <c r="I797" s="44"/>
      <c r="J797" s="137" t="n">
        <f aca="false">IF('Calendario H'!J97="","",'Calendario H'!J97)</f>
        <v>76</v>
      </c>
      <c r="K797" s="138" t="s">
        <v>339</v>
      </c>
      <c r="L797" s="137" t="n">
        <f aca="false">IF('Calendario H'!L97="","",'Calendario H'!L97)</f>
        <v>70</v>
      </c>
      <c r="M797" s="139"/>
      <c r="N797" s="139"/>
      <c r="O797" s="139"/>
      <c r="P797" s="139"/>
      <c r="Q797" s="139"/>
      <c r="R797" s="139"/>
    </row>
    <row r="798" customFormat="false" ht="15" hidden="false" customHeight="true" outlineLevel="0" collapsed="false">
      <c r="A798" s="84"/>
      <c r="B798" s="48" t="str">
        <f aca="false">IF('Calendario H'!B98="","",'Calendario H'!B98)</f>
        <v>PalaCastori, Via dello Sport 3, Castoriopoli CI</v>
      </c>
      <c r="C798" s="48"/>
      <c r="D798" s="48"/>
      <c r="E798" s="48"/>
      <c r="F798" s="48"/>
      <c r="G798" s="48"/>
      <c r="H798" s="48"/>
      <c r="I798" s="43" t="str">
        <f aca="false">IF('Calendario H'!I98="","",'Calendario H'!I98)</f>
        <v>H07</v>
      </c>
      <c r="J798" s="137"/>
      <c r="K798" s="137"/>
      <c r="L798" s="137"/>
      <c r="M798" s="137"/>
      <c r="N798" s="137"/>
      <c r="O798" s="137"/>
      <c r="P798" s="137"/>
      <c r="Q798" s="137"/>
      <c r="R798" s="137"/>
    </row>
    <row r="799" customFormat="false" ht="13.5" hidden="false" customHeight="true" outlineLevel="0" collapsed="false">
      <c r="A799" s="83" t="s">
        <v>334</v>
      </c>
      <c r="B799" s="83" t="s">
        <v>317</v>
      </c>
      <c r="C799" s="83"/>
      <c r="D799" s="83" t="s">
        <v>324</v>
      </c>
      <c r="E799" s="83"/>
      <c r="F799" s="83" t="s">
        <v>335</v>
      </c>
      <c r="G799" s="83" t="s">
        <v>336</v>
      </c>
      <c r="H799" s="83" t="s">
        <v>337</v>
      </c>
      <c r="I799" s="83"/>
      <c r="J799" s="83" t="s">
        <v>338</v>
      </c>
      <c r="K799" s="83"/>
      <c r="L799" s="83"/>
      <c r="M799" s="153" t="s">
        <v>539</v>
      </c>
      <c r="N799" s="153" t="s">
        <v>540</v>
      </c>
      <c r="O799" s="153" t="s">
        <v>541</v>
      </c>
      <c r="P799" s="153" t="s">
        <v>542</v>
      </c>
      <c r="Q799" s="153" t="s">
        <v>543</v>
      </c>
      <c r="R799" s="153" t="s">
        <v>544</v>
      </c>
    </row>
    <row r="800" customFormat="false" ht="21.75" hidden="false" customHeight="true" outlineLevel="0" collapsed="false">
      <c r="A800" s="84" t="n">
        <f aca="false">IF('Calendario H'!A100="","",'Calendario H'!A100)</f>
        <v>223</v>
      </c>
      <c r="B800" s="42" t="str">
        <f aca="false">IF('Calendario H'!B100="","",'Calendario H'!B100)</f>
        <v>Zanzare Zampettanti</v>
      </c>
      <c r="C800" s="43" t="str">
        <f aca="false">IF('Calendario H'!C100="","",'Calendario H'!C100)</f>
        <v>H04</v>
      </c>
      <c r="D800" s="42" t="str">
        <f aca="false">IF('Calendario H'!D100="","",'Calendario H'!D100)</f>
        <v>Castori Cocciuti</v>
      </c>
      <c r="E800" s="43" t="str">
        <f aca="false">IF('Calendario H'!E100="","",'Calendario H'!E100)</f>
        <v>H07</v>
      </c>
      <c r="F800" s="44" t="n">
        <f aca="false">IF('Calendario H'!F100="","",'Calendario H'!F100)</f>
        <v>46453.625</v>
      </c>
      <c r="G800" s="44"/>
      <c r="H800" s="44"/>
      <c r="I800" s="44"/>
      <c r="J800" s="137" t="n">
        <f aca="false">IF('Calendario H'!J100="","",'Calendario H'!J100)</f>
        <v>73</v>
      </c>
      <c r="K800" s="138" t="s">
        <v>339</v>
      </c>
      <c r="L800" s="137" t="n">
        <f aca="false">IF('Calendario H'!L100="","",'Calendario H'!L100)</f>
        <v>51</v>
      </c>
      <c r="M800" s="139"/>
      <c r="N800" s="139"/>
      <c r="O800" s="139"/>
      <c r="P800" s="139"/>
      <c r="Q800" s="139"/>
      <c r="R800" s="139"/>
    </row>
    <row r="801" customFormat="false" ht="15" hidden="false" customHeight="true" outlineLevel="0" collapsed="false">
      <c r="A801" s="84"/>
      <c r="B801" s="48" t="str">
        <f aca="false">IF('Calendario H'!B101="","",'Calendario H'!B101)</f>
        <v>PalaCastori, Via dello Sport 3, Castoriopoli CI</v>
      </c>
      <c r="C801" s="48"/>
      <c r="D801" s="48"/>
      <c r="E801" s="48"/>
      <c r="F801" s="48"/>
      <c r="G801" s="48"/>
      <c r="H801" s="48"/>
      <c r="I801" s="43" t="str">
        <f aca="false">IF('Calendario H'!I101="","",'Calendario H'!I101)</f>
        <v>H07</v>
      </c>
      <c r="J801" s="137"/>
      <c r="K801" s="137"/>
      <c r="L801" s="137"/>
      <c r="M801" s="137"/>
      <c r="N801" s="137"/>
      <c r="O801" s="137"/>
      <c r="P801" s="137"/>
      <c r="Q801" s="137"/>
      <c r="R801" s="137"/>
    </row>
    <row r="802" customFormat="false" ht="13.5" hidden="false" customHeight="true" outlineLevel="0" collapsed="false">
      <c r="A802" s="83" t="s">
        <v>334</v>
      </c>
      <c r="B802" s="83" t="s">
        <v>317</v>
      </c>
      <c r="C802" s="83"/>
      <c r="D802" s="83" t="s">
        <v>324</v>
      </c>
      <c r="E802" s="83"/>
      <c r="F802" s="83" t="s">
        <v>335</v>
      </c>
      <c r="G802" s="83" t="s">
        <v>336</v>
      </c>
      <c r="H802" s="83" t="s">
        <v>337</v>
      </c>
      <c r="I802" s="83"/>
      <c r="J802" s="83" t="s">
        <v>338</v>
      </c>
      <c r="K802" s="83"/>
      <c r="L802" s="83"/>
      <c r="M802" s="153" t="s">
        <v>539</v>
      </c>
      <c r="N802" s="153" t="s">
        <v>540</v>
      </c>
      <c r="O802" s="153" t="s">
        <v>541</v>
      </c>
      <c r="P802" s="153" t="s">
        <v>542</v>
      </c>
      <c r="Q802" s="153" t="s">
        <v>543</v>
      </c>
      <c r="R802" s="153" t="s">
        <v>544</v>
      </c>
    </row>
    <row r="803" customFormat="false" ht="21.75" hidden="false" customHeight="true" outlineLevel="0" collapsed="false">
      <c r="A803" s="84" t="n">
        <f aca="false">IF('Calendario H'!A103="","",'Calendario H'!A103)</f>
        <v>224</v>
      </c>
      <c r="B803" s="42" t="str">
        <f aca="false">IF('Calendario H'!B103="","",'Calendario H'!B103)</f>
        <v>Bradipi Brillanti</v>
      </c>
      <c r="C803" s="43" t="str">
        <f aca="false">IF('Calendario H'!C103="","",'Calendario H'!C103)</f>
        <v>H06</v>
      </c>
      <c r="D803" s="42" t="str">
        <f aca="false">IF('Calendario H'!D103="","",'Calendario H'!D103)</f>
        <v>Aquile Audaci</v>
      </c>
      <c r="E803" s="43" t="str">
        <f aca="false">IF('Calendario H'!E103="","",'Calendario H'!E103)</f>
        <v>H05</v>
      </c>
      <c r="F803" s="44" t="n">
        <f aca="false">IF('Calendario H'!F103="","",'Calendario H'!F103)</f>
        <v>46453.7083333333</v>
      </c>
      <c r="G803" s="44"/>
      <c r="H803" s="44"/>
      <c r="I803" s="44"/>
      <c r="J803" s="137" t="n">
        <f aca="false">IF('Calendario H'!J103="","",'Calendario H'!J103)</f>
        <v>64</v>
      </c>
      <c r="K803" s="138" t="s">
        <v>339</v>
      </c>
      <c r="L803" s="137" t="n">
        <f aca="false">IF('Calendario H'!L103="","",'Calendario H'!L103)</f>
        <v>55</v>
      </c>
      <c r="M803" s="139"/>
      <c r="N803" s="139"/>
      <c r="O803" s="139"/>
      <c r="P803" s="139"/>
      <c r="Q803" s="139"/>
      <c r="R803" s="139"/>
    </row>
    <row r="804" customFormat="false" ht="15" hidden="false" customHeight="true" outlineLevel="0" collapsed="false">
      <c r="A804" s="84"/>
      <c r="B804" s="48" t="str">
        <f aca="false">IF('Calendario H'!B104="","",'Calendario H'!B104)</f>
        <v>PalaCastori, Via dello Sport 3, Castoriopoli CI</v>
      </c>
      <c r="C804" s="48"/>
      <c r="D804" s="48"/>
      <c r="E804" s="48"/>
      <c r="F804" s="48"/>
      <c r="G804" s="48"/>
      <c r="H804" s="48"/>
      <c r="I804" s="43" t="str">
        <f aca="false">IF('Calendario H'!I104="","",'Calendario H'!I104)</f>
        <v>H07</v>
      </c>
      <c r="J804" s="137"/>
      <c r="K804" s="137"/>
      <c r="L804" s="137"/>
      <c r="M804" s="137"/>
      <c r="N804" s="137"/>
      <c r="O804" s="137"/>
      <c r="P804" s="137"/>
      <c r="Q804" s="137"/>
      <c r="R804" s="137"/>
    </row>
    <row r="808" customFormat="false" ht="19.5" hidden="false" customHeight="true" outlineLevel="0" collapsed="false">
      <c r="A808" s="154" t="str">
        <f aca="false">IF(Playoff!A8="","",Playoff!A8)</f>
        <v/>
      </c>
      <c r="B808" s="86" t="str">
        <f aca="false">IF(Playoff!B8="","",Playoff!B8)</f>
        <v>PLAYOFF OTTAVI DI FINALE</v>
      </c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155" t="s">
        <v>537</v>
      </c>
      <c r="N808" s="155"/>
      <c r="O808" s="155"/>
      <c r="P808" s="155" t="s">
        <v>538</v>
      </c>
      <c r="Q808" s="155"/>
      <c r="R808" s="155"/>
    </row>
    <row r="809" customFormat="false" ht="13.5" hidden="false" customHeight="true" outlineLevel="0" collapsed="false">
      <c r="A809" s="87" t="s">
        <v>334</v>
      </c>
      <c r="B809" s="87" t="s">
        <v>317</v>
      </c>
      <c r="C809" s="87"/>
      <c r="D809" s="87" t="s">
        <v>324</v>
      </c>
      <c r="E809" s="87"/>
      <c r="F809" s="87" t="s">
        <v>335</v>
      </c>
      <c r="G809" s="87" t="s">
        <v>336</v>
      </c>
      <c r="H809" s="87" t="s">
        <v>337</v>
      </c>
      <c r="I809" s="87"/>
      <c r="J809" s="87" t="s">
        <v>338</v>
      </c>
      <c r="K809" s="87"/>
      <c r="L809" s="87"/>
      <c r="M809" s="156" t="s">
        <v>539</v>
      </c>
      <c r="N809" s="156" t="s">
        <v>540</v>
      </c>
      <c r="O809" s="156" t="s">
        <v>541</v>
      </c>
      <c r="P809" s="156" t="s">
        <v>542</v>
      </c>
      <c r="Q809" s="156" t="s">
        <v>543</v>
      </c>
      <c r="R809" s="156" t="s">
        <v>544</v>
      </c>
    </row>
    <row r="810" customFormat="false" ht="21.75" hidden="false" customHeight="true" outlineLevel="0" collapsed="false">
      <c r="A810" s="88" t="n">
        <f aca="false">IF(Playoff!A10="","",Playoff!A10)</f>
        <v>225</v>
      </c>
      <c r="B810" s="42" t="str">
        <f aca="false">IF(Playoff!B10="","",Playoff!B10)</f>
        <v>Anaconde Arrabbiate</v>
      </c>
      <c r="C810" s="43" t="str">
        <f aca="false">IF(Playoff!C10="","",Playoff!C10)</f>
        <v>A1</v>
      </c>
      <c r="D810" s="42" t="str">
        <f aca="false">IF(Playoff!D10="","",Playoff!D10)</f>
        <v>Urubu Urlanti</v>
      </c>
      <c r="E810" s="43" t="str">
        <f aca="false">IF(Playoff!E10="","",Playoff!E10)</f>
        <v>H2</v>
      </c>
      <c r="F810" s="44" t="n">
        <f aca="false">IF(Playoff!F10="","",Playoff!F10)</f>
        <v>46488.3958333333</v>
      </c>
      <c r="G810" s="44"/>
      <c r="H810" s="44"/>
      <c r="I810" s="44"/>
      <c r="J810" s="137" t="n">
        <f aca="false">IF(Playoff!J10="","",Playoff!J10)</f>
        <v>62</v>
      </c>
      <c r="K810" s="138" t="s">
        <v>339</v>
      </c>
      <c r="L810" s="137" t="n">
        <f aca="false">IF(Playoff!L10="","",Playoff!L10)</f>
        <v>38</v>
      </c>
      <c r="M810" s="139"/>
      <c r="N810" s="139"/>
      <c r="O810" s="139"/>
      <c r="P810" s="139"/>
      <c r="Q810" s="139"/>
      <c r="R810" s="139"/>
    </row>
    <row r="811" customFormat="false" ht="15" hidden="false" customHeight="true" outlineLevel="0" collapsed="false">
      <c r="A811" s="88"/>
      <c r="B811" s="48" t="str">
        <f aca="false">IF(Playoff!B11="","",Playoff!B11)</f>
        <v>DA DEFINIRE</v>
      </c>
      <c r="C811" s="48"/>
      <c r="D811" s="48"/>
      <c r="E811" s="48"/>
      <c r="F811" s="48"/>
      <c r="G811" s="48"/>
      <c r="H811" s="48"/>
      <c r="I811" s="43" t="str">
        <f aca="false">IF(Playoff!I11="","",Playoff!I11)</f>
        <v>TBD</v>
      </c>
      <c r="J811" s="137"/>
      <c r="K811" s="137"/>
      <c r="L811" s="137"/>
      <c r="M811" s="137"/>
      <c r="N811" s="137"/>
      <c r="O811" s="137"/>
      <c r="P811" s="137"/>
      <c r="Q811" s="137"/>
      <c r="R811" s="137"/>
    </row>
    <row r="812" customFormat="false" ht="13.5" hidden="false" customHeight="true" outlineLevel="0" collapsed="false">
      <c r="A812" s="87" t="s">
        <v>334</v>
      </c>
      <c r="B812" s="87" t="s">
        <v>317</v>
      </c>
      <c r="C812" s="87"/>
      <c r="D812" s="87" t="s">
        <v>324</v>
      </c>
      <c r="E812" s="87"/>
      <c r="F812" s="87" t="s">
        <v>335</v>
      </c>
      <c r="G812" s="87" t="s">
        <v>336</v>
      </c>
      <c r="H812" s="87" t="s">
        <v>337</v>
      </c>
      <c r="I812" s="87"/>
      <c r="J812" s="87" t="s">
        <v>338</v>
      </c>
      <c r="K812" s="87"/>
      <c r="L812" s="87"/>
      <c r="M812" s="156" t="s">
        <v>539</v>
      </c>
      <c r="N812" s="156" t="s">
        <v>540</v>
      </c>
      <c r="O812" s="156" t="s">
        <v>541</v>
      </c>
      <c r="P812" s="156" t="s">
        <v>542</v>
      </c>
      <c r="Q812" s="156" t="s">
        <v>543</v>
      </c>
      <c r="R812" s="156" t="s">
        <v>544</v>
      </c>
    </row>
    <row r="813" customFormat="false" ht="21.75" hidden="false" customHeight="true" outlineLevel="0" collapsed="false">
      <c r="A813" s="88" t="n">
        <f aca="false">IF(Playoff!A13="","",Playoff!A13)</f>
        <v>226</v>
      </c>
      <c r="B813" s="42" t="str">
        <f aca="false">IF(Playoff!B13="","",Playoff!B13)</f>
        <v>Rinoceronti Ribelli</v>
      </c>
      <c r="C813" s="43" t="str">
        <f aca="false">IF(Playoff!C13="","",Playoff!C13)</f>
        <v>B1</v>
      </c>
      <c r="D813" s="42" t="str">
        <f aca="false">IF(Playoff!D13="","",Playoff!D13)</f>
        <v>Struzzi Strepitosi</v>
      </c>
      <c r="E813" s="43" t="str">
        <f aca="false">IF(Playoff!E13="","",Playoff!E13)</f>
        <v>G2</v>
      </c>
      <c r="F813" s="44" t="n">
        <f aca="false">IF(Playoff!F13="","",Playoff!F13)</f>
        <v>46488.4583333333</v>
      </c>
      <c r="G813" s="44"/>
      <c r="H813" s="44"/>
      <c r="I813" s="44"/>
      <c r="J813" s="137" t="n">
        <f aca="false">IF(Playoff!J13="","",Playoff!J13)</f>
        <v>67</v>
      </c>
      <c r="K813" s="138" t="s">
        <v>339</v>
      </c>
      <c r="L813" s="137" t="n">
        <f aca="false">IF(Playoff!L13="","",Playoff!L13)</f>
        <v>54</v>
      </c>
      <c r="M813" s="139"/>
      <c r="N813" s="139"/>
      <c r="O813" s="139"/>
      <c r="P813" s="139"/>
      <c r="Q813" s="139"/>
      <c r="R813" s="139"/>
    </row>
    <row r="814" customFormat="false" ht="15" hidden="false" customHeight="true" outlineLevel="0" collapsed="false">
      <c r="A814" s="88"/>
      <c r="B814" s="48" t="str">
        <f aca="false">IF(Playoff!B14="","",Playoff!B14)</f>
        <v>DA DEFINIRE</v>
      </c>
      <c r="C814" s="48"/>
      <c r="D814" s="48"/>
      <c r="E814" s="48"/>
      <c r="F814" s="48"/>
      <c r="G814" s="48"/>
      <c r="H814" s="48"/>
      <c r="I814" s="43" t="str">
        <f aca="false">IF(Playoff!I14="","",Playoff!I14)</f>
        <v>TBD</v>
      </c>
      <c r="J814" s="137"/>
      <c r="K814" s="137"/>
      <c r="L814" s="137"/>
      <c r="M814" s="137"/>
      <c r="N814" s="137"/>
      <c r="O814" s="137"/>
      <c r="P814" s="137"/>
      <c r="Q814" s="137"/>
      <c r="R814" s="137"/>
    </row>
    <row r="815" customFormat="false" ht="13.5" hidden="false" customHeight="true" outlineLevel="0" collapsed="false">
      <c r="A815" s="87" t="s">
        <v>334</v>
      </c>
      <c r="B815" s="87" t="s">
        <v>317</v>
      </c>
      <c r="C815" s="87"/>
      <c r="D815" s="87" t="s">
        <v>324</v>
      </c>
      <c r="E815" s="87"/>
      <c r="F815" s="87" t="s">
        <v>335</v>
      </c>
      <c r="G815" s="87" t="s">
        <v>336</v>
      </c>
      <c r="H815" s="87" t="s">
        <v>337</v>
      </c>
      <c r="I815" s="87"/>
      <c r="J815" s="87" t="s">
        <v>338</v>
      </c>
      <c r="K815" s="87"/>
      <c r="L815" s="87"/>
      <c r="M815" s="156" t="s">
        <v>539</v>
      </c>
      <c r="N815" s="156" t="s">
        <v>540</v>
      </c>
      <c r="O815" s="156" t="s">
        <v>541</v>
      </c>
      <c r="P815" s="156" t="s">
        <v>542</v>
      </c>
      <c r="Q815" s="156" t="s">
        <v>543</v>
      </c>
      <c r="R815" s="156" t="s">
        <v>544</v>
      </c>
    </row>
    <row r="816" customFormat="false" ht="21.75" hidden="false" customHeight="true" outlineLevel="0" collapsed="false">
      <c r="A816" s="88" t="n">
        <f aca="false">IF(Playoff!A16="","",Playoff!A16)</f>
        <v>227</v>
      </c>
      <c r="B816" s="42" t="str">
        <f aca="false">IF(Playoff!B16="","",Playoff!B16)</f>
        <v>Zebre Zelanti</v>
      </c>
      <c r="C816" s="43" t="str">
        <f aca="false">IF(Playoff!C16="","",Playoff!C16)</f>
        <v>C1</v>
      </c>
      <c r="D816" s="42" t="str">
        <f aca="false">IF(Playoff!D16="","",Playoff!D16)</f>
        <v>Iene Ilari</v>
      </c>
      <c r="E816" s="43" t="str">
        <f aca="false">IF(Playoff!E16="","",Playoff!E16)</f>
        <v>F2</v>
      </c>
      <c r="F816" s="44" t="n">
        <f aca="false">IF(Playoff!F16="","",Playoff!F16)</f>
        <v>46488.5625</v>
      </c>
      <c r="G816" s="44"/>
      <c r="H816" s="44"/>
      <c r="I816" s="44"/>
      <c r="J816" s="137" t="n">
        <f aca="false">IF(Playoff!J16="","",Playoff!J16)</f>
        <v>50</v>
      </c>
      <c r="K816" s="138" t="s">
        <v>339</v>
      </c>
      <c r="L816" s="137" t="n">
        <f aca="false">IF(Playoff!L16="","",Playoff!L16)</f>
        <v>70</v>
      </c>
      <c r="M816" s="139"/>
      <c r="N816" s="139"/>
      <c r="O816" s="139"/>
      <c r="P816" s="139"/>
      <c r="Q816" s="139"/>
      <c r="R816" s="139"/>
    </row>
    <row r="817" customFormat="false" ht="15" hidden="false" customHeight="true" outlineLevel="0" collapsed="false">
      <c r="A817" s="88"/>
      <c r="B817" s="48" t="str">
        <f aca="false">IF(Playoff!B17="","",Playoff!B17)</f>
        <v>DA DEFINIRE</v>
      </c>
      <c r="C817" s="48"/>
      <c r="D817" s="48"/>
      <c r="E817" s="48"/>
      <c r="F817" s="48"/>
      <c r="G817" s="48"/>
      <c r="H817" s="48"/>
      <c r="I817" s="43" t="str">
        <f aca="false">IF(Playoff!I17="","",Playoff!I17)</f>
        <v>TBD</v>
      </c>
      <c r="J817" s="137"/>
      <c r="K817" s="137"/>
      <c r="L817" s="137"/>
      <c r="M817" s="137"/>
      <c r="N817" s="137"/>
      <c r="O817" s="137"/>
      <c r="P817" s="137"/>
      <c r="Q817" s="137"/>
      <c r="R817" s="137"/>
    </row>
    <row r="818" customFormat="false" ht="13.5" hidden="false" customHeight="true" outlineLevel="0" collapsed="false">
      <c r="A818" s="87" t="s">
        <v>334</v>
      </c>
      <c r="B818" s="87" t="s">
        <v>317</v>
      </c>
      <c r="C818" s="87"/>
      <c r="D818" s="87" t="s">
        <v>324</v>
      </c>
      <c r="E818" s="87"/>
      <c r="F818" s="87" t="s">
        <v>335</v>
      </c>
      <c r="G818" s="87" t="s">
        <v>336</v>
      </c>
      <c r="H818" s="87" t="s">
        <v>337</v>
      </c>
      <c r="I818" s="87"/>
      <c r="J818" s="87" t="s">
        <v>338</v>
      </c>
      <c r="K818" s="87"/>
      <c r="L818" s="87"/>
      <c r="M818" s="156" t="s">
        <v>539</v>
      </c>
      <c r="N818" s="156" t="s">
        <v>540</v>
      </c>
      <c r="O818" s="156" t="s">
        <v>541</v>
      </c>
      <c r="P818" s="156" t="s">
        <v>542</v>
      </c>
      <c r="Q818" s="156" t="s">
        <v>543</v>
      </c>
      <c r="R818" s="156" t="s">
        <v>544</v>
      </c>
    </row>
    <row r="819" customFormat="false" ht="21.75" hidden="false" customHeight="true" outlineLevel="0" collapsed="false">
      <c r="A819" s="88" t="n">
        <f aca="false">IF(Playoff!A19="","",Playoff!A19)</f>
        <v>228</v>
      </c>
      <c r="B819" s="42" t="str">
        <f aca="false">IF(Playoff!B19="","",Playoff!B19)</f>
        <v>Elefanti Esuberanti</v>
      </c>
      <c r="C819" s="43" t="str">
        <f aca="false">IF(Playoff!C19="","",Playoff!C19)</f>
        <v>D1</v>
      </c>
      <c r="D819" s="42" t="str">
        <f aca="false">IF(Playoff!D19="","",Playoff!D19)</f>
        <v>Zibetti Zuccherini</v>
      </c>
      <c r="E819" s="43" t="str">
        <f aca="false">IF(Playoff!E19="","",Playoff!E19)</f>
        <v>E2</v>
      </c>
      <c r="F819" s="44" t="n">
        <f aca="false">IF(Playoff!F19="","",Playoff!F19)</f>
        <v>46488.625</v>
      </c>
      <c r="G819" s="44"/>
      <c r="H819" s="44"/>
      <c r="I819" s="44"/>
      <c r="J819" s="137" t="n">
        <f aca="false">IF(Playoff!J19="","",Playoff!J19)</f>
        <v>36</v>
      </c>
      <c r="K819" s="138" t="s">
        <v>339</v>
      </c>
      <c r="L819" s="137" t="n">
        <f aca="false">IF(Playoff!L19="","",Playoff!L19)</f>
        <v>47</v>
      </c>
      <c r="M819" s="139"/>
      <c r="N819" s="139"/>
      <c r="O819" s="139"/>
      <c r="P819" s="139"/>
      <c r="Q819" s="139"/>
      <c r="R819" s="139"/>
    </row>
    <row r="820" customFormat="false" ht="15" hidden="false" customHeight="true" outlineLevel="0" collapsed="false">
      <c r="A820" s="88"/>
      <c r="B820" s="48" t="str">
        <f aca="false">IF(Playoff!B20="","",Playoff!B20)</f>
        <v>DA DEFINIRE</v>
      </c>
      <c r="C820" s="48"/>
      <c r="D820" s="48"/>
      <c r="E820" s="48"/>
      <c r="F820" s="48"/>
      <c r="G820" s="48"/>
      <c r="H820" s="48"/>
      <c r="I820" s="43" t="str">
        <f aca="false">IF(Playoff!I20="","",Playoff!I20)</f>
        <v>TBD</v>
      </c>
      <c r="J820" s="137"/>
      <c r="K820" s="137"/>
      <c r="L820" s="137"/>
      <c r="M820" s="137"/>
      <c r="N820" s="137"/>
      <c r="O820" s="137"/>
      <c r="P820" s="137"/>
      <c r="Q820" s="137"/>
      <c r="R820" s="137"/>
    </row>
    <row r="821" customFormat="false" ht="13.5" hidden="false" customHeight="true" outlineLevel="0" collapsed="false">
      <c r="A821" s="87" t="s">
        <v>334</v>
      </c>
      <c r="B821" s="87" t="s">
        <v>317</v>
      </c>
      <c r="C821" s="87"/>
      <c r="D821" s="87" t="s">
        <v>324</v>
      </c>
      <c r="E821" s="87"/>
      <c r="F821" s="87" t="s">
        <v>335</v>
      </c>
      <c r="G821" s="87" t="s">
        <v>336</v>
      </c>
      <c r="H821" s="87" t="s">
        <v>337</v>
      </c>
      <c r="I821" s="87"/>
      <c r="J821" s="87" t="s">
        <v>338</v>
      </c>
      <c r="K821" s="87"/>
      <c r="L821" s="87"/>
      <c r="M821" s="156" t="s">
        <v>539</v>
      </c>
      <c r="N821" s="156" t="s">
        <v>540</v>
      </c>
      <c r="O821" s="156" t="s">
        <v>541</v>
      </c>
      <c r="P821" s="156" t="s">
        <v>542</v>
      </c>
      <c r="Q821" s="156" t="s">
        <v>543</v>
      </c>
      <c r="R821" s="156" t="s">
        <v>544</v>
      </c>
    </row>
    <row r="822" customFormat="false" ht="21.75" hidden="false" customHeight="true" outlineLevel="0" collapsed="false">
      <c r="A822" s="88" t="n">
        <f aca="false">IF(Playoff!A22="","",Playoff!A22)</f>
        <v>229</v>
      </c>
      <c r="B822" s="42" t="str">
        <f aca="false">IF(Playoff!B22="","",Playoff!B22)</f>
        <v>Tassi Turbolenti</v>
      </c>
      <c r="C822" s="43" t="str">
        <f aca="false">IF(Playoff!C22="","",Playoff!C22)</f>
        <v>E1</v>
      </c>
      <c r="D822" s="42" t="str">
        <f aca="false">IF(Playoff!D22="","",Playoff!D22)</f>
        <v>Lontre Loquaci</v>
      </c>
      <c r="E822" s="43" t="str">
        <f aca="false">IF(Playoff!E22="","",Playoff!E22)</f>
        <v>D2</v>
      </c>
      <c r="F822" s="44" t="n">
        <f aca="false">IF(Playoff!F22="","",Playoff!F22)</f>
        <v>46488.3958333333</v>
      </c>
      <c r="G822" s="44"/>
      <c r="H822" s="44"/>
      <c r="I822" s="44"/>
      <c r="J822" s="137" t="n">
        <f aca="false">IF(Playoff!J22="","",Playoff!J22)</f>
        <v>66</v>
      </c>
      <c r="K822" s="138" t="s">
        <v>339</v>
      </c>
      <c r="L822" s="137" t="n">
        <f aca="false">IF(Playoff!L22="","",Playoff!L22)</f>
        <v>63</v>
      </c>
      <c r="M822" s="139"/>
      <c r="N822" s="139"/>
      <c r="O822" s="139"/>
      <c r="P822" s="139"/>
      <c r="Q822" s="139"/>
      <c r="R822" s="139"/>
    </row>
    <row r="823" customFormat="false" ht="15" hidden="false" customHeight="true" outlineLevel="0" collapsed="false">
      <c r="A823" s="88"/>
      <c r="B823" s="48" t="str">
        <f aca="false">IF(Playoff!B23="","",Playoff!B23)</f>
        <v>DA DEFINIRE</v>
      </c>
      <c r="C823" s="48"/>
      <c r="D823" s="48"/>
      <c r="E823" s="48"/>
      <c r="F823" s="48"/>
      <c r="G823" s="48"/>
      <c r="H823" s="48"/>
      <c r="I823" s="43" t="str">
        <f aca="false">IF(Playoff!I23="","",Playoff!I23)</f>
        <v>TBD</v>
      </c>
      <c r="J823" s="137"/>
      <c r="K823" s="137"/>
      <c r="L823" s="137"/>
      <c r="M823" s="137"/>
      <c r="N823" s="137"/>
      <c r="O823" s="137"/>
      <c r="P823" s="137"/>
      <c r="Q823" s="137"/>
      <c r="R823" s="137"/>
    </row>
    <row r="824" customFormat="false" ht="13.5" hidden="false" customHeight="true" outlineLevel="0" collapsed="false">
      <c r="A824" s="87" t="s">
        <v>334</v>
      </c>
      <c r="B824" s="87" t="s">
        <v>317</v>
      </c>
      <c r="C824" s="87"/>
      <c r="D824" s="87" t="s">
        <v>324</v>
      </c>
      <c r="E824" s="87"/>
      <c r="F824" s="87" t="s">
        <v>335</v>
      </c>
      <c r="G824" s="87" t="s">
        <v>336</v>
      </c>
      <c r="H824" s="87" t="s">
        <v>337</v>
      </c>
      <c r="I824" s="87"/>
      <c r="J824" s="87" t="s">
        <v>338</v>
      </c>
      <c r="K824" s="87"/>
      <c r="L824" s="87"/>
      <c r="M824" s="156" t="s">
        <v>539</v>
      </c>
      <c r="N824" s="156" t="s">
        <v>540</v>
      </c>
      <c r="O824" s="156" t="s">
        <v>541</v>
      </c>
      <c r="P824" s="156" t="s">
        <v>542</v>
      </c>
      <c r="Q824" s="156" t="s">
        <v>543</v>
      </c>
      <c r="R824" s="156" t="s">
        <v>544</v>
      </c>
    </row>
    <row r="825" customFormat="false" ht="21.75" hidden="false" customHeight="true" outlineLevel="0" collapsed="false">
      <c r="A825" s="88" t="n">
        <f aca="false">IF(Playoff!A25="","",Playoff!A25)</f>
        <v>230</v>
      </c>
      <c r="B825" s="42" t="str">
        <f aca="false">IF(Playoff!B25="","",Playoff!B25)</f>
        <v>Donnole Determinate</v>
      </c>
      <c r="C825" s="43" t="str">
        <f aca="false">IF(Playoff!C25="","",Playoff!C25)</f>
        <v>F1</v>
      </c>
      <c r="D825" s="42" t="str">
        <f aca="false">IF(Playoff!D25="","",Playoff!D25)</f>
        <v>Tigri Tenaci</v>
      </c>
      <c r="E825" s="43" t="str">
        <f aca="false">IF(Playoff!E25="","",Playoff!E25)</f>
        <v>C2</v>
      </c>
      <c r="F825" s="44" t="n">
        <f aca="false">IF(Playoff!F25="","",Playoff!F25)</f>
        <v>46488.4583333333</v>
      </c>
      <c r="G825" s="44"/>
      <c r="H825" s="44"/>
      <c r="I825" s="44"/>
      <c r="J825" s="137" t="n">
        <f aca="false">IF(Playoff!J25="","",Playoff!J25)</f>
        <v>38</v>
      </c>
      <c r="K825" s="138" t="s">
        <v>339</v>
      </c>
      <c r="L825" s="137" t="n">
        <f aca="false">IF(Playoff!L25="","",Playoff!L25)</f>
        <v>57</v>
      </c>
      <c r="M825" s="139"/>
      <c r="N825" s="139"/>
      <c r="O825" s="139"/>
      <c r="P825" s="139"/>
      <c r="Q825" s="139"/>
      <c r="R825" s="139"/>
    </row>
    <row r="826" customFormat="false" ht="15" hidden="false" customHeight="true" outlineLevel="0" collapsed="false">
      <c r="A826" s="88"/>
      <c r="B826" s="48" t="str">
        <f aca="false">IF(Playoff!B26="","",Playoff!B26)</f>
        <v>DA DEFINIRE</v>
      </c>
      <c r="C826" s="48"/>
      <c r="D826" s="48"/>
      <c r="E826" s="48"/>
      <c r="F826" s="48"/>
      <c r="G826" s="48"/>
      <c r="H826" s="48"/>
      <c r="I826" s="43" t="str">
        <f aca="false">IF(Playoff!I26="","",Playoff!I26)</f>
        <v>TBD</v>
      </c>
      <c r="J826" s="137"/>
      <c r="K826" s="137"/>
      <c r="L826" s="137"/>
      <c r="M826" s="137"/>
      <c r="N826" s="137"/>
      <c r="O826" s="137"/>
      <c r="P826" s="137"/>
      <c r="Q826" s="137"/>
      <c r="R826" s="137"/>
    </row>
    <row r="827" customFormat="false" ht="13.5" hidden="false" customHeight="true" outlineLevel="0" collapsed="false">
      <c r="A827" s="87" t="s">
        <v>334</v>
      </c>
      <c r="B827" s="87" t="s">
        <v>317</v>
      </c>
      <c r="C827" s="87"/>
      <c r="D827" s="87" t="s">
        <v>324</v>
      </c>
      <c r="E827" s="87"/>
      <c r="F827" s="87" t="s">
        <v>335</v>
      </c>
      <c r="G827" s="87" t="s">
        <v>336</v>
      </c>
      <c r="H827" s="87" t="s">
        <v>337</v>
      </c>
      <c r="I827" s="87"/>
      <c r="J827" s="87" t="s">
        <v>338</v>
      </c>
      <c r="K827" s="87"/>
      <c r="L827" s="87"/>
      <c r="M827" s="156" t="s">
        <v>539</v>
      </c>
      <c r="N827" s="156" t="s">
        <v>540</v>
      </c>
      <c r="O827" s="156" t="s">
        <v>541</v>
      </c>
      <c r="P827" s="156" t="s">
        <v>542</v>
      </c>
      <c r="Q827" s="156" t="s">
        <v>543</v>
      </c>
      <c r="R827" s="156" t="s">
        <v>544</v>
      </c>
    </row>
    <row r="828" customFormat="false" ht="21.75" hidden="false" customHeight="true" outlineLevel="0" collapsed="false">
      <c r="A828" s="88" t="n">
        <f aca="false">IF(Playoff!A28="","",Playoff!A28)</f>
        <v>231</v>
      </c>
      <c r="B828" s="42" t="str">
        <f aca="false">IF(Playoff!B28="","",Playoff!B28)</f>
        <v>Pinguini Prodigiosi</v>
      </c>
      <c r="C828" s="43" t="str">
        <f aca="false">IF(Playoff!C28="","",Playoff!C28)</f>
        <v>G1</v>
      </c>
      <c r="D828" s="42" t="str">
        <f aca="false">IF(Playoff!D28="","",Playoff!D28)</f>
        <v>Lupi Lucenti</v>
      </c>
      <c r="E828" s="43" t="str">
        <f aca="false">IF(Playoff!E28="","",Playoff!E28)</f>
        <v>B2</v>
      </c>
      <c r="F828" s="44" t="n">
        <f aca="false">IF(Playoff!F28="","",Playoff!F28)</f>
        <v>46488.5625</v>
      </c>
      <c r="G828" s="44"/>
      <c r="H828" s="44"/>
      <c r="I828" s="44"/>
      <c r="J828" s="137" t="n">
        <f aca="false">IF(Playoff!J28="","",Playoff!J28)</f>
        <v>63</v>
      </c>
      <c r="K828" s="138" t="s">
        <v>339</v>
      </c>
      <c r="L828" s="137" t="n">
        <f aca="false">IF(Playoff!L28="","",Playoff!L28)</f>
        <v>52</v>
      </c>
      <c r="M828" s="139"/>
      <c r="N828" s="139"/>
      <c r="O828" s="139"/>
      <c r="P828" s="139"/>
      <c r="Q828" s="139"/>
      <c r="R828" s="139"/>
    </row>
    <row r="829" customFormat="false" ht="15" hidden="false" customHeight="true" outlineLevel="0" collapsed="false">
      <c r="A829" s="88"/>
      <c r="B829" s="48" t="str">
        <f aca="false">IF(Playoff!B29="","",Playoff!B29)</f>
        <v>DA DEFINIRE</v>
      </c>
      <c r="C829" s="48"/>
      <c r="D829" s="48"/>
      <c r="E829" s="48"/>
      <c r="F829" s="48"/>
      <c r="G829" s="48"/>
      <c r="H829" s="48"/>
      <c r="I829" s="43" t="str">
        <f aca="false">IF(Playoff!I29="","",Playoff!I29)</f>
        <v>TBD</v>
      </c>
      <c r="J829" s="137"/>
      <c r="K829" s="137"/>
      <c r="L829" s="137"/>
      <c r="M829" s="137"/>
      <c r="N829" s="137"/>
      <c r="O829" s="137"/>
      <c r="P829" s="137"/>
      <c r="Q829" s="137"/>
      <c r="R829" s="137"/>
    </row>
    <row r="830" customFormat="false" ht="13.5" hidden="false" customHeight="true" outlineLevel="0" collapsed="false">
      <c r="A830" s="87" t="s">
        <v>334</v>
      </c>
      <c r="B830" s="87" t="s">
        <v>317</v>
      </c>
      <c r="C830" s="87"/>
      <c r="D830" s="87" t="s">
        <v>324</v>
      </c>
      <c r="E830" s="87"/>
      <c r="F830" s="87" t="s">
        <v>335</v>
      </c>
      <c r="G830" s="87" t="s">
        <v>336</v>
      </c>
      <c r="H830" s="87" t="s">
        <v>337</v>
      </c>
      <c r="I830" s="87"/>
      <c r="J830" s="87" t="s">
        <v>338</v>
      </c>
      <c r="K830" s="87"/>
      <c r="L830" s="87"/>
      <c r="M830" s="156" t="s">
        <v>539</v>
      </c>
      <c r="N830" s="156" t="s">
        <v>540</v>
      </c>
      <c r="O830" s="156" t="s">
        <v>541</v>
      </c>
      <c r="P830" s="156" t="s">
        <v>542</v>
      </c>
      <c r="Q830" s="156" t="s">
        <v>543</v>
      </c>
      <c r="R830" s="156" t="s">
        <v>544</v>
      </c>
    </row>
    <row r="831" customFormat="false" ht="21.75" hidden="false" customHeight="true" outlineLevel="0" collapsed="false">
      <c r="A831" s="88" t="n">
        <f aca="false">IF(Playoff!A31="","",Playoff!A31)</f>
        <v>232</v>
      </c>
      <c r="B831" s="42" t="str">
        <f aca="false">IF(Playoff!B31="","",Playoff!B31)</f>
        <v>Zanzare Zampettanti</v>
      </c>
      <c r="C831" s="43" t="str">
        <f aca="false">IF(Playoff!C31="","",Playoff!C31)</f>
        <v>H1</v>
      </c>
      <c r="D831" s="42" t="str">
        <f aca="false">IF(Playoff!D31="","",Playoff!D31)</f>
        <v>Falchi Furiosi</v>
      </c>
      <c r="E831" s="43" t="str">
        <f aca="false">IF(Playoff!E31="","",Playoff!E31)</f>
        <v>A2</v>
      </c>
      <c r="F831" s="44" t="n">
        <f aca="false">IF(Playoff!F31="","",Playoff!F31)</f>
        <v>46488.625</v>
      </c>
      <c r="G831" s="44"/>
      <c r="H831" s="44"/>
      <c r="I831" s="44"/>
      <c r="J831" s="137" t="n">
        <f aca="false">IF(Playoff!J31="","",Playoff!J31)</f>
        <v>66</v>
      </c>
      <c r="K831" s="138" t="s">
        <v>339</v>
      </c>
      <c r="L831" s="137" t="n">
        <f aca="false">IF(Playoff!L31="","",Playoff!L31)</f>
        <v>61</v>
      </c>
      <c r="M831" s="139"/>
      <c r="N831" s="139"/>
      <c r="O831" s="139"/>
      <c r="P831" s="139"/>
      <c r="Q831" s="139"/>
      <c r="R831" s="139"/>
    </row>
    <row r="832" customFormat="false" ht="15" hidden="false" customHeight="true" outlineLevel="0" collapsed="false">
      <c r="A832" s="88"/>
      <c r="B832" s="48" t="str">
        <f aca="false">IF(Playoff!B32="","",Playoff!B32)</f>
        <v>DA DEFINIRE</v>
      </c>
      <c r="C832" s="48"/>
      <c r="D832" s="48"/>
      <c r="E832" s="48"/>
      <c r="F832" s="48"/>
      <c r="G832" s="48"/>
      <c r="H832" s="48"/>
      <c r="I832" s="43" t="str">
        <f aca="false">IF(Playoff!I32="","",Playoff!I32)</f>
        <v>TBD</v>
      </c>
      <c r="J832" s="137"/>
      <c r="K832" s="137"/>
      <c r="L832" s="137"/>
      <c r="M832" s="137"/>
      <c r="N832" s="137"/>
      <c r="O832" s="137"/>
      <c r="P832" s="137"/>
      <c r="Q832" s="137"/>
      <c r="R832" s="137"/>
    </row>
    <row r="834" customFormat="false" ht="19.5" hidden="false" customHeight="true" outlineLevel="0" collapsed="false">
      <c r="A834" s="154" t="str">
        <f aca="false">IF(Playoff!A34="","",Playoff!A34)</f>
        <v/>
      </c>
      <c r="B834" s="86" t="str">
        <f aca="false">IF(Playoff!B34="","",Playoff!B34)</f>
        <v>PLAYOFF QUARTI DI FINALE</v>
      </c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155" t="s">
        <v>537</v>
      </c>
      <c r="N834" s="155"/>
      <c r="O834" s="155"/>
      <c r="P834" s="155" t="s">
        <v>538</v>
      </c>
      <c r="Q834" s="155"/>
      <c r="R834" s="155"/>
    </row>
    <row r="835" customFormat="false" ht="13.5" hidden="false" customHeight="true" outlineLevel="0" collapsed="false">
      <c r="A835" s="87" t="s">
        <v>334</v>
      </c>
      <c r="B835" s="87" t="s">
        <v>317</v>
      </c>
      <c r="C835" s="87"/>
      <c r="D835" s="87" t="s">
        <v>324</v>
      </c>
      <c r="E835" s="87"/>
      <c r="F835" s="87" t="s">
        <v>335</v>
      </c>
      <c r="G835" s="87" t="s">
        <v>336</v>
      </c>
      <c r="H835" s="87" t="s">
        <v>337</v>
      </c>
      <c r="I835" s="87"/>
      <c r="J835" s="87" t="s">
        <v>338</v>
      </c>
      <c r="K835" s="87"/>
      <c r="L835" s="87"/>
      <c r="M835" s="156" t="s">
        <v>539</v>
      </c>
      <c r="N835" s="156" t="s">
        <v>540</v>
      </c>
      <c r="O835" s="156" t="s">
        <v>541</v>
      </c>
      <c r="P835" s="156" t="s">
        <v>542</v>
      </c>
      <c r="Q835" s="156" t="s">
        <v>543</v>
      </c>
      <c r="R835" s="156" t="s">
        <v>544</v>
      </c>
    </row>
    <row r="836" customFormat="false" ht="21.75" hidden="false" customHeight="true" outlineLevel="0" collapsed="false">
      <c r="A836" s="88" t="n">
        <f aca="false">IF(Playoff!A36="","",Playoff!A36)</f>
        <v>233</v>
      </c>
      <c r="B836" s="42" t="str">
        <f aca="false">IF(Playoff!B36="","",Playoff!B36)</f>
        <v>Anaconde Arrabbiate</v>
      </c>
      <c r="C836" s="43" t="n">
        <f aca="false">IF(Playoff!C36="","",Playoff!C36)</f>
        <v>225</v>
      </c>
      <c r="D836" s="42" t="str">
        <f aca="false">IF(Playoff!D36="","",Playoff!D36)</f>
        <v>Zanzare Zampettanti</v>
      </c>
      <c r="E836" s="43" t="n">
        <f aca="false">IF(Playoff!E36="","",Playoff!E36)</f>
        <v>232</v>
      </c>
      <c r="F836" s="44" t="n">
        <f aca="false">IF(Playoff!F36="","",Playoff!F36)</f>
        <v>46503.3958333333</v>
      </c>
      <c r="G836" s="44"/>
      <c r="H836" s="44"/>
      <c r="I836" s="44"/>
      <c r="J836" s="137" t="n">
        <f aca="false">IF(Playoff!J36="","",Playoff!J36)</f>
        <v>75</v>
      </c>
      <c r="K836" s="138" t="s">
        <v>339</v>
      </c>
      <c r="L836" s="137" t="n">
        <f aca="false">IF(Playoff!L36="","",Playoff!L36)</f>
        <v>61</v>
      </c>
      <c r="M836" s="139"/>
      <c r="N836" s="139"/>
      <c r="O836" s="139"/>
      <c r="P836" s="139"/>
      <c r="Q836" s="139"/>
      <c r="R836" s="139"/>
    </row>
    <row r="837" customFormat="false" ht="15" hidden="false" customHeight="true" outlineLevel="0" collapsed="false">
      <c r="A837" s="88"/>
      <c r="B837" s="48" t="str">
        <f aca="false">IF(Playoff!B37="","",Playoff!B37)</f>
        <v>DA DEFINIRE</v>
      </c>
      <c r="C837" s="48"/>
      <c r="D837" s="48"/>
      <c r="E837" s="48"/>
      <c r="F837" s="48"/>
      <c r="G837" s="48"/>
      <c r="H837" s="48"/>
      <c r="I837" s="43" t="str">
        <f aca="false">IF(Playoff!I37="","",Playoff!I37)</f>
        <v>TBD</v>
      </c>
      <c r="J837" s="137"/>
      <c r="K837" s="137"/>
      <c r="L837" s="137"/>
      <c r="M837" s="137"/>
      <c r="N837" s="137"/>
      <c r="O837" s="137"/>
      <c r="P837" s="137"/>
      <c r="Q837" s="137"/>
      <c r="R837" s="137"/>
    </row>
    <row r="838" customFormat="false" ht="13.5" hidden="false" customHeight="true" outlineLevel="0" collapsed="false">
      <c r="A838" s="87" t="s">
        <v>334</v>
      </c>
      <c r="B838" s="87" t="s">
        <v>317</v>
      </c>
      <c r="C838" s="87"/>
      <c r="D838" s="87" t="s">
        <v>324</v>
      </c>
      <c r="E838" s="87"/>
      <c r="F838" s="87" t="s">
        <v>335</v>
      </c>
      <c r="G838" s="87" t="s">
        <v>336</v>
      </c>
      <c r="H838" s="87" t="s">
        <v>337</v>
      </c>
      <c r="I838" s="87"/>
      <c r="J838" s="87" t="s">
        <v>338</v>
      </c>
      <c r="K838" s="87"/>
      <c r="L838" s="87"/>
      <c r="M838" s="156" t="s">
        <v>539</v>
      </c>
      <c r="N838" s="156" t="s">
        <v>540</v>
      </c>
      <c r="O838" s="156" t="s">
        <v>541</v>
      </c>
      <c r="P838" s="156" t="s">
        <v>542</v>
      </c>
      <c r="Q838" s="156" t="s">
        <v>543</v>
      </c>
      <c r="R838" s="156" t="s">
        <v>544</v>
      </c>
    </row>
    <row r="839" customFormat="false" ht="21.75" hidden="false" customHeight="true" outlineLevel="0" collapsed="false">
      <c r="A839" s="88" t="n">
        <f aca="false">IF(Playoff!A39="","",Playoff!A39)</f>
        <v>234</v>
      </c>
      <c r="B839" s="42" t="str">
        <f aca="false">IF(Playoff!B39="","",Playoff!B39)</f>
        <v>Rinoceronti Ribelli</v>
      </c>
      <c r="C839" s="43" t="n">
        <f aca="false">IF(Playoff!C39="","",Playoff!C39)</f>
        <v>226</v>
      </c>
      <c r="D839" s="42" t="str">
        <f aca="false">IF(Playoff!D39="","",Playoff!D39)</f>
        <v>Pinguini Prodigiosi</v>
      </c>
      <c r="E839" s="43" t="n">
        <f aca="false">IF(Playoff!E39="","",Playoff!E39)</f>
        <v>231</v>
      </c>
      <c r="F839" s="44" t="n">
        <f aca="false">IF(Playoff!F39="","",Playoff!F39)</f>
        <v>46503.4791666667</v>
      </c>
      <c r="G839" s="44"/>
      <c r="H839" s="44"/>
      <c r="I839" s="44"/>
      <c r="J839" s="137" t="n">
        <f aca="false">IF(Playoff!J39="","",Playoff!J39)</f>
        <v>42</v>
      </c>
      <c r="K839" s="138" t="s">
        <v>339</v>
      </c>
      <c r="L839" s="137" t="n">
        <f aca="false">IF(Playoff!L39="","",Playoff!L39)</f>
        <v>65</v>
      </c>
      <c r="M839" s="139"/>
      <c r="N839" s="139"/>
      <c r="O839" s="139"/>
      <c r="P839" s="139"/>
      <c r="Q839" s="139"/>
      <c r="R839" s="139"/>
    </row>
    <row r="840" customFormat="false" ht="15" hidden="false" customHeight="true" outlineLevel="0" collapsed="false">
      <c r="A840" s="88"/>
      <c r="B840" s="48" t="str">
        <f aca="false">IF(Playoff!B40="","",Playoff!B40)</f>
        <v>DA DEFINIRE</v>
      </c>
      <c r="C840" s="48"/>
      <c r="D840" s="48"/>
      <c r="E840" s="48"/>
      <c r="F840" s="48"/>
      <c r="G840" s="48"/>
      <c r="H840" s="48"/>
      <c r="I840" s="43" t="str">
        <f aca="false">IF(Playoff!I40="","",Playoff!I40)</f>
        <v>TBD</v>
      </c>
      <c r="J840" s="137"/>
      <c r="K840" s="137"/>
      <c r="L840" s="137"/>
      <c r="M840" s="137"/>
      <c r="N840" s="137"/>
      <c r="O840" s="137"/>
      <c r="P840" s="137"/>
      <c r="Q840" s="137"/>
      <c r="R840" s="137"/>
    </row>
    <row r="841" customFormat="false" ht="13.5" hidden="false" customHeight="true" outlineLevel="0" collapsed="false">
      <c r="A841" s="87" t="s">
        <v>334</v>
      </c>
      <c r="B841" s="87" t="s">
        <v>317</v>
      </c>
      <c r="C841" s="87"/>
      <c r="D841" s="87" t="s">
        <v>324</v>
      </c>
      <c r="E841" s="87"/>
      <c r="F841" s="87" t="s">
        <v>335</v>
      </c>
      <c r="G841" s="87" t="s">
        <v>336</v>
      </c>
      <c r="H841" s="87" t="s">
        <v>337</v>
      </c>
      <c r="I841" s="87"/>
      <c r="J841" s="87" t="s">
        <v>338</v>
      </c>
      <c r="K841" s="87"/>
      <c r="L841" s="87"/>
      <c r="M841" s="156" t="s">
        <v>539</v>
      </c>
      <c r="N841" s="156" t="s">
        <v>540</v>
      </c>
      <c r="O841" s="156" t="s">
        <v>541</v>
      </c>
      <c r="P841" s="156" t="s">
        <v>542</v>
      </c>
      <c r="Q841" s="156" t="s">
        <v>543</v>
      </c>
      <c r="R841" s="156" t="s">
        <v>544</v>
      </c>
    </row>
    <row r="842" customFormat="false" ht="21.75" hidden="false" customHeight="true" outlineLevel="0" collapsed="false">
      <c r="A842" s="88" t="n">
        <f aca="false">IF(Playoff!A42="","",Playoff!A42)</f>
        <v>235</v>
      </c>
      <c r="B842" s="42" t="str">
        <f aca="false">IF(Playoff!B42="","",Playoff!B42)</f>
        <v>Iene Ilari</v>
      </c>
      <c r="C842" s="43" t="n">
        <f aca="false">IF(Playoff!C42="","",Playoff!C42)</f>
        <v>227</v>
      </c>
      <c r="D842" s="42" t="str">
        <f aca="false">IF(Playoff!D42="","",Playoff!D42)</f>
        <v>Tigri Tenaci</v>
      </c>
      <c r="E842" s="43" t="n">
        <f aca="false">IF(Playoff!E42="","",Playoff!E42)</f>
        <v>230</v>
      </c>
      <c r="F842" s="44" t="n">
        <f aca="false">IF(Playoff!F42="","",Playoff!F42)</f>
        <v>46503.5625</v>
      </c>
      <c r="G842" s="44"/>
      <c r="H842" s="44"/>
      <c r="I842" s="44"/>
      <c r="J842" s="137" t="n">
        <f aca="false">IF(Playoff!J42="","",Playoff!J42)</f>
        <v>53</v>
      </c>
      <c r="K842" s="138" t="s">
        <v>339</v>
      </c>
      <c r="L842" s="137" t="n">
        <f aca="false">IF(Playoff!L42="","",Playoff!L42)</f>
        <v>62</v>
      </c>
      <c r="M842" s="139"/>
      <c r="N842" s="139"/>
      <c r="O842" s="139"/>
      <c r="P842" s="139"/>
      <c r="Q842" s="139"/>
      <c r="R842" s="139"/>
    </row>
    <row r="843" customFormat="false" ht="15" hidden="false" customHeight="true" outlineLevel="0" collapsed="false">
      <c r="A843" s="88"/>
      <c r="B843" s="48" t="str">
        <f aca="false">IF(Playoff!B43="","",Playoff!B43)</f>
        <v>DA DEFINIRE</v>
      </c>
      <c r="C843" s="48"/>
      <c r="D843" s="48"/>
      <c r="E843" s="48"/>
      <c r="F843" s="48"/>
      <c r="G843" s="48"/>
      <c r="H843" s="48"/>
      <c r="I843" s="43" t="str">
        <f aca="false">IF(Playoff!I43="","",Playoff!I43)</f>
        <v>TBD</v>
      </c>
      <c r="J843" s="137"/>
      <c r="K843" s="137"/>
      <c r="L843" s="137"/>
      <c r="M843" s="137"/>
      <c r="N843" s="137"/>
      <c r="O843" s="137"/>
      <c r="P843" s="137"/>
      <c r="Q843" s="137"/>
      <c r="R843" s="137"/>
    </row>
    <row r="844" customFormat="false" ht="13.5" hidden="false" customHeight="true" outlineLevel="0" collapsed="false">
      <c r="A844" s="87" t="s">
        <v>334</v>
      </c>
      <c r="B844" s="87" t="s">
        <v>317</v>
      </c>
      <c r="C844" s="87"/>
      <c r="D844" s="87" t="s">
        <v>324</v>
      </c>
      <c r="E844" s="87"/>
      <c r="F844" s="87" t="s">
        <v>335</v>
      </c>
      <c r="G844" s="87" t="s">
        <v>336</v>
      </c>
      <c r="H844" s="87" t="s">
        <v>337</v>
      </c>
      <c r="I844" s="87"/>
      <c r="J844" s="87" t="s">
        <v>338</v>
      </c>
      <c r="K844" s="87"/>
      <c r="L844" s="87"/>
      <c r="M844" s="156" t="s">
        <v>539</v>
      </c>
      <c r="N844" s="156" t="s">
        <v>540</v>
      </c>
      <c r="O844" s="156" t="s">
        <v>541</v>
      </c>
      <c r="P844" s="156" t="s">
        <v>542</v>
      </c>
      <c r="Q844" s="156" t="s">
        <v>543</v>
      </c>
      <c r="R844" s="156" t="s">
        <v>544</v>
      </c>
    </row>
    <row r="845" customFormat="false" ht="21.75" hidden="false" customHeight="true" outlineLevel="0" collapsed="false">
      <c r="A845" s="88" t="n">
        <f aca="false">IF(Playoff!A45="","",Playoff!A45)</f>
        <v>236</v>
      </c>
      <c r="B845" s="42" t="str">
        <f aca="false">IF(Playoff!B45="","",Playoff!B45)</f>
        <v>Zibetti Zuccherini</v>
      </c>
      <c r="C845" s="43" t="n">
        <f aca="false">IF(Playoff!C45="","",Playoff!C45)</f>
        <v>228</v>
      </c>
      <c r="D845" s="42" t="str">
        <f aca="false">IF(Playoff!D45="","",Playoff!D45)</f>
        <v>Tassi Turbolenti</v>
      </c>
      <c r="E845" s="43" t="n">
        <f aca="false">IF(Playoff!E45="","",Playoff!E45)</f>
        <v>229</v>
      </c>
      <c r="F845" s="44" t="n">
        <f aca="false">IF(Playoff!F45="","",Playoff!F45)</f>
        <v>46503.6458333333</v>
      </c>
      <c r="G845" s="44"/>
      <c r="H845" s="44"/>
      <c r="I845" s="44"/>
      <c r="J845" s="137" t="n">
        <f aca="false">IF(Playoff!J45="","",Playoff!J45)</f>
        <v>51</v>
      </c>
      <c r="K845" s="138" t="s">
        <v>339</v>
      </c>
      <c r="L845" s="137" t="n">
        <f aca="false">IF(Playoff!L45="","",Playoff!L45)</f>
        <v>44</v>
      </c>
      <c r="M845" s="139"/>
      <c r="N845" s="139"/>
      <c r="O845" s="139"/>
      <c r="P845" s="139"/>
      <c r="Q845" s="139"/>
      <c r="R845" s="139"/>
    </row>
    <row r="846" customFormat="false" ht="15" hidden="false" customHeight="true" outlineLevel="0" collapsed="false">
      <c r="A846" s="88"/>
      <c r="B846" s="48" t="str">
        <f aca="false">IF(Playoff!B46="","",Playoff!B46)</f>
        <v>DA DEFINIRE</v>
      </c>
      <c r="C846" s="48"/>
      <c r="D846" s="48"/>
      <c r="E846" s="48"/>
      <c r="F846" s="48"/>
      <c r="G846" s="48"/>
      <c r="H846" s="48"/>
      <c r="I846" s="43" t="str">
        <f aca="false">IF(Playoff!I46="","",Playoff!I46)</f>
        <v>TBD</v>
      </c>
      <c r="J846" s="137"/>
      <c r="K846" s="137"/>
      <c r="L846" s="137"/>
      <c r="M846" s="137"/>
      <c r="N846" s="137"/>
      <c r="O846" s="137"/>
      <c r="P846" s="137"/>
      <c r="Q846" s="137"/>
      <c r="R846" s="137"/>
    </row>
    <row r="848" customFormat="false" ht="19.5" hidden="false" customHeight="true" outlineLevel="0" collapsed="false">
      <c r="A848" s="154" t="str">
        <f aca="false">IF(Playoff!A48="","",Playoff!A48)</f>
        <v/>
      </c>
      <c r="B848" s="86" t="str">
        <f aca="false">IF(Playoff!B48="","",Playoff!B48)</f>
        <v>PLAYOFF SEMIFINALI</v>
      </c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155" t="s">
        <v>537</v>
      </c>
      <c r="N848" s="155"/>
      <c r="O848" s="155"/>
      <c r="P848" s="155" t="s">
        <v>538</v>
      </c>
      <c r="Q848" s="155"/>
      <c r="R848" s="155"/>
    </row>
    <row r="849" customFormat="false" ht="13.5" hidden="false" customHeight="true" outlineLevel="0" collapsed="false">
      <c r="A849" s="87" t="s">
        <v>334</v>
      </c>
      <c r="B849" s="87" t="s">
        <v>317</v>
      </c>
      <c r="C849" s="87"/>
      <c r="D849" s="87" t="s">
        <v>324</v>
      </c>
      <c r="E849" s="87"/>
      <c r="F849" s="87" t="s">
        <v>335</v>
      </c>
      <c r="G849" s="87" t="s">
        <v>336</v>
      </c>
      <c r="H849" s="87" t="s">
        <v>337</v>
      </c>
      <c r="I849" s="87"/>
      <c r="J849" s="87" t="s">
        <v>338</v>
      </c>
      <c r="K849" s="87"/>
      <c r="L849" s="87"/>
      <c r="M849" s="156" t="s">
        <v>539</v>
      </c>
      <c r="N849" s="156" t="s">
        <v>540</v>
      </c>
      <c r="O849" s="156" t="s">
        <v>541</v>
      </c>
      <c r="P849" s="156" t="s">
        <v>542</v>
      </c>
      <c r="Q849" s="156" t="s">
        <v>543</v>
      </c>
      <c r="R849" s="156" t="s">
        <v>544</v>
      </c>
    </row>
    <row r="850" customFormat="false" ht="21.75" hidden="false" customHeight="true" outlineLevel="0" collapsed="false">
      <c r="A850" s="88" t="n">
        <f aca="false">IF(Playoff!A50="","",Playoff!A50)</f>
        <v>237</v>
      </c>
      <c r="B850" s="42" t="str">
        <f aca="false">IF(Playoff!B50="","",Playoff!B50)</f>
        <v>Anaconde Arrabbiate</v>
      </c>
      <c r="C850" s="43" t="n">
        <f aca="false">IF(Playoff!C50="","",Playoff!C50)</f>
        <v>233</v>
      </c>
      <c r="D850" s="42" t="str">
        <f aca="false">IF(Playoff!D50="","",Playoff!D50)</f>
        <v>Zibetti Zuccherini</v>
      </c>
      <c r="E850" s="43" t="n">
        <f aca="false">IF(Playoff!E50="","",Playoff!E50)</f>
        <v>236</v>
      </c>
      <c r="F850" s="44" t="n">
        <f aca="false">IF(Playoff!F50="","",Playoff!F50)</f>
        <v>46522.6041666667</v>
      </c>
      <c r="G850" s="44"/>
      <c r="H850" s="44"/>
      <c r="I850" s="44"/>
      <c r="J850" s="137" t="n">
        <f aca="false">IF(Playoff!J50="","",Playoff!J50)</f>
        <v>52</v>
      </c>
      <c r="K850" s="138" t="s">
        <v>339</v>
      </c>
      <c r="L850" s="137" t="n">
        <f aca="false">IF(Playoff!L50="","",Playoff!L50)</f>
        <v>45</v>
      </c>
      <c r="M850" s="139"/>
      <c r="N850" s="139"/>
      <c r="O850" s="139"/>
      <c r="P850" s="139"/>
      <c r="Q850" s="139"/>
      <c r="R850" s="139"/>
    </row>
    <row r="851" customFormat="false" ht="15" hidden="false" customHeight="true" outlineLevel="0" collapsed="false">
      <c r="A851" s="88"/>
      <c r="B851" s="48" t="str">
        <f aca="false">IF(Playoff!B51="","",Playoff!B51)</f>
        <v>DA DEFINIRE</v>
      </c>
      <c r="C851" s="48"/>
      <c r="D851" s="48"/>
      <c r="E851" s="48"/>
      <c r="F851" s="48"/>
      <c r="G851" s="48"/>
      <c r="H851" s="48"/>
      <c r="I851" s="43" t="str">
        <f aca="false">IF(Playoff!I51="","",Playoff!I51)</f>
        <v>TBD</v>
      </c>
      <c r="J851" s="137"/>
      <c r="K851" s="137"/>
      <c r="L851" s="137"/>
      <c r="M851" s="137"/>
      <c r="N851" s="137"/>
      <c r="O851" s="137"/>
      <c r="P851" s="137"/>
      <c r="Q851" s="137"/>
      <c r="R851" s="137"/>
    </row>
    <row r="852" customFormat="false" ht="13.5" hidden="false" customHeight="true" outlineLevel="0" collapsed="false">
      <c r="A852" s="87" t="s">
        <v>334</v>
      </c>
      <c r="B852" s="87" t="s">
        <v>317</v>
      </c>
      <c r="C852" s="87"/>
      <c r="D852" s="87" t="s">
        <v>324</v>
      </c>
      <c r="E852" s="87"/>
      <c r="F852" s="87" t="s">
        <v>335</v>
      </c>
      <c r="G852" s="87" t="s">
        <v>336</v>
      </c>
      <c r="H852" s="87" t="s">
        <v>337</v>
      </c>
      <c r="I852" s="87"/>
      <c r="J852" s="87" t="s">
        <v>338</v>
      </c>
      <c r="K852" s="87"/>
      <c r="L852" s="87"/>
      <c r="M852" s="156" t="s">
        <v>539</v>
      </c>
      <c r="N852" s="156" t="s">
        <v>540</v>
      </c>
      <c r="O852" s="156" t="s">
        <v>541</v>
      </c>
      <c r="P852" s="156" t="s">
        <v>542</v>
      </c>
      <c r="Q852" s="156" t="s">
        <v>543</v>
      </c>
      <c r="R852" s="156" t="s">
        <v>544</v>
      </c>
    </row>
    <row r="853" customFormat="false" ht="21.75" hidden="false" customHeight="true" outlineLevel="0" collapsed="false">
      <c r="A853" s="88" t="n">
        <f aca="false">IF(Playoff!A53="","",Playoff!A53)</f>
        <v>238</v>
      </c>
      <c r="B853" s="42" t="str">
        <f aca="false">IF(Playoff!B53="","",Playoff!B53)</f>
        <v>Pinguini Prodigiosi</v>
      </c>
      <c r="C853" s="43" t="n">
        <f aca="false">IF(Playoff!C53="","",Playoff!C53)</f>
        <v>234</v>
      </c>
      <c r="D853" s="42" t="str">
        <f aca="false">IF(Playoff!D53="","",Playoff!D53)</f>
        <v>Tigri Tenaci</v>
      </c>
      <c r="E853" s="43" t="n">
        <f aca="false">IF(Playoff!E53="","",Playoff!E53)</f>
        <v>235</v>
      </c>
      <c r="F853" s="44" t="n">
        <f aca="false">IF(Playoff!F53="","",Playoff!F53)</f>
        <v>46522.6875</v>
      </c>
      <c r="G853" s="44"/>
      <c r="H853" s="44"/>
      <c r="I853" s="44"/>
      <c r="J853" s="137" t="n">
        <f aca="false">IF(Playoff!J53="","",Playoff!J53)</f>
        <v>52</v>
      </c>
      <c r="K853" s="138" t="s">
        <v>339</v>
      </c>
      <c r="L853" s="137" t="n">
        <f aca="false">IF(Playoff!L53="","",Playoff!L53)</f>
        <v>74</v>
      </c>
      <c r="M853" s="139"/>
      <c r="N853" s="139"/>
      <c r="O853" s="139"/>
      <c r="P853" s="139"/>
      <c r="Q853" s="139"/>
      <c r="R853" s="139"/>
    </row>
    <row r="854" customFormat="false" ht="15" hidden="false" customHeight="true" outlineLevel="0" collapsed="false">
      <c r="A854" s="88"/>
      <c r="B854" s="48" t="str">
        <f aca="false">IF(Playoff!B54="","",Playoff!B54)</f>
        <v>DA DEFINIRE</v>
      </c>
      <c r="C854" s="48"/>
      <c r="D854" s="48"/>
      <c r="E854" s="48"/>
      <c r="F854" s="48"/>
      <c r="G854" s="48"/>
      <c r="H854" s="48"/>
      <c r="I854" s="43" t="str">
        <f aca="false">IF(Playoff!I54="","",Playoff!I54)</f>
        <v>TBD</v>
      </c>
      <c r="J854" s="137"/>
      <c r="K854" s="137"/>
      <c r="L854" s="137"/>
      <c r="M854" s="137"/>
      <c r="N854" s="137"/>
      <c r="O854" s="137"/>
      <c r="P854" s="137"/>
      <c r="Q854" s="137"/>
      <c r="R854" s="137"/>
    </row>
    <row r="856" customFormat="false" ht="19.5" hidden="false" customHeight="true" outlineLevel="0" collapsed="false">
      <c r="A856" s="154" t="str">
        <f aca="false">IF(Playoff!A56="","",Playoff!A56)</f>
        <v/>
      </c>
      <c r="B856" s="86" t="str">
        <f aca="false">IF(Playoff!B56="","",Playoff!B56)</f>
        <v>PLAYOFF FINALI</v>
      </c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155" t="s">
        <v>537</v>
      </c>
      <c r="N856" s="155"/>
      <c r="O856" s="155"/>
      <c r="P856" s="155" t="s">
        <v>538</v>
      </c>
      <c r="Q856" s="155"/>
      <c r="R856" s="155"/>
    </row>
    <row r="857" customFormat="false" ht="13.5" hidden="false" customHeight="true" outlineLevel="0" collapsed="false">
      <c r="A857" s="87" t="s">
        <v>334</v>
      </c>
      <c r="B857" s="87" t="s">
        <v>317</v>
      </c>
      <c r="C857" s="87"/>
      <c r="D857" s="87" t="s">
        <v>324</v>
      </c>
      <c r="E857" s="87"/>
      <c r="F857" s="87" t="s">
        <v>335</v>
      </c>
      <c r="G857" s="87" t="s">
        <v>336</v>
      </c>
      <c r="H857" s="87" t="s">
        <v>337</v>
      </c>
      <c r="I857" s="87"/>
      <c r="J857" s="87" t="s">
        <v>338</v>
      </c>
      <c r="K857" s="87"/>
      <c r="L857" s="87"/>
      <c r="M857" s="156" t="s">
        <v>539</v>
      </c>
      <c r="N857" s="156" t="s">
        <v>540</v>
      </c>
      <c r="O857" s="156" t="s">
        <v>541</v>
      </c>
      <c r="P857" s="156" t="s">
        <v>542</v>
      </c>
      <c r="Q857" s="156" t="s">
        <v>543</v>
      </c>
      <c r="R857" s="156" t="s">
        <v>544</v>
      </c>
    </row>
    <row r="858" customFormat="false" ht="21.75" hidden="false" customHeight="true" outlineLevel="0" collapsed="false">
      <c r="A858" s="88" t="n">
        <f aca="false">IF(Playoff!A58="","",Playoff!A58)</f>
        <v>239</v>
      </c>
      <c r="B858" s="42" t="str">
        <f aca="false">IF(Playoff!B58="","",Playoff!B58)</f>
        <v>Zibetti Zuccherini</v>
      </c>
      <c r="C858" s="43" t="n">
        <f aca="false">IF(Playoff!C58="","",Playoff!C58)</f>
        <v>237</v>
      </c>
      <c r="D858" s="42" t="str">
        <f aca="false">IF(Playoff!D58="","",Playoff!D58)</f>
        <v>Pinguini Prodigiosi</v>
      </c>
      <c r="E858" s="43" t="n">
        <f aca="false">IF(Playoff!E58="","",Playoff!E58)</f>
        <v>238</v>
      </c>
      <c r="F858" s="44" t="n">
        <f aca="false">IF(Playoff!F58="","",Playoff!F58)</f>
        <v>46523.4583333333</v>
      </c>
      <c r="G858" s="44"/>
      <c r="H858" s="44"/>
      <c r="I858" s="44"/>
      <c r="J858" s="137" t="n">
        <f aca="false">IF(Playoff!J58="","",Playoff!J58)</f>
        <v>56</v>
      </c>
      <c r="K858" s="138" t="s">
        <v>339</v>
      </c>
      <c r="L858" s="137" t="n">
        <f aca="false">IF(Playoff!L58="","",Playoff!L58)</f>
        <v>60</v>
      </c>
      <c r="M858" s="139"/>
      <c r="N858" s="139"/>
      <c r="O858" s="139"/>
      <c r="P858" s="139"/>
      <c r="Q858" s="139"/>
      <c r="R858" s="139"/>
    </row>
    <row r="859" customFormat="false" ht="15" hidden="false" customHeight="true" outlineLevel="0" collapsed="false">
      <c r="A859" s="88"/>
      <c r="B859" s="48" t="str">
        <f aca="false">IF(Playoff!B59="","",Playoff!B59)</f>
        <v>DA DEFINIRE</v>
      </c>
      <c r="C859" s="48"/>
      <c r="D859" s="48"/>
      <c r="E859" s="48"/>
      <c r="F859" s="48"/>
      <c r="G859" s="48"/>
      <c r="H859" s="48"/>
      <c r="I859" s="43" t="str">
        <f aca="false">IF(Playoff!I59="","",Playoff!I59)</f>
        <v>TBD</v>
      </c>
      <c r="J859" s="137"/>
      <c r="K859" s="137"/>
      <c r="L859" s="137"/>
      <c r="M859" s="137"/>
      <c r="N859" s="137"/>
      <c r="O859" s="137"/>
      <c r="P859" s="137"/>
      <c r="Q859" s="137"/>
      <c r="R859" s="137"/>
    </row>
    <row r="860" customFormat="false" ht="13.5" hidden="false" customHeight="true" outlineLevel="0" collapsed="false">
      <c r="A860" s="87" t="s">
        <v>334</v>
      </c>
      <c r="B860" s="87" t="s">
        <v>317</v>
      </c>
      <c r="C860" s="87"/>
      <c r="D860" s="87" t="s">
        <v>324</v>
      </c>
      <c r="E860" s="87"/>
      <c r="F860" s="87" t="s">
        <v>335</v>
      </c>
      <c r="G860" s="87" t="s">
        <v>336</v>
      </c>
      <c r="H860" s="87" t="s">
        <v>337</v>
      </c>
      <c r="I860" s="87"/>
      <c r="J860" s="87" t="s">
        <v>338</v>
      </c>
      <c r="K860" s="87"/>
      <c r="L860" s="87"/>
      <c r="M860" s="156" t="s">
        <v>539</v>
      </c>
      <c r="N860" s="156" t="s">
        <v>540</v>
      </c>
      <c r="O860" s="156" t="s">
        <v>541</v>
      </c>
      <c r="P860" s="156" t="s">
        <v>542</v>
      </c>
      <c r="Q860" s="156" t="s">
        <v>543</v>
      </c>
      <c r="R860" s="156" t="s">
        <v>544</v>
      </c>
    </row>
    <row r="861" customFormat="false" ht="21.75" hidden="false" customHeight="true" outlineLevel="0" collapsed="false">
      <c r="A861" s="88" t="n">
        <f aca="false">IF(Playoff!A61="","",Playoff!A61)</f>
        <v>240</v>
      </c>
      <c r="B861" s="42" t="str">
        <f aca="false">IF(Playoff!B61="","",Playoff!B61)</f>
        <v>Anaconde Arrabbiate</v>
      </c>
      <c r="C861" s="43" t="n">
        <f aca="false">IF(Playoff!C61="","",Playoff!C61)</f>
        <v>237</v>
      </c>
      <c r="D861" s="42" t="str">
        <f aca="false">IF(Playoff!D61="","",Playoff!D61)</f>
        <v>Tigri Tenaci</v>
      </c>
      <c r="E861" s="43" t="n">
        <f aca="false">IF(Playoff!E61="","",Playoff!E61)</f>
        <v>238</v>
      </c>
      <c r="F861" s="44" t="n">
        <f aca="false">IF(Playoff!F61="","",Playoff!F61)</f>
        <v>46523.625</v>
      </c>
      <c r="G861" s="44"/>
      <c r="H861" s="44"/>
      <c r="I861" s="44"/>
      <c r="J861" s="137" t="n">
        <f aca="false">IF(Playoff!J61="","",Playoff!J61)</f>
        <v>72</v>
      </c>
      <c r="K861" s="138" t="s">
        <v>339</v>
      </c>
      <c r="L861" s="137" t="n">
        <f aca="false">IF(Playoff!L61="","",Playoff!L61)</f>
        <v>59</v>
      </c>
      <c r="M861" s="139"/>
      <c r="N861" s="139"/>
      <c r="O861" s="139"/>
      <c r="P861" s="139"/>
      <c r="Q861" s="139"/>
      <c r="R861" s="139"/>
    </row>
    <row r="862" customFormat="false" ht="15" hidden="false" customHeight="true" outlineLevel="0" collapsed="false">
      <c r="A862" s="88"/>
      <c r="B862" s="48" t="str">
        <f aca="false">IF(Playoff!B62="","",Playoff!B62)</f>
        <v>DA DEFINIRE</v>
      </c>
      <c r="C862" s="48"/>
      <c r="D862" s="48"/>
      <c r="E862" s="48"/>
      <c r="F862" s="48"/>
      <c r="G862" s="48"/>
      <c r="H862" s="48"/>
      <c r="I862" s="43" t="str">
        <f aca="false">IF(Playoff!I62="","",Playoff!I62)</f>
        <v>TBD</v>
      </c>
      <c r="J862" s="137"/>
      <c r="K862" s="137"/>
      <c r="L862" s="137"/>
      <c r="M862" s="137"/>
      <c r="N862" s="137"/>
      <c r="O862" s="137"/>
      <c r="P862" s="137"/>
      <c r="Q862" s="137"/>
      <c r="R862" s="137"/>
    </row>
    <row r="867" customFormat="false" ht="15" hidden="false" customHeight="false" outlineLevel="0" collapsed="false">
      <c r="A867" s="34" t="s">
        <v>545</v>
      </c>
    </row>
    <row r="868" customFormat="false" ht="15" hidden="false" customHeight="false" outlineLevel="0" collapsed="false">
      <c r="A868" s="34" t="s">
        <v>546</v>
      </c>
    </row>
  </sheetData>
  <mergeCells count="4022">
    <mergeCell ref="A1:D2"/>
    <mergeCell ref="A3:D3"/>
    <mergeCell ref="B8:L8"/>
    <mergeCell ref="M8:O8"/>
    <mergeCell ref="P8:R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B20:H20"/>
    <mergeCell ref="B22:L22"/>
    <mergeCell ref="M22:O22"/>
    <mergeCell ref="P22:R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B34:H34"/>
    <mergeCell ref="B36:L36"/>
    <mergeCell ref="M36:O36"/>
    <mergeCell ref="P36:R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M41:M42"/>
    <mergeCell ref="N41:N42"/>
    <mergeCell ref="O41:O42"/>
    <mergeCell ref="P41:P42"/>
    <mergeCell ref="Q41:Q42"/>
    <mergeCell ref="R41:R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B48:H48"/>
    <mergeCell ref="B50:L50"/>
    <mergeCell ref="M50:O50"/>
    <mergeCell ref="P50:R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M55:M56"/>
    <mergeCell ref="N55:N56"/>
    <mergeCell ref="O55:O56"/>
    <mergeCell ref="P55:P56"/>
    <mergeCell ref="Q55:Q56"/>
    <mergeCell ref="R55:R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B62:H62"/>
    <mergeCell ref="B64:L64"/>
    <mergeCell ref="M64:O64"/>
    <mergeCell ref="P64:R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M69:M70"/>
    <mergeCell ref="N69:N70"/>
    <mergeCell ref="O69:O70"/>
    <mergeCell ref="P69:P70"/>
    <mergeCell ref="Q69:Q70"/>
    <mergeCell ref="R69:R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M75:M76"/>
    <mergeCell ref="N75:N76"/>
    <mergeCell ref="O75:O76"/>
    <mergeCell ref="P75:P76"/>
    <mergeCell ref="Q75:Q76"/>
    <mergeCell ref="R75:R76"/>
    <mergeCell ref="B76:H76"/>
    <mergeCell ref="B78:L78"/>
    <mergeCell ref="M78:O78"/>
    <mergeCell ref="P78:R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M83:M84"/>
    <mergeCell ref="N83:N84"/>
    <mergeCell ref="O83:O84"/>
    <mergeCell ref="P83:P84"/>
    <mergeCell ref="Q83:Q84"/>
    <mergeCell ref="R83:R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M89:M90"/>
    <mergeCell ref="N89:N90"/>
    <mergeCell ref="O89:O90"/>
    <mergeCell ref="P89:P90"/>
    <mergeCell ref="Q89:Q90"/>
    <mergeCell ref="R89:R90"/>
    <mergeCell ref="B90:H90"/>
    <mergeCell ref="B92:L92"/>
    <mergeCell ref="M92:O92"/>
    <mergeCell ref="P92:R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M97:M98"/>
    <mergeCell ref="N97:N98"/>
    <mergeCell ref="O97:O98"/>
    <mergeCell ref="P97:P98"/>
    <mergeCell ref="Q97:Q98"/>
    <mergeCell ref="R97:R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M103:M104"/>
    <mergeCell ref="N103:N104"/>
    <mergeCell ref="O103:O104"/>
    <mergeCell ref="P103:P104"/>
    <mergeCell ref="Q103:Q104"/>
    <mergeCell ref="R103:R104"/>
    <mergeCell ref="B104:H104"/>
    <mergeCell ref="B108:L108"/>
    <mergeCell ref="M108:O108"/>
    <mergeCell ref="P108:R108"/>
    <mergeCell ref="B109:C109"/>
    <mergeCell ref="D109:E109"/>
    <mergeCell ref="H109:I109"/>
    <mergeCell ref="J109:L109"/>
    <mergeCell ref="A110:A111"/>
    <mergeCell ref="F110:I110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B111:H111"/>
    <mergeCell ref="B112:C112"/>
    <mergeCell ref="D112:E112"/>
    <mergeCell ref="H112:I112"/>
    <mergeCell ref="J112:L112"/>
    <mergeCell ref="A113:A114"/>
    <mergeCell ref="F113:I113"/>
    <mergeCell ref="J113:J114"/>
    <mergeCell ref="K113:K114"/>
    <mergeCell ref="L113:L114"/>
    <mergeCell ref="M113:M114"/>
    <mergeCell ref="N113:N114"/>
    <mergeCell ref="O113:O114"/>
    <mergeCell ref="P113:P114"/>
    <mergeCell ref="Q113:Q114"/>
    <mergeCell ref="R113:R114"/>
    <mergeCell ref="B114:H114"/>
    <mergeCell ref="B115:C115"/>
    <mergeCell ref="D115:E115"/>
    <mergeCell ref="H115:I115"/>
    <mergeCell ref="J115:L115"/>
    <mergeCell ref="A116:A117"/>
    <mergeCell ref="F116:I116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B117:H117"/>
    <mergeCell ref="B118:C118"/>
    <mergeCell ref="D118:E118"/>
    <mergeCell ref="H118:I118"/>
    <mergeCell ref="J118:L118"/>
    <mergeCell ref="A119:A120"/>
    <mergeCell ref="F119:I119"/>
    <mergeCell ref="J119:J120"/>
    <mergeCell ref="K119:K120"/>
    <mergeCell ref="L119:L120"/>
    <mergeCell ref="M119:M120"/>
    <mergeCell ref="N119:N120"/>
    <mergeCell ref="O119:O120"/>
    <mergeCell ref="P119:P120"/>
    <mergeCell ref="Q119:Q120"/>
    <mergeCell ref="R119:R120"/>
    <mergeCell ref="B120:H120"/>
    <mergeCell ref="B122:L122"/>
    <mergeCell ref="M122:O122"/>
    <mergeCell ref="P122:R122"/>
    <mergeCell ref="B123:C123"/>
    <mergeCell ref="D123:E123"/>
    <mergeCell ref="H123:I123"/>
    <mergeCell ref="J123:L123"/>
    <mergeCell ref="A124:A125"/>
    <mergeCell ref="F124:I124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B125:H125"/>
    <mergeCell ref="B126:C126"/>
    <mergeCell ref="D126:E126"/>
    <mergeCell ref="H126:I126"/>
    <mergeCell ref="J126:L126"/>
    <mergeCell ref="A127:A128"/>
    <mergeCell ref="F127:I127"/>
    <mergeCell ref="J127:J128"/>
    <mergeCell ref="K127:K128"/>
    <mergeCell ref="L127:L128"/>
    <mergeCell ref="M127:M128"/>
    <mergeCell ref="N127:N128"/>
    <mergeCell ref="O127:O128"/>
    <mergeCell ref="P127:P128"/>
    <mergeCell ref="Q127:Q128"/>
    <mergeCell ref="R127:R128"/>
    <mergeCell ref="B128:H128"/>
    <mergeCell ref="B129:C129"/>
    <mergeCell ref="D129:E129"/>
    <mergeCell ref="H129:I129"/>
    <mergeCell ref="J129:L129"/>
    <mergeCell ref="A130:A131"/>
    <mergeCell ref="F130:I130"/>
    <mergeCell ref="J130:J131"/>
    <mergeCell ref="K130:K131"/>
    <mergeCell ref="L130:L131"/>
    <mergeCell ref="M130:M131"/>
    <mergeCell ref="N130:N131"/>
    <mergeCell ref="O130:O131"/>
    <mergeCell ref="P130:P131"/>
    <mergeCell ref="Q130:Q131"/>
    <mergeCell ref="R130:R131"/>
    <mergeCell ref="B131:H131"/>
    <mergeCell ref="B132:C132"/>
    <mergeCell ref="D132:E132"/>
    <mergeCell ref="H132:I132"/>
    <mergeCell ref="J132:L132"/>
    <mergeCell ref="A133:A134"/>
    <mergeCell ref="F133:I133"/>
    <mergeCell ref="J133:J134"/>
    <mergeCell ref="K133:K134"/>
    <mergeCell ref="L133:L134"/>
    <mergeCell ref="M133:M134"/>
    <mergeCell ref="N133:N134"/>
    <mergeCell ref="O133:O134"/>
    <mergeCell ref="P133:P134"/>
    <mergeCell ref="Q133:Q134"/>
    <mergeCell ref="R133:R134"/>
    <mergeCell ref="B134:H134"/>
    <mergeCell ref="B136:L136"/>
    <mergeCell ref="M136:O136"/>
    <mergeCell ref="P136:R136"/>
    <mergeCell ref="B137:C137"/>
    <mergeCell ref="D137:E137"/>
    <mergeCell ref="H137:I137"/>
    <mergeCell ref="J137:L137"/>
    <mergeCell ref="A138:A139"/>
    <mergeCell ref="F138:I138"/>
    <mergeCell ref="J138:J139"/>
    <mergeCell ref="K138:K139"/>
    <mergeCell ref="L138:L139"/>
    <mergeCell ref="M138:M139"/>
    <mergeCell ref="N138:N139"/>
    <mergeCell ref="O138:O139"/>
    <mergeCell ref="P138:P139"/>
    <mergeCell ref="Q138:Q139"/>
    <mergeCell ref="R138:R139"/>
    <mergeCell ref="B139:H139"/>
    <mergeCell ref="B140:C140"/>
    <mergeCell ref="D140:E140"/>
    <mergeCell ref="H140:I140"/>
    <mergeCell ref="J140:L140"/>
    <mergeCell ref="A141:A142"/>
    <mergeCell ref="F141:I141"/>
    <mergeCell ref="J141:J142"/>
    <mergeCell ref="K141:K142"/>
    <mergeCell ref="L141:L142"/>
    <mergeCell ref="M141:M142"/>
    <mergeCell ref="N141:N142"/>
    <mergeCell ref="O141:O142"/>
    <mergeCell ref="P141:P142"/>
    <mergeCell ref="Q141:Q142"/>
    <mergeCell ref="R141:R142"/>
    <mergeCell ref="B142:H142"/>
    <mergeCell ref="B143:C143"/>
    <mergeCell ref="D143:E143"/>
    <mergeCell ref="H143:I143"/>
    <mergeCell ref="J143:L143"/>
    <mergeCell ref="A144:A145"/>
    <mergeCell ref="F144:I144"/>
    <mergeCell ref="J144:J145"/>
    <mergeCell ref="K144:K145"/>
    <mergeCell ref="L144:L145"/>
    <mergeCell ref="M144:M145"/>
    <mergeCell ref="N144:N145"/>
    <mergeCell ref="O144:O145"/>
    <mergeCell ref="P144:P145"/>
    <mergeCell ref="Q144:Q145"/>
    <mergeCell ref="R144:R145"/>
    <mergeCell ref="B145:H145"/>
    <mergeCell ref="B146:C146"/>
    <mergeCell ref="D146:E146"/>
    <mergeCell ref="H146:I146"/>
    <mergeCell ref="J146:L146"/>
    <mergeCell ref="A147:A148"/>
    <mergeCell ref="F147:I147"/>
    <mergeCell ref="J147:J148"/>
    <mergeCell ref="K147:K148"/>
    <mergeCell ref="L147:L148"/>
    <mergeCell ref="M147:M148"/>
    <mergeCell ref="N147:N148"/>
    <mergeCell ref="O147:O148"/>
    <mergeCell ref="P147:P148"/>
    <mergeCell ref="Q147:Q148"/>
    <mergeCell ref="R147:R148"/>
    <mergeCell ref="B148:H148"/>
    <mergeCell ref="B150:L150"/>
    <mergeCell ref="M150:O150"/>
    <mergeCell ref="P150:R150"/>
    <mergeCell ref="B151:C151"/>
    <mergeCell ref="D151:E151"/>
    <mergeCell ref="H151:I151"/>
    <mergeCell ref="J151:L151"/>
    <mergeCell ref="A152:A153"/>
    <mergeCell ref="F152:I152"/>
    <mergeCell ref="J152:J153"/>
    <mergeCell ref="K152:K153"/>
    <mergeCell ref="L152:L153"/>
    <mergeCell ref="M152:M153"/>
    <mergeCell ref="N152:N153"/>
    <mergeCell ref="O152:O153"/>
    <mergeCell ref="P152:P153"/>
    <mergeCell ref="Q152:Q153"/>
    <mergeCell ref="R152:R153"/>
    <mergeCell ref="B153:H153"/>
    <mergeCell ref="B154:C154"/>
    <mergeCell ref="D154:E154"/>
    <mergeCell ref="H154:I154"/>
    <mergeCell ref="J154:L154"/>
    <mergeCell ref="A155:A156"/>
    <mergeCell ref="F155:I155"/>
    <mergeCell ref="J155:J156"/>
    <mergeCell ref="K155:K156"/>
    <mergeCell ref="L155:L156"/>
    <mergeCell ref="M155:M156"/>
    <mergeCell ref="N155:N156"/>
    <mergeCell ref="O155:O156"/>
    <mergeCell ref="P155:P156"/>
    <mergeCell ref="Q155:Q156"/>
    <mergeCell ref="R155:R156"/>
    <mergeCell ref="B156:H156"/>
    <mergeCell ref="B157:C157"/>
    <mergeCell ref="D157:E157"/>
    <mergeCell ref="H157:I157"/>
    <mergeCell ref="J157:L157"/>
    <mergeCell ref="A158:A159"/>
    <mergeCell ref="F158:I158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B159:H159"/>
    <mergeCell ref="B160:C160"/>
    <mergeCell ref="D160:E160"/>
    <mergeCell ref="H160:I160"/>
    <mergeCell ref="J160:L160"/>
    <mergeCell ref="A161:A162"/>
    <mergeCell ref="F161:I161"/>
    <mergeCell ref="J161:J162"/>
    <mergeCell ref="K161:K162"/>
    <mergeCell ref="L161:L162"/>
    <mergeCell ref="M161:M162"/>
    <mergeCell ref="N161:N162"/>
    <mergeCell ref="O161:O162"/>
    <mergeCell ref="P161:P162"/>
    <mergeCell ref="Q161:Q162"/>
    <mergeCell ref="R161:R162"/>
    <mergeCell ref="B162:H162"/>
    <mergeCell ref="B164:L164"/>
    <mergeCell ref="M164:O164"/>
    <mergeCell ref="P164:R164"/>
    <mergeCell ref="B165:C165"/>
    <mergeCell ref="D165:E165"/>
    <mergeCell ref="H165:I165"/>
    <mergeCell ref="J165:L165"/>
    <mergeCell ref="A166:A167"/>
    <mergeCell ref="F166:I166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B167:H167"/>
    <mergeCell ref="B168:C168"/>
    <mergeCell ref="D168:E168"/>
    <mergeCell ref="H168:I168"/>
    <mergeCell ref="J168:L168"/>
    <mergeCell ref="A169:A170"/>
    <mergeCell ref="F169:I169"/>
    <mergeCell ref="J169:J170"/>
    <mergeCell ref="K169:K170"/>
    <mergeCell ref="L169:L170"/>
    <mergeCell ref="M169:M170"/>
    <mergeCell ref="N169:N170"/>
    <mergeCell ref="O169:O170"/>
    <mergeCell ref="P169:P170"/>
    <mergeCell ref="Q169:Q170"/>
    <mergeCell ref="R169:R170"/>
    <mergeCell ref="B170:H170"/>
    <mergeCell ref="B171:C171"/>
    <mergeCell ref="D171:E171"/>
    <mergeCell ref="H171:I171"/>
    <mergeCell ref="J171:L171"/>
    <mergeCell ref="A172:A173"/>
    <mergeCell ref="F172:I172"/>
    <mergeCell ref="J172:J173"/>
    <mergeCell ref="K172:K173"/>
    <mergeCell ref="L172:L173"/>
    <mergeCell ref="M172:M173"/>
    <mergeCell ref="N172:N173"/>
    <mergeCell ref="O172:O173"/>
    <mergeCell ref="P172:P173"/>
    <mergeCell ref="Q172:Q173"/>
    <mergeCell ref="R172:R173"/>
    <mergeCell ref="B173:H173"/>
    <mergeCell ref="B174:C174"/>
    <mergeCell ref="D174:E174"/>
    <mergeCell ref="H174:I174"/>
    <mergeCell ref="J174:L174"/>
    <mergeCell ref="A175:A176"/>
    <mergeCell ref="F175:I175"/>
    <mergeCell ref="J175:J176"/>
    <mergeCell ref="K175:K176"/>
    <mergeCell ref="L175:L176"/>
    <mergeCell ref="M175:M176"/>
    <mergeCell ref="N175:N176"/>
    <mergeCell ref="O175:O176"/>
    <mergeCell ref="P175:P176"/>
    <mergeCell ref="Q175:Q176"/>
    <mergeCell ref="R175:R176"/>
    <mergeCell ref="B176:H176"/>
    <mergeCell ref="B178:L178"/>
    <mergeCell ref="M178:O178"/>
    <mergeCell ref="P178:R178"/>
    <mergeCell ref="B179:C179"/>
    <mergeCell ref="D179:E179"/>
    <mergeCell ref="H179:I179"/>
    <mergeCell ref="J179:L179"/>
    <mergeCell ref="A180:A181"/>
    <mergeCell ref="F180:I180"/>
    <mergeCell ref="J180:J181"/>
    <mergeCell ref="K180:K181"/>
    <mergeCell ref="L180:L181"/>
    <mergeCell ref="M180:M181"/>
    <mergeCell ref="N180:N181"/>
    <mergeCell ref="O180:O181"/>
    <mergeCell ref="P180:P181"/>
    <mergeCell ref="Q180:Q181"/>
    <mergeCell ref="R180:R181"/>
    <mergeCell ref="B181:H181"/>
    <mergeCell ref="B182:C182"/>
    <mergeCell ref="D182:E182"/>
    <mergeCell ref="H182:I182"/>
    <mergeCell ref="J182:L182"/>
    <mergeCell ref="A183:A184"/>
    <mergeCell ref="F183:I183"/>
    <mergeCell ref="J183:J184"/>
    <mergeCell ref="K183:K184"/>
    <mergeCell ref="L183:L184"/>
    <mergeCell ref="M183:M184"/>
    <mergeCell ref="N183:N184"/>
    <mergeCell ref="O183:O184"/>
    <mergeCell ref="P183:P184"/>
    <mergeCell ref="Q183:Q184"/>
    <mergeCell ref="R183:R184"/>
    <mergeCell ref="B184:H184"/>
    <mergeCell ref="B185:C185"/>
    <mergeCell ref="D185:E185"/>
    <mergeCell ref="H185:I185"/>
    <mergeCell ref="J185:L185"/>
    <mergeCell ref="A186:A187"/>
    <mergeCell ref="F186:I186"/>
    <mergeCell ref="J186:J187"/>
    <mergeCell ref="K186:K187"/>
    <mergeCell ref="L186:L187"/>
    <mergeCell ref="M186:M187"/>
    <mergeCell ref="N186:N187"/>
    <mergeCell ref="O186:O187"/>
    <mergeCell ref="P186:P187"/>
    <mergeCell ref="Q186:Q187"/>
    <mergeCell ref="R186:R187"/>
    <mergeCell ref="B187:H187"/>
    <mergeCell ref="B188:C188"/>
    <mergeCell ref="D188:E188"/>
    <mergeCell ref="H188:I188"/>
    <mergeCell ref="J188:L188"/>
    <mergeCell ref="A189:A190"/>
    <mergeCell ref="F189:I189"/>
    <mergeCell ref="J189:J190"/>
    <mergeCell ref="K189:K190"/>
    <mergeCell ref="L189:L190"/>
    <mergeCell ref="M189:M190"/>
    <mergeCell ref="N189:N190"/>
    <mergeCell ref="O189:O190"/>
    <mergeCell ref="P189:P190"/>
    <mergeCell ref="Q189:Q190"/>
    <mergeCell ref="R189:R190"/>
    <mergeCell ref="B190:H190"/>
    <mergeCell ref="B192:L192"/>
    <mergeCell ref="M192:O192"/>
    <mergeCell ref="P192:R192"/>
    <mergeCell ref="B193:C193"/>
    <mergeCell ref="D193:E193"/>
    <mergeCell ref="H193:I193"/>
    <mergeCell ref="J193:L193"/>
    <mergeCell ref="A194:A195"/>
    <mergeCell ref="F194:I194"/>
    <mergeCell ref="J194:J195"/>
    <mergeCell ref="K194:K195"/>
    <mergeCell ref="L194:L195"/>
    <mergeCell ref="M194:M195"/>
    <mergeCell ref="N194:N195"/>
    <mergeCell ref="O194:O195"/>
    <mergeCell ref="P194:P195"/>
    <mergeCell ref="Q194:Q195"/>
    <mergeCell ref="R194:R195"/>
    <mergeCell ref="B195:H195"/>
    <mergeCell ref="B196:C196"/>
    <mergeCell ref="D196:E196"/>
    <mergeCell ref="H196:I196"/>
    <mergeCell ref="J196:L196"/>
    <mergeCell ref="A197:A198"/>
    <mergeCell ref="F197:I197"/>
    <mergeCell ref="J197:J198"/>
    <mergeCell ref="K197:K198"/>
    <mergeCell ref="L197:L198"/>
    <mergeCell ref="M197:M198"/>
    <mergeCell ref="N197:N198"/>
    <mergeCell ref="O197:O198"/>
    <mergeCell ref="P197:P198"/>
    <mergeCell ref="Q197:Q198"/>
    <mergeCell ref="R197:R198"/>
    <mergeCell ref="B198:H198"/>
    <mergeCell ref="B199:C199"/>
    <mergeCell ref="D199:E199"/>
    <mergeCell ref="H199:I199"/>
    <mergeCell ref="J199:L199"/>
    <mergeCell ref="A200:A201"/>
    <mergeCell ref="F200:I200"/>
    <mergeCell ref="J200:J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B201:H201"/>
    <mergeCell ref="B202:C202"/>
    <mergeCell ref="D202:E202"/>
    <mergeCell ref="H202:I202"/>
    <mergeCell ref="J202:L202"/>
    <mergeCell ref="A203:A204"/>
    <mergeCell ref="F203:I203"/>
    <mergeCell ref="J203:J204"/>
    <mergeCell ref="K203:K204"/>
    <mergeCell ref="L203:L204"/>
    <mergeCell ref="M203:M204"/>
    <mergeCell ref="N203:N204"/>
    <mergeCell ref="O203:O204"/>
    <mergeCell ref="P203:P204"/>
    <mergeCell ref="Q203:Q204"/>
    <mergeCell ref="R203:R204"/>
    <mergeCell ref="B204:H204"/>
    <mergeCell ref="B208:L208"/>
    <mergeCell ref="M208:O208"/>
    <mergeCell ref="P208:R208"/>
    <mergeCell ref="B209:C209"/>
    <mergeCell ref="D209:E209"/>
    <mergeCell ref="H209:I209"/>
    <mergeCell ref="J209:L209"/>
    <mergeCell ref="A210:A211"/>
    <mergeCell ref="F210:I210"/>
    <mergeCell ref="J210:J211"/>
    <mergeCell ref="K210:K211"/>
    <mergeCell ref="L210:L211"/>
    <mergeCell ref="M210:M211"/>
    <mergeCell ref="N210:N211"/>
    <mergeCell ref="O210:O211"/>
    <mergeCell ref="P210:P211"/>
    <mergeCell ref="Q210:Q211"/>
    <mergeCell ref="R210:R211"/>
    <mergeCell ref="B211:H211"/>
    <mergeCell ref="B212:C212"/>
    <mergeCell ref="D212:E212"/>
    <mergeCell ref="H212:I212"/>
    <mergeCell ref="J212:L212"/>
    <mergeCell ref="A213:A214"/>
    <mergeCell ref="F213:I213"/>
    <mergeCell ref="J213:J214"/>
    <mergeCell ref="K213:K214"/>
    <mergeCell ref="L213:L214"/>
    <mergeCell ref="M213:M214"/>
    <mergeCell ref="N213:N214"/>
    <mergeCell ref="O213:O214"/>
    <mergeCell ref="P213:P214"/>
    <mergeCell ref="Q213:Q214"/>
    <mergeCell ref="R213:R214"/>
    <mergeCell ref="B214:H214"/>
    <mergeCell ref="B215:C215"/>
    <mergeCell ref="D215:E215"/>
    <mergeCell ref="H215:I215"/>
    <mergeCell ref="J215:L215"/>
    <mergeCell ref="A216:A217"/>
    <mergeCell ref="F216:I216"/>
    <mergeCell ref="J216:J217"/>
    <mergeCell ref="K216:K217"/>
    <mergeCell ref="L216:L217"/>
    <mergeCell ref="M216:M217"/>
    <mergeCell ref="N216:N217"/>
    <mergeCell ref="O216:O217"/>
    <mergeCell ref="P216:P217"/>
    <mergeCell ref="Q216:Q217"/>
    <mergeCell ref="R216:R217"/>
    <mergeCell ref="B217:H217"/>
    <mergeCell ref="B218:C218"/>
    <mergeCell ref="D218:E218"/>
    <mergeCell ref="H218:I218"/>
    <mergeCell ref="J218:L218"/>
    <mergeCell ref="A219:A220"/>
    <mergeCell ref="F219:I219"/>
    <mergeCell ref="J219:J220"/>
    <mergeCell ref="K219:K220"/>
    <mergeCell ref="L219:L220"/>
    <mergeCell ref="M219:M220"/>
    <mergeCell ref="N219:N220"/>
    <mergeCell ref="O219:O220"/>
    <mergeCell ref="P219:P220"/>
    <mergeCell ref="Q219:Q220"/>
    <mergeCell ref="R219:R220"/>
    <mergeCell ref="B220:H220"/>
    <mergeCell ref="B222:L222"/>
    <mergeCell ref="M222:O222"/>
    <mergeCell ref="P222:R222"/>
    <mergeCell ref="B223:C223"/>
    <mergeCell ref="D223:E223"/>
    <mergeCell ref="H223:I223"/>
    <mergeCell ref="J223:L223"/>
    <mergeCell ref="A224:A225"/>
    <mergeCell ref="F224:I224"/>
    <mergeCell ref="J224:J225"/>
    <mergeCell ref="K224:K225"/>
    <mergeCell ref="L224:L225"/>
    <mergeCell ref="M224:M225"/>
    <mergeCell ref="N224:N225"/>
    <mergeCell ref="O224:O225"/>
    <mergeCell ref="P224:P225"/>
    <mergeCell ref="Q224:Q225"/>
    <mergeCell ref="R224:R225"/>
    <mergeCell ref="B225:H225"/>
    <mergeCell ref="B226:C226"/>
    <mergeCell ref="D226:E226"/>
    <mergeCell ref="H226:I226"/>
    <mergeCell ref="J226:L226"/>
    <mergeCell ref="A227:A228"/>
    <mergeCell ref="F227:I227"/>
    <mergeCell ref="J227:J228"/>
    <mergeCell ref="K227:K228"/>
    <mergeCell ref="L227:L228"/>
    <mergeCell ref="M227:M228"/>
    <mergeCell ref="N227:N228"/>
    <mergeCell ref="O227:O228"/>
    <mergeCell ref="P227:P228"/>
    <mergeCell ref="Q227:Q228"/>
    <mergeCell ref="R227:R228"/>
    <mergeCell ref="B228:H228"/>
    <mergeCell ref="B229:C229"/>
    <mergeCell ref="D229:E229"/>
    <mergeCell ref="H229:I229"/>
    <mergeCell ref="J229:L229"/>
    <mergeCell ref="A230:A231"/>
    <mergeCell ref="F230:I230"/>
    <mergeCell ref="J230:J231"/>
    <mergeCell ref="K230:K231"/>
    <mergeCell ref="L230:L231"/>
    <mergeCell ref="M230:M231"/>
    <mergeCell ref="N230:N231"/>
    <mergeCell ref="O230:O231"/>
    <mergeCell ref="P230:P231"/>
    <mergeCell ref="Q230:Q231"/>
    <mergeCell ref="R230:R231"/>
    <mergeCell ref="B231:H231"/>
    <mergeCell ref="B232:C232"/>
    <mergeCell ref="D232:E232"/>
    <mergeCell ref="H232:I232"/>
    <mergeCell ref="J232:L232"/>
    <mergeCell ref="A233:A234"/>
    <mergeCell ref="F233:I233"/>
    <mergeCell ref="J233:J234"/>
    <mergeCell ref="K233:K234"/>
    <mergeCell ref="L233:L234"/>
    <mergeCell ref="M233:M234"/>
    <mergeCell ref="N233:N234"/>
    <mergeCell ref="O233:O234"/>
    <mergeCell ref="P233:P234"/>
    <mergeCell ref="Q233:Q234"/>
    <mergeCell ref="R233:R234"/>
    <mergeCell ref="B234:H234"/>
    <mergeCell ref="B236:L236"/>
    <mergeCell ref="M236:O236"/>
    <mergeCell ref="P236:R236"/>
    <mergeCell ref="B237:C237"/>
    <mergeCell ref="D237:E237"/>
    <mergeCell ref="H237:I237"/>
    <mergeCell ref="J237:L237"/>
    <mergeCell ref="A238:A239"/>
    <mergeCell ref="F238:I238"/>
    <mergeCell ref="J238:J239"/>
    <mergeCell ref="K238:K239"/>
    <mergeCell ref="L238:L239"/>
    <mergeCell ref="M238:M239"/>
    <mergeCell ref="N238:N239"/>
    <mergeCell ref="O238:O239"/>
    <mergeCell ref="P238:P239"/>
    <mergeCell ref="Q238:Q239"/>
    <mergeCell ref="R238:R239"/>
    <mergeCell ref="B239:H239"/>
    <mergeCell ref="B240:C240"/>
    <mergeCell ref="D240:E240"/>
    <mergeCell ref="H240:I240"/>
    <mergeCell ref="J240:L240"/>
    <mergeCell ref="A241:A242"/>
    <mergeCell ref="F241:I241"/>
    <mergeCell ref="J241:J242"/>
    <mergeCell ref="K241:K242"/>
    <mergeCell ref="L241:L242"/>
    <mergeCell ref="M241:M242"/>
    <mergeCell ref="N241:N242"/>
    <mergeCell ref="O241:O242"/>
    <mergeCell ref="P241:P242"/>
    <mergeCell ref="Q241:Q242"/>
    <mergeCell ref="R241:R242"/>
    <mergeCell ref="B242:H242"/>
    <mergeCell ref="B243:C243"/>
    <mergeCell ref="D243:E243"/>
    <mergeCell ref="H243:I243"/>
    <mergeCell ref="J243:L243"/>
    <mergeCell ref="A244:A245"/>
    <mergeCell ref="F244:I244"/>
    <mergeCell ref="J244:J245"/>
    <mergeCell ref="K244:K245"/>
    <mergeCell ref="L244:L245"/>
    <mergeCell ref="M244:M245"/>
    <mergeCell ref="N244:N245"/>
    <mergeCell ref="O244:O245"/>
    <mergeCell ref="P244:P245"/>
    <mergeCell ref="Q244:Q245"/>
    <mergeCell ref="R244:R245"/>
    <mergeCell ref="B245:H245"/>
    <mergeCell ref="B246:C246"/>
    <mergeCell ref="D246:E246"/>
    <mergeCell ref="H246:I246"/>
    <mergeCell ref="J246:L246"/>
    <mergeCell ref="A247:A248"/>
    <mergeCell ref="F247:I247"/>
    <mergeCell ref="J247:J248"/>
    <mergeCell ref="K247:K248"/>
    <mergeCell ref="L247:L248"/>
    <mergeCell ref="M247:M248"/>
    <mergeCell ref="N247:N248"/>
    <mergeCell ref="O247:O248"/>
    <mergeCell ref="P247:P248"/>
    <mergeCell ref="Q247:Q248"/>
    <mergeCell ref="R247:R248"/>
    <mergeCell ref="B248:H248"/>
    <mergeCell ref="B250:L250"/>
    <mergeCell ref="M250:O250"/>
    <mergeCell ref="P250:R250"/>
    <mergeCell ref="B251:C251"/>
    <mergeCell ref="D251:E251"/>
    <mergeCell ref="H251:I251"/>
    <mergeCell ref="J251:L251"/>
    <mergeCell ref="A252:A253"/>
    <mergeCell ref="F252:I252"/>
    <mergeCell ref="J252:J253"/>
    <mergeCell ref="K252:K253"/>
    <mergeCell ref="L252:L253"/>
    <mergeCell ref="M252:M253"/>
    <mergeCell ref="N252:N253"/>
    <mergeCell ref="O252:O253"/>
    <mergeCell ref="P252:P253"/>
    <mergeCell ref="Q252:Q253"/>
    <mergeCell ref="R252:R253"/>
    <mergeCell ref="B253:H253"/>
    <mergeCell ref="B254:C254"/>
    <mergeCell ref="D254:E254"/>
    <mergeCell ref="H254:I254"/>
    <mergeCell ref="J254:L254"/>
    <mergeCell ref="A255:A256"/>
    <mergeCell ref="F255:I255"/>
    <mergeCell ref="J255:J256"/>
    <mergeCell ref="K255:K256"/>
    <mergeCell ref="L255:L256"/>
    <mergeCell ref="M255:M256"/>
    <mergeCell ref="N255:N256"/>
    <mergeCell ref="O255:O256"/>
    <mergeCell ref="P255:P256"/>
    <mergeCell ref="Q255:Q256"/>
    <mergeCell ref="R255:R256"/>
    <mergeCell ref="B256:H256"/>
    <mergeCell ref="B257:C257"/>
    <mergeCell ref="D257:E257"/>
    <mergeCell ref="H257:I257"/>
    <mergeCell ref="J257:L257"/>
    <mergeCell ref="A258:A259"/>
    <mergeCell ref="F258:I258"/>
    <mergeCell ref="J258:J259"/>
    <mergeCell ref="K258:K259"/>
    <mergeCell ref="L258:L259"/>
    <mergeCell ref="M258:M259"/>
    <mergeCell ref="N258:N259"/>
    <mergeCell ref="O258:O259"/>
    <mergeCell ref="P258:P259"/>
    <mergeCell ref="Q258:Q259"/>
    <mergeCell ref="R258:R259"/>
    <mergeCell ref="B259:H259"/>
    <mergeCell ref="B260:C260"/>
    <mergeCell ref="D260:E260"/>
    <mergeCell ref="H260:I260"/>
    <mergeCell ref="J260:L260"/>
    <mergeCell ref="A261:A262"/>
    <mergeCell ref="F261:I261"/>
    <mergeCell ref="J261:J262"/>
    <mergeCell ref="K261:K262"/>
    <mergeCell ref="L261:L262"/>
    <mergeCell ref="M261:M262"/>
    <mergeCell ref="N261:N262"/>
    <mergeCell ref="O261:O262"/>
    <mergeCell ref="P261:P262"/>
    <mergeCell ref="Q261:Q262"/>
    <mergeCell ref="R261:R262"/>
    <mergeCell ref="B262:H262"/>
    <mergeCell ref="B264:L264"/>
    <mergeCell ref="M264:O264"/>
    <mergeCell ref="P264:R264"/>
    <mergeCell ref="B265:C265"/>
    <mergeCell ref="D265:E265"/>
    <mergeCell ref="H265:I265"/>
    <mergeCell ref="J265:L265"/>
    <mergeCell ref="A266:A267"/>
    <mergeCell ref="F266:I266"/>
    <mergeCell ref="J266:J267"/>
    <mergeCell ref="K266:K267"/>
    <mergeCell ref="L266:L267"/>
    <mergeCell ref="M266:M267"/>
    <mergeCell ref="N266:N267"/>
    <mergeCell ref="O266:O267"/>
    <mergeCell ref="P266:P267"/>
    <mergeCell ref="Q266:Q267"/>
    <mergeCell ref="R266:R267"/>
    <mergeCell ref="B267:H267"/>
    <mergeCell ref="B268:C268"/>
    <mergeCell ref="D268:E268"/>
    <mergeCell ref="H268:I268"/>
    <mergeCell ref="J268:L268"/>
    <mergeCell ref="A269:A270"/>
    <mergeCell ref="F269:I269"/>
    <mergeCell ref="J269:J270"/>
    <mergeCell ref="K269:K270"/>
    <mergeCell ref="L269:L270"/>
    <mergeCell ref="M269:M270"/>
    <mergeCell ref="N269:N270"/>
    <mergeCell ref="O269:O270"/>
    <mergeCell ref="P269:P270"/>
    <mergeCell ref="Q269:Q270"/>
    <mergeCell ref="R269:R270"/>
    <mergeCell ref="B270:H270"/>
    <mergeCell ref="B271:C271"/>
    <mergeCell ref="D271:E271"/>
    <mergeCell ref="H271:I271"/>
    <mergeCell ref="J271:L271"/>
    <mergeCell ref="A272:A273"/>
    <mergeCell ref="F272:I272"/>
    <mergeCell ref="J272:J273"/>
    <mergeCell ref="K272:K273"/>
    <mergeCell ref="L272:L273"/>
    <mergeCell ref="M272:M273"/>
    <mergeCell ref="N272:N273"/>
    <mergeCell ref="O272:O273"/>
    <mergeCell ref="P272:P273"/>
    <mergeCell ref="Q272:Q273"/>
    <mergeCell ref="R272:R273"/>
    <mergeCell ref="B273:H273"/>
    <mergeCell ref="B274:C274"/>
    <mergeCell ref="D274:E274"/>
    <mergeCell ref="H274:I274"/>
    <mergeCell ref="J274:L274"/>
    <mergeCell ref="A275:A276"/>
    <mergeCell ref="F275:I275"/>
    <mergeCell ref="J275:J276"/>
    <mergeCell ref="K275:K276"/>
    <mergeCell ref="L275:L276"/>
    <mergeCell ref="M275:M276"/>
    <mergeCell ref="N275:N276"/>
    <mergeCell ref="O275:O276"/>
    <mergeCell ref="P275:P276"/>
    <mergeCell ref="Q275:Q276"/>
    <mergeCell ref="R275:R276"/>
    <mergeCell ref="B276:H276"/>
    <mergeCell ref="B278:L278"/>
    <mergeCell ref="M278:O278"/>
    <mergeCell ref="P278:R278"/>
    <mergeCell ref="B279:C279"/>
    <mergeCell ref="D279:E279"/>
    <mergeCell ref="H279:I279"/>
    <mergeCell ref="J279:L279"/>
    <mergeCell ref="A280:A281"/>
    <mergeCell ref="F280:I280"/>
    <mergeCell ref="J280:J281"/>
    <mergeCell ref="K280:K281"/>
    <mergeCell ref="L280:L281"/>
    <mergeCell ref="M280:M281"/>
    <mergeCell ref="N280:N281"/>
    <mergeCell ref="O280:O281"/>
    <mergeCell ref="P280:P281"/>
    <mergeCell ref="Q280:Q281"/>
    <mergeCell ref="R280:R281"/>
    <mergeCell ref="B281:H281"/>
    <mergeCell ref="B282:C282"/>
    <mergeCell ref="D282:E282"/>
    <mergeCell ref="H282:I282"/>
    <mergeCell ref="J282:L282"/>
    <mergeCell ref="A283:A284"/>
    <mergeCell ref="F283:I283"/>
    <mergeCell ref="J283:J284"/>
    <mergeCell ref="K283:K284"/>
    <mergeCell ref="L283:L284"/>
    <mergeCell ref="M283:M284"/>
    <mergeCell ref="N283:N284"/>
    <mergeCell ref="O283:O284"/>
    <mergeCell ref="P283:P284"/>
    <mergeCell ref="Q283:Q284"/>
    <mergeCell ref="R283:R284"/>
    <mergeCell ref="B284:H284"/>
    <mergeCell ref="B285:C285"/>
    <mergeCell ref="D285:E285"/>
    <mergeCell ref="H285:I285"/>
    <mergeCell ref="J285:L285"/>
    <mergeCell ref="A286:A287"/>
    <mergeCell ref="F286:I286"/>
    <mergeCell ref="J286:J287"/>
    <mergeCell ref="K286:K287"/>
    <mergeCell ref="L286:L287"/>
    <mergeCell ref="M286:M287"/>
    <mergeCell ref="N286:N287"/>
    <mergeCell ref="O286:O287"/>
    <mergeCell ref="P286:P287"/>
    <mergeCell ref="Q286:Q287"/>
    <mergeCell ref="R286:R287"/>
    <mergeCell ref="B287:H287"/>
    <mergeCell ref="B288:C288"/>
    <mergeCell ref="D288:E288"/>
    <mergeCell ref="H288:I288"/>
    <mergeCell ref="J288:L288"/>
    <mergeCell ref="A289:A290"/>
    <mergeCell ref="F289:I289"/>
    <mergeCell ref="J289:J290"/>
    <mergeCell ref="K289:K290"/>
    <mergeCell ref="L289:L290"/>
    <mergeCell ref="M289:M290"/>
    <mergeCell ref="N289:N290"/>
    <mergeCell ref="O289:O290"/>
    <mergeCell ref="P289:P290"/>
    <mergeCell ref="Q289:Q290"/>
    <mergeCell ref="R289:R290"/>
    <mergeCell ref="B290:H290"/>
    <mergeCell ref="B292:L292"/>
    <mergeCell ref="M292:O292"/>
    <mergeCell ref="P292:R292"/>
    <mergeCell ref="B293:C293"/>
    <mergeCell ref="D293:E293"/>
    <mergeCell ref="H293:I293"/>
    <mergeCell ref="J293:L293"/>
    <mergeCell ref="A294:A295"/>
    <mergeCell ref="F294:I294"/>
    <mergeCell ref="J294:J295"/>
    <mergeCell ref="K294:K295"/>
    <mergeCell ref="L294:L295"/>
    <mergeCell ref="M294:M295"/>
    <mergeCell ref="N294:N295"/>
    <mergeCell ref="O294:O295"/>
    <mergeCell ref="P294:P295"/>
    <mergeCell ref="Q294:Q295"/>
    <mergeCell ref="R294:R295"/>
    <mergeCell ref="B295:H295"/>
    <mergeCell ref="B296:C296"/>
    <mergeCell ref="D296:E296"/>
    <mergeCell ref="H296:I296"/>
    <mergeCell ref="J296:L296"/>
    <mergeCell ref="A297:A298"/>
    <mergeCell ref="F297:I297"/>
    <mergeCell ref="J297:J298"/>
    <mergeCell ref="K297:K298"/>
    <mergeCell ref="L297:L298"/>
    <mergeCell ref="M297:M298"/>
    <mergeCell ref="N297:N298"/>
    <mergeCell ref="O297:O298"/>
    <mergeCell ref="P297:P298"/>
    <mergeCell ref="Q297:Q298"/>
    <mergeCell ref="R297:R298"/>
    <mergeCell ref="B298:H298"/>
    <mergeCell ref="B299:C299"/>
    <mergeCell ref="D299:E299"/>
    <mergeCell ref="H299:I299"/>
    <mergeCell ref="J299:L299"/>
    <mergeCell ref="A300:A301"/>
    <mergeCell ref="F300:I300"/>
    <mergeCell ref="J300:J301"/>
    <mergeCell ref="K300:K301"/>
    <mergeCell ref="L300:L301"/>
    <mergeCell ref="M300:M301"/>
    <mergeCell ref="N300:N301"/>
    <mergeCell ref="O300:O301"/>
    <mergeCell ref="P300:P301"/>
    <mergeCell ref="Q300:Q301"/>
    <mergeCell ref="R300:R301"/>
    <mergeCell ref="B301:H301"/>
    <mergeCell ref="B302:C302"/>
    <mergeCell ref="D302:E302"/>
    <mergeCell ref="H302:I302"/>
    <mergeCell ref="J302:L302"/>
    <mergeCell ref="A303:A304"/>
    <mergeCell ref="F303:I303"/>
    <mergeCell ref="J303:J304"/>
    <mergeCell ref="K303:K304"/>
    <mergeCell ref="L303:L304"/>
    <mergeCell ref="M303:M304"/>
    <mergeCell ref="N303:N304"/>
    <mergeCell ref="O303:O304"/>
    <mergeCell ref="P303:P304"/>
    <mergeCell ref="Q303:Q304"/>
    <mergeCell ref="R303:R304"/>
    <mergeCell ref="B304:H304"/>
    <mergeCell ref="B308:L308"/>
    <mergeCell ref="M308:O308"/>
    <mergeCell ref="P308:R308"/>
    <mergeCell ref="B309:C309"/>
    <mergeCell ref="D309:E309"/>
    <mergeCell ref="H309:I309"/>
    <mergeCell ref="J309:L309"/>
    <mergeCell ref="A310:A311"/>
    <mergeCell ref="F310:I310"/>
    <mergeCell ref="J310:J311"/>
    <mergeCell ref="K310:K311"/>
    <mergeCell ref="L310:L311"/>
    <mergeCell ref="M310:M311"/>
    <mergeCell ref="N310:N311"/>
    <mergeCell ref="O310:O311"/>
    <mergeCell ref="P310:P311"/>
    <mergeCell ref="Q310:Q311"/>
    <mergeCell ref="R310:R311"/>
    <mergeCell ref="B311:H311"/>
    <mergeCell ref="B312:C312"/>
    <mergeCell ref="D312:E312"/>
    <mergeCell ref="H312:I312"/>
    <mergeCell ref="J312:L312"/>
    <mergeCell ref="A313:A314"/>
    <mergeCell ref="F313:I313"/>
    <mergeCell ref="J313:J314"/>
    <mergeCell ref="K313:K314"/>
    <mergeCell ref="L313:L314"/>
    <mergeCell ref="M313:M314"/>
    <mergeCell ref="N313:N314"/>
    <mergeCell ref="O313:O314"/>
    <mergeCell ref="P313:P314"/>
    <mergeCell ref="Q313:Q314"/>
    <mergeCell ref="R313:R314"/>
    <mergeCell ref="B314:H314"/>
    <mergeCell ref="B315:C315"/>
    <mergeCell ref="D315:E315"/>
    <mergeCell ref="H315:I315"/>
    <mergeCell ref="J315:L315"/>
    <mergeCell ref="A316:A317"/>
    <mergeCell ref="F316:I316"/>
    <mergeCell ref="J316:J317"/>
    <mergeCell ref="K316:K317"/>
    <mergeCell ref="L316:L317"/>
    <mergeCell ref="M316:M317"/>
    <mergeCell ref="N316:N317"/>
    <mergeCell ref="O316:O317"/>
    <mergeCell ref="P316:P317"/>
    <mergeCell ref="Q316:Q317"/>
    <mergeCell ref="R316:R317"/>
    <mergeCell ref="B317:H317"/>
    <mergeCell ref="B318:C318"/>
    <mergeCell ref="D318:E318"/>
    <mergeCell ref="H318:I318"/>
    <mergeCell ref="J318:L318"/>
    <mergeCell ref="A319:A320"/>
    <mergeCell ref="F319:I319"/>
    <mergeCell ref="J319:J320"/>
    <mergeCell ref="K319:K320"/>
    <mergeCell ref="L319:L320"/>
    <mergeCell ref="M319:M320"/>
    <mergeCell ref="N319:N320"/>
    <mergeCell ref="O319:O320"/>
    <mergeCell ref="P319:P320"/>
    <mergeCell ref="Q319:Q320"/>
    <mergeCell ref="R319:R320"/>
    <mergeCell ref="B320:H320"/>
    <mergeCell ref="B322:L322"/>
    <mergeCell ref="M322:O322"/>
    <mergeCell ref="P322:R322"/>
    <mergeCell ref="B323:C323"/>
    <mergeCell ref="D323:E323"/>
    <mergeCell ref="H323:I323"/>
    <mergeCell ref="J323:L323"/>
    <mergeCell ref="A324:A325"/>
    <mergeCell ref="F324:I324"/>
    <mergeCell ref="J324:J325"/>
    <mergeCell ref="K324:K325"/>
    <mergeCell ref="L324:L325"/>
    <mergeCell ref="M324:M325"/>
    <mergeCell ref="N324:N325"/>
    <mergeCell ref="O324:O325"/>
    <mergeCell ref="P324:P325"/>
    <mergeCell ref="Q324:Q325"/>
    <mergeCell ref="R324:R325"/>
    <mergeCell ref="B325:H325"/>
    <mergeCell ref="B326:C326"/>
    <mergeCell ref="D326:E326"/>
    <mergeCell ref="H326:I326"/>
    <mergeCell ref="J326:L326"/>
    <mergeCell ref="A327:A328"/>
    <mergeCell ref="F327:I327"/>
    <mergeCell ref="J327:J328"/>
    <mergeCell ref="K327:K328"/>
    <mergeCell ref="L327:L328"/>
    <mergeCell ref="M327:M328"/>
    <mergeCell ref="N327:N328"/>
    <mergeCell ref="O327:O328"/>
    <mergeCell ref="P327:P328"/>
    <mergeCell ref="Q327:Q328"/>
    <mergeCell ref="R327:R328"/>
    <mergeCell ref="B328:H328"/>
    <mergeCell ref="B329:C329"/>
    <mergeCell ref="D329:E329"/>
    <mergeCell ref="H329:I329"/>
    <mergeCell ref="J329:L329"/>
    <mergeCell ref="A330:A331"/>
    <mergeCell ref="F330:I330"/>
    <mergeCell ref="J330:J331"/>
    <mergeCell ref="K330:K331"/>
    <mergeCell ref="L330:L331"/>
    <mergeCell ref="M330:M331"/>
    <mergeCell ref="N330:N331"/>
    <mergeCell ref="O330:O331"/>
    <mergeCell ref="P330:P331"/>
    <mergeCell ref="Q330:Q331"/>
    <mergeCell ref="R330:R331"/>
    <mergeCell ref="B331:H331"/>
    <mergeCell ref="B332:C332"/>
    <mergeCell ref="D332:E332"/>
    <mergeCell ref="H332:I332"/>
    <mergeCell ref="J332:L332"/>
    <mergeCell ref="A333:A334"/>
    <mergeCell ref="F333:I333"/>
    <mergeCell ref="J333:J334"/>
    <mergeCell ref="K333:K334"/>
    <mergeCell ref="L333:L334"/>
    <mergeCell ref="M333:M334"/>
    <mergeCell ref="N333:N334"/>
    <mergeCell ref="O333:O334"/>
    <mergeCell ref="P333:P334"/>
    <mergeCell ref="Q333:Q334"/>
    <mergeCell ref="R333:R334"/>
    <mergeCell ref="B334:H334"/>
    <mergeCell ref="B336:L336"/>
    <mergeCell ref="M336:O336"/>
    <mergeCell ref="P336:R336"/>
    <mergeCell ref="B337:C337"/>
    <mergeCell ref="D337:E337"/>
    <mergeCell ref="H337:I337"/>
    <mergeCell ref="J337:L337"/>
    <mergeCell ref="A338:A339"/>
    <mergeCell ref="F338:I338"/>
    <mergeCell ref="J338:J339"/>
    <mergeCell ref="K338:K339"/>
    <mergeCell ref="L338:L339"/>
    <mergeCell ref="M338:M339"/>
    <mergeCell ref="N338:N339"/>
    <mergeCell ref="O338:O339"/>
    <mergeCell ref="P338:P339"/>
    <mergeCell ref="Q338:Q339"/>
    <mergeCell ref="R338:R339"/>
    <mergeCell ref="B339:H339"/>
    <mergeCell ref="B340:C340"/>
    <mergeCell ref="D340:E340"/>
    <mergeCell ref="H340:I340"/>
    <mergeCell ref="J340:L340"/>
    <mergeCell ref="A341:A342"/>
    <mergeCell ref="F341:I341"/>
    <mergeCell ref="J341:J342"/>
    <mergeCell ref="K341:K342"/>
    <mergeCell ref="L341:L342"/>
    <mergeCell ref="M341:M342"/>
    <mergeCell ref="N341:N342"/>
    <mergeCell ref="O341:O342"/>
    <mergeCell ref="P341:P342"/>
    <mergeCell ref="Q341:Q342"/>
    <mergeCell ref="R341:R342"/>
    <mergeCell ref="B342:H342"/>
    <mergeCell ref="B343:C343"/>
    <mergeCell ref="D343:E343"/>
    <mergeCell ref="H343:I343"/>
    <mergeCell ref="J343:L343"/>
    <mergeCell ref="A344:A345"/>
    <mergeCell ref="F344:I344"/>
    <mergeCell ref="J344:J345"/>
    <mergeCell ref="K344:K345"/>
    <mergeCell ref="L344:L345"/>
    <mergeCell ref="M344:M345"/>
    <mergeCell ref="N344:N345"/>
    <mergeCell ref="O344:O345"/>
    <mergeCell ref="P344:P345"/>
    <mergeCell ref="Q344:Q345"/>
    <mergeCell ref="R344:R345"/>
    <mergeCell ref="B345:H345"/>
    <mergeCell ref="B346:C346"/>
    <mergeCell ref="D346:E346"/>
    <mergeCell ref="H346:I346"/>
    <mergeCell ref="J346:L346"/>
    <mergeCell ref="A347:A348"/>
    <mergeCell ref="F347:I347"/>
    <mergeCell ref="J347:J348"/>
    <mergeCell ref="K347:K348"/>
    <mergeCell ref="L347:L348"/>
    <mergeCell ref="M347:M348"/>
    <mergeCell ref="N347:N348"/>
    <mergeCell ref="O347:O348"/>
    <mergeCell ref="P347:P348"/>
    <mergeCell ref="Q347:Q348"/>
    <mergeCell ref="R347:R348"/>
    <mergeCell ref="B348:H348"/>
    <mergeCell ref="B350:L350"/>
    <mergeCell ref="M350:O350"/>
    <mergeCell ref="P350:R350"/>
    <mergeCell ref="B351:C351"/>
    <mergeCell ref="D351:E351"/>
    <mergeCell ref="H351:I351"/>
    <mergeCell ref="J351:L351"/>
    <mergeCell ref="A352:A353"/>
    <mergeCell ref="F352:I352"/>
    <mergeCell ref="J352:J353"/>
    <mergeCell ref="K352:K353"/>
    <mergeCell ref="L352:L353"/>
    <mergeCell ref="M352:M353"/>
    <mergeCell ref="N352:N353"/>
    <mergeCell ref="O352:O353"/>
    <mergeCell ref="P352:P353"/>
    <mergeCell ref="Q352:Q353"/>
    <mergeCell ref="R352:R353"/>
    <mergeCell ref="B353:H353"/>
    <mergeCell ref="B354:C354"/>
    <mergeCell ref="D354:E354"/>
    <mergeCell ref="H354:I354"/>
    <mergeCell ref="J354:L354"/>
    <mergeCell ref="A355:A356"/>
    <mergeCell ref="F355:I355"/>
    <mergeCell ref="J355:J356"/>
    <mergeCell ref="K355:K356"/>
    <mergeCell ref="L355:L356"/>
    <mergeCell ref="M355:M356"/>
    <mergeCell ref="N355:N356"/>
    <mergeCell ref="O355:O356"/>
    <mergeCell ref="P355:P356"/>
    <mergeCell ref="Q355:Q356"/>
    <mergeCell ref="R355:R356"/>
    <mergeCell ref="B356:H356"/>
    <mergeCell ref="B357:C357"/>
    <mergeCell ref="D357:E357"/>
    <mergeCell ref="H357:I357"/>
    <mergeCell ref="J357:L357"/>
    <mergeCell ref="A358:A359"/>
    <mergeCell ref="F358:I358"/>
    <mergeCell ref="J358:J359"/>
    <mergeCell ref="K358:K359"/>
    <mergeCell ref="L358:L359"/>
    <mergeCell ref="M358:M359"/>
    <mergeCell ref="N358:N359"/>
    <mergeCell ref="O358:O359"/>
    <mergeCell ref="P358:P359"/>
    <mergeCell ref="Q358:Q359"/>
    <mergeCell ref="R358:R359"/>
    <mergeCell ref="B359:H359"/>
    <mergeCell ref="B360:C360"/>
    <mergeCell ref="D360:E360"/>
    <mergeCell ref="H360:I360"/>
    <mergeCell ref="J360:L360"/>
    <mergeCell ref="A361:A362"/>
    <mergeCell ref="F361:I361"/>
    <mergeCell ref="J361:J362"/>
    <mergeCell ref="K361:K362"/>
    <mergeCell ref="L361:L362"/>
    <mergeCell ref="M361:M362"/>
    <mergeCell ref="N361:N362"/>
    <mergeCell ref="O361:O362"/>
    <mergeCell ref="P361:P362"/>
    <mergeCell ref="Q361:Q362"/>
    <mergeCell ref="R361:R362"/>
    <mergeCell ref="B362:H362"/>
    <mergeCell ref="B364:L364"/>
    <mergeCell ref="M364:O364"/>
    <mergeCell ref="P364:R364"/>
    <mergeCell ref="B365:C365"/>
    <mergeCell ref="D365:E365"/>
    <mergeCell ref="H365:I365"/>
    <mergeCell ref="J365:L365"/>
    <mergeCell ref="A366:A367"/>
    <mergeCell ref="F366:I366"/>
    <mergeCell ref="J366:J367"/>
    <mergeCell ref="K366:K367"/>
    <mergeCell ref="L366:L367"/>
    <mergeCell ref="M366:M367"/>
    <mergeCell ref="N366:N367"/>
    <mergeCell ref="O366:O367"/>
    <mergeCell ref="P366:P367"/>
    <mergeCell ref="Q366:Q367"/>
    <mergeCell ref="R366:R367"/>
    <mergeCell ref="B367:H367"/>
    <mergeCell ref="B368:C368"/>
    <mergeCell ref="D368:E368"/>
    <mergeCell ref="H368:I368"/>
    <mergeCell ref="J368:L368"/>
    <mergeCell ref="A369:A370"/>
    <mergeCell ref="F369:I369"/>
    <mergeCell ref="J369:J370"/>
    <mergeCell ref="K369:K370"/>
    <mergeCell ref="L369:L370"/>
    <mergeCell ref="M369:M370"/>
    <mergeCell ref="N369:N370"/>
    <mergeCell ref="O369:O370"/>
    <mergeCell ref="P369:P370"/>
    <mergeCell ref="Q369:Q370"/>
    <mergeCell ref="R369:R370"/>
    <mergeCell ref="B370:H370"/>
    <mergeCell ref="B371:C371"/>
    <mergeCell ref="D371:E371"/>
    <mergeCell ref="H371:I371"/>
    <mergeCell ref="J371:L371"/>
    <mergeCell ref="A372:A373"/>
    <mergeCell ref="F372:I372"/>
    <mergeCell ref="J372:J373"/>
    <mergeCell ref="K372:K373"/>
    <mergeCell ref="L372:L373"/>
    <mergeCell ref="M372:M373"/>
    <mergeCell ref="N372:N373"/>
    <mergeCell ref="O372:O373"/>
    <mergeCell ref="P372:P373"/>
    <mergeCell ref="Q372:Q373"/>
    <mergeCell ref="R372:R373"/>
    <mergeCell ref="B373:H373"/>
    <mergeCell ref="B374:C374"/>
    <mergeCell ref="D374:E374"/>
    <mergeCell ref="H374:I374"/>
    <mergeCell ref="J374:L374"/>
    <mergeCell ref="A375:A376"/>
    <mergeCell ref="F375:I375"/>
    <mergeCell ref="J375:J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B376:H376"/>
    <mergeCell ref="B378:L378"/>
    <mergeCell ref="M378:O378"/>
    <mergeCell ref="P378:R378"/>
    <mergeCell ref="B379:C379"/>
    <mergeCell ref="D379:E379"/>
    <mergeCell ref="H379:I379"/>
    <mergeCell ref="J379:L379"/>
    <mergeCell ref="A380:A381"/>
    <mergeCell ref="F380:I380"/>
    <mergeCell ref="J380:J381"/>
    <mergeCell ref="K380:K381"/>
    <mergeCell ref="L380:L381"/>
    <mergeCell ref="M380:M381"/>
    <mergeCell ref="N380:N381"/>
    <mergeCell ref="O380:O381"/>
    <mergeCell ref="P380:P381"/>
    <mergeCell ref="Q380:Q381"/>
    <mergeCell ref="R380:R381"/>
    <mergeCell ref="B381:H381"/>
    <mergeCell ref="B382:C382"/>
    <mergeCell ref="D382:E382"/>
    <mergeCell ref="H382:I382"/>
    <mergeCell ref="J382:L382"/>
    <mergeCell ref="A383:A384"/>
    <mergeCell ref="F383:I383"/>
    <mergeCell ref="J383:J384"/>
    <mergeCell ref="K383:K384"/>
    <mergeCell ref="L383:L384"/>
    <mergeCell ref="M383:M384"/>
    <mergeCell ref="N383:N384"/>
    <mergeCell ref="O383:O384"/>
    <mergeCell ref="P383:P384"/>
    <mergeCell ref="Q383:Q384"/>
    <mergeCell ref="R383:R384"/>
    <mergeCell ref="B384:H384"/>
    <mergeCell ref="B385:C385"/>
    <mergeCell ref="D385:E385"/>
    <mergeCell ref="H385:I385"/>
    <mergeCell ref="J385:L385"/>
    <mergeCell ref="A386:A387"/>
    <mergeCell ref="F386:I386"/>
    <mergeCell ref="J386:J387"/>
    <mergeCell ref="K386:K387"/>
    <mergeCell ref="L386:L387"/>
    <mergeCell ref="M386:M387"/>
    <mergeCell ref="N386:N387"/>
    <mergeCell ref="O386:O387"/>
    <mergeCell ref="P386:P387"/>
    <mergeCell ref="Q386:Q387"/>
    <mergeCell ref="R386:R387"/>
    <mergeCell ref="B387:H387"/>
    <mergeCell ref="B388:C388"/>
    <mergeCell ref="D388:E388"/>
    <mergeCell ref="H388:I388"/>
    <mergeCell ref="J388:L388"/>
    <mergeCell ref="A389:A390"/>
    <mergeCell ref="F389:I389"/>
    <mergeCell ref="J389:J390"/>
    <mergeCell ref="K389:K390"/>
    <mergeCell ref="L389:L390"/>
    <mergeCell ref="M389:M390"/>
    <mergeCell ref="N389:N390"/>
    <mergeCell ref="O389:O390"/>
    <mergeCell ref="P389:P390"/>
    <mergeCell ref="Q389:Q390"/>
    <mergeCell ref="R389:R390"/>
    <mergeCell ref="B390:H390"/>
    <mergeCell ref="B392:L392"/>
    <mergeCell ref="M392:O392"/>
    <mergeCell ref="P392:R392"/>
    <mergeCell ref="B393:C393"/>
    <mergeCell ref="D393:E393"/>
    <mergeCell ref="H393:I393"/>
    <mergeCell ref="J393:L393"/>
    <mergeCell ref="A394:A395"/>
    <mergeCell ref="F394:I394"/>
    <mergeCell ref="J394:J395"/>
    <mergeCell ref="K394:K395"/>
    <mergeCell ref="L394:L395"/>
    <mergeCell ref="M394:M395"/>
    <mergeCell ref="N394:N395"/>
    <mergeCell ref="O394:O395"/>
    <mergeCell ref="P394:P395"/>
    <mergeCell ref="Q394:Q395"/>
    <mergeCell ref="R394:R395"/>
    <mergeCell ref="B395:H395"/>
    <mergeCell ref="B396:C396"/>
    <mergeCell ref="D396:E396"/>
    <mergeCell ref="H396:I396"/>
    <mergeCell ref="J396:L396"/>
    <mergeCell ref="A397:A398"/>
    <mergeCell ref="F397:I397"/>
    <mergeCell ref="J397:J398"/>
    <mergeCell ref="K397:K398"/>
    <mergeCell ref="L397:L398"/>
    <mergeCell ref="M397:M398"/>
    <mergeCell ref="N397:N398"/>
    <mergeCell ref="O397:O398"/>
    <mergeCell ref="P397:P398"/>
    <mergeCell ref="Q397:Q398"/>
    <mergeCell ref="R397:R398"/>
    <mergeCell ref="B398:H398"/>
    <mergeCell ref="B399:C399"/>
    <mergeCell ref="D399:E399"/>
    <mergeCell ref="H399:I399"/>
    <mergeCell ref="J399:L399"/>
    <mergeCell ref="A400:A401"/>
    <mergeCell ref="F400:I400"/>
    <mergeCell ref="J400:J401"/>
    <mergeCell ref="K400:K401"/>
    <mergeCell ref="L400:L401"/>
    <mergeCell ref="M400:M401"/>
    <mergeCell ref="N400:N401"/>
    <mergeCell ref="O400:O401"/>
    <mergeCell ref="P400:P401"/>
    <mergeCell ref="Q400:Q401"/>
    <mergeCell ref="R400:R401"/>
    <mergeCell ref="B401:H401"/>
    <mergeCell ref="B402:C402"/>
    <mergeCell ref="D402:E402"/>
    <mergeCell ref="H402:I402"/>
    <mergeCell ref="J402:L402"/>
    <mergeCell ref="A403:A404"/>
    <mergeCell ref="F403:I403"/>
    <mergeCell ref="J403:J404"/>
    <mergeCell ref="K403:K404"/>
    <mergeCell ref="L403:L404"/>
    <mergeCell ref="M403:M404"/>
    <mergeCell ref="N403:N404"/>
    <mergeCell ref="O403:O404"/>
    <mergeCell ref="P403:P404"/>
    <mergeCell ref="Q403:Q404"/>
    <mergeCell ref="R403:R404"/>
    <mergeCell ref="B404:H404"/>
    <mergeCell ref="B408:L408"/>
    <mergeCell ref="M408:O408"/>
    <mergeCell ref="P408:R408"/>
    <mergeCell ref="B409:C409"/>
    <mergeCell ref="D409:E409"/>
    <mergeCell ref="H409:I409"/>
    <mergeCell ref="J409:L409"/>
    <mergeCell ref="A410:A411"/>
    <mergeCell ref="F410:I410"/>
    <mergeCell ref="J410:J411"/>
    <mergeCell ref="K410:K411"/>
    <mergeCell ref="L410:L411"/>
    <mergeCell ref="M410:M411"/>
    <mergeCell ref="N410:N411"/>
    <mergeCell ref="O410:O411"/>
    <mergeCell ref="P410:P411"/>
    <mergeCell ref="Q410:Q411"/>
    <mergeCell ref="R410:R411"/>
    <mergeCell ref="B411:H411"/>
    <mergeCell ref="B412:C412"/>
    <mergeCell ref="D412:E412"/>
    <mergeCell ref="H412:I412"/>
    <mergeCell ref="J412:L412"/>
    <mergeCell ref="A413:A414"/>
    <mergeCell ref="F413:I413"/>
    <mergeCell ref="J413:J414"/>
    <mergeCell ref="K413:K414"/>
    <mergeCell ref="L413:L414"/>
    <mergeCell ref="M413:M414"/>
    <mergeCell ref="N413:N414"/>
    <mergeCell ref="O413:O414"/>
    <mergeCell ref="P413:P414"/>
    <mergeCell ref="Q413:Q414"/>
    <mergeCell ref="R413:R414"/>
    <mergeCell ref="B414:H414"/>
    <mergeCell ref="B415:C415"/>
    <mergeCell ref="D415:E415"/>
    <mergeCell ref="H415:I415"/>
    <mergeCell ref="J415:L415"/>
    <mergeCell ref="A416:A417"/>
    <mergeCell ref="F416:I416"/>
    <mergeCell ref="J416:J417"/>
    <mergeCell ref="K416:K417"/>
    <mergeCell ref="L416:L417"/>
    <mergeCell ref="M416:M417"/>
    <mergeCell ref="N416:N417"/>
    <mergeCell ref="O416:O417"/>
    <mergeCell ref="P416:P417"/>
    <mergeCell ref="Q416:Q417"/>
    <mergeCell ref="R416:R417"/>
    <mergeCell ref="B417:H417"/>
    <mergeCell ref="B418:C418"/>
    <mergeCell ref="D418:E418"/>
    <mergeCell ref="H418:I418"/>
    <mergeCell ref="J418:L418"/>
    <mergeCell ref="A419:A420"/>
    <mergeCell ref="F419:I419"/>
    <mergeCell ref="J419:J420"/>
    <mergeCell ref="K419:K420"/>
    <mergeCell ref="L419:L420"/>
    <mergeCell ref="M419:M420"/>
    <mergeCell ref="N419:N420"/>
    <mergeCell ref="O419:O420"/>
    <mergeCell ref="P419:P420"/>
    <mergeCell ref="Q419:Q420"/>
    <mergeCell ref="R419:R420"/>
    <mergeCell ref="B420:H420"/>
    <mergeCell ref="B422:L422"/>
    <mergeCell ref="M422:O422"/>
    <mergeCell ref="P422:R422"/>
    <mergeCell ref="B423:C423"/>
    <mergeCell ref="D423:E423"/>
    <mergeCell ref="H423:I423"/>
    <mergeCell ref="J423:L423"/>
    <mergeCell ref="A424:A425"/>
    <mergeCell ref="F424:I424"/>
    <mergeCell ref="J424:J425"/>
    <mergeCell ref="K424:K425"/>
    <mergeCell ref="L424:L425"/>
    <mergeCell ref="M424:M425"/>
    <mergeCell ref="N424:N425"/>
    <mergeCell ref="O424:O425"/>
    <mergeCell ref="P424:P425"/>
    <mergeCell ref="Q424:Q425"/>
    <mergeCell ref="R424:R425"/>
    <mergeCell ref="B425:H425"/>
    <mergeCell ref="B426:C426"/>
    <mergeCell ref="D426:E426"/>
    <mergeCell ref="H426:I426"/>
    <mergeCell ref="J426:L426"/>
    <mergeCell ref="A427:A428"/>
    <mergeCell ref="F427:I427"/>
    <mergeCell ref="J427:J428"/>
    <mergeCell ref="K427:K428"/>
    <mergeCell ref="L427:L428"/>
    <mergeCell ref="M427:M428"/>
    <mergeCell ref="N427:N428"/>
    <mergeCell ref="O427:O428"/>
    <mergeCell ref="P427:P428"/>
    <mergeCell ref="Q427:Q428"/>
    <mergeCell ref="R427:R428"/>
    <mergeCell ref="B428:H428"/>
    <mergeCell ref="B429:C429"/>
    <mergeCell ref="D429:E429"/>
    <mergeCell ref="H429:I429"/>
    <mergeCell ref="J429:L429"/>
    <mergeCell ref="A430:A431"/>
    <mergeCell ref="F430:I430"/>
    <mergeCell ref="J430:J431"/>
    <mergeCell ref="K430:K431"/>
    <mergeCell ref="L430:L431"/>
    <mergeCell ref="M430:M431"/>
    <mergeCell ref="N430:N431"/>
    <mergeCell ref="O430:O431"/>
    <mergeCell ref="P430:P431"/>
    <mergeCell ref="Q430:Q431"/>
    <mergeCell ref="R430:R431"/>
    <mergeCell ref="B431:H431"/>
    <mergeCell ref="B432:C432"/>
    <mergeCell ref="D432:E432"/>
    <mergeCell ref="H432:I432"/>
    <mergeCell ref="J432:L432"/>
    <mergeCell ref="A433:A434"/>
    <mergeCell ref="F433:I433"/>
    <mergeCell ref="J433:J434"/>
    <mergeCell ref="K433:K434"/>
    <mergeCell ref="L433:L434"/>
    <mergeCell ref="M433:M434"/>
    <mergeCell ref="N433:N434"/>
    <mergeCell ref="O433:O434"/>
    <mergeCell ref="P433:P434"/>
    <mergeCell ref="Q433:Q434"/>
    <mergeCell ref="R433:R434"/>
    <mergeCell ref="B434:H434"/>
    <mergeCell ref="B436:L436"/>
    <mergeCell ref="M436:O436"/>
    <mergeCell ref="P436:R436"/>
    <mergeCell ref="B437:C437"/>
    <mergeCell ref="D437:E437"/>
    <mergeCell ref="H437:I437"/>
    <mergeCell ref="J437:L437"/>
    <mergeCell ref="A438:A439"/>
    <mergeCell ref="F438:I438"/>
    <mergeCell ref="J438:J439"/>
    <mergeCell ref="K438:K439"/>
    <mergeCell ref="L438:L439"/>
    <mergeCell ref="M438:M439"/>
    <mergeCell ref="N438:N439"/>
    <mergeCell ref="O438:O439"/>
    <mergeCell ref="P438:P439"/>
    <mergeCell ref="Q438:Q439"/>
    <mergeCell ref="R438:R439"/>
    <mergeCell ref="B439:H439"/>
    <mergeCell ref="B440:C440"/>
    <mergeCell ref="D440:E440"/>
    <mergeCell ref="H440:I440"/>
    <mergeCell ref="J440:L440"/>
    <mergeCell ref="A441:A442"/>
    <mergeCell ref="F441:I441"/>
    <mergeCell ref="J441:J442"/>
    <mergeCell ref="K441:K442"/>
    <mergeCell ref="L441:L442"/>
    <mergeCell ref="M441:M442"/>
    <mergeCell ref="N441:N442"/>
    <mergeCell ref="O441:O442"/>
    <mergeCell ref="P441:P442"/>
    <mergeCell ref="Q441:Q442"/>
    <mergeCell ref="R441:R442"/>
    <mergeCell ref="B442:H442"/>
    <mergeCell ref="B443:C443"/>
    <mergeCell ref="D443:E443"/>
    <mergeCell ref="H443:I443"/>
    <mergeCell ref="J443:L443"/>
    <mergeCell ref="A444:A445"/>
    <mergeCell ref="F444:I444"/>
    <mergeCell ref="J444:J445"/>
    <mergeCell ref="K444:K445"/>
    <mergeCell ref="L444:L445"/>
    <mergeCell ref="M444:M445"/>
    <mergeCell ref="N444:N445"/>
    <mergeCell ref="O444:O445"/>
    <mergeCell ref="P444:P445"/>
    <mergeCell ref="Q444:Q445"/>
    <mergeCell ref="R444:R445"/>
    <mergeCell ref="B445:H445"/>
    <mergeCell ref="B446:C446"/>
    <mergeCell ref="D446:E446"/>
    <mergeCell ref="H446:I446"/>
    <mergeCell ref="J446:L446"/>
    <mergeCell ref="A447:A448"/>
    <mergeCell ref="F447:I447"/>
    <mergeCell ref="J447:J448"/>
    <mergeCell ref="K447:K448"/>
    <mergeCell ref="L447:L448"/>
    <mergeCell ref="M447:M448"/>
    <mergeCell ref="N447:N448"/>
    <mergeCell ref="O447:O448"/>
    <mergeCell ref="P447:P448"/>
    <mergeCell ref="Q447:Q448"/>
    <mergeCell ref="R447:R448"/>
    <mergeCell ref="B448:H448"/>
    <mergeCell ref="B450:L450"/>
    <mergeCell ref="M450:O450"/>
    <mergeCell ref="P450:R450"/>
    <mergeCell ref="B451:C451"/>
    <mergeCell ref="D451:E451"/>
    <mergeCell ref="H451:I451"/>
    <mergeCell ref="J451:L451"/>
    <mergeCell ref="A452:A453"/>
    <mergeCell ref="F452:I452"/>
    <mergeCell ref="J452:J453"/>
    <mergeCell ref="K452:K453"/>
    <mergeCell ref="L452:L453"/>
    <mergeCell ref="M452:M453"/>
    <mergeCell ref="N452:N453"/>
    <mergeCell ref="O452:O453"/>
    <mergeCell ref="P452:P453"/>
    <mergeCell ref="Q452:Q453"/>
    <mergeCell ref="R452:R453"/>
    <mergeCell ref="B453:H453"/>
    <mergeCell ref="B454:C454"/>
    <mergeCell ref="D454:E454"/>
    <mergeCell ref="H454:I454"/>
    <mergeCell ref="J454:L454"/>
    <mergeCell ref="A455:A456"/>
    <mergeCell ref="F455:I455"/>
    <mergeCell ref="J455:J456"/>
    <mergeCell ref="K455:K456"/>
    <mergeCell ref="L455:L456"/>
    <mergeCell ref="M455:M456"/>
    <mergeCell ref="N455:N456"/>
    <mergeCell ref="O455:O456"/>
    <mergeCell ref="P455:P456"/>
    <mergeCell ref="Q455:Q456"/>
    <mergeCell ref="R455:R456"/>
    <mergeCell ref="B456:H456"/>
    <mergeCell ref="B457:C457"/>
    <mergeCell ref="D457:E457"/>
    <mergeCell ref="H457:I457"/>
    <mergeCell ref="J457:L457"/>
    <mergeCell ref="A458:A459"/>
    <mergeCell ref="F458:I458"/>
    <mergeCell ref="J458:J459"/>
    <mergeCell ref="K458:K459"/>
    <mergeCell ref="L458:L459"/>
    <mergeCell ref="M458:M459"/>
    <mergeCell ref="N458:N459"/>
    <mergeCell ref="O458:O459"/>
    <mergeCell ref="P458:P459"/>
    <mergeCell ref="Q458:Q459"/>
    <mergeCell ref="R458:R459"/>
    <mergeCell ref="B459:H459"/>
    <mergeCell ref="B460:C460"/>
    <mergeCell ref="D460:E460"/>
    <mergeCell ref="H460:I460"/>
    <mergeCell ref="J460:L460"/>
    <mergeCell ref="A461:A462"/>
    <mergeCell ref="F461:I461"/>
    <mergeCell ref="J461:J462"/>
    <mergeCell ref="K461:K462"/>
    <mergeCell ref="L461:L462"/>
    <mergeCell ref="M461:M462"/>
    <mergeCell ref="N461:N462"/>
    <mergeCell ref="O461:O462"/>
    <mergeCell ref="P461:P462"/>
    <mergeCell ref="Q461:Q462"/>
    <mergeCell ref="R461:R462"/>
    <mergeCell ref="B462:H462"/>
    <mergeCell ref="B464:L464"/>
    <mergeCell ref="M464:O464"/>
    <mergeCell ref="P464:R464"/>
    <mergeCell ref="B465:C465"/>
    <mergeCell ref="D465:E465"/>
    <mergeCell ref="H465:I465"/>
    <mergeCell ref="J465:L465"/>
    <mergeCell ref="A466:A467"/>
    <mergeCell ref="F466:I466"/>
    <mergeCell ref="J466:J467"/>
    <mergeCell ref="K466:K467"/>
    <mergeCell ref="L466:L467"/>
    <mergeCell ref="M466:M467"/>
    <mergeCell ref="N466:N467"/>
    <mergeCell ref="O466:O467"/>
    <mergeCell ref="P466:P467"/>
    <mergeCell ref="Q466:Q467"/>
    <mergeCell ref="R466:R467"/>
    <mergeCell ref="B467:H467"/>
    <mergeCell ref="B468:C468"/>
    <mergeCell ref="D468:E468"/>
    <mergeCell ref="H468:I468"/>
    <mergeCell ref="J468:L468"/>
    <mergeCell ref="A469:A470"/>
    <mergeCell ref="F469:I469"/>
    <mergeCell ref="J469:J470"/>
    <mergeCell ref="K469:K470"/>
    <mergeCell ref="L469:L470"/>
    <mergeCell ref="M469:M470"/>
    <mergeCell ref="N469:N470"/>
    <mergeCell ref="O469:O470"/>
    <mergeCell ref="P469:P470"/>
    <mergeCell ref="Q469:Q470"/>
    <mergeCell ref="R469:R470"/>
    <mergeCell ref="B470:H470"/>
    <mergeCell ref="B471:C471"/>
    <mergeCell ref="D471:E471"/>
    <mergeCell ref="H471:I471"/>
    <mergeCell ref="J471:L471"/>
    <mergeCell ref="A472:A473"/>
    <mergeCell ref="F472:I472"/>
    <mergeCell ref="J472:J473"/>
    <mergeCell ref="K472:K473"/>
    <mergeCell ref="L472:L473"/>
    <mergeCell ref="M472:M473"/>
    <mergeCell ref="N472:N473"/>
    <mergeCell ref="O472:O473"/>
    <mergeCell ref="P472:P473"/>
    <mergeCell ref="Q472:Q473"/>
    <mergeCell ref="R472:R473"/>
    <mergeCell ref="B473:H473"/>
    <mergeCell ref="B474:C474"/>
    <mergeCell ref="D474:E474"/>
    <mergeCell ref="H474:I474"/>
    <mergeCell ref="J474:L474"/>
    <mergeCell ref="A475:A476"/>
    <mergeCell ref="F475:I475"/>
    <mergeCell ref="J475:J476"/>
    <mergeCell ref="K475:K476"/>
    <mergeCell ref="L475:L476"/>
    <mergeCell ref="M475:M476"/>
    <mergeCell ref="N475:N476"/>
    <mergeCell ref="O475:O476"/>
    <mergeCell ref="P475:P476"/>
    <mergeCell ref="Q475:Q476"/>
    <mergeCell ref="R475:R476"/>
    <mergeCell ref="B476:H476"/>
    <mergeCell ref="B478:L478"/>
    <mergeCell ref="M478:O478"/>
    <mergeCell ref="P478:R478"/>
    <mergeCell ref="B479:C479"/>
    <mergeCell ref="D479:E479"/>
    <mergeCell ref="H479:I479"/>
    <mergeCell ref="J479:L479"/>
    <mergeCell ref="A480:A481"/>
    <mergeCell ref="F480:I480"/>
    <mergeCell ref="J480:J481"/>
    <mergeCell ref="K480:K481"/>
    <mergeCell ref="L480:L481"/>
    <mergeCell ref="M480:M481"/>
    <mergeCell ref="N480:N481"/>
    <mergeCell ref="O480:O481"/>
    <mergeCell ref="P480:P481"/>
    <mergeCell ref="Q480:Q481"/>
    <mergeCell ref="R480:R481"/>
    <mergeCell ref="B481:H481"/>
    <mergeCell ref="B482:C482"/>
    <mergeCell ref="D482:E482"/>
    <mergeCell ref="H482:I482"/>
    <mergeCell ref="J482:L482"/>
    <mergeCell ref="A483:A484"/>
    <mergeCell ref="F483:I483"/>
    <mergeCell ref="J483:J484"/>
    <mergeCell ref="K483:K484"/>
    <mergeCell ref="L483:L484"/>
    <mergeCell ref="M483:M484"/>
    <mergeCell ref="N483:N484"/>
    <mergeCell ref="O483:O484"/>
    <mergeCell ref="P483:P484"/>
    <mergeCell ref="Q483:Q484"/>
    <mergeCell ref="R483:R484"/>
    <mergeCell ref="B484:H484"/>
    <mergeCell ref="B485:C485"/>
    <mergeCell ref="D485:E485"/>
    <mergeCell ref="H485:I485"/>
    <mergeCell ref="J485:L485"/>
    <mergeCell ref="A486:A487"/>
    <mergeCell ref="F486:I486"/>
    <mergeCell ref="J486:J487"/>
    <mergeCell ref="K486:K487"/>
    <mergeCell ref="L486:L487"/>
    <mergeCell ref="M486:M487"/>
    <mergeCell ref="N486:N487"/>
    <mergeCell ref="O486:O487"/>
    <mergeCell ref="P486:P487"/>
    <mergeCell ref="Q486:Q487"/>
    <mergeCell ref="R486:R487"/>
    <mergeCell ref="B487:H487"/>
    <mergeCell ref="B488:C488"/>
    <mergeCell ref="D488:E488"/>
    <mergeCell ref="H488:I488"/>
    <mergeCell ref="J488:L488"/>
    <mergeCell ref="A489:A490"/>
    <mergeCell ref="F489:I489"/>
    <mergeCell ref="J489:J490"/>
    <mergeCell ref="K489:K490"/>
    <mergeCell ref="L489:L490"/>
    <mergeCell ref="M489:M490"/>
    <mergeCell ref="N489:N490"/>
    <mergeCell ref="O489:O490"/>
    <mergeCell ref="P489:P490"/>
    <mergeCell ref="Q489:Q490"/>
    <mergeCell ref="R489:R490"/>
    <mergeCell ref="B490:H490"/>
    <mergeCell ref="B492:L492"/>
    <mergeCell ref="M492:O492"/>
    <mergeCell ref="P492:R492"/>
    <mergeCell ref="B493:C493"/>
    <mergeCell ref="D493:E493"/>
    <mergeCell ref="H493:I493"/>
    <mergeCell ref="J493:L493"/>
    <mergeCell ref="A494:A495"/>
    <mergeCell ref="F494:I494"/>
    <mergeCell ref="J494:J495"/>
    <mergeCell ref="K494:K495"/>
    <mergeCell ref="L494:L495"/>
    <mergeCell ref="M494:M495"/>
    <mergeCell ref="N494:N495"/>
    <mergeCell ref="O494:O495"/>
    <mergeCell ref="P494:P495"/>
    <mergeCell ref="Q494:Q495"/>
    <mergeCell ref="R494:R495"/>
    <mergeCell ref="B495:H495"/>
    <mergeCell ref="B496:C496"/>
    <mergeCell ref="D496:E496"/>
    <mergeCell ref="H496:I496"/>
    <mergeCell ref="J496:L496"/>
    <mergeCell ref="A497:A498"/>
    <mergeCell ref="F497:I497"/>
    <mergeCell ref="J497:J498"/>
    <mergeCell ref="K497:K498"/>
    <mergeCell ref="L497:L498"/>
    <mergeCell ref="M497:M498"/>
    <mergeCell ref="N497:N498"/>
    <mergeCell ref="O497:O498"/>
    <mergeCell ref="P497:P498"/>
    <mergeCell ref="Q497:Q498"/>
    <mergeCell ref="R497:R498"/>
    <mergeCell ref="B498:H498"/>
    <mergeCell ref="B499:C499"/>
    <mergeCell ref="D499:E499"/>
    <mergeCell ref="H499:I499"/>
    <mergeCell ref="J499:L499"/>
    <mergeCell ref="A500:A501"/>
    <mergeCell ref="F500:I500"/>
    <mergeCell ref="J500:J501"/>
    <mergeCell ref="K500:K501"/>
    <mergeCell ref="L500:L501"/>
    <mergeCell ref="M500:M501"/>
    <mergeCell ref="N500:N501"/>
    <mergeCell ref="O500:O501"/>
    <mergeCell ref="P500:P501"/>
    <mergeCell ref="Q500:Q501"/>
    <mergeCell ref="R500:R501"/>
    <mergeCell ref="B501:H501"/>
    <mergeCell ref="B502:C502"/>
    <mergeCell ref="D502:E502"/>
    <mergeCell ref="H502:I502"/>
    <mergeCell ref="J502:L502"/>
    <mergeCell ref="A503:A504"/>
    <mergeCell ref="F503:I503"/>
    <mergeCell ref="J503:J504"/>
    <mergeCell ref="K503:K504"/>
    <mergeCell ref="L503:L504"/>
    <mergeCell ref="M503:M504"/>
    <mergeCell ref="N503:N504"/>
    <mergeCell ref="O503:O504"/>
    <mergeCell ref="P503:P504"/>
    <mergeCell ref="Q503:Q504"/>
    <mergeCell ref="R503:R504"/>
    <mergeCell ref="B504:H504"/>
    <mergeCell ref="B508:L508"/>
    <mergeCell ref="M508:O508"/>
    <mergeCell ref="P508:R508"/>
    <mergeCell ref="B509:C509"/>
    <mergeCell ref="D509:E509"/>
    <mergeCell ref="H509:I509"/>
    <mergeCell ref="J509:L509"/>
    <mergeCell ref="A510:A511"/>
    <mergeCell ref="F510:I510"/>
    <mergeCell ref="J510:J511"/>
    <mergeCell ref="K510:K511"/>
    <mergeCell ref="L510:L511"/>
    <mergeCell ref="M510:M511"/>
    <mergeCell ref="N510:N511"/>
    <mergeCell ref="O510:O511"/>
    <mergeCell ref="P510:P511"/>
    <mergeCell ref="Q510:Q511"/>
    <mergeCell ref="R510:R511"/>
    <mergeCell ref="B511:H511"/>
    <mergeCell ref="B512:C512"/>
    <mergeCell ref="D512:E512"/>
    <mergeCell ref="H512:I512"/>
    <mergeCell ref="J512:L512"/>
    <mergeCell ref="A513:A514"/>
    <mergeCell ref="F513:I513"/>
    <mergeCell ref="J513:J514"/>
    <mergeCell ref="K513:K514"/>
    <mergeCell ref="L513:L514"/>
    <mergeCell ref="M513:M514"/>
    <mergeCell ref="N513:N514"/>
    <mergeCell ref="O513:O514"/>
    <mergeCell ref="P513:P514"/>
    <mergeCell ref="Q513:Q514"/>
    <mergeCell ref="R513:R514"/>
    <mergeCell ref="B514:H514"/>
    <mergeCell ref="B515:C515"/>
    <mergeCell ref="D515:E515"/>
    <mergeCell ref="H515:I515"/>
    <mergeCell ref="J515:L515"/>
    <mergeCell ref="A516:A517"/>
    <mergeCell ref="F516:I516"/>
    <mergeCell ref="J516:J517"/>
    <mergeCell ref="K516:K517"/>
    <mergeCell ref="L516:L517"/>
    <mergeCell ref="M516:M517"/>
    <mergeCell ref="N516:N517"/>
    <mergeCell ref="O516:O517"/>
    <mergeCell ref="P516:P517"/>
    <mergeCell ref="Q516:Q517"/>
    <mergeCell ref="R516:R517"/>
    <mergeCell ref="B517:H517"/>
    <mergeCell ref="B518:C518"/>
    <mergeCell ref="D518:E518"/>
    <mergeCell ref="H518:I518"/>
    <mergeCell ref="J518:L518"/>
    <mergeCell ref="A519:A520"/>
    <mergeCell ref="F519:I519"/>
    <mergeCell ref="J519:J520"/>
    <mergeCell ref="K519:K520"/>
    <mergeCell ref="L519:L520"/>
    <mergeCell ref="M519:M520"/>
    <mergeCell ref="N519:N520"/>
    <mergeCell ref="O519:O520"/>
    <mergeCell ref="P519:P520"/>
    <mergeCell ref="Q519:Q520"/>
    <mergeCell ref="R519:R520"/>
    <mergeCell ref="B520:H520"/>
    <mergeCell ref="B522:L522"/>
    <mergeCell ref="M522:O522"/>
    <mergeCell ref="P522:R522"/>
    <mergeCell ref="B523:C523"/>
    <mergeCell ref="D523:E523"/>
    <mergeCell ref="H523:I523"/>
    <mergeCell ref="J523:L523"/>
    <mergeCell ref="A524:A525"/>
    <mergeCell ref="F524:I524"/>
    <mergeCell ref="J524:J525"/>
    <mergeCell ref="K524:K525"/>
    <mergeCell ref="L524:L525"/>
    <mergeCell ref="M524:M525"/>
    <mergeCell ref="N524:N525"/>
    <mergeCell ref="O524:O525"/>
    <mergeCell ref="P524:P525"/>
    <mergeCell ref="Q524:Q525"/>
    <mergeCell ref="R524:R525"/>
    <mergeCell ref="B525:H525"/>
    <mergeCell ref="B526:C526"/>
    <mergeCell ref="D526:E526"/>
    <mergeCell ref="H526:I526"/>
    <mergeCell ref="J526:L526"/>
    <mergeCell ref="A527:A528"/>
    <mergeCell ref="F527:I527"/>
    <mergeCell ref="J527:J528"/>
    <mergeCell ref="K527:K528"/>
    <mergeCell ref="L527:L528"/>
    <mergeCell ref="M527:M528"/>
    <mergeCell ref="N527:N528"/>
    <mergeCell ref="O527:O528"/>
    <mergeCell ref="P527:P528"/>
    <mergeCell ref="Q527:Q528"/>
    <mergeCell ref="R527:R528"/>
    <mergeCell ref="B528:H528"/>
    <mergeCell ref="B529:C529"/>
    <mergeCell ref="D529:E529"/>
    <mergeCell ref="H529:I529"/>
    <mergeCell ref="J529:L529"/>
    <mergeCell ref="A530:A531"/>
    <mergeCell ref="F530:I530"/>
    <mergeCell ref="J530:J531"/>
    <mergeCell ref="K530:K531"/>
    <mergeCell ref="L530:L531"/>
    <mergeCell ref="M530:M531"/>
    <mergeCell ref="N530:N531"/>
    <mergeCell ref="O530:O531"/>
    <mergeCell ref="P530:P531"/>
    <mergeCell ref="Q530:Q531"/>
    <mergeCell ref="R530:R531"/>
    <mergeCell ref="B531:H531"/>
    <mergeCell ref="B532:C532"/>
    <mergeCell ref="D532:E532"/>
    <mergeCell ref="H532:I532"/>
    <mergeCell ref="J532:L532"/>
    <mergeCell ref="A533:A534"/>
    <mergeCell ref="F533:I533"/>
    <mergeCell ref="J533:J534"/>
    <mergeCell ref="K533:K534"/>
    <mergeCell ref="L533:L534"/>
    <mergeCell ref="M533:M534"/>
    <mergeCell ref="N533:N534"/>
    <mergeCell ref="O533:O534"/>
    <mergeCell ref="P533:P534"/>
    <mergeCell ref="Q533:Q534"/>
    <mergeCell ref="R533:R534"/>
    <mergeCell ref="B534:H534"/>
    <mergeCell ref="B536:L536"/>
    <mergeCell ref="M536:O536"/>
    <mergeCell ref="P536:R536"/>
    <mergeCell ref="B537:C537"/>
    <mergeCell ref="D537:E537"/>
    <mergeCell ref="H537:I537"/>
    <mergeCell ref="J537:L537"/>
    <mergeCell ref="A538:A539"/>
    <mergeCell ref="F538:I538"/>
    <mergeCell ref="J538:J539"/>
    <mergeCell ref="K538:K539"/>
    <mergeCell ref="L538:L539"/>
    <mergeCell ref="M538:M539"/>
    <mergeCell ref="N538:N539"/>
    <mergeCell ref="O538:O539"/>
    <mergeCell ref="P538:P539"/>
    <mergeCell ref="Q538:Q539"/>
    <mergeCell ref="R538:R539"/>
    <mergeCell ref="B539:H539"/>
    <mergeCell ref="B540:C540"/>
    <mergeCell ref="D540:E540"/>
    <mergeCell ref="H540:I540"/>
    <mergeCell ref="J540:L540"/>
    <mergeCell ref="A541:A542"/>
    <mergeCell ref="F541:I541"/>
    <mergeCell ref="J541:J542"/>
    <mergeCell ref="K541:K542"/>
    <mergeCell ref="L541:L542"/>
    <mergeCell ref="M541:M542"/>
    <mergeCell ref="N541:N542"/>
    <mergeCell ref="O541:O542"/>
    <mergeCell ref="P541:P542"/>
    <mergeCell ref="Q541:Q542"/>
    <mergeCell ref="R541:R542"/>
    <mergeCell ref="B542:H542"/>
    <mergeCell ref="B543:C543"/>
    <mergeCell ref="D543:E543"/>
    <mergeCell ref="H543:I543"/>
    <mergeCell ref="J543:L543"/>
    <mergeCell ref="A544:A545"/>
    <mergeCell ref="F544:I544"/>
    <mergeCell ref="J544:J545"/>
    <mergeCell ref="K544:K545"/>
    <mergeCell ref="L544:L545"/>
    <mergeCell ref="M544:M545"/>
    <mergeCell ref="N544:N545"/>
    <mergeCell ref="O544:O545"/>
    <mergeCell ref="P544:P545"/>
    <mergeCell ref="Q544:Q545"/>
    <mergeCell ref="R544:R545"/>
    <mergeCell ref="B545:H545"/>
    <mergeCell ref="B546:C546"/>
    <mergeCell ref="D546:E546"/>
    <mergeCell ref="H546:I546"/>
    <mergeCell ref="J546:L546"/>
    <mergeCell ref="A547:A548"/>
    <mergeCell ref="F547:I547"/>
    <mergeCell ref="J547:J548"/>
    <mergeCell ref="K547:K548"/>
    <mergeCell ref="L547:L548"/>
    <mergeCell ref="M547:M548"/>
    <mergeCell ref="N547:N548"/>
    <mergeCell ref="O547:O548"/>
    <mergeCell ref="P547:P548"/>
    <mergeCell ref="Q547:Q548"/>
    <mergeCell ref="R547:R548"/>
    <mergeCell ref="B548:H548"/>
    <mergeCell ref="B550:L550"/>
    <mergeCell ref="M550:O550"/>
    <mergeCell ref="P550:R550"/>
    <mergeCell ref="B551:C551"/>
    <mergeCell ref="D551:E551"/>
    <mergeCell ref="H551:I551"/>
    <mergeCell ref="J551:L551"/>
    <mergeCell ref="A552:A553"/>
    <mergeCell ref="F552:I552"/>
    <mergeCell ref="J552:J553"/>
    <mergeCell ref="K552:K553"/>
    <mergeCell ref="L552:L553"/>
    <mergeCell ref="M552:M553"/>
    <mergeCell ref="N552:N553"/>
    <mergeCell ref="O552:O553"/>
    <mergeCell ref="P552:P553"/>
    <mergeCell ref="Q552:Q553"/>
    <mergeCell ref="R552:R553"/>
    <mergeCell ref="B553:H553"/>
    <mergeCell ref="B554:C554"/>
    <mergeCell ref="D554:E554"/>
    <mergeCell ref="H554:I554"/>
    <mergeCell ref="J554:L554"/>
    <mergeCell ref="A555:A556"/>
    <mergeCell ref="F555:I555"/>
    <mergeCell ref="J555:J556"/>
    <mergeCell ref="K555:K556"/>
    <mergeCell ref="L555:L556"/>
    <mergeCell ref="M555:M556"/>
    <mergeCell ref="N555:N556"/>
    <mergeCell ref="O555:O556"/>
    <mergeCell ref="P555:P556"/>
    <mergeCell ref="Q555:Q556"/>
    <mergeCell ref="R555:R556"/>
    <mergeCell ref="B556:H556"/>
    <mergeCell ref="B557:C557"/>
    <mergeCell ref="D557:E557"/>
    <mergeCell ref="H557:I557"/>
    <mergeCell ref="J557:L557"/>
    <mergeCell ref="A558:A559"/>
    <mergeCell ref="F558:I558"/>
    <mergeCell ref="J558:J559"/>
    <mergeCell ref="K558:K559"/>
    <mergeCell ref="L558:L559"/>
    <mergeCell ref="M558:M559"/>
    <mergeCell ref="N558:N559"/>
    <mergeCell ref="O558:O559"/>
    <mergeCell ref="P558:P559"/>
    <mergeCell ref="Q558:Q559"/>
    <mergeCell ref="R558:R559"/>
    <mergeCell ref="B559:H559"/>
    <mergeCell ref="B560:C560"/>
    <mergeCell ref="D560:E560"/>
    <mergeCell ref="H560:I560"/>
    <mergeCell ref="J560:L560"/>
    <mergeCell ref="A561:A562"/>
    <mergeCell ref="F561:I561"/>
    <mergeCell ref="J561:J562"/>
    <mergeCell ref="K561:K562"/>
    <mergeCell ref="L561:L562"/>
    <mergeCell ref="M561:M562"/>
    <mergeCell ref="N561:N562"/>
    <mergeCell ref="O561:O562"/>
    <mergeCell ref="P561:P562"/>
    <mergeCell ref="Q561:Q562"/>
    <mergeCell ref="R561:R562"/>
    <mergeCell ref="B562:H562"/>
    <mergeCell ref="B564:L564"/>
    <mergeCell ref="M564:O564"/>
    <mergeCell ref="P564:R564"/>
    <mergeCell ref="B565:C565"/>
    <mergeCell ref="D565:E565"/>
    <mergeCell ref="H565:I565"/>
    <mergeCell ref="J565:L565"/>
    <mergeCell ref="A566:A567"/>
    <mergeCell ref="F566:I566"/>
    <mergeCell ref="J566:J567"/>
    <mergeCell ref="K566:K567"/>
    <mergeCell ref="L566:L567"/>
    <mergeCell ref="M566:M567"/>
    <mergeCell ref="N566:N567"/>
    <mergeCell ref="O566:O567"/>
    <mergeCell ref="P566:P567"/>
    <mergeCell ref="Q566:Q567"/>
    <mergeCell ref="R566:R567"/>
    <mergeCell ref="B567:H567"/>
    <mergeCell ref="B568:C568"/>
    <mergeCell ref="D568:E568"/>
    <mergeCell ref="H568:I568"/>
    <mergeCell ref="J568:L568"/>
    <mergeCell ref="A569:A570"/>
    <mergeCell ref="F569:I569"/>
    <mergeCell ref="J569:J570"/>
    <mergeCell ref="K569:K570"/>
    <mergeCell ref="L569:L570"/>
    <mergeCell ref="M569:M570"/>
    <mergeCell ref="N569:N570"/>
    <mergeCell ref="O569:O570"/>
    <mergeCell ref="P569:P570"/>
    <mergeCell ref="Q569:Q570"/>
    <mergeCell ref="R569:R570"/>
    <mergeCell ref="B570:H570"/>
    <mergeCell ref="B571:C571"/>
    <mergeCell ref="D571:E571"/>
    <mergeCell ref="H571:I571"/>
    <mergeCell ref="J571:L571"/>
    <mergeCell ref="A572:A573"/>
    <mergeCell ref="F572:I572"/>
    <mergeCell ref="J572:J573"/>
    <mergeCell ref="K572:K573"/>
    <mergeCell ref="L572:L573"/>
    <mergeCell ref="M572:M573"/>
    <mergeCell ref="N572:N573"/>
    <mergeCell ref="O572:O573"/>
    <mergeCell ref="P572:P573"/>
    <mergeCell ref="Q572:Q573"/>
    <mergeCell ref="R572:R573"/>
    <mergeCell ref="B573:H573"/>
    <mergeCell ref="B574:C574"/>
    <mergeCell ref="D574:E574"/>
    <mergeCell ref="H574:I574"/>
    <mergeCell ref="J574:L574"/>
    <mergeCell ref="A575:A576"/>
    <mergeCell ref="F575:I575"/>
    <mergeCell ref="J575:J576"/>
    <mergeCell ref="K575:K576"/>
    <mergeCell ref="L575:L576"/>
    <mergeCell ref="M575:M576"/>
    <mergeCell ref="N575:N576"/>
    <mergeCell ref="O575:O576"/>
    <mergeCell ref="P575:P576"/>
    <mergeCell ref="Q575:Q576"/>
    <mergeCell ref="R575:R576"/>
    <mergeCell ref="B576:H576"/>
    <mergeCell ref="B578:L578"/>
    <mergeCell ref="M578:O578"/>
    <mergeCell ref="P578:R578"/>
    <mergeCell ref="B579:C579"/>
    <mergeCell ref="D579:E579"/>
    <mergeCell ref="H579:I579"/>
    <mergeCell ref="J579:L579"/>
    <mergeCell ref="A580:A581"/>
    <mergeCell ref="F580:I580"/>
    <mergeCell ref="J580:J581"/>
    <mergeCell ref="K580:K581"/>
    <mergeCell ref="L580:L581"/>
    <mergeCell ref="M580:M581"/>
    <mergeCell ref="N580:N581"/>
    <mergeCell ref="O580:O581"/>
    <mergeCell ref="P580:P581"/>
    <mergeCell ref="Q580:Q581"/>
    <mergeCell ref="R580:R581"/>
    <mergeCell ref="B581:H581"/>
    <mergeCell ref="B582:C582"/>
    <mergeCell ref="D582:E582"/>
    <mergeCell ref="H582:I582"/>
    <mergeCell ref="J582:L582"/>
    <mergeCell ref="A583:A584"/>
    <mergeCell ref="F583:I583"/>
    <mergeCell ref="J583:J584"/>
    <mergeCell ref="K583:K584"/>
    <mergeCell ref="L583:L584"/>
    <mergeCell ref="M583:M584"/>
    <mergeCell ref="N583:N584"/>
    <mergeCell ref="O583:O584"/>
    <mergeCell ref="P583:P584"/>
    <mergeCell ref="Q583:Q584"/>
    <mergeCell ref="R583:R584"/>
    <mergeCell ref="B584:H584"/>
    <mergeCell ref="B585:C585"/>
    <mergeCell ref="D585:E585"/>
    <mergeCell ref="H585:I585"/>
    <mergeCell ref="J585:L585"/>
    <mergeCell ref="A586:A587"/>
    <mergeCell ref="F586:I586"/>
    <mergeCell ref="J586:J587"/>
    <mergeCell ref="K586:K587"/>
    <mergeCell ref="L586:L587"/>
    <mergeCell ref="M586:M587"/>
    <mergeCell ref="N586:N587"/>
    <mergeCell ref="O586:O587"/>
    <mergeCell ref="P586:P587"/>
    <mergeCell ref="Q586:Q587"/>
    <mergeCell ref="R586:R587"/>
    <mergeCell ref="B587:H587"/>
    <mergeCell ref="B588:C588"/>
    <mergeCell ref="D588:E588"/>
    <mergeCell ref="H588:I588"/>
    <mergeCell ref="J588:L588"/>
    <mergeCell ref="A589:A590"/>
    <mergeCell ref="F589:I589"/>
    <mergeCell ref="J589:J590"/>
    <mergeCell ref="K589:K590"/>
    <mergeCell ref="L589:L590"/>
    <mergeCell ref="M589:M590"/>
    <mergeCell ref="N589:N590"/>
    <mergeCell ref="O589:O590"/>
    <mergeCell ref="P589:P590"/>
    <mergeCell ref="Q589:Q590"/>
    <mergeCell ref="R589:R590"/>
    <mergeCell ref="B590:H590"/>
    <mergeCell ref="B592:L592"/>
    <mergeCell ref="M592:O592"/>
    <mergeCell ref="P592:R592"/>
    <mergeCell ref="B593:C593"/>
    <mergeCell ref="D593:E593"/>
    <mergeCell ref="H593:I593"/>
    <mergeCell ref="J593:L593"/>
    <mergeCell ref="A594:A595"/>
    <mergeCell ref="F594:I594"/>
    <mergeCell ref="J594:J595"/>
    <mergeCell ref="K594:K595"/>
    <mergeCell ref="L594:L595"/>
    <mergeCell ref="M594:M595"/>
    <mergeCell ref="N594:N595"/>
    <mergeCell ref="O594:O595"/>
    <mergeCell ref="P594:P595"/>
    <mergeCell ref="Q594:Q595"/>
    <mergeCell ref="R594:R595"/>
    <mergeCell ref="B595:H595"/>
    <mergeCell ref="B596:C596"/>
    <mergeCell ref="D596:E596"/>
    <mergeCell ref="H596:I596"/>
    <mergeCell ref="J596:L596"/>
    <mergeCell ref="A597:A598"/>
    <mergeCell ref="F597:I597"/>
    <mergeCell ref="J597:J598"/>
    <mergeCell ref="K597:K598"/>
    <mergeCell ref="L597:L598"/>
    <mergeCell ref="M597:M598"/>
    <mergeCell ref="N597:N598"/>
    <mergeCell ref="O597:O598"/>
    <mergeCell ref="P597:P598"/>
    <mergeCell ref="Q597:Q598"/>
    <mergeCell ref="R597:R598"/>
    <mergeCell ref="B598:H598"/>
    <mergeCell ref="B599:C599"/>
    <mergeCell ref="D599:E599"/>
    <mergeCell ref="H599:I599"/>
    <mergeCell ref="J599:L599"/>
    <mergeCell ref="A600:A601"/>
    <mergeCell ref="F600:I600"/>
    <mergeCell ref="J600:J601"/>
    <mergeCell ref="K600:K601"/>
    <mergeCell ref="L600:L601"/>
    <mergeCell ref="M600:M601"/>
    <mergeCell ref="N600:N601"/>
    <mergeCell ref="O600:O601"/>
    <mergeCell ref="P600:P601"/>
    <mergeCell ref="Q600:Q601"/>
    <mergeCell ref="R600:R601"/>
    <mergeCell ref="B601:H601"/>
    <mergeCell ref="B602:C602"/>
    <mergeCell ref="D602:E602"/>
    <mergeCell ref="H602:I602"/>
    <mergeCell ref="J602:L602"/>
    <mergeCell ref="A603:A604"/>
    <mergeCell ref="F603:I603"/>
    <mergeCell ref="J603:J604"/>
    <mergeCell ref="K603:K604"/>
    <mergeCell ref="L603:L604"/>
    <mergeCell ref="M603:M604"/>
    <mergeCell ref="N603:N604"/>
    <mergeCell ref="O603:O604"/>
    <mergeCell ref="P603:P604"/>
    <mergeCell ref="Q603:Q604"/>
    <mergeCell ref="R603:R604"/>
    <mergeCell ref="B604:H604"/>
    <mergeCell ref="B608:L608"/>
    <mergeCell ref="M608:O608"/>
    <mergeCell ref="P608:R608"/>
    <mergeCell ref="B609:C609"/>
    <mergeCell ref="D609:E609"/>
    <mergeCell ref="H609:I609"/>
    <mergeCell ref="J609:L609"/>
    <mergeCell ref="A610:A611"/>
    <mergeCell ref="F610:I610"/>
    <mergeCell ref="J610:J611"/>
    <mergeCell ref="K610:K611"/>
    <mergeCell ref="L610:L611"/>
    <mergeCell ref="M610:M611"/>
    <mergeCell ref="N610:N611"/>
    <mergeCell ref="O610:O611"/>
    <mergeCell ref="P610:P611"/>
    <mergeCell ref="Q610:Q611"/>
    <mergeCell ref="R610:R611"/>
    <mergeCell ref="B611:H611"/>
    <mergeCell ref="B612:C612"/>
    <mergeCell ref="D612:E612"/>
    <mergeCell ref="H612:I612"/>
    <mergeCell ref="J612:L612"/>
    <mergeCell ref="A613:A614"/>
    <mergeCell ref="F613:I613"/>
    <mergeCell ref="J613:J614"/>
    <mergeCell ref="K613:K614"/>
    <mergeCell ref="L613:L614"/>
    <mergeCell ref="M613:M614"/>
    <mergeCell ref="N613:N614"/>
    <mergeCell ref="O613:O614"/>
    <mergeCell ref="P613:P614"/>
    <mergeCell ref="Q613:Q614"/>
    <mergeCell ref="R613:R614"/>
    <mergeCell ref="B614:H614"/>
    <mergeCell ref="B615:C615"/>
    <mergeCell ref="D615:E615"/>
    <mergeCell ref="H615:I615"/>
    <mergeCell ref="J615:L615"/>
    <mergeCell ref="A616:A617"/>
    <mergeCell ref="F616:I616"/>
    <mergeCell ref="J616:J617"/>
    <mergeCell ref="K616:K617"/>
    <mergeCell ref="L616:L617"/>
    <mergeCell ref="M616:M617"/>
    <mergeCell ref="N616:N617"/>
    <mergeCell ref="O616:O617"/>
    <mergeCell ref="P616:P617"/>
    <mergeCell ref="Q616:Q617"/>
    <mergeCell ref="R616:R617"/>
    <mergeCell ref="B617:H617"/>
    <mergeCell ref="B618:C618"/>
    <mergeCell ref="D618:E618"/>
    <mergeCell ref="H618:I618"/>
    <mergeCell ref="J618:L618"/>
    <mergeCell ref="A619:A620"/>
    <mergeCell ref="F619:I619"/>
    <mergeCell ref="J619:J620"/>
    <mergeCell ref="K619:K620"/>
    <mergeCell ref="L619:L620"/>
    <mergeCell ref="M619:M620"/>
    <mergeCell ref="N619:N620"/>
    <mergeCell ref="O619:O620"/>
    <mergeCell ref="P619:P620"/>
    <mergeCell ref="Q619:Q620"/>
    <mergeCell ref="R619:R620"/>
    <mergeCell ref="B620:H620"/>
    <mergeCell ref="B622:L622"/>
    <mergeCell ref="M622:O622"/>
    <mergeCell ref="P622:R622"/>
    <mergeCell ref="B623:C623"/>
    <mergeCell ref="D623:E623"/>
    <mergeCell ref="H623:I623"/>
    <mergeCell ref="J623:L623"/>
    <mergeCell ref="A624:A625"/>
    <mergeCell ref="F624:I624"/>
    <mergeCell ref="J624:J625"/>
    <mergeCell ref="K624:K625"/>
    <mergeCell ref="L624:L625"/>
    <mergeCell ref="M624:M625"/>
    <mergeCell ref="N624:N625"/>
    <mergeCell ref="O624:O625"/>
    <mergeCell ref="P624:P625"/>
    <mergeCell ref="Q624:Q625"/>
    <mergeCell ref="R624:R625"/>
    <mergeCell ref="B625:H625"/>
    <mergeCell ref="B626:C626"/>
    <mergeCell ref="D626:E626"/>
    <mergeCell ref="H626:I626"/>
    <mergeCell ref="J626:L626"/>
    <mergeCell ref="A627:A628"/>
    <mergeCell ref="F627:I627"/>
    <mergeCell ref="J627:J628"/>
    <mergeCell ref="K627:K628"/>
    <mergeCell ref="L627:L628"/>
    <mergeCell ref="M627:M628"/>
    <mergeCell ref="N627:N628"/>
    <mergeCell ref="O627:O628"/>
    <mergeCell ref="P627:P628"/>
    <mergeCell ref="Q627:Q628"/>
    <mergeCell ref="R627:R628"/>
    <mergeCell ref="B628:H628"/>
    <mergeCell ref="B629:C629"/>
    <mergeCell ref="D629:E629"/>
    <mergeCell ref="H629:I629"/>
    <mergeCell ref="J629:L629"/>
    <mergeCell ref="A630:A631"/>
    <mergeCell ref="F630:I630"/>
    <mergeCell ref="J630:J631"/>
    <mergeCell ref="K630:K631"/>
    <mergeCell ref="L630:L631"/>
    <mergeCell ref="M630:M631"/>
    <mergeCell ref="N630:N631"/>
    <mergeCell ref="O630:O631"/>
    <mergeCell ref="P630:P631"/>
    <mergeCell ref="Q630:Q631"/>
    <mergeCell ref="R630:R631"/>
    <mergeCell ref="B631:H631"/>
    <mergeCell ref="B632:C632"/>
    <mergeCell ref="D632:E632"/>
    <mergeCell ref="H632:I632"/>
    <mergeCell ref="J632:L632"/>
    <mergeCell ref="A633:A634"/>
    <mergeCell ref="F633:I633"/>
    <mergeCell ref="J633:J634"/>
    <mergeCell ref="K633:K634"/>
    <mergeCell ref="L633:L634"/>
    <mergeCell ref="M633:M634"/>
    <mergeCell ref="N633:N634"/>
    <mergeCell ref="O633:O634"/>
    <mergeCell ref="P633:P634"/>
    <mergeCell ref="Q633:Q634"/>
    <mergeCell ref="R633:R634"/>
    <mergeCell ref="B634:H634"/>
    <mergeCell ref="B636:L636"/>
    <mergeCell ref="M636:O636"/>
    <mergeCell ref="P636:R636"/>
    <mergeCell ref="B637:C637"/>
    <mergeCell ref="D637:E637"/>
    <mergeCell ref="H637:I637"/>
    <mergeCell ref="J637:L637"/>
    <mergeCell ref="A638:A639"/>
    <mergeCell ref="F638:I638"/>
    <mergeCell ref="J638:J639"/>
    <mergeCell ref="K638:K639"/>
    <mergeCell ref="L638:L639"/>
    <mergeCell ref="M638:M639"/>
    <mergeCell ref="N638:N639"/>
    <mergeCell ref="O638:O639"/>
    <mergeCell ref="P638:P639"/>
    <mergeCell ref="Q638:Q639"/>
    <mergeCell ref="R638:R639"/>
    <mergeCell ref="B639:H639"/>
    <mergeCell ref="B640:C640"/>
    <mergeCell ref="D640:E640"/>
    <mergeCell ref="H640:I640"/>
    <mergeCell ref="J640:L640"/>
    <mergeCell ref="A641:A642"/>
    <mergeCell ref="F641:I641"/>
    <mergeCell ref="J641:J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B642:H642"/>
    <mergeCell ref="B643:C643"/>
    <mergeCell ref="D643:E643"/>
    <mergeCell ref="H643:I643"/>
    <mergeCell ref="J643:L643"/>
    <mergeCell ref="A644:A645"/>
    <mergeCell ref="F644:I644"/>
    <mergeCell ref="J644:J645"/>
    <mergeCell ref="K644:K645"/>
    <mergeCell ref="L644:L645"/>
    <mergeCell ref="M644:M645"/>
    <mergeCell ref="N644:N645"/>
    <mergeCell ref="O644:O645"/>
    <mergeCell ref="P644:P645"/>
    <mergeCell ref="Q644:Q645"/>
    <mergeCell ref="R644:R645"/>
    <mergeCell ref="B645:H645"/>
    <mergeCell ref="B646:C646"/>
    <mergeCell ref="D646:E646"/>
    <mergeCell ref="H646:I646"/>
    <mergeCell ref="J646:L646"/>
    <mergeCell ref="A647:A648"/>
    <mergeCell ref="F647:I647"/>
    <mergeCell ref="J647:J648"/>
    <mergeCell ref="K647:K648"/>
    <mergeCell ref="L647:L648"/>
    <mergeCell ref="M647:M648"/>
    <mergeCell ref="N647:N648"/>
    <mergeCell ref="O647:O648"/>
    <mergeCell ref="P647:P648"/>
    <mergeCell ref="Q647:Q648"/>
    <mergeCell ref="R647:R648"/>
    <mergeCell ref="B648:H648"/>
    <mergeCell ref="B650:L650"/>
    <mergeCell ref="M650:O650"/>
    <mergeCell ref="P650:R650"/>
    <mergeCell ref="B651:C651"/>
    <mergeCell ref="D651:E651"/>
    <mergeCell ref="H651:I651"/>
    <mergeCell ref="J651:L651"/>
    <mergeCell ref="A652:A653"/>
    <mergeCell ref="F652:I652"/>
    <mergeCell ref="J652:J653"/>
    <mergeCell ref="K652:K653"/>
    <mergeCell ref="L652:L653"/>
    <mergeCell ref="M652:M653"/>
    <mergeCell ref="N652:N653"/>
    <mergeCell ref="O652:O653"/>
    <mergeCell ref="P652:P653"/>
    <mergeCell ref="Q652:Q653"/>
    <mergeCell ref="R652:R653"/>
    <mergeCell ref="B653:H653"/>
    <mergeCell ref="B654:C654"/>
    <mergeCell ref="D654:E654"/>
    <mergeCell ref="H654:I654"/>
    <mergeCell ref="J654:L654"/>
    <mergeCell ref="A655:A656"/>
    <mergeCell ref="F655:I655"/>
    <mergeCell ref="J655:J656"/>
    <mergeCell ref="K655:K656"/>
    <mergeCell ref="L655:L656"/>
    <mergeCell ref="M655:M656"/>
    <mergeCell ref="N655:N656"/>
    <mergeCell ref="O655:O656"/>
    <mergeCell ref="P655:P656"/>
    <mergeCell ref="Q655:Q656"/>
    <mergeCell ref="R655:R656"/>
    <mergeCell ref="B656:H656"/>
    <mergeCell ref="B657:C657"/>
    <mergeCell ref="D657:E657"/>
    <mergeCell ref="H657:I657"/>
    <mergeCell ref="J657:L657"/>
    <mergeCell ref="A658:A659"/>
    <mergeCell ref="F658:I658"/>
    <mergeCell ref="J658:J659"/>
    <mergeCell ref="K658:K659"/>
    <mergeCell ref="L658:L659"/>
    <mergeCell ref="M658:M659"/>
    <mergeCell ref="N658:N659"/>
    <mergeCell ref="O658:O659"/>
    <mergeCell ref="P658:P659"/>
    <mergeCell ref="Q658:Q659"/>
    <mergeCell ref="R658:R659"/>
    <mergeCell ref="B659:H659"/>
    <mergeCell ref="B660:C660"/>
    <mergeCell ref="D660:E660"/>
    <mergeCell ref="H660:I660"/>
    <mergeCell ref="J660:L660"/>
    <mergeCell ref="A661:A662"/>
    <mergeCell ref="F661:I661"/>
    <mergeCell ref="J661:J662"/>
    <mergeCell ref="K661:K662"/>
    <mergeCell ref="L661:L662"/>
    <mergeCell ref="M661:M662"/>
    <mergeCell ref="N661:N662"/>
    <mergeCell ref="O661:O662"/>
    <mergeCell ref="P661:P662"/>
    <mergeCell ref="Q661:Q662"/>
    <mergeCell ref="R661:R662"/>
    <mergeCell ref="B662:H662"/>
    <mergeCell ref="B664:L664"/>
    <mergeCell ref="M664:O664"/>
    <mergeCell ref="P664:R664"/>
    <mergeCell ref="B665:C665"/>
    <mergeCell ref="D665:E665"/>
    <mergeCell ref="H665:I665"/>
    <mergeCell ref="J665:L665"/>
    <mergeCell ref="A666:A667"/>
    <mergeCell ref="F666:I666"/>
    <mergeCell ref="J666:J667"/>
    <mergeCell ref="K666:K667"/>
    <mergeCell ref="L666:L667"/>
    <mergeCell ref="M666:M667"/>
    <mergeCell ref="N666:N667"/>
    <mergeCell ref="O666:O667"/>
    <mergeCell ref="P666:P667"/>
    <mergeCell ref="Q666:Q667"/>
    <mergeCell ref="R666:R667"/>
    <mergeCell ref="B667:H667"/>
    <mergeCell ref="B668:C668"/>
    <mergeCell ref="D668:E668"/>
    <mergeCell ref="H668:I668"/>
    <mergeCell ref="J668:L668"/>
    <mergeCell ref="A669:A670"/>
    <mergeCell ref="F669:I669"/>
    <mergeCell ref="J669:J670"/>
    <mergeCell ref="K669:K670"/>
    <mergeCell ref="L669:L670"/>
    <mergeCell ref="M669:M670"/>
    <mergeCell ref="N669:N670"/>
    <mergeCell ref="O669:O670"/>
    <mergeCell ref="P669:P670"/>
    <mergeCell ref="Q669:Q670"/>
    <mergeCell ref="R669:R670"/>
    <mergeCell ref="B670:H670"/>
    <mergeCell ref="B671:C671"/>
    <mergeCell ref="D671:E671"/>
    <mergeCell ref="H671:I671"/>
    <mergeCell ref="J671:L671"/>
    <mergeCell ref="A672:A673"/>
    <mergeCell ref="F672:I672"/>
    <mergeCell ref="J672:J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B673:H673"/>
    <mergeCell ref="B674:C674"/>
    <mergeCell ref="D674:E674"/>
    <mergeCell ref="H674:I674"/>
    <mergeCell ref="J674:L674"/>
    <mergeCell ref="A675:A676"/>
    <mergeCell ref="F675:I675"/>
    <mergeCell ref="J675:J676"/>
    <mergeCell ref="K675:K676"/>
    <mergeCell ref="L675:L676"/>
    <mergeCell ref="M675:M676"/>
    <mergeCell ref="N675:N676"/>
    <mergeCell ref="O675:O676"/>
    <mergeCell ref="P675:P676"/>
    <mergeCell ref="Q675:Q676"/>
    <mergeCell ref="R675:R676"/>
    <mergeCell ref="B676:H676"/>
    <mergeCell ref="B678:L678"/>
    <mergeCell ref="M678:O678"/>
    <mergeCell ref="P678:R678"/>
    <mergeCell ref="B679:C679"/>
    <mergeCell ref="D679:E679"/>
    <mergeCell ref="H679:I679"/>
    <mergeCell ref="J679:L679"/>
    <mergeCell ref="A680:A681"/>
    <mergeCell ref="F680:I680"/>
    <mergeCell ref="J680:J681"/>
    <mergeCell ref="K680:K681"/>
    <mergeCell ref="L680:L681"/>
    <mergeCell ref="M680:M681"/>
    <mergeCell ref="N680:N681"/>
    <mergeCell ref="O680:O681"/>
    <mergeCell ref="P680:P681"/>
    <mergeCell ref="Q680:Q681"/>
    <mergeCell ref="R680:R681"/>
    <mergeCell ref="B681:H681"/>
    <mergeCell ref="B682:C682"/>
    <mergeCell ref="D682:E682"/>
    <mergeCell ref="H682:I682"/>
    <mergeCell ref="J682:L682"/>
    <mergeCell ref="A683:A684"/>
    <mergeCell ref="F683:I683"/>
    <mergeCell ref="J683:J684"/>
    <mergeCell ref="K683:K684"/>
    <mergeCell ref="L683:L684"/>
    <mergeCell ref="M683:M684"/>
    <mergeCell ref="N683:N684"/>
    <mergeCell ref="O683:O684"/>
    <mergeCell ref="P683:P684"/>
    <mergeCell ref="Q683:Q684"/>
    <mergeCell ref="R683:R684"/>
    <mergeCell ref="B684:H684"/>
    <mergeCell ref="B685:C685"/>
    <mergeCell ref="D685:E685"/>
    <mergeCell ref="H685:I685"/>
    <mergeCell ref="J685:L685"/>
    <mergeCell ref="A686:A687"/>
    <mergeCell ref="F686:I686"/>
    <mergeCell ref="J686:J687"/>
    <mergeCell ref="K686:K687"/>
    <mergeCell ref="L686:L687"/>
    <mergeCell ref="M686:M687"/>
    <mergeCell ref="N686:N687"/>
    <mergeCell ref="O686:O687"/>
    <mergeCell ref="P686:P687"/>
    <mergeCell ref="Q686:Q687"/>
    <mergeCell ref="R686:R687"/>
    <mergeCell ref="B687:H687"/>
    <mergeCell ref="B688:C688"/>
    <mergeCell ref="D688:E688"/>
    <mergeCell ref="H688:I688"/>
    <mergeCell ref="J688:L688"/>
    <mergeCell ref="A689:A690"/>
    <mergeCell ref="F689:I689"/>
    <mergeCell ref="J689:J690"/>
    <mergeCell ref="K689:K690"/>
    <mergeCell ref="L689:L690"/>
    <mergeCell ref="M689:M690"/>
    <mergeCell ref="N689:N690"/>
    <mergeCell ref="O689:O690"/>
    <mergeCell ref="P689:P690"/>
    <mergeCell ref="Q689:Q690"/>
    <mergeCell ref="R689:R690"/>
    <mergeCell ref="B690:H690"/>
    <mergeCell ref="B692:L692"/>
    <mergeCell ref="M692:O692"/>
    <mergeCell ref="P692:R692"/>
    <mergeCell ref="B693:C693"/>
    <mergeCell ref="D693:E693"/>
    <mergeCell ref="H693:I693"/>
    <mergeCell ref="J693:L693"/>
    <mergeCell ref="A694:A695"/>
    <mergeCell ref="F694:I694"/>
    <mergeCell ref="J694:J695"/>
    <mergeCell ref="K694:K695"/>
    <mergeCell ref="L694:L695"/>
    <mergeCell ref="M694:M695"/>
    <mergeCell ref="N694:N695"/>
    <mergeCell ref="O694:O695"/>
    <mergeCell ref="P694:P695"/>
    <mergeCell ref="Q694:Q695"/>
    <mergeCell ref="R694:R695"/>
    <mergeCell ref="B695:H695"/>
    <mergeCell ref="B696:C696"/>
    <mergeCell ref="D696:E696"/>
    <mergeCell ref="H696:I696"/>
    <mergeCell ref="J696:L696"/>
    <mergeCell ref="A697:A698"/>
    <mergeCell ref="F697:I697"/>
    <mergeCell ref="J697:J698"/>
    <mergeCell ref="K697:K698"/>
    <mergeCell ref="L697:L698"/>
    <mergeCell ref="M697:M698"/>
    <mergeCell ref="N697:N698"/>
    <mergeCell ref="O697:O698"/>
    <mergeCell ref="P697:P698"/>
    <mergeCell ref="Q697:Q698"/>
    <mergeCell ref="R697:R698"/>
    <mergeCell ref="B698:H698"/>
    <mergeCell ref="B699:C699"/>
    <mergeCell ref="D699:E699"/>
    <mergeCell ref="H699:I699"/>
    <mergeCell ref="J699:L699"/>
    <mergeCell ref="A700:A701"/>
    <mergeCell ref="F700:I700"/>
    <mergeCell ref="J700:J701"/>
    <mergeCell ref="K700:K701"/>
    <mergeCell ref="L700:L701"/>
    <mergeCell ref="M700:M701"/>
    <mergeCell ref="N700:N701"/>
    <mergeCell ref="O700:O701"/>
    <mergeCell ref="P700:P701"/>
    <mergeCell ref="Q700:Q701"/>
    <mergeCell ref="R700:R701"/>
    <mergeCell ref="B701:H701"/>
    <mergeCell ref="B702:C702"/>
    <mergeCell ref="D702:E702"/>
    <mergeCell ref="H702:I702"/>
    <mergeCell ref="J702:L702"/>
    <mergeCell ref="A703:A704"/>
    <mergeCell ref="F703:I703"/>
    <mergeCell ref="J703:J704"/>
    <mergeCell ref="K703:K704"/>
    <mergeCell ref="L703:L704"/>
    <mergeCell ref="M703:M704"/>
    <mergeCell ref="N703:N704"/>
    <mergeCell ref="O703:O704"/>
    <mergeCell ref="P703:P704"/>
    <mergeCell ref="Q703:Q704"/>
    <mergeCell ref="R703:R704"/>
    <mergeCell ref="B704:H704"/>
    <mergeCell ref="B708:L708"/>
    <mergeCell ref="M708:O708"/>
    <mergeCell ref="P708:R708"/>
    <mergeCell ref="B709:C709"/>
    <mergeCell ref="D709:E709"/>
    <mergeCell ref="H709:I709"/>
    <mergeCell ref="J709:L709"/>
    <mergeCell ref="A710:A711"/>
    <mergeCell ref="F710:I710"/>
    <mergeCell ref="J710:J711"/>
    <mergeCell ref="K710:K711"/>
    <mergeCell ref="L710:L711"/>
    <mergeCell ref="M710:M711"/>
    <mergeCell ref="N710:N711"/>
    <mergeCell ref="O710:O711"/>
    <mergeCell ref="P710:P711"/>
    <mergeCell ref="Q710:Q711"/>
    <mergeCell ref="R710:R711"/>
    <mergeCell ref="B711:H711"/>
    <mergeCell ref="B712:C712"/>
    <mergeCell ref="D712:E712"/>
    <mergeCell ref="H712:I712"/>
    <mergeCell ref="J712:L712"/>
    <mergeCell ref="A713:A714"/>
    <mergeCell ref="F713:I713"/>
    <mergeCell ref="J713:J714"/>
    <mergeCell ref="K713:K714"/>
    <mergeCell ref="L713:L714"/>
    <mergeCell ref="M713:M714"/>
    <mergeCell ref="N713:N714"/>
    <mergeCell ref="O713:O714"/>
    <mergeCell ref="P713:P714"/>
    <mergeCell ref="Q713:Q714"/>
    <mergeCell ref="R713:R714"/>
    <mergeCell ref="B714:H714"/>
    <mergeCell ref="B715:C715"/>
    <mergeCell ref="D715:E715"/>
    <mergeCell ref="H715:I715"/>
    <mergeCell ref="J715:L715"/>
    <mergeCell ref="A716:A717"/>
    <mergeCell ref="F716:I716"/>
    <mergeCell ref="J716:J717"/>
    <mergeCell ref="K716:K717"/>
    <mergeCell ref="L716:L717"/>
    <mergeCell ref="M716:M717"/>
    <mergeCell ref="N716:N717"/>
    <mergeCell ref="O716:O717"/>
    <mergeCell ref="P716:P717"/>
    <mergeCell ref="Q716:Q717"/>
    <mergeCell ref="R716:R717"/>
    <mergeCell ref="B717:H717"/>
    <mergeCell ref="B718:C718"/>
    <mergeCell ref="D718:E718"/>
    <mergeCell ref="H718:I718"/>
    <mergeCell ref="J718:L718"/>
    <mergeCell ref="A719:A720"/>
    <mergeCell ref="F719:I719"/>
    <mergeCell ref="J719:J720"/>
    <mergeCell ref="K719:K720"/>
    <mergeCell ref="L719:L720"/>
    <mergeCell ref="M719:M720"/>
    <mergeCell ref="N719:N720"/>
    <mergeCell ref="O719:O720"/>
    <mergeCell ref="P719:P720"/>
    <mergeCell ref="Q719:Q720"/>
    <mergeCell ref="R719:R720"/>
    <mergeCell ref="B720:H720"/>
    <mergeCell ref="B722:L722"/>
    <mergeCell ref="M722:O722"/>
    <mergeCell ref="P722:R722"/>
    <mergeCell ref="B723:C723"/>
    <mergeCell ref="D723:E723"/>
    <mergeCell ref="H723:I723"/>
    <mergeCell ref="J723:L723"/>
    <mergeCell ref="A724:A725"/>
    <mergeCell ref="F724:I724"/>
    <mergeCell ref="J724:J725"/>
    <mergeCell ref="K724:K725"/>
    <mergeCell ref="L724:L725"/>
    <mergeCell ref="M724:M725"/>
    <mergeCell ref="N724:N725"/>
    <mergeCell ref="O724:O725"/>
    <mergeCell ref="P724:P725"/>
    <mergeCell ref="Q724:Q725"/>
    <mergeCell ref="R724:R725"/>
    <mergeCell ref="B725:H725"/>
    <mergeCell ref="B726:C726"/>
    <mergeCell ref="D726:E726"/>
    <mergeCell ref="H726:I726"/>
    <mergeCell ref="J726:L726"/>
    <mergeCell ref="A727:A728"/>
    <mergeCell ref="F727:I727"/>
    <mergeCell ref="J727:J728"/>
    <mergeCell ref="K727:K728"/>
    <mergeCell ref="L727:L728"/>
    <mergeCell ref="M727:M728"/>
    <mergeCell ref="N727:N728"/>
    <mergeCell ref="O727:O728"/>
    <mergeCell ref="P727:P728"/>
    <mergeCell ref="Q727:Q728"/>
    <mergeCell ref="R727:R728"/>
    <mergeCell ref="B728:H728"/>
    <mergeCell ref="B729:C729"/>
    <mergeCell ref="D729:E729"/>
    <mergeCell ref="H729:I729"/>
    <mergeCell ref="J729:L729"/>
    <mergeCell ref="A730:A731"/>
    <mergeCell ref="F730:I730"/>
    <mergeCell ref="J730:J731"/>
    <mergeCell ref="K730:K731"/>
    <mergeCell ref="L730:L731"/>
    <mergeCell ref="M730:M731"/>
    <mergeCell ref="N730:N731"/>
    <mergeCell ref="O730:O731"/>
    <mergeCell ref="P730:P731"/>
    <mergeCell ref="Q730:Q731"/>
    <mergeCell ref="R730:R731"/>
    <mergeCell ref="B731:H731"/>
    <mergeCell ref="B732:C732"/>
    <mergeCell ref="D732:E732"/>
    <mergeCell ref="H732:I732"/>
    <mergeCell ref="J732:L732"/>
    <mergeCell ref="A733:A734"/>
    <mergeCell ref="F733:I733"/>
    <mergeCell ref="J733:J734"/>
    <mergeCell ref="K733:K734"/>
    <mergeCell ref="L733:L734"/>
    <mergeCell ref="M733:M734"/>
    <mergeCell ref="N733:N734"/>
    <mergeCell ref="O733:O734"/>
    <mergeCell ref="P733:P734"/>
    <mergeCell ref="Q733:Q734"/>
    <mergeCell ref="R733:R734"/>
    <mergeCell ref="B734:H734"/>
    <mergeCell ref="B736:L736"/>
    <mergeCell ref="M736:O736"/>
    <mergeCell ref="P736:R736"/>
    <mergeCell ref="B737:C737"/>
    <mergeCell ref="D737:E737"/>
    <mergeCell ref="H737:I737"/>
    <mergeCell ref="J737:L737"/>
    <mergeCell ref="A738:A739"/>
    <mergeCell ref="F738:I738"/>
    <mergeCell ref="J738:J739"/>
    <mergeCell ref="K738:K739"/>
    <mergeCell ref="L738:L739"/>
    <mergeCell ref="M738:M739"/>
    <mergeCell ref="N738:N739"/>
    <mergeCell ref="O738:O739"/>
    <mergeCell ref="P738:P739"/>
    <mergeCell ref="Q738:Q739"/>
    <mergeCell ref="R738:R739"/>
    <mergeCell ref="B739:H739"/>
    <mergeCell ref="B740:C740"/>
    <mergeCell ref="D740:E740"/>
    <mergeCell ref="H740:I740"/>
    <mergeCell ref="J740:L740"/>
    <mergeCell ref="A741:A742"/>
    <mergeCell ref="F741:I741"/>
    <mergeCell ref="J741:J742"/>
    <mergeCell ref="K741:K742"/>
    <mergeCell ref="L741:L742"/>
    <mergeCell ref="M741:M742"/>
    <mergeCell ref="N741:N742"/>
    <mergeCell ref="O741:O742"/>
    <mergeCell ref="P741:P742"/>
    <mergeCell ref="Q741:Q742"/>
    <mergeCell ref="R741:R742"/>
    <mergeCell ref="B742:H742"/>
    <mergeCell ref="B743:C743"/>
    <mergeCell ref="D743:E743"/>
    <mergeCell ref="H743:I743"/>
    <mergeCell ref="J743:L743"/>
    <mergeCell ref="A744:A745"/>
    <mergeCell ref="F744:I744"/>
    <mergeCell ref="J744:J745"/>
    <mergeCell ref="K744:K745"/>
    <mergeCell ref="L744:L745"/>
    <mergeCell ref="M744:M745"/>
    <mergeCell ref="N744:N745"/>
    <mergeCell ref="O744:O745"/>
    <mergeCell ref="P744:P745"/>
    <mergeCell ref="Q744:Q745"/>
    <mergeCell ref="R744:R745"/>
    <mergeCell ref="B745:H745"/>
    <mergeCell ref="B746:C746"/>
    <mergeCell ref="D746:E746"/>
    <mergeCell ref="H746:I746"/>
    <mergeCell ref="J746:L746"/>
    <mergeCell ref="A747:A748"/>
    <mergeCell ref="F747:I747"/>
    <mergeCell ref="J747:J748"/>
    <mergeCell ref="K747:K748"/>
    <mergeCell ref="L747:L748"/>
    <mergeCell ref="M747:M748"/>
    <mergeCell ref="N747:N748"/>
    <mergeCell ref="O747:O748"/>
    <mergeCell ref="P747:P748"/>
    <mergeCell ref="Q747:Q748"/>
    <mergeCell ref="R747:R748"/>
    <mergeCell ref="B748:H748"/>
    <mergeCell ref="B750:L750"/>
    <mergeCell ref="M750:O750"/>
    <mergeCell ref="P750:R750"/>
    <mergeCell ref="B751:C751"/>
    <mergeCell ref="D751:E751"/>
    <mergeCell ref="H751:I751"/>
    <mergeCell ref="J751:L751"/>
    <mergeCell ref="A752:A753"/>
    <mergeCell ref="F752:I752"/>
    <mergeCell ref="J752:J753"/>
    <mergeCell ref="K752:K753"/>
    <mergeCell ref="L752:L753"/>
    <mergeCell ref="M752:M753"/>
    <mergeCell ref="N752:N753"/>
    <mergeCell ref="O752:O753"/>
    <mergeCell ref="P752:P753"/>
    <mergeCell ref="Q752:Q753"/>
    <mergeCell ref="R752:R753"/>
    <mergeCell ref="B753:H753"/>
    <mergeCell ref="B754:C754"/>
    <mergeCell ref="D754:E754"/>
    <mergeCell ref="H754:I754"/>
    <mergeCell ref="J754:L754"/>
    <mergeCell ref="A755:A756"/>
    <mergeCell ref="F755:I755"/>
    <mergeCell ref="J755:J756"/>
    <mergeCell ref="K755:K756"/>
    <mergeCell ref="L755:L756"/>
    <mergeCell ref="M755:M756"/>
    <mergeCell ref="N755:N756"/>
    <mergeCell ref="O755:O756"/>
    <mergeCell ref="P755:P756"/>
    <mergeCell ref="Q755:Q756"/>
    <mergeCell ref="R755:R756"/>
    <mergeCell ref="B756:H756"/>
    <mergeCell ref="B757:C757"/>
    <mergeCell ref="D757:E757"/>
    <mergeCell ref="H757:I757"/>
    <mergeCell ref="J757:L757"/>
    <mergeCell ref="A758:A759"/>
    <mergeCell ref="F758:I758"/>
    <mergeCell ref="J758:J759"/>
    <mergeCell ref="K758:K759"/>
    <mergeCell ref="L758:L759"/>
    <mergeCell ref="M758:M759"/>
    <mergeCell ref="N758:N759"/>
    <mergeCell ref="O758:O759"/>
    <mergeCell ref="P758:P759"/>
    <mergeCell ref="Q758:Q759"/>
    <mergeCell ref="R758:R759"/>
    <mergeCell ref="B759:H759"/>
    <mergeCell ref="B760:C760"/>
    <mergeCell ref="D760:E760"/>
    <mergeCell ref="H760:I760"/>
    <mergeCell ref="J760:L760"/>
    <mergeCell ref="A761:A762"/>
    <mergeCell ref="F761:I761"/>
    <mergeCell ref="J761:J762"/>
    <mergeCell ref="K761:K762"/>
    <mergeCell ref="L761:L762"/>
    <mergeCell ref="M761:M762"/>
    <mergeCell ref="N761:N762"/>
    <mergeCell ref="O761:O762"/>
    <mergeCell ref="P761:P762"/>
    <mergeCell ref="Q761:Q762"/>
    <mergeCell ref="R761:R762"/>
    <mergeCell ref="B762:H762"/>
    <mergeCell ref="B764:L764"/>
    <mergeCell ref="M764:O764"/>
    <mergeCell ref="P764:R764"/>
    <mergeCell ref="B765:C765"/>
    <mergeCell ref="D765:E765"/>
    <mergeCell ref="H765:I765"/>
    <mergeCell ref="J765:L765"/>
    <mergeCell ref="A766:A767"/>
    <mergeCell ref="F766:I766"/>
    <mergeCell ref="J766:J767"/>
    <mergeCell ref="K766:K767"/>
    <mergeCell ref="L766:L767"/>
    <mergeCell ref="M766:M767"/>
    <mergeCell ref="N766:N767"/>
    <mergeCell ref="O766:O767"/>
    <mergeCell ref="P766:P767"/>
    <mergeCell ref="Q766:Q767"/>
    <mergeCell ref="R766:R767"/>
    <mergeCell ref="B767:H767"/>
    <mergeCell ref="B768:C768"/>
    <mergeCell ref="D768:E768"/>
    <mergeCell ref="H768:I768"/>
    <mergeCell ref="J768:L768"/>
    <mergeCell ref="A769:A770"/>
    <mergeCell ref="F769:I769"/>
    <mergeCell ref="J769:J770"/>
    <mergeCell ref="K769:K770"/>
    <mergeCell ref="L769:L770"/>
    <mergeCell ref="M769:M770"/>
    <mergeCell ref="N769:N770"/>
    <mergeCell ref="O769:O770"/>
    <mergeCell ref="P769:P770"/>
    <mergeCell ref="Q769:Q770"/>
    <mergeCell ref="R769:R770"/>
    <mergeCell ref="B770:H770"/>
    <mergeCell ref="B771:C771"/>
    <mergeCell ref="D771:E771"/>
    <mergeCell ref="H771:I771"/>
    <mergeCell ref="J771:L771"/>
    <mergeCell ref="A772:A773"/>
    <mergeCell ref="F772:I772"/>
    <mergeCell ref="J772:J773"/>
    <mergeCell ref="K772:K773"/>
    <mergeCell ref="L772:L773"/>
    <mergeCell ref="M772:M773"/>
    <mergeCell ref="N772:N773"/>
    <mergeCell ref="O772:O773"/>
    <mergeCell ref="P772:P773"/>
    <mergeCell ref="Q772:Q773"/>
    <mergeCell ref="R772:R773"/>
    <mergeCell ref="B773:H773"/>
    <mergeCell ref="B774:C774"/>
    <mergeCell ref="D774:E774"/>
    <mergeCell ref="H774:I774"/>
    <mergeCell ref="J774:L774"/>
    <mergeCell ref="A775:A776"/>
    <mergeCell ref="F775:I775"/>
    <mergeCell ref="J775:J776"/>
    <mergeCell ref="K775:K776"/>
    <mergeCell ref="L775:L776"/>
    <mergeCell ref="M775:M776"/>
    <mergeCell ref="N775:N776"/>
    <mergeCell ref="O775:O776"/>
    <mergeCell ref="P775:P776"/>
    <mergeCell ref="Q775:Q776"/>
    <mergeCell ref="R775:R776"/>
    <mergeCell ref="B776:H776"/>
    <mergeCell ref="B778:L778"/>
    <mergeCell ref="M778:O778"/>
    <mergeCell ref="P778:R778"/>
    <mergeCell ref="B779:C779"/>
    <mergeCell ref="D779:E779"/>
    <mergeCell ref="H779:I779"/>
    <mergeCell ref="J779:L779"/>
    <mergeCell ref="A780:A781"/>
    <mergeCell ref="F780:I780"/>
    <mergeCell ref="J780:J781"/>
    <mergeCell ref="K780:K781"/>
    <mergeCell ref="L780:L781"/>
    <mergeCell ref="M780:M781"/>
    <mergeCell ref="N780:N781"/>
    <mergeCell ref="O780:O781"/>
    <mergeCell ref="P780:P781"/>
    <mergeCell ref="Q780:Q781"/>
    <mergeCell ref="R780:R781"/>
    <mergeCell ref="B781:H781"/>
    <mergeCell ref="B782:C782"/>
    <mergeCell ref="D782:E782"/>
    <mergeCell ref="H782:I782"/>
    <mergeCell ref="J782:L782"/>
    <mergeCell ref="A783:A784"/>
    <mergeCell ref="F783:I783"/>
    <mergeCell ref="J783:J784"/>
    <mergeCell ref="K783:K784"/>
    <mergeCell ref="L783:L784"/>
    <mergeCell ref="M783:M784"/>
    <mergeCell ref="N783:N784"/>
    <mergeCell ref="O783:O784"/>
    <mergeCell ref="P783:P784"/>
    <mergeCell ref="Q783:Q784"/>
    <mergeCell ref="R783:R784"/>
    <mergeCell ref="B784:H784"/>
    <mergeCell ref="B785:C785"/>
    <mergeCell ref="D785:E785"/>
    <mergeCell ref="H785:I785"/>
    <mergeCell ref="J785:L785"/>
    <mergeCell ref="A786:A787"/>
    <mergeCell ref="F786:I786"/>
    <mergeCell ref="J786:J787"/>
    <mergeCell ref="K786:K787"/>
    <mergeCell ref="L786:L787"/>
    <mergeCell ref="M786:M787"/>
    <mergeCell ref="N786:N787"/>
    <mergeCell ref="O786:O787"/>
    <mergeCell ref="P786:P787"/>
    <mergeCell ref="Q786:Q787"/>
    <mergeCell ref="R786:R787"/>
    <mergeCell ref="B787:H787"/>
    <mergeCell ref="B788:C788"/>
    <mergeCell ref="D788:E788"/>
    <mergeCell ref="H788:I788"/>
    <mergeCell ref="J788:L788"/>
    <mergeCell ref="A789:A790"/>
    <mergeCell ref="F789:I789"/>
    <mergeCell ref="J789:J790"/>
    <mergeCell ref="K789:K790"/>
    <mergeCell ref="L789:L790"/>
    <mergeCell ref="M789:M790"/>
    <mergeCell ref="N789:N790"/>
    <mergeCell ref="O789:O790"/>
    <mergeCell ref="P789:P790"/>
    <mergeCell ref="Q789:Q790"/>
    <mergeCell ref="R789:R790"/>
    <mergeCell ref="B790:H790"/>
    <mergeCell ref="B792:L792"/>
    <mergeCell ref="M792:O792"/>
    <mergeCell ref="P792:R792"/>
    <mergeCell ref="B793:C793"/>
    <mergeCell ref="D793:E793"/>
    <mergeCell ref="H793:I793"/>
    <mergeCell ref="J793:L793"/>
    <mergeCell ref="A794:A795"/>
    <mergeCell ref="F794:I794"/>
    <mergeCell ref="J794:J795"/>
    <mergeCell ref="K794:K795"/>
    <mergeCell ref="L794:L795"/>
    <mergeCell ref="M794:M795"/>
    <mergeCell ref="N794:N795"/>
    <mergeCell ref="O794:O795"/>
    <mergeCell ref="P794:P795"/>
    <mergeCell ref="Q794:Q795"/>
    <mergeCell ref="R794:R795"/>
    <mergeCell ref="B795:H795"/>
    <mergeCell ref="B796:C796"/>
    <mergeCell ref="D796:E796"/>
    <mergeCell ref="H796:I796"/>
    <mergeCell ref="J796:L796"/>
    <mergeCell ref="A797:A798"/>
    <mergeCell ref="F797:I797"/>
    <mergeCell ref="J797:J798"/>
    <mergeCell ref="K797:K798"/>
    <mergeCell ref="L797:L798"/>
    <mergeCell ref="M797:M798"/>
    <mergeCell ref="N797:N798"/>
    <mergeCell ref="O797:O798"/>
    <mergeCell ref="P797:P798"/>
    <mergeCell ref="Q797:Q798"/>
    <mergeCell ref="R797:R798"/>
    <mergeCell ref="B798:H798"/>
    <mergeCell ref="B799:C799"/>
    <mergeCell ref="D799:E799"/>
    <mergeCell ref="H799:I799"/>
    <mergeCell ref="J799:L799"/>
    <mergeCell ref="A800:A801"/>
    <mergeCell ref="F800:I800"/>
    <mergeCell ref="J800:J801"/>
    <mergeCell ref="K800:K801"/>
    <mergeCell ref="L800:L801"/>
    <mergeCell ref="M800:M801"/>
    <mergeCell ref="N800:N801"/>
    <mergeCell ref="O800:O801"/>
    <mergeCell ref="P800:P801"/>
    <mergeCell ref="Q800:Q801"/>
    <mergeCell ref="R800:R801"/>
    <mergeCell ref="B801:H801"/>
    <mergeCell ref="B802:C802"/>
    <mergeCell ref="D802:E802"/>
    <mergeCell ref="H802:I802"/>
    <mergeCell ref="J802:L802"/>
    <mergeCell ref="A803:A804"/>
    <mergeCell ref="F803:I803"/>
    <mergeCell ref="J803:J804"/>
    <mergeCell ref="K803:K804"/>
    <mergeCell ref="L803:L804"/>
    <mergeCell ref="M803:M804"/>
    <mergeCell ref="N803:N804"/>
    <mergeCell ref="O803:O804"/>
    <mergeCell ref="P803:P804"/>
    <mergeCell ref="Q803:Q804"/>
    <mergeCell ref="R803:R804"/>
    <mergeCell ref="B804:H804"/>
    <mergeCell ref="B808:L808"/>
    <mergeCell ref="M808:O808"/>
    <mergeCell ref="P808:R808"/>
    <mergeCell ref="B809:C809"/>
    <mergeCell ref="D809:E809"/>
    <mergeCell ref="H809:I809"/>
    <mergeCell ref="J809:L809"/>
    <mergeCell ref="A810:A811"/>
    <mergeCell ref="F810:I810"/>
    <mergeCell ref="J810:J811"/>
    <mergeCell ref="K810:K811"/>
    <mergeCell ref="L810:L811"/>
    <mergeCell ref="M810:M811"/>
    <mergeCell ref="N810:N811"/>
    <mergeCell ref="O810:O811"/>
    <mergeCell ref="P810:P811"/>
    <mergeCell ref="Q810:Q811"/>
    <mergeCell ref="R810:R811"/>
    <mergeCell ref="B811:H811"/>
    <mergeCell ref="B812:C812"/>
    <mergeCell ref="D812:E812"/>
    <mergeCell ref="H812:I812"/>
    <mergeCell ref="J812:L812"/>
    <mergeCell ref="A813:A814"/>
    <mergeCell ref="F813:I813"/>
    <mergeCell ref="J813:J814"/>
    <mergeCell ref="K813:K814"/>
    <mergeCell ref="L813:L814"/>
    <mergeCell ref="M813:M814"/>
    <mergeCell ref="N813:N814"/>
    <mergeCell ref="O813:O814"/>
    <mergeCell ref="P813:P814"/>
    <mergeCell ref="Q813:Q814"/>
    <mergeCell ref="R813:R814"/>
    <mergeCell ref="B814:H814"/>
    <mergeCell ref="B815:C815"/>
    <mergeCell ref="D815:E815"/>
    <mergeCell ref="H815:I815"/>
    <mergeCell ref="J815:L815"/>
    <mergeCell ref="A816:A817"/>
    <mergeCell ref="F816:I816"/>
    <mergeCell ref="J816:J817"/>
    <mergeCell ref="K816:K817"/>
    <mergeCell ref="L816:L817"/>
    <mergeCell ref="M816:M817"/>
    <mergeCell ref="N816:N817"/>
    <mergeCell ref="O816:O817"/>
    <mergeCell ref="P816:P817"/>
    <mergeCell ref="Q816:Q817"/>
    <mergeCell ref="R816:R817"/>
    <mergeCell ref="B817:H817"/>
    <mergeCell ref="B818:C818"/>
    <mergeCell ref="D818:E818"/>
    <mergeCell ref="H818:I818"/>
    <mergeCell ref="J818:L818"/>
    <mergeCell ref="A819:A820"/>
    <mergeCell ref="F819:I819"/>
    <mergeCell ref="J819:J820"/>
    <mergeCell ref="K819:K820"/>
    <mergeCell ref="L819:L820"/>
    <mergeCell ref="M819:M820"/>
    <mergeCell ref="N819:N820"/>
    <mergeCell ref="O819:O820"/>
    <mergeCell ref="P819:P820"/>
    <mergeCell ref="Q819:Q820"/>
    <mergeCell ref="R819:R820"/>
    <mergeCell ref="B820:H820"/>
    <mergeCell ref="B821:C821"/>
    <mergeCell ref="D821:E821"/>
    <mergeCell ref="H821:I821"/>
    <mergeCell ref="J821:L821"/>
    <mergeCell ref="A822:A823"/>
    <mergeCell ref="F822:I822"/>
    <mergeCell ref="J822:J823"/>
    <mergeCell ref="K822:K823"/>
    <mergeCell ref="L822:L823"/>
    <mergeCell ref="M822:M823"/>
    <mergeCell ref="N822:N823"/>
    <mergeCell ref="O822:O823"/>
    <mergeCell ref="P822:P823"/>
    <mergeCell ref="Q822:Q823"/>
    <mergeCell ref="R822:R823"/>
    <mergeCell ref="B823:H823"/>
    <mergeCell ref="B824:C824"/>
    <mergeCell ref="D824:E824"/>
    <mergeCell ref="H824:I824"/>
    <mergeCell ref="J824:L824"/>
    <mergeCell ref="A825:A826"/>
    <mergeCell ref="F825:I825"/>
    <mergeCell ref="J825:J826"/>
    <mergeCell ref="K825:K826"/>
    <mergeCell ref="L825:L826"/>
    <mergeCell ref="M825:M826"/>
    <mergeCell ref="N825:N826"/>
    <mergeCell ref="O825:O826"/>
    <mergeCell ref="P825:P826"/>
    <mergeCell ref="Q825:Q826"/>
    <mergeCell ref="R825:R826"/>
    <mergeCell ref="B826:H826"/>
    <mergeCell ref="B827:C827"/>
    <mergeCell ref="D827:E827"/>
    <mergeCell ref="H827:I827"/>
    <mergeCell ref="J827:L827"/>
    <mergeCell ref="A828:A829"/>
    <mergeCell ref="F828:I828"/>
    <mergeCell ref="J828:J829"/>
    <mergeCell ref="K828:K829"/>
    <mergeCell ref="L828:L829"/>
    <mergeCell ref="M828:M829"/>
    <mergeCell ref="N828:N829"/>
    <mergeCell ref="O828:O829"/>
    <mergeCell ref="P828:P829"/>
    <mergeCell ref="Q828:Q829"/>
    <mergeCell ref="R828:R829"/>
    <mergeCell ref="B829:H829"/>
    <mergeCell ref="B830:C830"/>
    <mergeCell ref="D830:E830"/>
    <mergeCell ref="H830:I830"/>
    <mergeCell ref="J830:L830"/>
    <mergeCell ref="A831:A832"/>
    <mergeCell ref="F831:I831"/>
    <mergeCell ref="J831:J832"/>
    <mergeCell ref="K831:K832"/>
    <mergeCell ref="L831:L832"/>
    <mergeCell ref="M831:M832"/>
    <mergeCell ref="N831:N832"/>
    <mergeCell ref="O831:O832"/>
    <mergeCell ref="P831:P832"/>
    <mergeCell ref="Q831:Q832"/>
    <mergeCell ref="R831:R832"/>
    <mergeCell ref="B832:H832"/>
    <mergeCell ref="B834:L834"/>
    <mergeCell ref="M834:O834"/>
    <mergeCell ref="P834:R834"/>
    <mergeCell ref="B835:C835"/>
    <mergeCell ref="D835:E835"/>
    <mergeCell ref="H835:I835"/>
    <mergeCell ref="J835:L835"/>
    <mergeCell ref="A836:A837"/>
    <mergeCell ref="F836:I836"/>
    <mergeCell ref="J836:J837"/>
    <mergeCell ref="K836:K837"/>
    <mergeCell ref="L836:L837"/>
    <mergeCell ref="M836:M837"/>
    <mergeCell ref="N836:N837"/>
    <mergeCell ref="O836:O837"/>
    <mergeCell ref="P836:P837"/>
    <mergeCell ref="Q836:Q837"/>
    <mergeCell ref="R836:R837"/>
    <mergeCell ref="B837:H837"/>
    <mergeCell ref="B838:C838"/>
    <mergeCell ref="D838:E838"/>
    <mergeCell ref="H838:I838"/>
    <mergeCell ref="J838:L838"/>
    <mergeCell ref="A839:A840"/>
    <mergeCell ref="F839:I839"/>
    <mergeCell ref="J839:J840"/>
    <mergeCell ref="K839:K840"/>
    <mergeCell ref="L839:L840"/>
    <mergeCell ref="M839:M840"/>
    <mergeCell ref="N839:N840"/>
    <mergeCell ref="O839:O840"/>
    <mergeCell ref="P839:P840"/>
    <mergeCell ref="Q839:Q840"/>
    <mergeCell ref="R839:R840"/>
    <mergeCell ref="B840:H840"/>
    <mergeCell ref="B841:C841"/>
    <mergeCell ref="D841:E841"/>
    <mergeCell ref="H841:I841"/>
    <mergeCell ref="J841:L841"/>
    <mergeCell ref="A842:A843"/>
    <mergeCell ref="F842:I842"/>
    <mergeCell ref="J842:J843"/>
    <mergeCell ref="K842:K843"/>
    <mergeCell ref="L842:L843"/>
    <mergeCell ref="M842:M843"/>
    <mergeCell ref="N842:N843"/>
    <mergeCell ref="O842:O843"/>
    <mergeCell ref="P842:P843"/>
    <mergeCell ref="Q842:Q843"/>
    <mergeCell ref="R842:R843"/>
    <mergeCell ref="B843:H843"/>
    <mergeCell ref="B844:C844"/>
    <mergeCell ref="D844:E844"/>
    <mergeCell ref="H844:I844"/>
    <mergeCell ref="J844:L844"/>
    <mergeCell ref="A845:A846"/>
    <mergeCell ref="F845:I845"/>
    <mergeCell ref="J845:J846"/>
    <mergeCell ref="K845:K846"/>
    <mergeCell ref="L845:L846"/>
    <mergeCell ref="M845:M846"/>
    <mergeCell ref="N845:N846"/>
    <mergeCell ref="O845:O846"/>
    <mergeCell ref="P845:P846"/>
    <mergeCell ref="Q845:Q846"/>
    <mergeCell ref="R845:R846"/>
    <mergeCell ref="B846:H846"/>
    <mergeCell ref="B848:L848"/>
    <mergeCell ref="M848:O848"/>
    <mergeCell ref="P848:R848"/>
    <mergeCell ref="B849:C849"/>
    <mergeCell ref="D849:E849"/>
    <mergeCell ref="H849:I849"/>
    <mergeCell ref="J849:L849"/>
    <mergeCell ref="A850:A851"/>
    <mergeCell ref="F850:I850"/>
    <mergeCell ref="J850:J851"/>
    <mergeCell ref="K850:K851"/>
    <mergeCell ref="L850:L851"/>
    <mergeCell ref="M850:M851"/>
    <mergeCell ref="N850:N851"/>
    <mergeCell ref="O850:O851"/>
    <mergeCell ref="P850:P851"/>
    <mergeCell ref="Q850:Q851"/>
    <mergeCell ref="R850:R851"/>
    <mergeCell ref="B851:H851"/>
    <mergeCell ref="B852:C852"/>
    <mergeCell ref="D852:E852"/>
    <mergeCell ref="H852:I852"/>
    <mergeCell ref="J852:L852"/>
    <mergeCell ref="A853:A854"/>
    <mergeCell ref="F853:I853"/>
    <mergeCell ref="J853:J854"/>
    <mergeCell ref="K853:K854"/>
    <mergeCell ref="L853:L854"/>
    <mergeCell ref="M853:M854"/>
    <mergeCell ref="N853:N854"/>
    <mergeCell ref="O853:O854"/>
    <mergeCell ref="P853:P854"/>
    <mergeCell ref="Q853:Q854"/>
    <mergeCell ref="R853:R854"/>
    <mergeCell ref="B854:H854"/>
    <mergeCell ref="B856:L856"/>
    <mergeCell ref="M856:O856"/>
    <mergeCell ref="P856:R856"/>
    <mergeCell ref="B857:C857"/>
    <mergeCell ref="D857:E857"/>
    <mergeCell ref="H857:I857"/>
    <mergeCell ref="J857:L857"/>
    <mergeCell ref="A858:A859"/>
    <mergeCell ref="F858:I858"/>
    <mergeCell ref="J858:J859"/>
    <mergeCell ref="K858:K859"/>
    <mergeCell ref="L858:L859"/>
    <mergeCell ref="M858:M859"/>
    <mergeCell ref="N858:N859"/>
    <mergeCell ref="O858:O859"/>
    <mergeCell ref="P858:P859"/>
    <mergeCell ref="Q858:Q859"/>
    <mergeCell ref="R858:R859"/>
    <mergeCell ref="B859:H859"/>
    <mergeCell ref="B860:C860"/>
    <mergeCell ref="D860:E860"/>
    <mergeCell ref="H860:I860"/>
    <mergeCell ref="J860:L860"/>
    <mergeCell ref="A861:A862"/>
    <mergeCell ref="F861:I861"/>
    <mergeCell ref="J861:J862"/>
    <mergeCell ref="K861:K862"/>
    <mergeCell ref="L861:L862"/>
    <mergeCell ref="M861:M862"/>
    <mergeCell ref="N861:N862"/>
    <mergeCell ref="O861:O862"/>
    <mergeCell ref="P861:P862"/>
    <mergeCell ref="Q861:Q862"/>
    <mergeCell ref="R861:R862"/>
    <mergeCell ref="B862:H862"/>
  </mergeCells>
  <conditionalFormatting sqref="M10:R10 M13:R13 M16:R16 M19:R19 M24:R24 M27:R27 M30:R30 M33:R33 M38:R38 M41:R41 M44:R44 M47:R47 M52:R52 M55:R55 M58:R58 M61:R61 M66:R66 M69:R69 M72:R72 M75:R75 M80:R80 M83:R83 M86:R86 M89:R89 M94:R94 M97:R97 M100:R100 M103:R103 M110:R110 M113:R113 M116:R116 M119:R119 M124:R124 M127:R127 M130:R130 M133:R133 M138:R138 M141:R141 M144:R144 M147:R147 M152:R152 M155:R155 M158:R158 M161:R161 M166:R166 M169:R169 M172:R172 M175:R175 M180:R180 M183:R183 M186:R186 M189:R189 M194:R194 M197:R197 M200:R200 M203:R203 M210:R210 M213:R213 M216:R216 M219:R219 M224:R224 M227:R227 M230:R230 M233:R233 M238:R238 M241:R241 M244:R244 M247:R247 M252:R252 M255:R255 M258:R258 M261:R261 M266:R266 M269:R269 M272:R272 M275:R275 M280:R280 M283:R283 M286:R286 M289:R289 M294:R294 M297:R297 M300:R300 M303:R303 M310:R310 M313:R313 M316:R316 M319:R319 M324:R324 M327:R327 M330:R330 M333:R333 M338:R338 M341:R341 M344:R344 M347:R347 M352:R352 M355:R355 M358:R358 M361:R361 M366:R366 M369:R369 M372:R372 M375:R375 M380:R380 M383:R383 M386:R386 M389:R389 M394:R394 M397:R397 M400:R400 M403:R403 M410:R410 M413:R413 M416:R416 M419:R419 M424:R424 M427:R427 M430:R430 M433:R433 M438:R438 M441:R441 M444:R444 M447:R447 M452:R452 M455:R455 M458:R458 M461:R461 M466:R466 M469:R469 M472:R472 M475:R475 M480:R480 M483:R483 M486:R486 M489:R489 M494:R494 M497:R497 M500:R500 M503:R503 M510:R510 M513:R513 M516:R516 M519:R519 M524:R524 M527:R527 M530:R530 M533:R533 M538:R538 M541:R541 M544:R544 M547:R547 M552:R552 M555:R555 M558:R558 M561:R561 M566:R566 M569:R569 M572:R572 M575:R575 M580:R580 M583:R583 M586:R586 M589:R589 M594:R594 M597:R597 M600:R600 M603:R603 M610:R610 M613:R613 M616:R616 M619:R619 M624:R624 M627:R627 M630:R630 M633:R633 M638:R638 M641:R641 M644:R644 M647:R647 M652:R652 M655:R655 M658:R658 M661:R661 M666:R666 M669:R669 M672:R672 M675:R675 M680:R680 M683:R683 M686:R686 M689:R689 M694:R694 M697:R697 M700:R700 M703:R703 M710:R710 M713:R713 M716:R716 M719:R719 M724:R724 M727:R727 M730:R730 M733:R733 M738:R738 M741:R741 M744:R744 M747:R747 M752:R752 M755:R755 M758:R758 M761:R761 M766:R766 M769:R769 M772:R772 M775:R775 M780:R780 M783:R783 M786:R786 M789:R789 M794:R794 M797:R797 M800:R800 M803:R803 M810:R810 M813:R813 M816:R816 M819:R819 M822:R822 M825:R825 M828:R828 M831:R831 M836:R836 M839:R839 M842:R842 M845:R845 M850:R850 M853:R853 M858:R858 M861:R861">
    <cfRule type="expression" priority="2" aboveAverage="0" equalAverage="0" bottom="0" percent="0" rank="0" text="" dxfId="0">
      <formula>AND(M10&lt;&gt;"",COUNTIF($M10:$R10,M10)&gt;1)</formula>
    </cfRule>
  </conditionalFormatting>
  <dataValidations count="2">
    <dataValidation allowBlank="true" error="Nominativo non presente nell'elenco del foglio Arbitri." errorStyle="stop" errorTitle="Arbitro non valido" operator="between" showDropDown="false" showErrorMessage="false" showInputMessage="false" sqref="M10:O10 M13:O13 M16:O16 M19:O19 M24:O24 M27:O27 M30:O30 M33:O33 M38:O38 M41:O41 M44:O44 M47:O47 M52:O52 M55:O55 M58:O58 M61:O61 M66:O66 M69:O69 M72:O72 M75:O75 M80:O80 M83:O83 M86:O86 M89:O89 M94:O94 M97:O97 M100:O100 M103:O103 M110:O110 M113:O113 M116:O116 M119:O119 M124:O124 M127:O127 M130:O130 M133:O133 M138:O138 M141:O141 M144:O144 M147:O147 M152:O152 M155:O155 M158:O158 M161:O161 M166:O166 M169:O169 M172:O172 M175:O175 M180:O180 M183:O183 M186:O186 M189:O189 M194:O194 M197:O197 M200:O200 M203:O203 M210:O210 M213:O213 M216:O216 M219:O219 M224:O224 M227:O227 M230:O230 M233:O233 M238:O238 M241:O241 M244:O244 M247:O247 M252:O252 M255:O255 M258:O258 M261:O261 M266:O266 M269:O269 M272:O272 M275:O275 M280:O280 M283:O283 M286:O286 M289:O289 M294:O294 M297:O297 M300:O300 M303:O303 M310:O310 M313:O313 M316:O316 M319:O319 M324:O324 M327:O327 M330:O330 M333:O333 M338:O338 M341:O341 M344:O344 M347:O347 M352:O352 M355:O355 M358:O358 M361:O361 M366:O366 M369:O369 M372:O372 M375:O375 M380:O380 M383:O383 M386:O386 M389:O389 M394:O394 M397:O397 M400:O400 M403:O403 M410:O410 M413:O413 M416:O416 M419:O419 M424:O424 M427:O427 M430:O430 M433:O433 M438:O438 M441:O441 M444:O444 M447:O447 M452:O452 M455:O455 M458:O458 M461:O461 M466:O466 M469:O469 M472:O472 M475:O475 M480:O480 M483:O483 M486:O486 M489:O489 M494:O494 M497:O497 M500:O500 M503:O503 M510:O510 M513:O513 M516:O516 M519:O519 M524:O524 M527:O527 M530:O530 M533:O533 M538:O538 M541:O541 M544:O544 M547:O547 M552:O552 M555:O555 M558:O558 M561:O561 M566:O566 M569:O569 M572:O572 M575:O575 M580:O580 M583:O583 M586:O586 M589:O589 M594:O594 M597:O597 M600:O600 M603:O603 M610:O610 M613:O613 M616:O616 M619:O619 M624:O624 M627:O627 M630:O630 M633:O633 M638:O638 M641:O641 M644:O644 M647:O647 M652:O652 M655:O655 M658:O658 M661:O661 M666:O666 M669:O669 M672:O672 M675:O675 M680:O680 M683:O683 M686:O686 M689:O689 M694:O694 M697:O697 M700:O700 M703:O703 M710:O710 M713:O713 M716:O716 M719:O719 M724:O724 M727:O727 M730:O730 M733:O733 M738:O738 M741:O741 M744:O744 M747:O747 M752:O752 M755:O755 M758:O758 M761:O761 M766:O766 M769:O769 M772:O772 M775:O775 M780:O780 M783:O783 M786:O786 M789:O789 M794:O794 M797:O797 M800:O800 M803:O803 M810:O810 M813:O813 M816:O816 M819:O819 M822:O822 M825:O825 M828:O828 M831:O831 M836:O836 M839:O839 M842:O842 M845:O845 M850:O850 M853:O853 M858:O858 M861:O861" type="list">
      <formula1>ARBITRI</formula1>
      <formula2>0</formula2>
    </dataValidation>
    <dataValidation allowBlank="true" error="Nominativo non presente nell'elenco del foglio UdC." errorStyle="stop" errorTitle="Ufficiale di campo non valido" operator="between" showDropDown="false" showErrorMessage="false" showInputMessage="false" sqref="P10:R10 P13:R13 P16:R16 P19:R19 P24:R24 P27:R27 P30:R30 P33:R33 P38:R38 P41:R41 P44:R44 P47:R47 P52:R52 P55:R55 P58:R58 P61:R61 P66:R66 P69:R69 P72:R72 P75:R75 P80:R80 P83:R83 P86:R86 P89:R89 P94:R94 P97:R97 P100:R100 P103:R103 P110:R110 P113:R113 P116:R116 P119:R119 P124:R124 P127:R127 P130:R130 P133:R133 P138:R138 P141:R141 P144:R144 P147:R147 P152:R152 P155:R155 P158:R158 P161:R161 P166:R166 P169:R169 P172:R172 P175:R175 P180:R180 P183:R183 P186:R186 P189:R189 P194:R194 P197:R197 P200:R200 P203:R203 P210:R210 P213:R213 P216:R216 P219:R219 P224:R224 P227:R227 P230:R230 P233:R233 P238:R238 P241:R241 P244:R244 P247:R247 P252:R252 P255:R255 P258:R258 P261:R261 P266:R266 P269:R269 P272:R272 P275:R275 P280:R280 P283:R283 P286:R286 P289:R289 P294:R294 P297:R297 P300:R300 P303:R303 P310:R310 P313:R313 P316:R316 P319:R319 P324:R324 P327:R327 P330:R330 P333:R333 P338:R338 P341:R341 P344:R344 P347:R347 P352:R352 P355:R355 P358:R358 P361:R361 P366:R366 P369:R369 P372:R372 P375:R375 P380:R380 P383:R383 P386:R386 P389:R389 P394:R394 P397:R397 P400:R400 P403:R403 P410:R410 P413:R413 P416:R416 P419:R419 P424:R424 P427:R427 P430:R430 P433:R433 P438:R438 P441:R441 P444:R444 P447:R447 P452:R452 P455:R455 P458:R458 P461:R461 P466:R466 P469:R469 P472:R472 P475:R475 P480:R480 P483:R483 P486:R486 P489:R489 P494:R494 P497:R497 P500:R500 P503:R503 P510:R510 P513:R513 P516:R516 P519:R519 P524:R524 P527:R527 P530:R530 P533:R533 P538:R538 P541:R541 P544:R544 P547:R547 P552:R552 P555:R555 P558:R558 P561:R561 P566:R566 P569:R569 P572:R572 P575:R575 P580:R580 P583:R583 P586:R586 P589:R589 P594:R594 P597:R597 P600:R600 P603:R603 P610:R610 P613:R613 P616:R616 P619:R619 P624:R624 P627:R627 P630:R630 P633:R633 P638:R638 P641:R641 P644:R644 P647:R647 P652:R652 P655:R655 P658:R658 P661:R661 P666:R666 P669:R669 P672:R672 P675:R675 P680:R680 P683:R683 P686:R686 P689:R689 P694:R694 P697:R697 P700:R700 P703:R703 P710:R710 P713:R713 P716:R716 P719:R719 P724:R724 P727:R727 P730:R730 P733:R733 P738:R738 P741:R741 P744:R744 P747:R747 P752:R752 P755:R755 P758:R758 P761:R761 P766:R766 P769:R769 P772:R772 P775:R775 P780:R780 P783:R783 P786:R786 P789:R789 P794:R794 P797:R797 P800:R800 P803:R803 P810:R810 P813:R813 P816:R816 P819:R819 P822:R822 P825:R825 P828:R828 P831:R831 P836:R836 P839:R839 P842:R842 P845:R845 P850:R850 P853:R853 P858:R858 P861:R861" type="list">
      <formula1>UDC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true"/>
  </sheetPr>
  <dimension ref="A1:O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11" min="6" style="0" width="3"/>
    <col collapsed="false" customWidth="true" hidden="false" outlineLevel="0" max="15" min="12" style="0" width="12"/>
  </cols>
  <sheetData>
    <row r="1" customFormat="false" ht="17.35" hidden="false" customHeight="false" outlineLevel="0" collapsed="false">
      <c r="A1" s="157" t="str">
        <f aca="false">constNomeCampionato&amp;""</f>
        <v>Campionato Baskin Demo - ESEMPIO COMPILATO 64 Squadre</v>
      </c>
    </row>
    <row r="2" customFormat="false" ht="15" hidden="false" customHeight="false" outlineLevel="0" collapsed="false">
      <c r="A2" s="158" t="str">
        <f aca="false">"Arbitri - Stagione "&amp;constStagionaCampionato</f>
        <v>Arbitri - Stagione 2026/2027</v>
      </c>
    </row>
    <row r="4" customFormat="false" ht="25.5" hidden="false" customHeight="true" outlineLevel="0" collapsed="false">
      <c r="D4" s="4" t="s">
        <v>547</v>
      </c>
      <c r="E4" s="4" t="s">
        <v>548</v>
      </c>
      <c r="L4" s="4" t="s">
        <v>549</v>
      </c>
      <c r="M4" s="4" t="s">
        <v>539</v>
      </c>
      <c r="N4" s="4" t="s">
        <v>540</v>
      </c>
      <c r="O4" s="4" t="s">
        <v>550</v>
      </c>
    </row>
    <row r="5" customFormat="false" ht="15" hidden="false" customHeight="false" outlineLevel="0" collapsed="false">
      <c r="C5" s="132" t="s">
        <v>537</v>
      </c>
      <c r="D5" s="8" t="s">
        <v>551</v>
      </c>
      <c r="E5" s="159"/>
      <c r="L5" s="160" t="n">
        <f aca="false">IF($D5="","",SUM(M5:O5))</f>
        <v>0</v>
      </c>
      <c r="M5" s="160" t="n">
        <f aca="false">IF($D5="","",COUNTIF(DESIGNAZIONI!M$8:M$872,$D5))</f>
        <v>0</v>
      </c>
      <c r="N5" s="160" t="n">
        <f aca="false">IF($D5="","",COUNTIF(DESIGNAZIONI!N$8:N$872,$D5))</f>
        <v>0</v>
      </c>
      <c r="O5" s="160" t="n">
        <f aca="false">IF($D5="","",COUNTIF(DESIGNAZIONI!O$8:O$872,$D5))</f>
        <v>0</v>
      </c>
    </row>
    <row r="6" customFormat="false" ht="15" hidden="false" customHeight="false" outlineLevel="0" collapsed="false">
      <c r="C6" s="132"/>
      <c r="D6" s="8" t="s">
        <v>552</v>
      </c>
      <c r="E6" s="159"/>
      <c r="L6" s="160" t="n">
        <f aca="false">IF($D6="","",SUM(M6:O6))</f>
        <v>0</v>
      </c>
      <c r="M6" s="160" t="n">
        <f aca="false">IF($D6="","",COUNTIF(DESIGNAZIONI!M$8:M$872,$D6))</f>
        <v>0</v>
      </c>
      <c r="N6" s="160" t="n">
        <f aca="false">IF($D6="","",COUNTIF(DESIGNAZIONI!N$8:N$872,$D6))</f>
        <v>0</v>
      </c>
      <c r="O6" s="160" t="n">
        <f aca="false">IF($D6="","",COUNTIF(DESIGNAZIONI!O$8:O$872,$D6))</f>
        <v>0</v>
      </c>
    </row>
    <row r="7" customFormat="false" ht="15" hidden="false" customHeight="false" outlineLevel="0" collapsed="false">
      <c r="C7" s="132"/>
      <c r="D7" s="8" t="s">
        <v>553</v>
      </c>
      <c r="E7" s="159"/>
      <c r="L7" s="160" t="n">
        <f aca="false">IF($D7="","",SUM(M7:O7))</f>
        <v>0</v>
      </c>
      <c r="M7" s="160" t="n">
        <f aca="false">IF($D7="","",COUNTIF(DESIGNAZIONI!M$8:M$872,$D7))</f>
        <v>0</v>
      </c>
      <c r="N7" s="160" t="n">
        <f aca="false">IF($D7="","",COUNTIF(DESIGNAZIONI!N$8:N$872,$D7))</f>
        <v>0</v>
      </c>
      <c r="O7" s="160" t="n">
        <f aca="false">IF($D7="","",COUNTIF(DESIGNAZIONI!O$8:O$872,$D7))</f>
        <v>0</v>
      </c>
    </row>
    <row r="8" customFormat="false" ht="15" hidden="false" customHeight="false" outlineLevel="0" collapsed="false">
      <c r="C8" s="132"/>
      <c r="D8" s="8" t="s">
        <v>554</v>
      </c>
      <c r="E8" s="159"/>
      <c r="L8" s="160" t="n">
        <f aca="false">IF($D8="","",SUM(M8:O8))</f>
        <v>0</v>
      </c>
      <c r="M8" s="160" t="n">
        <f aca="false">IF($D8="","",COUNTIF(DESIGNAZIONI!M$8:M$872,$D8))</f>
        <v>0</v>
      </c>
      <c r="N8" s="160" t="n">
        <f aca="false">IF($D8="","",COUNTIF(DESIGNAZIONI!N$8:N$872,$D8))</f>
        <v>0</v>
      </c>
      <c r="O8" s="160" t="n">
        <f aca="false">IF($D8="","",COUNTIF(DESIGNAZIONI!O$8:O$872,$D8))</f>
        <v>0</v>
      </c>
    </row>
    <row r="9" customFormat="false" ht="15" hidden="false" customHeight="false" outlineLevel="0" collapsed="false">
      <c r="C9" s="132"/>
      <c r="D9" s="8" t="s">
        <v>555</v>
      </c>
      <c r="E9" s="159"/>
      <c r="L9" s="160" t="n">
        <f aca="false">IF($D9="","",SUM(M9:O9))</f>
        <v>0</v>
      </c>
      <c r="M9" s="160" t="n">
        <f aca="false">IF($D9="","",COUNTIF(DESIGNAZIONI!M$8:M$872,$D9))</f>
        <v>0</v>
      </c>
      <c r="N9" s="160" t="n">
        <f aca="false">IF($D9="","",COUNTIF(DESIGNAZIONI!N$8:N$872,$D9))</f>
        <v>0</v>
      </c>
      <c r="O9" s="160" t="n">
        <f aca="false">IF($D9="","",COUNTIF(DESIGNAZIONI!O$8:O$872,$D9))</f>
        <v>0</v>
      </c>
    </row>
    <row r="10" customFormat="false" ht="15" hidden="false" customHeight="false" outlineLevel="0" collapsed="false">
      <c r="C10" s="132"/>
      <c r="D10" s="8" t="s">
        <v>556</v>
      </c>
      <c r="E10" s="159"/>
      <c r="L10" s="160" t="n">
        <f aca="false">IF($D10="","",SUM(M10:O10))</f>
        <v>0</v>
      </c>
      <c r="M10" s="160" t="n">
        <f aca="false">IF($D10="","",COUNTIF(DESIGNAZIONI!M$8:M$872,$D10))</f>
        <v>0</v>
      </c>
      <c r="N10" s="160" t="n">
        <f aca="false">IF($D10="","",COUNTIF(DESIGNAZIONI!N$8:N$872,$D10))</f>
        <v>0</v>
      </c>
      <c r="O10" s="160" t="n">
        <f aca="false">IF($D10="","",COUNTIF(DESIGNAZIONI!O$8:O$872,$D10))</f>
        <v>0</v>
      </c>
    </row>
    <row r="11" customFormat="false" ht="15" hidden="false" customHeight="false" outlineLevel="0" collapsed="false">
      <c r="C11" s="132"/>
      <c r="D11" s="8" t="s">
        <v>557</v>
      </c>
      <c r="E11" s="159"/>
      <c r="L11" s="160" t="n">
        <f aca="false">IF($D11="","",SUM(M11:O11))</f>
        <v>0</v>
      </c>
      <c r="M11" s="160" t="n">
        <f aca="false">IF($D11="","",COUNTIF(DESIGNAZIONI!M$8:M$872,$D11))</f>
        <v>0</v>
      </c>
      <c r="N11" s="160" t="n">
        <f aca="false">IF($D11="","",COUNTIF(DESIGNAZIONI!N$8:N$872,$D11))</f>
        <v>0</v>
      </c>
      <c r="O11" s="160" t="n">
        <f aca="false">IF($D11="","",COUNTIF(DESIGNAZIONI!O$8:O$872,$D11))</f>
        <v>0</v>
      </c>
    </row>
    <row r="12" customFormat="false" ht="15" hidden="false" customHeight="false" outlineLevel="0" collapsed="false">
      <c r="C12" s="132"/>
      <c r="D12" s="8" t="s">
        <v>558</v>
      </c>
      <c r="E12" s="159"/>
      <c r="L12" s="160" t="n">
        <f aca="false">IF($D12="","",SUM(M12:O12))</f>
        <v>0</v>
      </c>
      <c r="M12" s="160" t="n">
        <f aca="false">IF($D12="","",COUNTIF(DESIGNAZIONI!M$8:M$872,$D12))</f>
        <v>0</v>
      </c>
      <c r="N12" s="160" t="n">
        <f aca="false">IF($D12="","",COUNTIF(DESIGNAZIONI!N$8:N$872,$D12))</f>
        <v>0</v>
      </c>
      <c r="O12" s="160" t="n">
        <f aca="false">IF($D12="","",COUNTIF(DESIGNAZIONI!O$8:O$872,$D12))</f>
        <v>0</v>
      </c>
    </row>
    <row r="13" customFormat="false" ht="15" hidden="false" customHeight="false" outlineLevel="0" collapsed="false">
      <c r="C13" s="132"/>
      <c r="D13" s="8" t="s">
        <v>559</v>
      </c>
      <c r="E13" s="159"/>
      <c r="L13" s="160" t="n">
        <f aca="false">IF($D13="","",SUM(M13:O13))</f>
        <v>0</v>
      </c>
      <c r="M13" s="160" t="n">
        <f aca="false">IF($D13="","",COUNTIF(DESIGNAZIONI!M$8:M$872,$D13))</f>
        <v>0</v>
      </c>
      <c r="N13" s="160" t="n">
        <f aca="false">IF($D13="","",COUNTIF(DESIGNAZIONI!N$8:N$872,$D13))</f>
        <v>0</v>
      </c>
      <c r="O13" s="160" t="n">
        <f aca="false">IF($D13="","",COUNTIF(DESIGNAZIONI!O$8:O$872,$D13))</f>
        <v>0</v>
      </c>
    </row>
    <row r="14" customFormat="false" ht="15" hidden="false" customHeight="false" outlineLevel="0" collapsed="false">
      <c r="C14" s="132"/>
      <c r="D14" s="8" t="s">
        <v>560</v>
      </c>
      <c r="E14" s="159"/>
      <c r="L14" s="160" t="n">
        <f aca="false">IF($D14="","",SUM(M14:O14))</f>
        <v>0</v>
      </c>
      <c r="M14" s="160" t="n">
        <f aca="false">IF($D14="","",COUNTIF(DESIGNAZIONI!M$8:M$872,$D14))</f>
        <v>0</v>
      </c>
      <c r="N14" s="160" t="n">
        <f aca="false">IF($D14="","",COUNTIF(DESIGNAZIONI!N$8:N$872,$D14))</f>
        <v>0</v>
      </c>
      <c r="O14" s="160" t="n">
        <f aca="false">IF($D14="","",COUNTIF(DESIGNAZIONI!O$8:O$872,$D14))</f>
        <v>0</v>
      </c>
    </row>
    <row r="15" customFormat="false" ht="15" hidden="false" customHeight="false" outlineLevel="0" collapsed="false">
      <c r="C15" s="132"/>
      <c r="D15" s="8" t="s">
        <v>561</v>
      </c>
      <c r="E15" s="159"/>
      <c r="L15" s="160" t="n">
        <f aca="false">IF($D15="","",SUM(M15:O15))</f>
        <v>0</v>
      </c>
      <c r="M15" s="160" t="n">
        <f aca="false">IF($D15="","",COUNTIF(DESIGNAZIONI!M$8:M$872,$D15))</f>
        <v>0</v>
      </c>
      <c r="N15" s="160" t="n">
        <f aca="false">IF($D15="","",COUNTIF(DESIGNAZIONI!N$8:N$872,$D15))</f>
        <v>0</v>
      </c>
      <c r="O15" s="160" t="n">
        <f aca="false">IF($D15="","",COUNTIF(DESIGNAZIONI!O$8:O$872,$D15))</f>
        <v>0</v>
      </c>
    </row>
    <row r="16" customFormat="false" ht="15" hidden="false" customHeight="false" outlineLevel="0" collapsed="false">
      <c r="C16" s="132"/>
      <c r="D16" s="8" t="s">
        <v>562</v>
      </c>
      <c r="E16" s="159"/>
      <c r="L16" s="160" t="n">
        <f aca="false">IF($D16="","",SUM(M16:O16))</f>
        <v>0</v>
      </c>
      <c r="M16" s="160" t="n">
        <f aca="false">IF($D16="","",COUNTIF(DESIGNAZIONI!M$8:M$872,$D16))</f>
        <v>0</v>
      </c>
      <c r="N16" s="160" t="n">
        <f aca="false">IF($D16="","",COUNTIF(DESIGNAZIONI!N$8:N$872,$D16))</f>
        <v>0</v>
      </c>
      <c r="O16" s="160" t="n">
        <f aca="false">IF($D16="","",COUNTIF(DESIGNAZIONI!O$8:O$872,$D16))</f>
        <v>0</v>
      </c>
    </row>
    <row r="17" customFormat="false" ht="15" hidden="false" customHeight="false" outlineLevel="0" collapsed="false">
      <c r="C17" s="132"/>
      <c r="D17" s="8" t="s">
        <v>563</v>
      </c>
      <c r="E17" s="159"/>
      <c r="L17" s="160" t="n">
        <f aca="false">IF($D17="","",SUM(M17:O17))</f>
        <v>0</v>
      </c>
      <c r="M17" s="160" t="n">
        <f aca="false">IF($D17="","",COUNTIF(DESIGNAZIONI!M$8:M$872,$D17))</f>
        <v>0</v>
      </c>
      <c r="N17" s="160" t="n">
        <f aca="false">IF($D17="","",COUNTIF(DESIGNAZIONI!N$8:N$872,$D17))</f>
        <v>0</v>
      </c>
      <c r="O17" s="160" t="n">
        <f aca="false">IF($D17="","",COUNTIF(DESIGNAZIONI!O$8:O$872,$D17))</f>
        <v>0</v>
      </c>
    </row>
    <row r="18" customFormat="false" ht="15" hidden="false" customHeight="false" outlineLevel="0" collapsed="false">
      <c r="C18" s="132"/>
      <c r="D18" s="8" t="s">
        <v>564</v>
      </c>
      <c r="E18" s="159"/>
      <c r="L18" s="160" t="n">
        <f aca="false">IF($D18="","",SUM(M18:O18))</f>
        <v>0</v>
      </c>
      <c r="M18" s="160" t="n">
        <f aca="false">IF($D18="","",COUNTIF(DESIGNAZIONI!M$8:M$872,$D18))</f>
        <v>0</v>
      </c>
      <c r="N18" s="160" t="n">
        <f aca="false">IF($D18="","",COUNTIF(DESIGNAZIONI!N$8:N$872,$D18))</f>
        <v>0</v>
      </c>
      <c r="O18" s="160" t="n">
        <f aca="false">IF($D18="","",COUNTIF(DESIGNAZIONI!O$8:O$872,$D18))</f>
        <v>0</v>
      </c>
    </row>
    <row r="19" customFormat="false" ht="15" hidden="false" customHeight="false" outlineLevel="0" collapsed="false">
      <c r="C19" s="132"/>
      <c r="D19" s="8" t="s">
        <v>565</v>
      </c>
      <c r="E19" s="159"/>
      <c r="L19" s="160" t="n">
        <f aca="false">IF($D19="","",SUM(M19:O19))</f>
        <v>0</v>
      </c>
      <c r="M19" s="160" t="n">
        <f aca="false">IF($D19="","",COUNTIF(DESIGNAZIONI!M$8:M$872,$D19))</f>
        <v>0</v>
      </c>
      <c r="N19" s="160" t="n">
        <f aca="false">IF($D19="","",COUNTIF(DESIGNAZIONI!N$8:N$872,$D19))</f>
        <v>0</v>
      </c>
      <c r="O19" s="160" t="n">
        <f aca="false">IF($D19="","",COUNTIF(DESIGNAZIONI!O$8:O$872,$D19))</f>
        <v>0</v>
      </c>
    </row>
    <row r="20" customFormat="false" ht="15" hidden="false" customHeight="false" outlineLevel="0" collapsed="false">
      <c r="C20" s="132"/>
      <c r="D20" s="8" t="s">
        <v>566</v>
      </c>
      <c r="E20" s="159"/>
      <c r="L20" s="160" t="n">
        <f aca="false">IF($D20="","",SUM(M20:O20))</f>
        <v>0</v>
      </c>
      <c r="M20" s="160" t="n">
        <f aca="false">IF($D20="","",COUNTIF(DESIGNAZIONI!M$8:M$872,$D20))</f>
        <v>0</v>
      </c>
      <c r="N20" s="160" t="n">
        <f aca="false">IF($D20="","",COUNTIF(DESIGNAZIONI!N$8:N$872,$D20))</f>
        <v>0</v>
      </c>
      <c r="O20" s="160" t="n">
        <f aca="false">IF($D20="","",COUNTIF(DESIGNAZIONI!O$8:O$872,$D20))</f>
        <v>0</v>
      </c>
    </row>
    <row r="21" customFormat="false" ht="15" hidden="false" customHeight="false" outlineLevel="0" collapsed="false">
      <c r="C21" s="132"/>
      <c r="D21" s="8" t="s">
        <v>567</v>
      </c>
      <c r="E21" s="159"/>
      <c r="L21" s="160" t="n">
        <f aca="false">IF($D21="","",SUM(M21:O21))</f>
        <v>0</v>
      </c>
      <c r="M21" s="160" t="n">
        <f aca="false">IF($D21="","",COUNTIF(DESIGNAZIONI!M$8:M$872,$D21))</f>
        <v>0</v>
      </c>
      <c r="N21" s="160" t="n">
        <f aca="false">IF($D21="","",COUNTIF(DESIGNAZIONI!N$8:N$872,$D21))</f>
        <v>0</v>
      </c>
      <c r="O21" s="160" t="n">
        <f aca="false">IF($D21="","",COUNTIF(DESIGNAZIONI!O$8:O$872,$D21))</f>
        <v>0</v>
      </c>
    </row>
    <row r="22" customFormat="false" ht="15" hidden="false" customHeight="false" outlineLevel="0" collapsed="false">
      <c r="C22" s="132"/>
      <c r="D22" s="8" t="s">
        <v>568</v>
      </c>
      <c r="E22" s="159"/>
      <c r="L22" s="160" t="n">
        <f aca="false">IF($D22="","",SUM(M22:O22))</f>
        <v>0</v>
      </c>
      <c r="M22" s="160" t="n">
        <f aca="false">IF($D22="","",COUNTIF(DESIGNAZIONI!M$8:M$872,$D22))</f>
        <v>0</v>
      </c>
      <c r="N22" s="160" t="n">
        <f aca="false">IF($D22="","",COUNTIF(DESIGNAZIONI!N$8:N$872,$D22))</f>
        <v>0</v>
      </c>
      <c r="O22" s="160" t="n">
        <f aca="false">IF($D22="","",COUNTIF(DESIGNAZIONI!O$8:O$872,$D22))</f>
        <v>0</v>
      </c>
    </row>
    <row r="23" customFormat="false" ht="15" hidden="false" customHeight="false" outlineLevel="0" collapsed="false">
      <c r="C23" s="132"/>
      <c r="D23" s="8" t="s">
        <v>569</v>
      </c>
      <c r="E23" s="159"/>
      <c r="L23" s="160" t="n">
        <f aca="false">IF($D23="","",SUM(M23:O23))</f>
        <v>0</v>
      </c>
      <c r="M23" s="160" t="n">
        <f aca="false">IF($D23="","",COUNTIF(DESIGNAZIONI!M$8:M$872,$D23))</f>
        <v>0</v>
      </c>
      <c r="N23" s="160" t="n">
        <f aca="false">IF($D23="","",COUNTIF(DESIGNAZIONI!N$8:N$872,$D23))</f>
        <v>0</v>
      </c>
      <c r="O23" s="160" t="n">
        <f aca="false">IF($D23="","",COUNTIF(DESIGNAZIONI!O$8:O$872,$D23))</f>
        <v>0</v>
      </c>
    </row>
    <row r="24" customFormat="false" ht="15" hidden="false" customHeight="false" outlineLevel="0" collapsed="false">
      <c r="C24" s="132"/>
      <c r="D24" s="8" t="s">
        <v>570</v>
      </c>
      <c r="E24" s="159"/>
      <c r="L24" s="160" t="n">
        <f aca="false">IF($D24="","",SUM(M24:O24))</f>
        <v>0</v>
      </c>
      <c r="M24" s="160" t="n">
        <f aca="false">IF($D24="","",COUNTIF(DESIGNAZIONI!M$8:M$872,$D24))</f>
        <v>0</v>
      </c>
      <c r="N24" s="160" t="n">
        <f aca="false">IF($D24="","",COUNTIF(DESIGNAZIONI!N$8:N$872,$D24))</f>
        <v>0</v>
      </c>
      <c r="O24" s="160" t="n">
        <f aca="false">IF($D24="","",COUNTIF(DESIGNAZIONI!O$8:O$872,$D24))</f>
        <v>0</v>
      </c>
    </row>
    <row r="25" customFormat="false" ht="15" hidden="false" customHeight="false" outlineLevel="0" collapsed="false">
      <c r="C25" s="132"/>
      <c r="D25" s="8" t="s">
        <v>571</v>
      </c>
      <c r="E25" s="159"/>
      <c r="L25" s="160" t="n">
        <f aca="false">IF($D25="","",SUM(M25:O25))</f>
        <v>0</v>
      </c>
      <c r="M25" s="160" t="n">
        <f aca="false">IF($D25="","",COUNTIF(DESIGNAZIONI!M$8:M$872,$D25))</f>
        <v>0</v>
      </c>
      <c r="N25" s="160" t="n">
        <f aca="false">IF($D25="","",COUNTIF(DESIGNAZIONI!N$8:N$872,$D25))</f>
        <v>0</v>
      </c>
      <c r="O25" s="160" t="n">
        <f aca="false">IF($D25="","",COUNTIF(DESIGNAZIONI!O$8:O$872,$D25))</f>
        <v>0</v>
      </c>
    </row>
    <row r="26" customFormat="false" ht="15" hidden="false" customHeight="false" outlineLevel="0" collapsed="false">
      <c r="C26" s="132"/>
      <c r="D26" s="8" t="s">
        <v>572</v>
      </c>
      <c r="E26" s="159"/>
      <c r="L26" s="160" t="n">
        <f aca="false">IF($D26="","",SUM(M26:O26))</f>
        <v>0</v>
      </c>
      <c r="M26" s="160" t="n">
        <f aca="false">IF($D26="","",COUNTIF(DESIGNAZIONI!M$8:M$872,$D26))</f>
        <v>0</v>
      </c>
      <c r="N26" s="160" t="n">
        <f aca="false">IF($D26="","",COUNTIF(DESIGNAZIONI!N$8:N$872,$D26))</f>
        <v>0</v>
      </c>
      <c r="O26" s="160" t="n">
        <f aca="false">IF($D26="","",COUNTIF(DESIGNAZIONI!O$8:O$872,$D26))</f>
        <v>0</v>
      </c>
    </row>
    <row r="27" customFormat="false" ht="15" hidden="false" customHeight="false" outlineLevel="0" collapsed="false">
      <c r="C27" s="132"/>
      <c r="D27" s="8" t="s">
        <v>573</v>
      </c>
      <c r="E27" s="159"/>
      <c r="L27" s="160" t="n">
        <f aca="false">IF($D27="","",SUM(M27:O27))</f>
        <v>0</v>
      </c>
      <c r="M27" s="160" t="n">
        <f aca="false">IF($D27="","",COUNTIF(DESIGNAZIONI!M$8:M$872,$D27))</f>
        <v>0</v>
      </c>
      <c r="N27" s="160" t="n">
        <f aca="false">IF($D27="","",COUNTIF(DESIGNAZIONI!N$8:N$872,$D27))</f>
        <v>0</v>
      </c>
      <c r="O27" s="160" t="n">
        <f aca="false">IF($D27="","",COUNTIF(DESIGNAZIONI!O$8:O$872,$D27))</f>
        <v>0</v>
      </c>
    </row>
    <row r="28" customFormat="false" ht="15" hidden="false" customHeight="false" outlineLevel="0" collapsed="false">
      <c r="C28" s="132"/>
      <c r="D28" s="8" t="s">
        <v>574</v>
      </c>
      <c r="E28" s="159"/>
      <c r="L28" s="160" t="n">
        <f aca="false">IF($D28="","",SUM(M28:O28))</f>
        <v>0</v>
      </c>
      <c r="M28" s="160" t="n">
        <f aca="false">IF($D28="","",COUNTIF(DESIGNAZIONI!M$8:M$872,$D28))</f>
        <v>0</v>
      </c>
      <c r="N28" s="160" t="n">
        <f aca="false">IF($D28="","",COUNTIF(DESIGNAZIONI!N$8:N$872,$D28))</f>
        <v>0</v>
      </c>
      <c r="O28" s="160" t="n">
        <f aca="false">IF($D28="","",COUNTIF(DESIGNAZIONI!O$8:O$872,$D28))</f>
        <v>0</v>
      </c>
    </row>
    <row r="29" customFormat="false" ht="15" hidden="false" customHeight="false" outlineLevel="0" collapsed="false">
      <c r="C29" s="132"/>
      <c r="D29" s="8" t="s">
        <v>575</v>
      </c>
      <c r="E29" s="159"/>
      <c r="L29" s="160" t="n">
        <f aca="false">IF($D29="","",SUM(M29:O29))</f>
        <v>0</v>
      </c>
      <c r="M29" s="160" t="n">
        <f aca="false">IF($D29="","",COUNTIF(DESIGNAZIONI!M$8:M$872,$D29))</f>
        <v>0</v>
      </c>
      <c r="N29" s="160" t="n">
        <f aca="false">IF($D29="","",COUNTIF(DESIGNAZIONI!N$8:N$872,$D29))</f>
        <v>0</v>
      </c>
      <c r="O29" s="160" t="n">
        <f aca="false">IF($D29="","",COUNTIF(DESIGNAZIONI!O$8:O$872,$D29))</f>
        <v>0</v>
      </c>
    </row>
    <row r="30" customFormat="false" ht="15" hidden="false" customHeight="false" outlineLevel="0" collapsed="false">
      <c r="C30" s="132"/>
      <c r="D30" s="8" t="s">
        <v>576</v>
      </c>
      <c r="E30" s="159"/>
      <c r="L30" s="160" t="n">
        <f aca="false">IF($D30="","",SUM(M30:O30))</f>
        <v>0</v>
      </c>
      <c r="M30" s="160" t="n">
        <f aca="false">IF($D30="","",COUNTIF(DESIGNAZIONI!M$8:M$872,$D30))</f>
        <v>0</v>
      </c>
      <c r="N30" s="160" t="n">
        <f aca="false">IF($D30="","",COUNTIF(DESIGNAZIONI!N$8:N$872,$D30))</f>
        <v>0</v>
      </c>
      <c r="O30" s="160" t="n">
        <f aca="false">IF($D30="","",COUNTIF(DESIGNAZIONI!O$8:O$872,$D30))</f>
        <v>0</v>
      </c>
    </row>
    <row r="31" customFormat="false" ht="15" hidden="false" customHeight="false" outlineLevel="0" collapsed="false">
      <c r="C31" s="132"/>
      <c r="D31" s="8" t="s">
        <v>577</v>
      </c>
      <c r="E31" s="159"/>
      <c r="L31" s="160" t="n">
        <f aca="false">IF($D31="","",SUM(M31:O31))</f>
        <v>0</v>
      </c>
      <c r="M31" s="160" t="n">
        <f aca="false">IF($D31="","",COUNTIF(DESIGNAZIONI!M$8:M$872,$D31))</f>
        <v>0</v>
      </c>
      <c r="N31" s="160" t="n">
        <f aca="false">IF($D31="","",COUNTIF(DESIGNAZIONI!N$8:N$872,$D31))</f>
        <v>0</v>
      </c>
      <c r="O31" s="160" t="n">
        <f aca="false">IF($D31="","",COUNTIF(DESIGNAZIONI!O$8:O$872,$D31))</f>
        <v>0</v>
      </c>
    </row>
    <row r="32" customFormat="false" ht="15" hidden="false" customHeight="false" outlineLevel="0" collapsed="false">
      <c r="C32" s="132"/>
      <c r="D32" s="8" t="s">
        <v>578</v>
      </c>
      <c r="E32" s="159"/>
      <c r="L32" s="160" t="n">
        <f aca="false">IF($D32="","",SUM(M32:O32))</f>
        <v>0</v>
      </c>
      <c r="M32" s="160" t="n">
        <f aca="false">IF($D32="","",COUNTIF(DESIGNAZIONI!M$8:M$872,$D32))</f>
        <v>0</v>
      </c>
      <c r="N32" s="160" t="n">
        <f aca="false">IF($D32="","",COUNTIF(DESIGNAZIONI!N$8:N$872,$D32))</f>
        <v>0</v>
      </c>
      <c r="O32" s="160" t="n">
        <f aca="false">IF($D32="","",COUNTIF(DESIGNAZIONI!O$8:O$872,$D32))</f>
        <v>0</v>
      </c>
    </row>
    <row r="33" customFormat="false" ht="15" hidden="false" customHeight="false" outlineLevel="0" collapsed="false">
      <c r="C33" s="132"/>
      <c r="D33" s="8" t="s">
        <v>579</v>
      </c>
      <c r="E33" s="159"/>
      <c r="L33" s="160" t="n">
        <f aca="false">IF($D33="","",SUM(M33:O33))</f>
        <v>0</v>
      </c>
      <c r="M33" s="160" t="n">
        <f aca="false">IF($D33="","",COUNTIF(DESIGNAZIONI!M$8:M$872,$D33))</f>
        <v>0</v>
      </c>
      <c r="N33" s="160" t="n">
        <f aca="false">IF($D33="","",COUNTIF(DESIGNAZIONI!N$8:N$872,$D33))</f>
        <v>0</v>
      </c>
      <c r="O33" s="160" t="n">
        <f aca="false">IF($D33="","",COUNTIF(DESIGNAZIONI!O$8:O$872,$D33))</f>
        <v>0</v>
      </c>
    </row>
    <row r="34" customFormat="false" ht="15" hidden="false" customHeight="false" outlineLevel="0" collapsed="false">
      <c r="C34" s="132"/>
      <c r="D34" s="8" t="s">
        <v>580</v>
      </c>
      <c r="E34" s="159"/>
      <c r="L34" s="160" t="n">
        <f aca="false">IF($D34="","",SUM(M34:O34))</f>
        <v>0</v>
      </c>
      <c r="M34" s="160" t="n">
        <f aca="false">IF($D34="","",COUNTIF(DESIGNAZIONI!M$8:M$872,$D34))</f>
        <v>0</v>
      </c>
      <c r="N34" s="160" t="n">
        <f aca="false">IF($D34="","",COUNTIF(DESIGNAZIONI!N$8:N$872,$D34))</f>
        <v>0</v>
      </c>
      <c r="O34" s="160" t="n">
        <f aca="false">IF($D34="","",COUNTIF(DESIGNAZIONI!O$8:O$872,$D34))</f>
        <v>0</v>
      </c>
    </row>
    <row r="35" customFormat="false" ht="15" hidden="false" customHeight="false" outlineLevel="0" collapsed="false">
      <c r="C35" s="132"/>
      <c r="D35" s="8" t="s">
        <v>581</v>
      </c>
      <c r="E35" s="159"/>
      <c r="L35" s="160" t="n">
        <f aca="false">IF($D35="","",SUM(M35:O35))</f>
        <v>0</v>
      </c>
      <c r="M35" s="160" t="n">
        <f aca="false">IF($D35="","",COUNTIF(DESIGNAZIONI!M$8:M$872,$D35))</f>
        <v>0</v>
      </c>
      <c r="N35" s="160" t="n">
        <f aca="false">IF($D35="","",COUNTIF(DESIGNAZIONI!N$8:N$872,$D35))</f>
        <v>0</v>
      </c>
      <c r="O35" s="160" t="n">
        <f aca="false">IF($D35="","",COUNTIF(DESIGNAZIONI!O$8:O$872,$D35))</f>
        <v>0</v>
      </c>
    </row>
    <row r="36" customFormat="false" ht="15" hidden="false" customHeight="false" outlineLevel="0" collapsed="false">
      <c r="C36" s="132"/>
      <c r="D36" s="8" t="s">
        <v>582</v>
      </c>
      <c r="E36" s="159"/>
      <c r="L36" s="160" t="n">
        <f aca="false">IF($D36="","",SUM(M36:O36))</f>
        <v>0</v>
      </c>
      <c r="M36" s="160" t="n">
        <f aca="false">IF($D36="","",COUNTIF(DESIGNAZIONI!M$8:M$872,$D36))</f>
        <v>0</v>
      </c>
      <c r="N36" s="160" t="n">
        <f aca="false">IF($D36="","",COUNTIF(DESIGNAZIONI!N$8:N$872,$D36))</f>
        <v>0</v>
      </c>
      <c r="O36" s="160" t="n">
        <f aca="false">IF($D36="","",COUNTIF(DESIGNAZIONI!O$8:O$872,$D36))</f>
        <v>0</v>
      </c>
    </row>
    <row r="37" customFormat="false" ht="15" hidden="false" customHeight="false" outlineLevel="0" collapsed="false">
      <c r="C37" s="132"/>
      <c r="D37" s="8" t="s">
        <v>583</v>
      </c>
      <c r="E37" s="159"/>
      <c r="L37" s="160" t="n">
        <f aca="false">IF($D37="","",SUM(M37:O37))</f>
        <v>0</v>
      </c>
      <c r="M37" s="160" t="n">
        <f aca="false">IF($D37="","",COUNTIF(DESIGNAZIONI!M$8:M$872,$D37))</f>
        <v>0</v>
      </c>
      <c r="N37" s="160" t="n">
        <f aca="false">IF($D37="","",COUNTIF(DESIGNAZIONI!N$8:N$872,$D37))</f>
        <v>0</v>
      </c>
      <c r="O37" s="160" t="n">
        <f aca="false">IF($D37="","",COUNTIF(DESIGNAZIONI!O$8:O$872,$D37))</f>
        <v>0</v>
      </c>
    </row>
    <row r="38" customFormat="false" ht="15" hidden="false" customHeight="false" outlineLevel="0" collapsed="false">
      <c r="C38" s="132"/>
      <c r="D38" s="8" t="s">
        <v>584</v>
      </c>
      <c r="E38" s="159"/>
      <c r="L38" s="160" t="n">
        <f aca="false">IF($D38="","",SUM(M38:O38))</f>
        <v>0</v>
      </c>
      <c r="M38" s="160" t="n">
        <f aca="false">IF($D38="","",COUNTIF(DESIGNAZIONI!M$8:M$872,$D38))</f>
        <v>0</v>
      </c>
      <c r="N38" s="160" t="n">
        <f aca="false">IF($D38="","",COUNTIF(DESIGNAZIONI!N$8:N$872,$D38))</f>
        <v>0</v>
      </c>
      <c r="O38" s="160" t="n">
        <f aca="false">IF($D38="","",COUNTIF(DESIGNAZIONI!O$8:O$872,$D38))</f>
        <v>0</v>
      </c>
    </row>
    <row r="39" customFormat="false" ht="15" hidden="false" customHeight="false" outlineLevel="0" collapsed="false">
      <c r="C39" s="132"/>
      <c r="D39" s="8" t="s">
        <v>585</v>
      </c>
      <c r="E39" s="159"/>
      <c r="L39" s="160" t="n">
        <f aca="false">IF($D39="","",SUM(M39:O39))</f>
        <v>0</v>
      </c>
      <c r="M39" s="160" t="n">
        <f aca="false">IF($D39="","",COUNTIF(DESIGNAZIONI!M$8:M$872,$D39))</f>
        <v>0</v>
      </c>
      <c r="N39" s="160" t="n">
        <f aca="false">IF($D39="","",COUNTIF(DESIGNAZIONI!N$8:N$872,$D39))</f>
        <v>0</v>
      </c>
      <c r="O39" s="160" t="n">
        <f aca="false">IF($D39="","",COUNTIF(DESIGNAZIONI!O$8:O$872,$D39))</f>
        <v>0</v>
      </c>
    </row>
    <row r="40" customFormat="false" ht="15" hidden="false" customHeight="false" outlineLevel="0" collapsed="false">
      <c r="C40" s="132"/>
      <c r="D40" s="8" t="s">
        <v>586</v>
      </c>
      <c r="E40" s="159"/>
      <c r="L40" s="160" t="n">
        <f aca="false">IF($D40="","",SUM(M40:O40))</f>
        <v>0</v>
      </c>
      <c r="M40" s="160" t="n">
        <f aca="false">IF($D40="","",COUNTIF(DESIGNAZIONI!M$8:M$872,$D40))</f>
        <v>0</v>
      </c>
      <c r="N40" s="160" t="n">
        <f aca="false">IF($D40="","",COUNTIF(DESIGNAZIONI!N$8:N$872,$D40))</f>
        <v>0</v>
      </c>
      <c r="O40" s="160" t="n">
        <f aca="false">IF($D40="","",COUNTIF(DESIGNAZIONI!O$8:O$872,$D40))</f>
        <v>0</v>
      </c>
    </row>
    <row r="41" customFormat="false" ht="15" hidden="false" customHeight="false" outlineLevel="0" collapsed="false">
      <c r="C41" s="132"/>
      <c r="D41" s="8" t="s">
        <v>587</v>
      </c>
      <c r="E41" s="159"/>
      <c r="L41" s="160" t="n">
        <f aca="false">IF($D41="","",SUM(M41:O41))</f>
        <v>0</v>
      </c>
      <c r="M41" s="160" t="n">
        <f aca="false">IF($D41="","",COUNTIF(DESIGNAZIONI!M$8:M$872,$D41))</f>
        <v>0</v>
      </c>
      <c r="N41" s="160" t="n">
        <f aca="false">IF($D41="","",COUNTIF(DESIGNAZIONI!N$8:N$872,$D41))</f>
        <v>0</v>
      </c>
      <c r="O41" s="160" t="n">
        <f aca="false">IF($D41="","",COUNTIF(DESIGNAZIONI!O$8:O$872,$D41))</f>
        <v>0</v>
      </c>
    </row>
    <row r="42" customFormat="false" ht="15" hidden="false" customHeight="false" outlineLevel="0" collapsed="false">
      <c r="C42" s="132"/>
      <c r="D42" s="8" t="s">
        <v>588</v>
      </c>
      <c r="E42" s="159"/>
      <c r="L42" s="160" t="n">
        <f aca="false">IF($D42="","",SUM(M42:O42))</f>
        <v>0</v>
      </c>
      <c r="M42" s="160" t="n">
        <f aca="false">IF($D42="","",COUNTIF(DESIGNAZIONI!M$8:M$872,$D42))</f>
        <v>0</v>
      </c>
      <c r="N42" s="160" t="n">
        <f aca="false">IF($D42="","",COUNTIF(DESIGNAZIONI!N$8:N$872,$D42))</f>
        <v>0</v>
      </c>
      <c r="O42" s="160" t="n">
        <f aca="false">IF($D42="","",COUNTIF(DESIGNAZIONI!O$8:O$872,$D42))</f>
        <v>0</v>
      </c>
    </row>
    <row r="43" customFormat="false" ht="15" hidden="false" customHeight="false" outlineLevel="0" collapsed="false">
      <c r="C43" s="132"/>
      <c r="D43" s="8" t="s">
        <v>589</v>
      </c>
      <c r="E43" s="159"/>
      <c r="L43" s="160" t="n">
        <f aca="false">IF($D43="","",SUM(M43:O43))</f>
        <v>0</v>
      </c>
      <c r="M43" s="160" t="n">
        <f aca="false">IF($D43="","",COUNTIF(DESIGNAZIONI!M$8:M$872,$D43))</f>
        <v>0</v>
      </c>
      <c r="N43" s="160" t="n">
        <f aca="false">IF($D43="","",COUNTIF(DESIGNAZIONI!N$8:N$872,$D43))</f>
        <v>0</v>
      </c>
      <c r="O43" s="160" t="n">
        <f aca="false">IF($D43="","",COUNTIF(DESIGNAZIONI!O$8:O$872,$D43))</f>
        <v>0</v>
      </c>
    </row>
    <row r="44" customFormat="false" ht="15" hidden="false" customHeight="false" outlineLevel="0" collapsed="false">
      <c r="C44" s="132"/>
      <c r="D44" s="8" t="s">
        <v>590</v>
      </c>
      <c r="E44" s="159"/>
      <c r="L44" s="160" t="n">
        <f aca="false">IF($D44="","",SUM(M44:O44))</f>
        <v>0</v>
      </c>
      <c r="M44" s="160" t="n">
        <f aca="false">IF($D44="","",COUNTIF(DESIGNAZIONI!M$8:M$872,$D44))</f>
        <v>0</v>
      </c>
      <c r="N44" s="160" t="n">
        <f aca="false">IF($D44="","",COUNTIF(DESIGNAZIONI!N$8:N$872,$D44))</f>
        <v>0</v>
      </c>
      <c r="O44" s="160" t="n">
        <f aca="false">IF($D44="","",COUNTIF(DESIGNAZIONI!O$8:O$872,$D44))</f>
        <v>0</v>
      </c>
    </row>
    <row r="45" customFormat="false" ht="15" hidden="false" customHeight="false" outlineLevel="0" collapsed="false">
      <c r="C45" s="132"/>
      <c r="D45" s="8" t="s">
        <v>591</v>
      </c>
      <c r="E45" s="159"/>
      <c r="L45" s="160" t="n">
        <f aca="false">IF($D45="","",SUM(M45:O45))</f>
        <v>0</v>
      </c>
      <c r="M45" s="160" t="n">
        <f aca="false">IF($D45="","",COUNTIF(DESIGNAZIONI!M$8:M$872,$D45))</f>
        <v>0</v>
      </c>
      <c r="N45" s="160" t="n">
        <f aca="false">IF($D45="","",COUNTIF(DESIGNAZIONI!N$8:N$872,$D45))</f>
        <v>0</v>
      </c>
      <c r="O45" s="160" t="n">
        <f aca="false">IF($D45="","",COUNTIF(DESIGNAZIONI!O$8:O$872,$D45))</f>
        <v>0</v>
      </c>
    </row>
    <row r="46" customFormat="false" ht="15" hidden="false" customHeight="false" outlineLevel="0" collapsed="false">
      <c r="C46" s="132"/>
      <c r="D46" s="8" t="s">
        <v>592</v>
      </c>
      <c r="E46" s="159"/>
      <c r="L46" s="160" t="n">
        <f aca="false">IF($D46="","",SUM(M46:O46))</f>
        <v>0</v>
      </c>
      <c r="M46" s="160" t="n">
        <f aca="false">IF($D46="","",COUNTIF(DESIGNAZIONI!M$8:M$872,$D46))</f>
        <v>0</v>
      </c>
      <c r="N46" s="160" t="n">
        <f aca="false">IF($D46="","",COUNTIF(DESIGNAZIONI!N$8:N$872,$D46))</f>
        <v>0</v>
      </c>
      <c r="O46" s="160" t="n">
        <f aca="false">IF($D46="","",COUNTIF(DESIGNAZIONI!O$8:O$872,$D46))</f>
        <v>0</v>
      </c>
    </row>
    <row r="47" customFormat="false" ht="15" hidden="false" customHeight="false" outlineLevel="0" collapsed="false">
      <c r="C47" s="132"/>
      <c r="D47" s="8" t="s">
        <v>593</v>
      </c>
      <c r="E47" s="159"/>
      <c r="L47" s="160" t="n">
        <f aca="false">IF($D47="","",SUM(M47:O47))</f>
        <v>0</v>
      </c>
      <c r="M47" s="160" t="n">
        <f aca="false">IF($D47="","",COUNTIF(DESIGNAZIONI!M$8:M$872,$D47))</f>
        <v>0</v>
      </c>
      <c r="N47" s="160" t="n">
        <f aca="false">IF($D47="","",COUNTIF(DESIGNAZIONI!N$8:N$872,$D47))</f>
        <v>0</v>
      </c>
      <c r="O47" s="160" t="n">
        <f aca="false">IF($D47="","",COUNTIF(DESIGNAZIONI!O$8:O$872,$D47))</f>
        <v>0</v>
      </c>
    </row>
    <row r="48" customFormat="false" ht="15" hidden="false" customHeight="false" outlineLevel="0" collapsed="false">
      <c r="C48" s="132"/>
      <c r="D48" s="8" t="s">
        <v>594</v>
      </c>
      <c r="E48" s="159"/>
      <c r="L48" s="160" t="n">
        <f aca="false">IF($D48="","",SUM(M48:O48))</f>
        <v>0</v>
      </c>
      <c r="M48" s="160" t="n">
        <f aca="false">IF($D48="","",COUNTIF(DESIGNAZIONI!M$8:M$872,$D48))</f>
        <v>0</v>
      </c>
      <c r="N48" s="160" t="n">
        <f aca="false">IF($D48="","",COUNTIF(DESIGNAZIONI!N$8:N$872,$D48))</f>
        <v>0</v>
      </c>
      <c r="O48" s="160" t="n">
        <f aca="false">IF($D48="","",COUNTIF(DESIGNAZIONI!O$8:O$872,$D48))</f>
        <v>0</v>
      </c>
    </row>
    <row r="49" customFormat="false" ht="15" hidden="false" customHeight="false" outlineLevel="0" collapsed="false">
      <c r="C49" s="132"/>
      <c r="D49" s="8" t="s">
        <v>595</v>
      </c>
      <c r="E49" s="159"/>
      <c r="L49" s="160" t="n">
        <f aca="false">IF($D49="","",SUM(M49:O49))</f>
        <v>0</v>
      </c>
      <c r="M49" s="160" t="n">
        <f aca="false">IF($D49="","",COUNTIF(DESIGNAZIONI!M$8:M$872,$D49))</f>
        <v>0</v>
      </c>
      <c r="N49" s="160" t="n">
        <f aca="false">IF($D49="","",COUNTIF(DESIGNAZIONI!N$8:N$872,$D49))</f>
        <v>0</v>
      </c>
      <c r="O49" s="160" t="n">
        <f aca="false">IF($D49="","",COUNTIF(DESIGNAZIONI!O$8:O$872,$D49))</f>
        <v>0</v>
      </c>
    </row>
    <row r="50" customFormat="false" ht="15" hidden="false" customHeight="false" outlineLevel="0" collapsed="false">
      <c r="C50" s="132"/>
      <c r="D50" s="8" t="s">
        <v>596</v>
      </c>
      <c r="E50" s="159"/>
      <c r="L50" s="160" t="n">
        <f aca="false">IF($D50="","",SUM(M50:O50))</f>
        <v>0</v>
      </c>
      <c r="M50" s="160" t="n">
        <f aca="false">IF($D50="","",COUNTIF(DESIGNAZIONI!M$8:M$872,$D50))</f>
        <v>0</v>
      </c>
      <c r="N50" s="160" t="n">
        <f aca="false">IF($D50="","",COUNTIF(DESIGNAZIONI!N$8:N$872,$D50))</f>
        <v>0</v>
      </c>
      <c r="O50" s="160" t="n">
        <f aca="false">IF($D50="","",COUNTIF(DESIGNAZIONI!O$8:O$872,$D50))</f>
        <v>0</v>
      </c>
    </row>
    <row r="51" customFormat="false" ht="15" hidden="false" customHeight="false" outlineLevel="0" collapsed="false">
      <c r="C51" s="132"/>
      <c r="D51" s="8" t="s">
        <v>597</v>
      </c>
      <c r="E51" s="159"/>
      <c r="L51" s="160" t="n">
        <f aca="false">IF($D51="","",SUM(M51:O51))</f>
        <v>0</v>
      </c>
      <c r="M51" s="160" t="n">
        <f aca="false">IF($D51="","",COUNTIF(DESIGNAZIONI!M$8:M$872,$D51))</f>
        <v>0</v>
      </c>
      <c r="N51" s="160" t="n">
        <f aca="false">IF($D51="","",COUNTIF(DESIGNAZIONI!N$8:N$872,$D51))</f>
        <v>0</v>
      </c>
      <c r="O51" s="160" t="n">
        <f aca="false">IF($D51="","",COUNTIF(DESIGNAZIONI!O$8:O$872,$D51))</f>
        <v>0</v>
      </c>
    </row>
    <row r="52" customFormat="false" ht="15" hidden="false" customHeight="false" outlineLevel="0" collapsed="false">
      <c r="C52" s="132"/>
      <c r="D52" s="8" t="s">
        <v>598</v>
      </c>
      <c r="E52" s="159"/>
      <c r="L52" s="160" t="n">
        <f aca="false">IF($D52="","",SUM(M52:O52))</f>
        <v>0</v>
      </c>
      <c r="M52" s="160" t="n">
        <f aca="false">IF($D52="","",COUNTIF(DESIGNAZIONI!M$8:M$872,$D52))</f>
        <v>0</v>
      </c>
      <c r="N52" s="160" t="n">
        <f aca="false">IF($D52="","",COUNTIF(DESIGNAZIONI!N$8:N$872,$D52))</f>
        <v>0</v>
      </c>
      <c r="O52" s="160" t="n">
        <f aca="false">IF($D52="","",COUNTIF(DESIGNAZIONI!O$8:O$872,$D52))</f>
        <v>0</v>
      </c>
    </row>
    <row r="53" customFormat="false" ht="15" hidden="false" customHeight="false" outlineLevel="0" collapsed="false">
      <c r="C53" s="132"/>
      <c r="D53" s="8" t="s">
        <v>599</v>
      </c>
      <c r="E53" s="159"/>
      <c r="L53" s="160" t="n">
        <f aca="false">IF($D53="","",SUM(M53:O53))</f>
        <v>0</v>
      </c>
      <c r="M53" s="160" t="n">
        <f aca="false">IF($D53="","",COUNTIF(DESIGNAZIONI!M$8:M$872,$D53))</f>
        <v>0</v>
      </c>
      <c r="N53" s="160" t="n">
        <f aca="false">IF($D53="","",COUNTIF(DESIGNAZIONI!N$8:N$872,$D53))</f>
        <v>0</v>
      </c>
      <c r="O53" s="160" t="n">
        <f aca="false">IF($D53="","",COUNTIF(DESIGNAZIONI!O$8:O$872,$D53))</f>
        <v>0</v>
      </c>
    </row>
    <row r="54" customFormat="false" ht="15" hidden="false" customHeight="false" outlineLevel="0" collapsed="false">
      <c r="C54" s="132"/>
      <c r="D54" s="8" t="s">
        <v>600</v>
      </c>
      <c r="E54" s="159"/>
      <c r="L54" s="160" t="n">
        <f aca="false">IF($D54="","",SUM(M54:O54))</f>
        <v>0</v>
      </c>
      <c r="M54" s="160" t="n">
        <f aca="false">IF($D54="","",COUNTIF(DESIGNAZIONI!M$8:M$872,$D54))</f>
        <v>0</v>
      </c>
      <c r="N54" s="160" t="n">
        <f aca="false">IF($D54="","",COUNTIF(DESIGNAZIONI!N$8:N$872,$D54))</f>
        <v>0</v>
      </c>
      <c r="O54" s="160" t="n">
        <f aca="false">IF($D54="","",COUNTIF(DESIGNAZIONI!O$8:O$872,$D54))</f>
        <v>0</v>
      </c>
    </row>
    <row r="55" customFormat="false" ht="15" hidden="false" customHeight="false" outlineLevel="0" collapsed="false">
      <c r="C55" s="132"/>
      <c r="D55" s="8" t="s">
        <v>601</v>
      </c>
      <c r="E55" s="159"/>
      <c r="L55" s="160" t="n">
        <f aca="false">IF($D55="","",SUM(M55:O55))</f>
        <v>0</v>
      </c>
      <c r="M55" s="160" t="n">
        <f aca="false">IF($D55="","",COUNTIF(DESIGNAZIONI!M$8:M$872,$D55))</f>
        <v>0</v>
      </c>
      <c r="N55" s="160" t="n">
        <f aca="false">IF($D55="","",COUNTIF(DESIGNAZIONI!N$8:N$872,$D55))</f>
        <v>0</v>
      </c>
      <c r="O55" s="160" t="n">
        <f aca="false">IF($D55="","",COUNTIF(DESIGNAZIONI!O$8:O$872,$D55))</f>
        <v>0</v>
      </c>
    </row>
    <row r="56" customFormat="false" ht="15" hidden="false" customHeight="false" outlineLevel="0" collapsed="false">
      <c r="C56" s="132"/>
      <c r="D56" s="8" t="s">
        <v>602</v>
      </c>
      <c r="E56" s="159"/>
      <c r="L56" s="160" t="n">
        <f aca="false">IF($D56="","",SUM(M56:O56))</f>
        <v>0</v>
      </c>
      <c r="M56" s="160" t="n">
        <f aca="false">IF($D56="","",COUNTIF(DESIGNAZIONI!M$8:M$872,$D56))</f>
        <v>0</v>
      </c>
      <c r="N56" s="160" t="n">
        <f aca="false">IF($D56="","",COUNTIF(DESIGNAZIONI!N$8:N$872,$D56))</f>
        <v>0</v>
      </c>
      <c r="O56" s="160" t="n">
        <f aca="false">IF($D56="","",COUNTIF(DESIGNAZIONI!O$8:O$872,$D56))</f>
        <v>0</v>
      </c>
    </row>
    <row r="57" customFormat="false" ht="15" hidden="false" customHeight="false" outlineLevel="0" collapsed="false">
      <c r="C57" s="132"/>
      <c r="D57" s="8" t="s">
        <v>603</v>
      </c>
      <c r="E57" s="159"/>
      <c r="L57" s="160" t="n">
        <f aca="false">IF($D57="","",SUM(M57:O57))</f>
        <v>0</v>
      </c>
      <c r="M57" s="160" t="n">
        <f aca="false">IF($D57="","",COUNTIF(DESIGNAZIONI!M$8:M$872,$D57))</f>
        <v>0</v>
      </c>
      <c r="N57" s="160" t="n">
        <f aca="false">IF($D57="","",COUNTIF(DESIGNAZIONI!N$8:N$872,$D57))</f>
        <v>0</v>
      </c>
      <c r="O57" s="160" t="n">
        <f aca="false">IF($D57="","",COUNTIF(DESIGNAZIONI!O$8:O$872,$D57))</f>
        <v>0</v>
      </c>
    </row>
    <row r="58" customFormat="false" ht="15" hidden="false" customHeight="false" outlineLevel="0" collapsed="false">
      <c r="C58" s="132"/>
      <c r="D58" s="8" t="s">
        <v>604</v>
      </c>
      <c r="E58" s="159"/>
      <c r="L58" s="160" t="n">
        <f aca="false">IF($D58="","",SUM(M58:O58))</f>
        <v>0</v>
      </c>
      <c r="M58" s="160" t="n">
        <f aca="false">IF($D58="","",COUNTIF(DESIGNAZIONI!M$8:M$872,$D58))</f>
        <v>0</v>
      </c>
      <c r="N58" s="160" t="n">
        <f aca="false">IF($D58="","",COUNTIF(DESIGNAZIONI!N$8:N$872,$D58))</f>
        <v>0</v>
      </c>
      <c r="O58" s="160" t="n">
        <f aca="false">IF($D58="","",COUNTIF(DESIGNAZIONI!O$8:O$872,$D58))</f>
        <v>0</v>
      </c>
    </row>
    <row r="59" customFormat="false" ht="15" hidden="false" customHeight="false" outlineLevel="0" collapsed="false">
      <c r="C59" s="132"/>
      <c r="D59" s="8" t="s">
        <v>605</v>
      </c>
      <c r="E59" s="159"/>
      <c r="L59" s="160" t="n">
        <f aca="false">IF($D59="","",SUM(M59:O59))</f>
        <v>0</v>
      </c>
      <c r="M59" s="160" t="n">
        <f aca="false">IF($D59="","",COUNTIF(DESIGNAZIONI!M$8:M$872,$D59))</f>
        <v>0</v>
      </c>
      <c r="N59" s="160" t="n">
        <f aca="false">IF($D59="","",COUNTIF(DESIGNAZIONI!N$8:N$872,$D59))</f>
        <v>0</v>
      </c>
      <c r="O59" s="160" t="n">
        <f aca="false">IF($D59="","",COUNTIF(DESIGNAZIONI!O$8:O$872,$D59))</f>
        <v>0</v>
      </c>
    </row>
    <row r="60" customFormat="false" ht="15" hidden="false" customHeight="false" outlineLevel="0" collapsed="false">
      <c r="C60" s="132"/>
      <c r="D60" s="8" t="s">
        <v>606</v>
      </c>
      <c r="E60" s="159"/>
      <c r="L60" s="160" t="n">
        <f aca="false">IF($D60="","",SUM(M60:O60))</f>
        <v>0</v>
      </c>
      <c r="M60" s="160" t="n">
        <f aca="false">IF($D60="","",COUNTIF(DESIGNAZIONI!M$8:M$872,$D60))</f>
        <v>0</v>
      </c>
      <c r="N60" s="160" t="n">
        <f aca="false">IF($D60="","",COUNTIF(DESIGNAZIONI!N$8:N$872,$D60))</f>
        <v>0</v>
      </c>
      <c r="O60" s="160" t="n">
        <f aca="false">IF($D60="","",COUNTIF(DESIGNAZIONI!O$8:O$872,$D60))</f>
        <v>0</v>
      </c>
    </row>
    <row r="61" customFormat="false" ht="15" hidden="false" customHeight="false" outlineLevel="0" collapsed="false">
      <c r="C61" s="132"/>
      <c r="D61" s="8" t="s">
        <v>607</v>
      </c>
      <c r="E61" s="159"/>
      <c r="L61" s="160" t="n">
        <f aca="false">IF($D61="","",SUM(M61:O61))</f>
        <v>0</v>
      </c>
      <c r="M61" s="160" t="n">
        <f aca="false">IF($D61="","",COUNTIF(DESIGNAZIONI!M$8:M$872,$D61))</f>
        <v>0</v>
      </c>
      <c r="N61" s="160" t="n">
        <f aca="false">IF($D61="","",COUNTIF(DESIGNAZIONI!N$8:N$872,$D61))</f>
        <v>0</v>
      </c>
      <c r="O61" s="160" t="n">
        <f aca="false">IF($D61="","",COUNTIF(DESIGNAZIONI!O$8:O$872,$D61))</f>
        <v>0</v>
      </c>
    </row>
    <row r="62" customFormat="false" ht="15" hidden="false" customHeight="false" outlineLevel="0" collapsed="false">
      <c r="C62" s="132"/>
      <c r="D62" s="8" t="s">
        <v>608</v>
      </c>
      <c r="E62" s="159"/>
      <c r="L62" s="160" t="n">
        <f aca="false">IF($D62="","",SUM(M62:O62))</f>
        <v>0</v>
      </c>
      <c r="M62" s="160" t="n">
        <f aca="false">IF($D62="","",COUNTIF(DESIGNAZIONI!M$8:M$872,$D62))</f>
        <v>0</v>
      </c>
      <c r="N62" s="160" t="n">
        <f aca="false">IF($D62="","",COUNTIF(DESIGNAZIONI!N$8:N$872,$D62))</f>
        <v>0</v>
      </c>
      <c r="O62" s="160" t="n">
        <f aca="false">IF($D62="","",COUNTIF(DESIGNAZIONI!O$8:O$872,$D62))</f>
        <v>0</v>
      </c>
    </row>
    <row r="63" customFormat="false" ht="15" hidden="false" customHeight="false" outlineLevel="0" collapsed="false">
      <c r="C63" s="132"/>
      <c r="D63" s="8" t="s">
        <v>609</v>
      </c>
      <c r="E63" s="159"/>
      <c r="L63" s="160" t="n">
        <f aca="false">IF($D63="","",SUM(M63:O63))</f>
        <v>0</v>
      </c>
      <c r="M63" s="160" t="n">
        <f aca="false">IF($D63="","",COUNTIF(DESIGNAZIONI!M$8:M$872,$D63))</f>
        <v>0</v>
      </c>
      <c r="N63" s="160" t="n">
        <f aca="false">IF($D63="","",COUNTIF(DESIGNAZIONI!N$8:N$872,$D63))</f>
        <v>0</v>
      </c>
      <c r="O63" s="160" t="n">
        <f aca="false">IF($D63="","",COUNTIF(DESIGNAZIONI!O$8:O$872,$D63))</f>
        <v>0</v>
      </c>
    </row>
    <row r="64" customFormat="false" ht="15" hidden="false" customHeight="false" outlineLevel="0" collapsed="false">
      <c r="C64" s="132"/>
      <c r="D64" s="8" t="s">
        <v>610</v>
      </c>
      <c r="E64" s="159"/>
      <c r="L64" s="160" t="n">
        <f aca="false">IF($D64="","",SUM(M64:O64))</f>
        <v>0</v>
      </c>
      <c r="M64" s="160" t="n">
        <f aca="false">IF($D64="","",COUNTIF(DESIGNAZIONI!M$8:M$872,$D64))</f>
        <v>0</v>
      </c>
      <c r="N64" s="160" t="n">
        <f aca="false">IF($D64="","",COUNTIF(DESIGNAZIONI!N$8:N$872,$D64))</f>
        <v>0</v>
      </c>
      <c r="O64" s="160" t="n">
        <f aca="false">IF($D64="","",COUNTIF(DESIGNAZIONI!O$8:O$872,$D64))</f>
        <v>0</v>
      </c>
    </row>
    <row r="65" customFormat="false" ht="15" hidden="false" customHeight="false" outlineLevel="0" collapsed="false">
      <c r="C65" s="132"/>
      <c r="D65" s="8" t="s">
        <v>611</v>
      </c>
      <c r="E65" s="159"/>
      <c r="L65" s="160" t="n">
        <f aca="false">IF($D65="","",SUM(M65:O65))</f>
        <v>0</v>
      </c>
      <c r="M65" s="160" t="n">
        <f aca="false">IF($D65="","",COUNTIF(DESIGNAZIONI!M$8:M$872,$D65))</f>
        <v>0</v>
      </c>
      <c r="N65" s="160" t="n">
        <f aca="false">IF($D65="","",COUNTIF(DESIGNAZIONI!N$8:N$872,$D65))</f>
        <v>0</v>
      </c>
      <c r="O65" s="160" t="n">
        <f aca="false">IF($D65="","",COUNTIF(DESIGNAZIONI!O$8:O$872,$D65))</f>
        <v>0</v>
      </c>
    </row>
    <row r="66" customFormat="false" ht="15" hidden="false" customHeight="false" outlineLevel="0" collapsed="false">
      <c r="C66" s="132"/>
      <c r="D66" s="8" t="s">
        <v>612</v>
      </c>
      <c r="E66" s="159"/>
      <c r="L66" s="160" t="n">
        <f aca="false">IF($D66="","",SUM(M66:O66))</f>
        <v>0</v>
      </c>
      <c r="M66" s="160" t="n">
        <f aca="false">IF($D66="","",COUNTIF(DESIGNAZIONI!M$8:M$872,$D66))</f>
        <v>0</v>
      </c>
      <c r="N66" s="160" t="n">
        <f aca="false">IF($D66="","",COUNTIF(DESIGNAZIONI!N$8:N$872,$D66))</f>
        <v>0</v>
      </c>
      <c r="O66" s="160" t="n">
        <f aca="false">IF($D66="","",COUNTIF(DESIGNAZIONI!O$8:O$872,$D66))</f>
        <v>0</v>
      </c>
    </row>
    <row r="67" customFormat="false" ht="15" hidden="false" customHeight="false" outlineLevel="0" collapsed="false">
      <c r="C67" s="132"/>
      <c r="D67" s="8" t="s">
        <v>613</v>
      </c>
      <c r="E67" s="159"/>
      <c r="L67" s="160" t="n">
        <f aca="false">IF($D67="","",SUM(M67:O67))</f>
        <v>0</v>
      </c>
      <c r="M67" s="160" t="n">
        <f aca="false">IF($D67="","",COUNTIF(DESIGNAZIONI!M$8:M$872,$D67))</f>
        <v>0</v>
      </c>
      <c r="N67" s="160" t="n">
        <f aca="false">IF($D67="","",COUNTIF(DESIGNAZIONI!N$8:N$872,$D67))</f>
        <v>0</v>
      </c>
      <c r="O67" s="160" t="n">
        <f aca="false">IF($D67="","",COUNTIF(DESIGNAZIONI!O$8:O$872,$D67))</f>
        <v>0</v>
      </c>
    </row>
    <row r="68" customFormat="false" ht="15" hidden="false" customHeight="false" outlineLevel="0" collapsed="false">
      <c r="C68" s="132"/>
      <c r="D68" s="8" t="s">
        <v>614</v>
      </c>
      <c r="E68" s="159"/>
      <c r="L68" s="160" t="n">
        <f aca="false">IF($D68="","",SUM(M68:O68))</f>
        <v>0</v>
      </c>
      <c r="M68" s="160" t="n">
        <f aca="false">IF($D68="","",COUNTIF(DESIGNAZIONI!M$8:M$872,$D68))</f>
        <v>0</v>
      </c>
      <c r="N68" s="160" t="n">
        <f aca="false">IF($D68="","",COUNTIF(DESIGNAZIONI!N$8:N$872,$D68))</f>
        <v>0</v>
      </c>
      <c r="O68" s="160" t="n">
        <f aca="false">IF($D68="","",COUNTIF(DESIGNAZIONI!O$8:O$872,$D68))</f>
        <v>0</v>
      </c>
    </row>
    <row r="69" customFormat="false" ht="15" hidden="false" customHeight="false" outlineLevel="0" collapsed="false">
      <c r="C69" s="132"/>
      <c r="D69" s="8" t="s">
        <v>615</v>
      </c>
      <c r="E69" s="159"/>
      <c r="L69" s="160" t="n">
        <f aca="false">IF($D69="","",SUM(M69:O69))</f>
        <v>0</v>
      </c>
      <c r="M69" s="160" t="n">
        <f aca="false">IF($D69="","",COUNTIF(DESIGNAZIONI!M$8:M$872,$D69))</f>
        <v>0</v>
      </c>
      <c r="N69" s="160" t="n">
        <f aca="false">IF($D69="","",COUNTIF(DESIGNAZIONI!N$8:N$872,$D69))</f>
        <v>0</v>
      </c>
      <c r="O69" s="160" t="n">
        <f aca="false">IF($D69="","",COUNTIF(DESIGNAZIONI!O$8:O$872,$D69))</f>
        <v>0</v>
      </c>
    </row>
    <row r="70" customFormat="false" ht="15" hidden="false" customHeight="false" outlineLevel="0" collapsed="false">
      <c r="C70" s="132"/>
      <c r="D70" s="8" t="s">
        <v>616</v>
      </c>
      <c r="E70" s="159"/>
      <c r="L70" s="160" t="n">
        <f aca="false">IF($D70="","",SUM(M70:O70))</f>
        <v>0</v>
      </c>
      <c r="M70" s="160" t="n">
        <f aca="false">IF($D70="","",COUNTIF(DESIGNAZIONI!M$8:M$872,$D70))</f>
        <v>0</v>
      </c>
      <c r="N70" s="160" t="n">
        <f aca="false">IF($D70="","",COUNTIF(DESIGNAZIONI!N$8:N$872,$D70))</f>
        <v>0</v>
      </c>
      <c r="O70" s="160" t="n">
        <f aca="false">IF($D70="","",COUNTIF(DESIGNAZIONI!O$8:O$872,$D70))</f>
        <v>0</v>
      </c>
    </row>
    <row r="71" customFormat="false" ht="15" hidden="false" customHeight="false" outlineLevel="0" collapsed="false">
      <c r="C71" s="132"/>
      <c r="D71" s="8" t="s">
        <v>617</v>
      </c>
      <c r="E71" s="159"/>
      <c r="L71" s="160" t="n">
        <f aca="false">IF($D71="","",SUM(M71:O71))</f>
        <v>0</v>
      </c>
      <c r="M71" s="160" t="n">
        <f aca="false">IF($D71="","",COUNTIF(DESIGNAZIONI!M$8:M$872,$D71))</f>
        <v>0</v>
      </c>
      <c r="N71" s="160" t="n">
        <f aca="false">IF($D71="","",COUNTIF(DESIGNAZIONI!N$8:N$872,$D71))</f>
        <v>0</v>
      </c>
      <c r="O71" s="160" t="n">
        <f aca="false">IF($D71="","",COUNTIF(DESIGNAZIONI!O$8:O$872,$D71))</f>
        <v>0</v>
      </c>
    </row>
    <row r="72" customFormat="false" ht="15" hidden="false" customHeight="false" outlineLevel="0" collapsed="false">
      <c r="C72" s="132"/>
      <c r="D72" s="8" t="s">
        <v>618</v>
      </c>
      <c r="E72" s="159"/>
      <c r="L72" s="160" t="n">
        <f aca="false">IF($D72="","",SUM(M72:O72))</f>
        <v>0</v>
      </c>
      <c r="M72" s="160" t="n">
        <f aca="false">IF($D72="","",COUNTIF(DESIGNAZIONI!M$8:M$872,$D72))</f>
        <v>0</v>
      </c>
      <c r="N72" s="160" t="n">
        <f aca="false">IF($D72="","",COUNTIF(DESIGNAZIONI!N$8:N$872,$D72))</f>
        <v>0</v>
      </c>
      <c r="O72" s="160" t="n">
        <f aca="false">IF($D72="","",COUNTIF(DESIGNAZIONI!O$8:O$872,$D72))</f>
        <v>0</v>
      </c>
    </row>
    <row r="73" customFormat="false" ht="15" hidden="false" customHeight="false" outlineLevel="0" collapsed="false">
      <c r="C73" s="132"/>
      <c r="D73" s="8" t="s">
        <v>619</v>
      </c>
      <c r="E73" s="159"/>
      <c r="L73" s="160" t="n">
        <f aca="false">IF($D73="","",SUM(M73:O73))</f>
        <v>0</v>
      </c>
      <c r="M73" s="160" t="n">
        <f aca="false">IF($D73="","",COUNTIF(DESIGNAZIONI!M$8:M$872,$D73))</f>
        <v>0</v>
      </c>
      <c r="N73" s="160" t="n">
        <f aca="false">IF($D73="","",COUNTIF(DESIGNAZIONI!N$8:N$872,$D73))</f>
        <v>0</v>
      </c>
      <c r="O73" s="160" t="n">
        <f aca="false">IF($D73="","",COUNTIF(DESIGNAZIONI!O$8:O$872,$D73))</f>
        <v>0</v>
      </c>
    </row>
    <row r="74" customFormat="false" ht="15" hidden="false" customHeight="false" outlineLevel="0" collapsed="false">
      <c r="C74" s="132"/>
      <c r="D74" s="8" t="s">
        <v>620</v>
      </c>
      <c r="E74" s="159"/>
      <c r="L74" s="160" t="n">
        <f aca="false">IF($D74="","",SUM(M74:O74))</f>
        <v>0</v>
      </c>
      <c r="M74" s="160" t="n">
        <f aca="false">IF($D74="","",COUNTIF(DESIGNAZIONI!M$8:M$872,$D74))</f>
        <v>0</v>
      </c>
      <c r="N74" s="160" t="n">
        <f aca="false">IF($D74="","",COUNTIF(DESIGNAZIONI!N$8:N$872,$D74))</f>
        <v>0</v>
      </c>
      <c r="O74" s="160" t="n">
        <f aca="false">IF($D74="","",COUNTIF(DESIGNAZIONI!O$8:O$872,$D74))</f>
        <v>0</v>
      </c>
    </row>
    <row r="75" customFormat="false" ht="15" hidden="false" customHeight="false" outlineLevel="0" collapsed="false">
      <c r="C75" s="132"/>
      <c r="D75" s="8" t="s">
        <v>621</v>
      </c>
      <c r="E75" s="159"/>
      <c r="L75" s="160" t="n">
        <f aca="false">IF($D75="","",SUM(M75:O75))</f>
        <v>0</v>
      </c>
      <c r="M75" s="160" t="n">
        <f aca="false">IF($D75="","",COUNTIF(DESIGNAZIONI!M$8:M$872,$D75))</f>
        <v>0</v>
      </c>
      <c r="N75" s="160" t="n">
        <f aca="false">IF($D75="","",COUNTIF(DESIGNAZIONI!N$8:N$872,$D75))</f>
        <v>0</v>
      </c>
      <c r="O75" s="160" t="n">
        <f aca="false">IF($D75="","",COUNTIF(DESIGNAZIONI!O$8:O$872,$D75))</f>
        <v>0</v>
      </c>
    </row>
    <row r="76" customFormat="false" ht="15" hidden="false" customHeight="false" outlineLevel="0" collapsed="false">
      <c r="C76" s="132"/>
      <c r="D76" s="8" t="s">
        <v>622</v>
      </c>
      <c r="E76" s="159"/>
      <c r="L76" s="160" t="n">
        <f aca="false">IF($D76="","",SUM(M76:O76))</f>
        <v>0</v>
      </c>
      <c r="M76" s="160" t="n">
        <f aca="false">IF($D76="","",COUNTIF(DESIGNAZIONI!M$8:M$872,$D76))</f>
        <v>0</v>
      </c>
      <c r="N76" s="160" t="n">
        <f aca="false">IF($D76="","",COUNTIF(DESIGNAZIONI!N$8:N$872,$D76))</f>
        <v>0</v>
      </c>
      <c r="O76" s="160" t="n">
        <f aca="false">IF($D76="","",COUNTIF(DESIGNAZIONI!O$8:O$872,$D76))</f>
        <v>0</v>
      </c>
    </row>
    <row r="77" customFormat="false" ht="15" hidden="false" customHeight="false" outlineLevel="0" collapsed="false">
      <c r="C77" s="132"/>
      <c r="D77" s="8" t="s">
        <v>623</v>
      </c>
      <c r="E77" s="159"/>
      <c r="L77" s="160" t="n">
        <f aca="false">IF($D77="","",SUM(M77:O77))</f>
        <v>0</v>
      </c>
      <c r="M77" s="160" t="n">
        <f aca="false">IF($D77="","",COUNTIF(DESIGNAZIONI!M$8:M$872,$D77))</f>
        <v>0</v>
      </c>
      <c r="N77" s="160" t="n">
        <f aca="false">IF($D77="","",COUNTIF(DESIGNAZIONI!N$8:N$872,$D77))</f>
        <v>0</v>
      </c>
      <c r="O77" s="160" t="n">
        <f aca="false">IF($D77="","",COUNTIF(DESIGNAZIONI!O$8:O$872,$D77))</f>
        <v>0</v>
      </c>
    </row>
    <row r="78" customFormat="false" ht="15" hidden="false" customHeight="false" outlineLevel="0" collapsed="false">
      <c r="C78" s="132"/>
      <c r="D78" s="8" t="s">
        <v>624</v>
      </c>
      <c r="E78" s="159"/>
      <c r="L78" s="160" t="n">
        <f aca="false">IF($D78="","",SUM(M78:O78))</f>
        <v>0</v>
      </c>
      <c r="M78" s="160" t="n">
        <f aca="false">IF($D78="","",COUNTIF(DESIGNAZIONI!M$8:M$872,$D78))</f>
        <v>0</v>
      </c>
      <c r="N78" s="160" t="n">
        <f aca="false">IF($D78="","",COUNTIF(DESIGNAZIONI!N$8:N$872,$D78))</f>
        <v>0</v>
      </c>
      <c r="O78" s="160" t="n">
        <f aca="false">IF($D78="","",COUNTIF(DESIGNAZIONI!O$8:O$872,$D78))</f>
        <v>0</v>
      </c>
    </row>
    <row r="79" customFormat="false" ht="15" hidden="false" customHeight="false" outlineLevel="0" collapsed="false">
      <c r="C79" s="132"/>
      <c r="D79" s="8" t="s">
        <v>625</v>
      </c>
      <c r="E79" s="159"/>
      <c r="L79" s="160" t="n">
        <f aca="false">IF($D79="","",SUM(M79:O79))</f>
        <v>0</v>
      </c>
      <c r="M79" s="160" t="n">
        <f aca="false">IF($D79="","",COUNTIF(DESIGNAZIONI!M$8:M$872,$D79))</f>
        <v>0</v>
      </c>
      <c r="N79" s="160" t="n">
        <f aca="false">IF($D79="","",COUNTIF(DESIGNAZIONI!N$8:N$872,$D79))</f>
        <v>0</v>
      </c>
      <c r="O79" s="160" t="n">
        <f aca="false">IF($D79="","",COUNTIF(DESIGNAZIONI!O$8:O$872,$D79))</f>
        <v>0</v>
      </c>
    </row>
    <row r="80" customFormat="false" ht="15" hidden="false" customHeight="false" outlineLevel="0" collapsed="false">
      <c r="C80" s="132"/>
      <c r="D80" s="8" t="s">
        <v>626</v>
      </c>
      <c r="E80" s="159"/>
      <c r="L80" s="160" t="n">
        <f aca="false">IF($D80="","",SUM(M80:O80))</f>
        <v>0</v>
      </c>
      <c r="M80" s="160" t="n">
        <f aca="false">IF($D80="","",COUNTIF(DESIGNAZIONI!M$8:M$872,$D80))</f>
        <v>0</v>
      </c>
      <c r="N80" s="160" t="n">
        <f aca="false">IF($D80="","",COUNTIF(DESIGNAZIONI!N$8:N$872,$D80))</f>
        <v>0</v>
      </c>
      <c r="O80" s="160" t="n">
        <f aca="false">IF($D80="","",COUNTIF(DESIGNAZIONI!O$8:O$872,$D80))</f>
        <v>0</v>
      </c>
    </row>
    <row r="81" customFormat="false" ht="15" hidden="false" customHeight="false" outlineLevel="0" collapsed="false">
      <c r="C81" s="132"/>
      <c r="D81" s="8" t="s">
        <v>627</v>
      </c>
      <c r="E81" s="159"/>
      <c r="L81" s="160" t="n">
        <f aca="false">IF($D81="","",SUM(M81:O81))</f>
        <v>0</v>
      </c>
      <c r="M81" s="160" t="n">
        <f aca="false">IF($D81="","",COUNTIF(DESIGNAZIONI!M$8:M$872,$D81))</f>
        <v>0</v>
      </c>
      <c r="N81" s="160" t="n">
        <f aca="false">IF($D81="","",COUNTIF(DESIGNAZIONI!N$8:N$872,$D81))</f>
        <v>0</v>
      </c>
      <c r="O81" s="160" t="n">
        <f aca="false">IF($D81="","",COUNTIF(DESIGNAZIONI!O$8:O$872,$D81))</f>
        <v>0</v>
      </c>
    </row>
    <row r="82" customFormat="false" ht="15" hidden="false" customHeight="false" outlineLevel="0" collapsed="false">
      <c r="C82" s="132"/>
      <c r="D82" s="8" t="s">
        <v>628</v>
      </c>
      <c r="E82" s="159"/>
      <c r="L82" s="160" t="n">
        <f aca="false">IF($D82="","",SUM(M82:O82))</f>
        <v>0</v>
      </c>
      <c r="M82" s="160" t="n">
        <f aca="false">IF($D82="","",COUNTIF(DESIGNAZIONI!M$8:M$872,$D82))</f>
        <v>0</v>
      </c>
      <c r="N82" s="160" t="n">
        <f aca="false">IF($D82="","",COUNTIF(DESIGNAZIONI!N$8:N$872,$D82))</f>
        <v>0</v>
      </c>
      <c r="O82" s="160" t="n">
        <f aca="false">IF($D82="","",COUNTIF(DESIGNAZIONI!O$8:O$872,$D82))</f>
        <v>0</v>
      </c>
    </row>
    <row r="83" customFormat="false" ht="15" hidden="false" customHeight="false" outlineLevel="0" collapsed="false">
      <c r="C83" s="132"/>
      <c r="D83" s="8" t="s">
        <v>629</v>
      </c>
      <c r="E83" s="159"/>
      <c r="L83" s="160" t="n">
        <f aca="false">IF($D83="","",SUM(M83:O83))</f>
        <v>0</v>
      </c>
      <c r="M83" s="160" t="n">
        <f aca="false">IF($D83="","",COUNTIF(DESIGNAZIONI!M$8:M$872,$D83))</f>
        <v>0</v>
      </c>
      <c r="N83" s="160" t="n">
        <f aca="false">IF($D83="","",COUNTIF(DESIGNAZIONI!N$8:N$872,$D83))</f>
        <v>0</v>
      </c>
      <c r="O83" s="160" t="n">
        <f aca="false">IF($D83="","",COUNTIF(DESIGNAZIONI!O$8:O$872,$D83))</f>
        <v>0</v>
      </c>
    </row>
    <row r="84" customFormat="false" ht="15" hidden="false" customHeight="false" outlineLevel="0" collapsed="false">
      <c r="C84" s="132"/>
      <c r="D84" s="8" t="s">
        <v>630</v>
      </c>
      <c r="E84" s="159"/>
      <c r="L84" s="160" t="n">
        <f aca="false">IF($D84="","",SUM(M84:O84))</f>
        <v>0</v>
      </c>
      <c r="M84" s="160" t="n">
        <f aca="false">IF($D84="","",COUNTIF(DESIGNAZIONI!M$8:M$872,$D84))</f>
        <v>0</v>
      </c>
      <c r="N84" s="160" t="n">
        <f aca="false">IF($D84="","",COUNTIF(DESIGNAZIONI!N$8:N$872,$D84))</f>
        <v>0</v>
      </c>
      <c r="O84" s="160" t="n">
        <f aca="false">IF($D84="","",COUNTIF(DESIGNAZIONI!O$8:O$872,$D84))</f>
        <v>0</v>
      </c>
    </row>
    <row r="85" customFormat="false" ht="15" hidden="false" customHeight="false" outlineLevel="0" collapsed="false">
      <c r="C85" s="132"/>
      <c r="D85" s="8" t="s">
        <v>631</v>
      </c>
      <c r="E85" s="159"/>
      <c r="L85" s="160" t="n">
        <f aca="false">IF($D85="","",SUM(M85:O85))</f>
        <v>0</v>
      </c>
      <c r="M85" s="160" t="n">
        <f aca="false">IF($D85="","",COUNTIF(DESIGNAZIONI!M$8:M$872,$D85))</f>
        <v>0</v>
      </c>
      <c r="N85" s="160" t="n">
        <f aca="false">IF($D85="","",COUNTIF(DESIGNAZIONI!N$8:N$872,$D85))</f>
        <v>0</v>
      </c>
      <c r="O85" s="160" t="n">
        <f aca="false">IF($D85="","",COUNTIF(DESIGNAZIONI!O$8:O$872,$D85))</f>
        <v>0</v>
      </c>
    </row>
    <row r="86" customFormat="false" ht="15" hidden="false" customHeight="false" outlineLevel="0" collapsed="false">
      <c r="C86" s="132"/>
      <c r="D86" s="8" t="s">
        <v>632</v>
      </c>
      <c r="E86" s="159"/>
      <c r="L86" s="160" t="n">
        <f aca="false">IF($D86="","",SUM(M86:O86))</f>
        <v>0</v>
      </c>
      <c r="M86" s="160" t="n">
        <f aca="false">IF($D86="","",COUNTIF(DESIGNAZIONI!M$8:M$872,$D86))</f>
        <v>0</v>
      </c>
      <c r="N86" s="160" t="n">
        <f aca="false">IF($D86="","",COUNTIF(DESIGNAZIONI!N$8:N$872,$D86))</f>
        <v>0</v>
      </c>
      <c r="O86" s="160" t="n">
        <f aca="false">IF($D86="","",COUNTIF(DESIGNAZIONI!O$8:O$872,$D86))</f>
        <v>0</v>
      </c>
    </row>
    <row r="87" customFormat="false" ht="15" hidden="false" customHeight="false" outlineLevel="0" collapsed="false">
      <c r="C87" s="132"/>
      <c r="D87" s="8" t="s">
        <v>633</v>
      </c>
      <c r="E87" s="159"/>
      <c r="L87" s="160" t="n">
        <f aca="false">IF($D87="","",SUM(M87:O87))</f>
        <v>0</v>
      </c>
      <c r="M87" s="160" t="n">
        <f aca="false">IF($D87="","",COUNTIF(DESIGNAZIONI!M$8:M$872,$D87))</f>
        <v>0</v>
      </c>
      <c r="N87" s="160" t="n">
        <f aca="false">IF($D87="","",COUNTIF(DESIGNAZIONI!N$8:N$872,$D87))</f>
        <v>0</v>
      </c>
      <c r="O87" s="160" t="n">
        <f aca="false">IF($D87="","",COUNTIF(DESIGNAZIONI!O$8:O$872,$D87))</f>
        <v>0</v>
      </c>
    </row>
    <row r="88" customFormat="false" ht="15" hidden="false" customHeight="false" outlineLevel="0" collapsed="false">
      <c r="C88" s="132"/>
      <c r="D88" s="8" t="s">
        <v>634</v>
      </c>
      <c r="E88" s="159"/>
      <c r="L88" s="160" t="n">
        <f aca="false">IF($D88="","",SUM(M88:O88))</f>
        <v>0</v>
      </c>
      <c r="M88" s="160" t="n">
        <f aca="false">IF($D88="","",COUNTIF(DESIGNAZIONI!M$8:M$872,$D88))</f>
        <v>0</v>
      </c>
      <c r="N88" s="160" t="n">
        <f aca="false">IF($D88="","",COUNTIF(DESIGNAZIONI!N$8:N$872,$D88))</f>
        <v>0</v>
      </c>
      <c r="O88" s="160" t="n">
        <f aca="false">IF($D88="","",COUNTIF(DESIGNAZIONI!O$8:O$872,$D88))</f>
        <v>0</v>
      </c>
    </row>
    <row r="89" customFormat="false" ht="15" hidden="false" customHeight="false" outlineLevel="0" collapsed="false">
      <c r="C89" s="132"/>
      <c r="D89" s="8" t="s">
        <v>635</v>
      </c>
      <c r="E89" s="159"/>
      <c r="L89" s="160" t="n">
        <f aca="false">IF($D89="","",SUM(M89:O89))</f>
        <v>0</v>
      </c>
      <c r="M89" s="160" t="n">
        <f aca="false">IF($D89="","",COUNTIF(DESIGNAZIONI!M$8:M$872,$D89))</f>
        <v>0</v>
      </c>
      <c r="N89" s="160" t="n">
        <f aca="false">IF($D89="","",COUNTIF(DESIGNAZIONI!N$8:N$872,$D89))</f>
        <v>0</v>
      </c>
      <c r="O89" s="160" t="n">
        <f aca="false">IF($D89="","",COUNTIF(DESIGNAZIONI!O$8:O$872,$D89))</f>
        <v>0</v>
      </c>
    </row>
    <row r="90" customFormat="false" ht="15" hidden="false" customHeight="false" outlineLevel="0" collapsed="false">
      <c r="C90" s="132"/>
      <c r="D90" s="8" t="s">
        <v>636</v>
      </c>
      <c r="E90" s="159"/>
      <c r="L90" s="160" t="n">
        <f aca="false">IF($D90="","",SUM(M90:O90))</f>
        <v>0</v>
      </c>
      <c r="M90" s="160" t="n">
        <f aca="false">IF($D90="","",COUNTIF(DESIGNAZIONI!M$8:M$872,$D90))</f>
        <v>0</v>
      </c>
      <c r="N90" s="160" t="n">
        <f aca="false">IF($D90="","",COUNTIF(DESIGNAZIONI!N$8:N$872,$D90))</f>
        <v>0</v>
      </c>
      <c r="O90" s="160" t="n">
        <f aca="false">IF($D90="","",COUNTIF(DESIGNAZIONI!O$8:O$872,$D90))</f>
        <v>0</v>
      </c>
    </row>
    <row r="91" customFormat="false" ht="15" hidden="false" customHeight="false" outlineLevel="0" collapsed="false">
      <c r="C91" s="132"/>
      <c r="D91" s="8" t="s">
        <v>637</v>
      </c>
      <c r="E91" s="159"/>
      <c r="L91" s="160" t="n">
        <f aca="false">IF($D91="","",SUM(M91:O91))</f>
        <v>0</v>
      </c>
      <c r="M91" s="160" t="n">
        <f aca="false">IF($D91="","",COUNTIF(DESIGNAZIONI!M$8:M$872,$D91))</f>
        <v>0</v>
      </c>
      <c r="N91" s="160" t="n">
        <f aca="false">IF($D91="","",COUNTIF(DESIGNAZIONI!N$8:N$872,$D91))</f>
        <v>0</v>
      </c>
      <c r="O91" s="160" t="n">
        <f aca="false">IF($D91="","",COUNTIF(DESIGNAZIONI!O$8:O$872,$D91))</f>
        <v>0</v>
      </c>
    </row>
    <row r="92" customFormat="false" ht="15" hidden="false" customHeight="false" outlineLevel="0" collapsed="false">
      <c r="C92" s="132"/>
      <c r="D92" s="8" t="s">
        <v>638</v>
      </c>
      <c r="E92" s="159"/>
      <c r="L92" s="160" t="n">
        <f aca="false">IF($D92="","",SUM(M92:O92))</f>
        <v>0</v>
      </c>
      <c r="M92" s="160" t="n">
        <f aca="false">IF($D92="","",COUNTIF(DESIGNAZIONI!M$8:M$872,$D92))</f>
        <v>0</v>
      </c>
      <c r="N92" s="160" t="n">
        <f aca="false">IF($D92="","",COUNTIF(DESIGNAZIONI!N$8:N$872,$D92))</f>
        <v>0</v>
      </c>
      <c r="O92" s="160" t="n">
        <f aca="false">IF($D92="","",COUNTIF(DESIGNAZIONI!O$8:O$872,$D92))</f>
        <v>0</v>
      </c>
    </row>
    <row r="93" customFormat="false" ht="15" hidden="false" customHeight="false" outlineLevel="0" collapsed="false">
      <c r="C93" s="132"/>
      <c r="D93" s="8" t="s">
        <v>639</v>
      </c>
      <c r="E93" s="159"/>
      <c r="L93" s="160" t="n">
        <f aca="false">IF($D93="","",SUM(M93:O93))</f>
        <v>0</v>
      </c>
      <c r="M93" s="160" t="n">
        <f aca="false">IF($D93="","",COUNTIF(DESIGNAZIONI!M$8:M$872,$D93))</f>
        <v>0</v>
      </c>
      <c r="N93" s="160" t="n">
        <f aca="false">IF($D93="","",COUNTIF(DESIGNAZIONI!N$8:N$872,$D93))</f>
        <v>0</v>
      </c>
      <c r="O93" s="160" t="n">
        <f aca="false">IF($D93="","",COUNTIF(DESIGNAZIONI!O$8:O$872,$D93))</f>
        <v>0</v>
      </c>
    </row>
    <row r="94" customFormat="false" ht="15" hidden="false" customHeight="false" outlineLevel="0" collapsed="false">
      <c r="C94" s="132"/>
      <c r="D94" s="8" t="s">
        <v>640</v>
      </c>
      <c r="E94" s="159"/>
      <c r="L94" s="160" t="n">
        <f aca="false">IF($D94="","",SUM(M94:O94))</f>
        <v>0</v>
      </c>
      <c r="M94" s="160" t="n">
        <f aca="false">IF($D94="","",COUNTIF(DESIGNAZIONI!M$8:M$872,$D94))</f>
        <v>0</v>
      </c>
      <c r="N94" s="160" t="n">
        <f aca="false">IF($D94="","",COUNTIF(DESIGNAZIONI!N$8:N$872,$D94))</f>
        <v>0</v>
      </c>
      <c r="O94" s="160" t="n">
        <f aca="false">IF($D94="","",COUNTIF(DESIGNAZIONI!O$8:O$872,$D94))</f>
        <v>0</v>
      </c>
    </row>
    <row r="95" customFormat="false" ht="15" hidden="false" customHeight="false" outlineLevel="0" collapsed="false">
      <c r="C95" s="132"/>
      <c r="D95" s="8" t="s">
        <v>641</v>
      </c>
      <c r="E95" s="159"/>
      <c r="L95" s="160" t="n">
        <f aca="false">IF($D95="","",SUM(M95:O95))</f>
        <v>0</v>
      </c>
      <c r="M95" s="160" t="n">
        <f aca="false">IF($D95="","",COUNTIF(DESIGNAZIONI!M$8:M$872,$D95))</f>
        <v>0</v>
      </c>
      <c r="N95" s="160" t="n">
        <f aca="false">IF($D95="","",COUNTIF(DESIGNAZIONI!N$8:N$872,$D95))</f>
        <v>0</v>
      </c>
      <c r="O95" s="160" t="n">
        <f aca="false">IF($D95="","",COUNTIF(DESIGNAZIONI!O$8:O$872,$D95))</f>
        <v>0</v>
      </c>
    </row>
    <row r="96" customFormat="false" ht="15" hidden="false" customHeight="false" outlineLevel="0" collapsed="false">
      <c r="C96" s="132"/>
      <c r="D96" s="8" t="s">
        <v>642</v>
      </c>
      <c r="E96" s="159"/>
      <c r="L96" s="160" t="n">
        <f aca="false">IF($D96="","",SUM(M96:O96))</f>
        <v>0</v>
      </c>
      <c r="M96" s="160" t="n">
        <f aca="false">IF($D96="","",COUNTIF(DESIGNAZIONI!M$8:M$872,$D96))</f>
        <v>0</v>
      </c>
      <c r="N96" s="160" t="n">
        <f aca="false">IF($D96="","",COUNTIF(DESIGNAZIONI!N$8:N$872,$D96))</f>
        <v>0</v>
      </c>
      <c r="O96" s="160" t="n">
        <f aca="false">IF($D96="","",COUNTIF(DESIGNAZIONI!O$8:O$872,$D96))</f>
        <v>0</v>
      </c>
    </row>
    <row r="97" customFormat="false" ht="15" hidden="false" customHeight="false" outlineLevel="0" collapsed="false">
      <c r="C97" s="132"/>
      <c r="D97" s="8" t="s">
        <v>643</v>
      </c>
      <c r="E97" s="159"/>
      <c r="L97" s="160" t="n">
        <f aca="false">IF($D97="","",SUM(M97:O97))</f>
        <v>0</v>
      </c>
      <c r="M97" s="160" t="n">
        <f aca="false">IF($D97="","",COUNTIF(DESIGNAZIONI!M$8:M$872,$D97))</f>
        <v>0</v>
      </c>
      <c r="N97" s="160" t="n">
        <f aca="false">IF($D97="","",COUNTIF(DESIGNAZIONI!N$8:N$872,$D97))</f>
        <v>0</v>
      </c>
      <c r="O97" s="160" t="n">
        <f aca="false">IF($D97="","",COUNTIF(DESIGNAZIONI!O$8:O$872,$D97))</f>
        <v>0</v>
      </c>
    </row>
    <row r="98" customFormat="false" ht="15" hidden="false" customHeight="false" outlineLevel="0" collapsed="false">
      <c r="C98" s="132"/>
      <c r="D98" s="8" t="s">
        <v>644</v>
      </c>
      <c r="E98" s="159"/>
      <c r="L98" s="160" t="n">
        <f aca="false">IF($D98="","",SUM(M98:O98))</f>
        <v>0</v>
      </c>
      <c r="M98" s="160" t="n">
        <f aca="false">IF($D98="","",COUNTIF(DESIGNAZIONI!M$8:M$872,$D98))</f>
        <v>0</v>
      </c>
      <c r="N98" s="160" t="n">
        <f aca="false">IF($D98="","",COUNTIF(DESIGNAZIONI!N$8:N$872,$D98))</f>
        <v>0</v>
      </c>
      <c r="O98" s="160" t="n">
        <f aca="false">IF($D98="","",COUNTIF(DESIGNAZIONI!O$8:O$872,$D98))</f>
        <v>0</v>
      </c>
    </row>
    <row r="99" customFormat="false" ht="15" hidden="false" customHeight="false" outlineLevel="0" collapsed="false">
      <c r="C99" s="132"/>
      <c r="D99" s="8" t="s">
        <v>645</v>
      </c>
      <c r="E99" s="159"/>
      <c r="L99" s="160" t="n">
        <f aca="false">IF($D99="","",SUM(M99:O99))</f>
        <v>0</v>
      </c>
      <c r="M99" s="160" t="n">
        <f aca="false">IF($D99="","",COUNTIF(DESIGNAZIONI!M$8:M$872,$D99))</f>
        <v>0</v>
      </c>
      <c r="N99" s="160" t="n">
        <f aca="false">IF($D99="","",COUNTIF(DESIGNAZIONI!N$8:N$872,$D99))</f>
        <v>0</v>
      </c>
      <c r="O99" s="160" t="n">
        <f aca="false">IF($D99="","",COUNTIF(DESIGNAZIONI!O$8:O$872,$D99))</f>
        <v>0</v>
      </c>
    </row>
    <row r="100" customFormat="false" ht="15" hidden="false" customHeight="false" outlineLevel="0" collapsed="false">
      <c r="C100" s="132"/>
      <c r="D100" s="8" t="s">
        <v>646</v>
      </c>
      <c r="E100" s="159"/>
      <c r="L100" s="160" t="n">
        <f aca="false">IF($D100="","",SUM(M100:O100))</f>
        <v>0</v>
      </c>
      <c r="M100" s="160" t="n">
        <f aca="false">IF($D100="","",COUNTIF(DESIGNAZIONI!M$8:M$872,$D100))</f>
        <v>0</v>
      </c>
      <c r="N100" s="160" t="n">
        <f aca="false">IF($D100="","",COUNTIF(DESIGNAZIONI!N$8:N$872,$D100))</f>
        <v>0</v>
      </c>
      <c r="O100" s="160" t="n">
        <f aca="false">IF($D100="","",COUNTIF(DESIGNAZIONI!O$8:O$872,$D100))</f>
        <v>0</v>
      </c>
    </row>
    <row r="101" customFormat="false" ht="15" hidden="false" customHeight="false" outlineLevel="0" collapsed="false">
      <c r="C101" s="132"/>
      <c r="D101" s="8" t="s">
        <v>647</v>
      </c>
      <c r="E101" s="159"/>
      <c r="L101" s="160" t="n">
        <f aca="false">IF($D101="","",SUM(M101:O101))</f>
        <v>0</v>
      </c>
      <c r="M101" s="160" t="n">
        <f aca="false">IF($D101="","",COUNTIF(DESIGNAZIONI!M$8:M$872,$D101))</f>
        <v>0</v>
      </c>
      <c r="N101" s="160" t="n">
        <f aca="false">IF($D101="","",COUNTIF(DESIGNAZIONI!N$8:N$872,$D101))</f>
        <v>0</v>
      </c>
      <c r="O101" s="160" t="n">
        <f aca="false">IF($D101="","",COUNTIF(DESIGNAZIONI!O$8:O$872,$D101))</f>
        <v>0</v>
      </c>
    </row>
    <row r="102" customFormat="false" ht="15" hidden="false" customHeight="false" outlineLevel="0" collapsed="false">
      <c r="C102" s="132"/>
      <c r="D102" s="8" t="s">
        <v>648</v>
      </c>
      <c r="E102" s="159"/>
      <c r="L102" s="160" t="n">
        <f aca="false">IF($D102="","",SUM(M102:O102))</f>
        <v>0</v>
      </c>
      <c r="M102" s="160" t="n">
        <f aca="false">IF($D102="","",COUNTIF(DESIGNAZIONI!M$8:M$872,$D102))</f>
        <v>0</v>
      </c>
      <c r="N102" s="160" t="n">
        <f aca="false">IF($D102="","",COUNTIF(DESIGNAZIONI!N$8:N$872,$D102))</f>
        <v>0</v>
      </c>
      <c r="O102" s="160" t="n">
        <f aca="false">IF($D102="","",COUNTIF(DESIGNAZIONI!O$8:O$872,$D102))</f>
        <v>0</v>
      </c>
    </row>
    <row r="103" customFormat="false" ht="15" hidden="false" customHeight="false" outlineLevel="0" collapsed="false">
      <c r="C103" s="132"/>
      <c r="D103" s="8" t="s">
        <v>649</v>
      </c>
      <c r="E103" s="159"/>
      <c r="L103" s="160" t="n">
        <f aca="false">IF($D103="","",SUM(M103:O103))</f>
        <v>0</v>
      </c>
      <c r="M103" s="160" t="n">
        <f aca="false">IF($D103="","",COUNTIF(DESIGNAZIONI!M$8:M$872,$D103))</f>
        <v>0</v>
      </c>
      <c r="N103" s="160" t="n">
        <f aca="false">IF($D103="","",COUNTIF(DESIGNAZIONI!N$8:N$872,$D103))</f>
        <v>0</v>
      </c>
      <c r="O103" s="160" t="n">
        <f aca="false">IF($D103="","",COUNTIF(DESIGNAZIONI!O$8:O$872,$D103))</f>
        <v>0</v>
      </c>
    </row>
    <row r="104" customFormat="false" ht="15" hidden="false" customHeight="false" outlineLevel="0" collapsed="false">
      <c r="C104" s="132"/>
      <c r="D104" s="8" t="s">
        <v>650</v>
      </c>
      <c r="E104" s="159"/>
      <c r="L104" s="160" t="n">
        <f aca="false">IF($D104="","",SUM(M104:O104))</f>
        <v>0</v>
      </c>
      <c r="M104" s="160" t="n">
        <f aca="false">IF($D104="","",COUNTIF(DESIGNAZIONI!M$8:M$872,$D104))</f>
        <v>0</v>
      </c>
      <c r="N104" s="160" t="n">
        <f aca="false">IF($D104="","",COUNTIF(DESIGNAZIONI!N$8:N$872,$D104))</f>
        <v>0</v>
      </c>
      <c r="O104" s="160" t="n">
        <f aca="false">IF($D104="","",COUNTIF(DESIGNAZIONI!O$8:O$872,$D104))</f>
        <v>0</v>
      </c>
    </row>
  </sheetData>
  <mergeCells count="1">
    <mergeCell ref="C5:C104"/>
  </mergeCells>
  <conditionalFormatting sqref="L5:O104">
    <cfRule type="colorScale" priority="2">
      <colorScale>
        <cfvo type="min" val="0"/>
        <cfvo type="max" val="0"/>
        <color rgb="FFFFFFFF"/>
        <color rgb="FF3D85C6"/>
      </colorScale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38F"/>
    <pageSetUpPr fitToPage="true"/>
  </sheetPr>
  <dimension ref="A1:O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11" min="6" style="0" width="3"/>
    <col collapsed="false" customWidth="true" hidden="false" outlineLevel="0" max="15" min="12" style="0" width="12"/>
  </cols>
  <sheetData>
    <row r="1" customFormat="false" ht="17.35" hidden="false" customHeight="false" outlineLevel="0" collapsed="false">
      <c r="A1" s="157" t="str">
        <f aca="false">constNomeCampionato&amp;""</f>
        <v>Campionato Baskin Demo - ESEMPIO COMPILATO 64 Squadre</v>
      </c>
    </row>
    <row r="2" customFormat="false" ht="15" hidden="false" customHeight="false" outlineLevel="0" collapsed="false">
      <c r="A2" s="158" t="str">
        <f aca="false">"Ufficiali di campo - Stagione "&amp;constStagionaCampionato</f>
        <v>Ufficiali di campo - Stagione 2026/2027</v>
      </c>
    </row>
    <row r="4" customFormat="false" ht="25.5" hidden="false" customHeight="true" outlineLevel="0" collapsed="false">
      <c r="D4" s="4" t="s">
        <v>547</v>
      </c>
      <c r="E4" s="4" t="s">
        <v>548</v>
      </c>
      <c r="L4" s="4" t="s">
        <v>549</v>
      </c>
      <c r="M4" s="4" t="s">
        <v>542</v>
      </c>
      <c r="N4" s="4" t="s">
        <v>543</v>
      </c>
      <c r="O4" s="4" t="s">
        <v>544</v>
      </c>
    </row>
    <row r="5" customFormat="false" ht="15" hidden="false" customHeight="false" outlineLevel="0" collapsed="false">
      <c r="C5" s="132" t="s">
        <v>538</v>
      </c>
      <c r="D5" s="8" t="s">
        <v>651</v>
      </c>
      <c r="E5" s="159"/>
      <c r="L5" s="160" t="n">
        <f aca="false">IF($D5="","",SUM(M5:O5))</f>
        <v>0</v>
      </c>
      <c r="M5" s="160" t="n">
        <f aca="false">IF($D5="","",COUNTIF(DESIGNAZIONI!P$8:P$872,$D5))</f>
        <v>0</v>
      </c>
      <c r="N5" s="160" t="n">
        <f aca="false">IF($D5="","",COUNTIF(DESIGNAZIONI!Q$8:Q$872,$D5))</f>
        <v>0</v>
      </c>
      <c r="O5" s="160" t="n">
        <f aca="false">IF($D5="","",COUNTIF(DESIGNAZIONI!R$8:R$872,$D5))</f>
        <v>0</v>
      </c>
    </row>
    <row r="6" customFormat="false" ht="15" hidden="false" customHeight="false" outlineLevel="0" collapsed="false">
      <c r="C6" s="132"/>
      <c r="D6" s="8" t="s">
        <v>652</v>
      </c>
      <c r="E6" s="159"/>
      <c r="L6" s="160" t="n">
        <f aca="false">IF($D6="","",SUM(M6:O6))</f>
        <v>0</v>
      </c>
      <c r="M6" s="160" t="n">
        <f aca="false">IF($D6="","",COUNTIF(DESIGNAZIONI!P$8:P$872,$D6))</f>
        <v>0</v>
      </c>
      <c r="N6" s="160" t="n">
        <f aca="false">IF($D6="","",COUNTIF(DESIGNAZIONI!Q$8:Q$872,$D6))</f>
        <v>0</v>
      </c>
      <c r="O6" s="160" t="n">
        <f aca="false">IF($D6="","",COUNTIF(DESIGNAZIONI!R$8:R$872,$D6))</f>
        <v>0</v>
      </c>
    </row>
    <row r="7" customFormat="false" ht="15" hidden="false" customHeight="false" outlineLevel="0" collapsed="false">
      <c r="C7" s="132"/>
      <c r="D7" s="8" t="s">
        <v>653</v>
      </c>
      <c r="E7" s="159"/>
      <c r="L7" s="160" t="n">
        <f aca="false">IF($D7="","",SUM(M7:O7))</f>
        <v>0</v>
      </c>
      <c r="M7" s="160" t="n">
        <f aca="false">IF($D7="","",COUNTIF(DESIGNAZIONI!P$8:P$872,$D7))</f>
        <v>0</v>
      </c>
      <c r="N7" s="160" t="n">
        <f aca="false">IF($D7="","",COUNTIF(DESIGNAZIONI!Q$8:Q$872,$D7))</f>
        <v>0</v>
      </c>
      <c r="O7" s="160" t="n">
        <f aca="false">IF($D7="","",COUNTIF(DESIGNAZIONI!R$8:R$872,$D7))</f>
        <v>0</v>
      </c>
    </row>
    <row r="8" customFormat="false" ht="15" hidden="false" customHeight="false" outlineLevel="0" collapsed="false">
      <c r="C8" s="132"/>
      <c r="D8" s="8" t="s">
        <v>654</v>
      </c>
      <c r="E8" s="159"/>
      <c r="L8" s="160" t="n">
        <f aca="false">IF($D8="","",SUM(M8:O8))</f>
        <v>0</v>
      </c>
      <c r="M8" s="160" t="n">
        <f aca="false">IF($D8="","",COUNTIF(DESIGNAZIONI!P$8:P$872,$D8))</f>
        <v>0</v>
      </c>
      <c r="N8" s="160" t="n">
        <f aca="false">IF($D8="","",COUNTIF(DESIGNAZIONI!Q$8:Q$872,$D8))</f>
        <v>0</v>
      </c>
      <c r="O8" s="160" t="n">
        <f aca="false">IF($D8="","",COUNTIF(DESIGNAZIONI!R$8:R$872,$D8))</f>
        <v>0</v>
      </c>
    </row>
    <row r="9" customFormat="false" ht="15" hidden="false" customHeight="false" outlineLevel="0" collapsed="false">
      <c r="C9" s="132"/>
      <c r="D9" s="8" t="s">
        <v>655</v>
      </c>
      <c r="E9" s="159"/>
      <c r="L9" s="160" t="n">
        <f aca="false">IF($D9="","",SUM(M9:O9))</f>
        <v>0</v>
      </c>
      <c r="M9" s="160" t="n">
        <f aca="false">IF($D9="","",COUNTIF(DESIGNAZIONI!P$8:P$872,$D9))</f>
        <v>0</v>
      </c>
      <c r="N9" s="160" t="n">
        <f aca="false">IF($D9="","",COUNTIF(DESIGNAZIONI!Q$8:Q$872,$D9))</f>
        <v>0</v>
      </c>
      <c r="O9" s="160" t="n">
        <f aca="false">IF($D9="","",COUNTIF(DESIGNAZIONI!R$8:R$872,$D9))</f>
        <v>0</v>
      </c>
    </row>
    <row r="10" customFormat="false" ht="15" hidden="false" customHeight="false" outlineLevel="0" collapsed="false">
      <c r="C10" s="132"/>
      <c r="D10" s="8" t="s">
        <v>656</v>
      </c>
      <c r="E10" s="159"/>
      <c r="L10" s="160" t="n">
        <f aca="false">IF($D10="","",SUM(M10:O10))</f>
        <v>0</v>
      </c>
      <c r="M10" s="160" t="n">
        <f aca="false">IF($D10="","",COUNTIF(DESIGNAZIONI!P$8:P$872,$D10))</f>
        <v>0</v>
      </c>
      <c r="N10" s="160" t="n">
        <f aca="false">IF($D10="","",COUNTIF(DESIGNAZIONI!Q$8:Q$872,$D10))</f>
        <v>0</v>
      </c>
      <c r="O10" s="160" t="n">
        <f aca="false">IF($D10="","",COUNTIF(DESIGNAZIONI!R$8:R$872,$D10))</f>
        <v>0</v>
      </c>
    </row>
    <row r="11" customFormat="false" ht="15" hidden="false" customHeight="false" outlineLevel="0" collapsed="false">
      <c r="C11" s="132"/>
      <c r="D11" s="8" t="s">
        <v>657</v>
      </c>
      <c r="E11" s="159"/>
      <c r="L11" s="160" t="n">
        <f aca="false">IF($D11="","",SUM(M11:O11))</f>
        <v>0</v>
      </c>
      <c r="M11" s="160" t="n">
        <f aca="false">IF($D11="","",COUNTIF(DESIGNAZIONI!P$8:P$872,$D11))</f>
        <v>0</v>
      </c>
      <c r="N11" s="160" t="n">
        <f aca="false">IF($D11="","",COUNTIF(DESIGNAZIONI!Q$8:Q$872,$D11))</f>
        <v>0</v>
      </c>
      <c r="O11" s="160" t="n">
        <f aca="false">IF($D11="","",COUNTIF(DESIGNAZIONI!R$8:R$872,$D11))</f>
        <v>0</v>
      </c>
    </row>
    <row r="12" customFormat="false" ht="15" hidden="false" customHeight="false" outlineLevel="0" collapsed="false">
      <c r="C12" s="132"/>
      <c r="D12" s="8" t="s">
        <v>658</v>
      </c>
      <c r="E12" s="159"/>
      <c r="L12" s="160" t="n">
        <f aca="false">IF($D12="","",SUM(M12:O12))</f>
        <v>0</v>
      </c>
      <c r="M12" s="160" t="n">
        <f aca="false">IF($D12="","",COUNTIF(DESIGNAZIONI!P$8:P$872,$D12))</f>
        <v>0</v>
      </c>
      <c r="N12" s="160" t="n">
        <f aca="false">IF($D12="","",COUNTIF(DESIGNAZIONI!Q$8:Q$872,$D12))</f>
        <v>0</v>
      </c>
      <c r="O12" s="160" t="n">
        <f aca="false">IF($D12="","",COUNTIF(DESIGNAZIONI!R$8:R$872,$D12))</f>
        <v>0</v>
      </c>
    </row>
    <row r="13" customFormat="false" ht="15" hidden="false" customHeight="false" outlineLevel="0" collapsed="false">
      <c r="C13" s="132"/>
      <c r="D13" s="8" t="s">
        <v>659</v>
      </c>
      <c r="E13" s="159"/>
      <c r="L13" s="160" t="n">
        <f aca="false">IF($D13="","",SUM(M13:O13))</f>
        <v>0</v>
      </c>
      <c r="M13" s="160" t="n">
        <f aca="false">IF($D13="","",COUNTIF(DESIGNAZIONI!P$8:P$872,$D13))</f>
        <v>0</v>
      </c>
      <c r="N13" s="160" t="n">
        <f aca="false">IF($D13="","",COUNTIF(DESIGNAZIONI!Q$8:Q$872,$D13))</f>
        <v>0</v>
      </c>
      <c r="O13" s="160" t="n">
        <f aca="false">IF($D13="","",COUNTIF(DESIGNAZIONI!R$8:R$872,$D13))</f>
        <v>0</v>
      </c>
    </row>
    <row r="14" customFormat="false" ht="15" hidden="false" customHeight="false" outlineLevel="0" collapsed="false">
      <c r="C14" s="132"/>
      <c r="D14" s="8" t="s">
        <v>660</v>
      </c>
      <c r="E14" s="159"/>
      <c r="L14" s="160" t="n">
        <f aca="false">IF($D14="","",SUM(M14:O14))</f>
        <v>0</v>
      </c>
      <c r="M14" s="160" t="n">
        <f aca="false">IF($D14="","",COUNTIF(DESIGNAZIONI!P$8:P$872,$D14))</f>
        <v>0</v>
      </c>
      <c r="N14" s="160" t="n">
        <f aca="false">IF($D14="","",COUNTIF(DESIGNAZIONI!Q$8:Q$872,$D14))</f>
        <v>0</v>
      </c>
      <c r="O14" s="160" t="n">
        <f aca="false">IF($D14="","",COUNTIF(DESIGNAZIONI!R$8:R$872,$D14))</f>
        <v>0</v>
      </c>
    </row>
    <row r="15" customFormat="false" ht="15" hidden="false" customHeight="false" outlineLevel="0" collapsed="false">
      <c r="C15" s="132"/>
      <c r="D15" s="8" t="s">
        <v>661</v>
      </c>
      <c r="E15" s="159"/>
      <c r="L15" s="160" t="n">
        <f aca="false">IF($D15="","",SUM(M15:O15))</f>
        <v>0</v>
      </c>
      <c r="M15" s="160" t="n">
        <f aca="false">IF($D15="","",COUNTIF(DESIGNAZIONI!P$8:P$872,$D15))</f>
        <v>0</v>
      </c>
      <c r="N15" s="160" t="n">
        <f aca="false">IF($D15="","",COUNTIF(DESIGNAZIONI!Q$8:Q$872,$D15))</f>
        <v>0</v>
      </c>
      <c r="O15" s="160" t="n">
        <f aca="false">IF($D15="","",COUNTIF(DESIGNAZIONI!R$8:R$872,$D15))</f>
        <v>0</v>
      </c>
    </row>
    <row r="16" customFormat="false" ht="15" hidden="false" customHeight="false" outlineLevel="0" collapsed="false">
      <c r="C16" s="132"/>
      <c r="D16" s="8" t="s">
        <v>662</v>
      </c>
      <c r="E16" s="159"/>
      <c r="L16" s="160" t="n">
        <f aca="false">IF($D16="","",SUM(M16:O16))</f>
        <v>0</v>
      </c>
      <c r="M16" s="160" t="n">
        <f aca="false">IF($D16="","",COUNTIF(DESIGNAZIONI!P$8:P$872,$D16))</f>
        <v>0</v>
      </c>
      <c r="N16" s="160" t="n">
        <f aca="false">IF($D16="","",COUNTIF(DESIGNAZIONI!Q$8:Q$872,$D16))</f>
        <v>0</v>
      </c>
      <c r="O16" s="160" t="n">
        <f aca="false">IF($D16="","",COUNTIF(DESIGNAZIONI!R$8:R$872,$D16))</f>
        <v>0</v>
      </c>
    </row>
    <row r="17" customFormat="false" ht="15" hidden="false" customHeight="false" outlineLevel="0" collapsed="false">
      <c r="C17" s="132"/>
      <c r="D17" s="8" t="s">
        <v>663</v>
      </c>
      <c r="E17" s="159"/>
      <c r="L17" s="160" t="n">
        <f aca="false">IF($D17="","",SUM(M17:O17))</f>
        <v>0</v>
      </c>
      <c r="M17" s="160" t="n">
        <f aca="false">IF($D17="","",COUNTIF(DESIGNAZIONI!P$8:P$872,$D17))</f>
        <v>0</v>
      </c>
      <c r="N17" s="160" t="n">
        <f aca="false">IF($D17="","",COUNTIF(DESIGNAZIONI!Q$8:Q$872,$D17))</f>
        <v>0</v>
      </c>
      <c r="O17" s="160" t="n">
        <f aca="false">IF($D17="","",COUNTIF(DESIGNAZIONI!R$8:R$872,$D17))</f>
        <v>0</v>
      </c>
    </row>
    <row r="18" customFormat="false" ht="15" hidden="false" customHeight="false" outlineLevel="0" collapsed="false">
      <c r="C18" s="132"/>
      <c r="D18" s="8" t="s">
        <v>664</v>
      </c>
      <c r="E18" s="159"/>
      <c r="L18" s="160" t="n">
        <f aca="false">IF($D18="","",SUM(M18:O18))</f>
        <v>0</v>
      </c>
      <c r="M18" s="160" t="n">
        <f aca="false">IF($D18="","",COUNTIF(DESIGNAZIONI!P$8:P$872,$D18))</f>
        <v>0</v>
      </c>
      <c r="N18" s="160" t="n">
        <f aca="false">IF($D18="","",COUNTIF(DESIGNAZIONI!Q$8:Q$872,$D18))</f>
        <v>0</v>
      </c>
      <c r="O18" s="160" t="n">
        <f aca="false">IF($D18="","",COUNTIF(DESIGNAZIONI!R$8:R$872,$D18))</f>
        <v>0</v>
      </c>
    </row>
    <row r="19" customFormat="false" ht="15" hidden="false" customHeight="false" outlineLevel="0" collapsed="false">
      <c r="C19" s="132"/>
      <c r="D19" s="8" t="s">
        <v>665</v>
      </c>
      <c r="E19" s="159"/>
      <c r="L19" s="160" t="n">
        <f aca="false">IF($D19="","",SUM(M19:O19))</f>
        <v>0</v>
      </c>
      <c r="M19" s="160" t="n">
        <f aca="false">IF($D19="","",COUNTIF(DESIGNAZIONI!P$8:P$872,$D19))</f>
        <v>0</v>
      </c>
      <c r="N19" s="160" t="n">
        <f aca="false">IF($D19="","",COUNTIF(DESIGNAZIONI!Q$8:Q$872,$D19))</f>
        <v>0</v>
      </c>
      <c r="O19" s="160" t="n">
        <f aca="false">IF($D19="","",COUNTIF(DESIGNAZIONI!R$8:R$872,$D19))</f>
        <v>0</v>
      </c>
    </row>
    <row r="20" customFormat="false" ht="15" hidden="false" customHeight="false" outlineLevel="0" collapsed="false">
      <c r="C20" s="132"/>
      <c r="D20" s="8" t="s">
        <v>666</v>
      </c>
      <c r="E20" s="159"/>
      <c r="L20" s="160" t="n">
        <f aca="false">IF($D20="","",SUM(M20:O20))</f>
        <v>0</v>
      </c>
      <c r="M20" s="160" t="n">
        <f aca="false">IF($D20="","",COUNTIF(DESIGNAZIONI!P$8:P$872,$D20))</f>
        <v>0</v>
      </c>
      <c r="N20" s="160" t="n">
        <f aca="false">IF($D20="","",COUNTIF(DESIGNAZIONI!Q$8:Q$872,$D20))</f>
        <v>0</v>
      </c>
      <c r="O20" s="160" t="n">
        <f aca="false">IF($D20="","",COUNTIF(DESIGNAZIONI!R$8:R$872,$D20))</f>
        <v>0</v>
      </c>
    </row>
    <row r="21" customFormat="false" ht="15" hidden="false" customHeight="false" outlineLevel="0" collapsed="false">
      <c r="C21" s="132"/>
      <c r="D21" s="8" t="s">
        <v>667</v>
      </c>
      <c r="E21" s="159"/>
      <c r="L21" s="160" t="n">
        <f aca="false">IF($D21="","",SUM(M21:O21))</f>
        <v>0</v>
      </c>
      <c r="M21" s="160" t="n">
        <f aca="false">IF($D21="","",COUNTIF(DESIGNAZIONI!P$8:P$872,$D21))</f>
        <v>0</v>
      </c>
      <c r="N21" s="160" t="n">
        <f aca="false">IF($D21="","",COUNTIF(DESIGNAZIONI!Q$8:Q$872,$D21))</f>
        <v>0</v>
      </c>
      <c r="O21" s="160" t="n">
        <f aca="false">IF($D21="","",COUNTIF(DESIGNAZIONI!R$8:R$872,$D21))</f>
        <v>0</v>
      </c>
    </row>
    <row r="22" customFormat="false" ht="15" hidden="false" customHeight="false" outlineLevel="0" collapsed="false">
      <c r="C22" s="132"/>
      <c r="D22" s="8" t="s">
        <v>668</v>
      </c>
      <c r="E22" s="159"/>
      <c r="L22" s="160" t="n">
        <f aca="false">IF($D22="","",SUM(M22:O22))</f>
        <v>0</v>
      </c>
      <c r="M22" s="160" t="n">
        <f aca="false">IF($D22="","",COUNTIF(DESIGNAZIONI!P$8:P$872,$D22))</f>
        <v>0</v>
      </c>
      <c r="N22" s="160" t="n">
        <f aca="false">IF($D22="","",COUNTIF(DESIGNAZIONI!Q$8:Q$872,$D22))</f>
        <v>0</v>
      </c>
      <c r="O22" s="160" t="n">
        <f aca="false">IF($D22="","",COUNTIF(DESIGNAZIONI!R$8:R$872,$D22))</f>
        <v>0</v>
      </c>
    </row>
    <row r="23" customFormat="false" ht="15" hidden="false" customHeight="false" outlineLevel="0" collapsed="false">
      <c r="C23" s="132"/>
      <c r="D23" s="8" t="s">
        <v>669</v>
      </c>
      <c r="E23" s="159"/>
      <c r="L23" s="160" t="n">
        <f aca="false">IF($D23="","",SUM(M23:O23))</f>
        <v>0</v>
      </c>
      <c r="M23" s="160" t="n">
        <f aca="false">IF($D23="","",COUNTIF(DESIGNAZIONI!P$8:P$872,$D23))</f>
        <v>0</v>
      </c>
      <c r="N23" s="160" t="n">
        <f aca="false">IF($D23="","",COUNTIF(DESIGNAZIONI!Q$8:Q$872,$D23))</f>
        <v>0</v>
      </c>
      <c r="O23" s="160" t="n">
        <f aca="false">IF($D23="","",COUNTIF(DESIGNAZIONI!R$8:R$872,$D23))</f>
        <v>0</v>
      </c>
    </row>
    <row r="24" customFormat="false" ht="15" hidden="false" customHeight="false" outlineLevel="0" collapsed="false">
      <c r="C24" s="132"/>
      <c r="D24" s="8" t="s">
        <v>670</v>
      </c>
      <c r="E24" s="159"/>
      <c r="L24" s="160" t="n">
        <f aca="false">IF($D24="","",SUM(M24:O24))</f>
        <v>0</v>
      </c>
      <c r="M24" s="160" t="n">
        <f aca="false">IF($D24="","",COUNTIF(DESIGNAZIONI!P$8:P$872,$D24))</f>
        <v>0</v>
      </c>
      <c r="N24" s="160" t="n">
        <f aca="false">IF($D24="","",COUNTIF(DESIGNAZIONI!Q$8:Q$872,$D24))</f>
        <v>0</v>
      </c>
      <c r="O24" s="160" t="n">
        <f aca="false">IF($D24="","",COUNTIF(DESIGNAZIONI!R$8:R$872,$D24))</f>
        <v>0</v>
      </c>
    </row>
    <row r="25" customFormat="false" ht="15" hidden="false" customHeight="false" outlineLevel="0" collapsed="false">
      <c r="C25" s="132"/>
      <c r="D25" s="8" t="s">
        <v>671</v>
      </c>
      <c r="E25" s="159"/>
      <c r="L25" s="160" t="n">
        <f aca="false">IF($D25="","",SUM(M25:O25))</f>
        <v>0</v>
      </c>
      <c r="M25" s="160" t="n">
        <f aca="false">IF($D25="","",COUNTIF(DESIGNAZIONI!P$8:P$872,$D25))</f>
        <v>0</v>
      </c>
      <c r="N25" s="160" t="n">
        <f aca="false">IF($D25="","",COUNTIF(DESIGNAZIONI!Q$8:Q$872,$D25))</f>
        <v>0</v>
      </c>
      <c r="O25" s="160" t="n">
        <f aca="false">IF($D25="","",COUNTIF(DESIGNAZIONI!R$8:R$872,$D25))</f>
        <v>0</v>
      </c>
    </row>
    <row r="26" customFormat="false" ht="15" hidden="false" customHeight="false" outlineLevel="0" collapsed="false">
      <c r="C26" s="132"/>
      <c r="D26" s="8" t="s">
        <v>672</v>
      </c>
      <c r="E26" s="159"/>
      <c r="L26" s="160" t="n">
        <f aca="false">IF($D26="","",SUM(M26:O26))</f>
        <v>0</v>
      </c>
      <c r="M26" s="160" t="n">
        <f aca="false">IF($D26="","",COUNTIF(DESIGNAZIONI!P$8:P$872,$D26))</f>
        <v>0</v>
      </c>
      <c r="N26" s="160" t="n">
        <f aca="false">IF($D26="","",COUNTIF(DESIGNAZIONI!Q$8:Q$872,$D26))</f>
        <v>0</v>
      </c>
      <c r="O26" s="160" t="n">
        <f aca="false">IF($D26="","",COUNTIF(DESIGNAZIONI!R$8:R$872,$D26))</f>
        <v>0</v>
      </c>
    </row>
    <row r="27" customFormat="false" ht="15" hidden="false" customHeight="false" outlineLevel="0" collapsed="false">
      <c r="C27" s="132"/>
      <c r="D27" s="8" t="s">
        <v>673</v>
      </c>
      <c r="E27" s="159"/>
      <c r="L27" s="160" t="n">
        <f aca="false">IF($D27="","",SUM(M27:O27))</f>
        <v>0</v>
      </c>
      <c r="M27" s="160" t="n">
        <f aca="false">IF($D27="","",COUNTIF(DESIGNAZIONI!P$8:P$872,$D27))</f>
        <v>0</v>
      </c>
      <c r="N27" s="160" t="n">
        <f aca="false">IF($D27="","",COUNTIF(DESIGNAZIONI!Q$8:Q$872,$D27))</f>
        <v>0</v>
      </c>
      <c r="O27" s="160" t="n">
        <f aca="false">IF($D27="","",COUNTIF(DESIGNAZIONI!R$8:R$872,$D27))</f>
        <v>0</v>
      </c>
    </row>
    <row r="28" customFormat="false" ht="15" hidden="false" customHeight="false" outlineLevel="0" collapsed="false">
      <c r="C28" s="132"/>
      <c r="D28" s="8" t="s">
        <v>674</v>
      </c>
      <c r="E28" s="159"/>
      <c r="L28" s="160" t="n">
        <f aca="false">IF($D28="","",SUM(M28:O28))</f>
        <v>0</v>
      </c>
      <c r="M28" s="160" t="n">
        <f aca="false">IF($D28="","",COUNTIF(DESIGNAZIONI!P$8:P$872,$D28))</f>
        <v>0</v>
      </c>
      <c r="N28" s="160" t="n">
        <f aca="false">IF($D28="","",COUNTIF(DESIGNAZIONI!Q$8:Q$872,$D28))</f>
        <v>0</v>
      </c>
      <c r="O28" s="160" t="n">
        <f aca="false">IF($D28="","",COUNTIF(DESIGNAZIONI!R$8:R$872,$D28))</f>
        <v>0</v>
      </c>
    </row>
    <row r="29" customFormat="false" ht="15" hidden="false" customHeight="false" outlineLevel="0" collapsed="false">
      <c r="C29" s="132"/>
      <c r="D29" s="8" t="s">
        <v>675</v>
      </c>
      <c r="E29" s="159"/>
      <c r="L29" s="160" t="n">
        <f aca="false">IF($D29="","",SUM(M29:O29))</f>
        <v>0</v>
      </c>
      <c r="M29" s="160" t="n">
        <f aca="false">IF($D29="","",COUNTIF(DESIGNAZIONI!P$8:P$872,$D29))</f>
        <v>0</v>
      </c>
      <c r="N29" s="160" t="n">
        <f aca="false">IF($D29="","",COUNTIF(DESIGNAZIONI!Q$8:Q$872,$D29))</f>
        <v>0</v>
      </c>
      <c r="O29" s="160" t="n">
        <f aca="false">IF($D29="","",COUNTIF(DESIGNAZIONI!R$8:R$872,$D29))</f>
        <v>0</v>
      </c>
    </row>
    <row r="30" customFormat="false" ht="15" hidden="false" customHeight="false" outlineLevel="0" collapsed="false">
      <c r="C30" s="132"/>
      <c r="D30" s="8" t="s">
        <v>676</v>
      </c>
      <c r="E30" s="159"/>
      <c r="L30" s="160" t="n">
        <f aca="false">IF($D30="","",SUM(M30:O30))</f>
        <v>0</v>
      </c>
      <c r="M30" s="160" t="n">
        <f aca="false">IF($D30="","",COUNTIF(DESIGNAZIONI!P$8:P$872,$D30))</f>
        <v>0</v>
      </c>
      <c r="N30" s="160" t="n">
        <f aca="false">IF($D30="","",COUNTIF(DESIGNAZIONI!Q$8:Q$872,$D30))</f>
        <v>0</v>
      </c>
      <c r="O30" s="160" t="n">
        <f aca="false">IF($D30="","",COUNTIF(DESIGNAZIONI!R$8:R$872,$D30))</f>
        <v>0</v>
      </c>
    </row>
    <row r="31" customFormat="false" ht="15" hidden="false" customHeight="false" outlineLevel="0" collapsed="false">
      <c r="C31" s="132"/>
      <c r="D31" s="8" t="s">
        <v>677</v>
      </c>
      <c r="E31" s="159"/>
      <c r="L31" s="160" t="n">
        <f aca="false">IF($D31="","",SUM(M31:O31))</f>
        <v>0</v>
      </c>
      <c r="M31" s="160" t="n">
        <f aca="false">IF($D31="","",COUNTIF(DESIGNAZIONI!P$8:P$872,$D31))</f>
        <v>0</v>
      </c>
      <c r="N31" s="160" t="n">
        <f aca="false">IF($D31="","",COUNTIF(DESIGNAZIONI!Q$8:Q$872,$D31))</f>
        <v>0</v>
      </c>
      <c r="O31" s="160" t="n">
        <f aca="false">IF($D31="","",COUNTIF(DESIGNAZIONI!R$8:R$872,$D31))</f>
        <v>0</v>
      </c>
    </row>
    <row r="32" customFormat="false" ht="15" hidden="false" customHeight="false" outlineLevel="0" collapsed="false">
      <c r="C32" s="132"/>
      <c r="D32" s="8" t="s">
        <v>678</v>
      </c>
      <c r="E32" s="159"/>
      <c r="L32" s="160" t="n">
        <f aca="false">IF($D32="","",SUM(M32:O32))</f>
        <v>0</v>
      </c>
      <c r="M32" s="160" t="n">
        <f aca="false">IF($D32="","",COUNTIF(DESIGNAZIONI!P$8:P$872,$D32))</f>
        <v>0</v>
      </c>
      <c r="N32" s="160" t="n">
        <f aca="false">IF($D32="","",COUNTIF(DESIGNAZIONI!Q$8:Q$872,$D32))</f>
        <v>0</v>
      </c>
      <c r="O32" s="160" t="n">
        <f aca="false">IF($D32="","",COUNTIF(DESIGNAZIONI!R$8:R$872,$D32))</f>
        <v>0</v>
      </c>
    </row>
    <row r="33" customFormat="false" ht="15" hidden="false" customHeight="false" outlineLevel="0" collapsed="false">
      <c r="C33" s="132"/>
      <c r="D33" s="8" t="s">
        <v>679</v>
      </c>
      <c r="E33" s="159"/>
      <c r="L33" s="160" t="n">
        <f aca="false">IF($D33="","",SUM(M33:O33))</f>
        <v>0</v>
      </c>
      <c r="M33" s="160" t="n">
        <f aca="false">IF($D33="","",COUNTIF(DESIGNAZIONI!P$8:P$872,$D33))</f>
        <v>0</v>
      </c>
      <c r="N33" s="160" t="n">
        <f aca="false">IF($D33="","",COUNTIF(DESIGNAZIONI!Q$8:Q$872,$D33))</f>
        <v>0</v>
      </c>
      <c r="O33" s="160" t="n">
        <f aca="false">IF($D33="","",COUNTIF(DESIGNAZIONI!R$8:R$872,$D33))</f>
        <v>0</v>
      </c>
    </row>
    <row r="34" customFormat="false" ht="15" hidden="false" customHeight="false" outlineLevel="0" collapsed="false">
      <c r="C34" s="132"/>
      <c r="D34" s="8" t="s">
        <v>680</v>
      </c>
      <c r="E34" s="159"/>
      <c r="L34" s="160" t="n">
        <f aca="false">IF($D34="","",SUM(M34:O34))</f>
        <v>0</v>
      </c>
      <c r="M34" s="160" t="n">
        <f aca="false">IF($D34="","",COUNTIF(DESIGNAZIONI!P$8:P$872,$D34))</f>
        <v>0</v>
      </c>
      <c r="N34" s="160" t="n">
        <f aca="false">IF($D34="","",COUNTIF(DESIGNAZIONI!Q$8:Q$872,$D34))</f>
        <v>0</v>
      </c>
      <c r="O34" s="160" t="n">
        <f aca="false">IF($D34="","",COUNTIF(DESIGNAZIONI!R$8:R$872,$D34))</f>
        <v>0</v>
      </c>
    </row>
    <row r="35" customFormat="false" ht="15" hidden="false" customHeight="false" outlineLevel="0" collapsed="false">
      <c r="C35" s="132"/>
      <c r="D35" s="8" t="s">
        <v>681</v>
      </c>
      <c r="E35" s="159"/>
      <c r="L35" s="160" t="n">
        <f aca="false">IF($D35="","",SUM(M35:O35))</f>
        <v>0</v>
      </c>
      <c r="M35" s="160" t="n">
        <f aca="false">IF($D35="","",COUNTIF(DESIGNAZIONI!P$8:P$872,$D35))</f>
        <v>0</v>
      </c>
      <c r="N35" s="160" t="n">
        <f aca="false">IF($D35="","",COUNTIF(DESIGNAZIONI!Q$8:Q$872,$D35))</f>
        <v>0</v>
      </c>
      <c r="O35" s="160" t="n">
        <f aca="false">IF($D35="","",COUNTIF(DESIGNAZIONI!R$8:R$872,$D35))</f>
        <v>0</v>
      </c>
    </row>
    <row r="36" customFormat="false" ht="15" hidden="false" customHeight="false" outlineLevel="0" collapsed="false">
      <c r="C36" s="132"/>
      <c r="D36" s="8" t="s">
        <v>682</v>
      </c>
      <c r="E36" s="159"/>
      <c r="L36" s="160" t="n">
        <f aca="false">IF($D36="","",SUM(M36:O36))</f>
        <v>0</v>
      </c>
      <c r="M36" s="160" t="n">
        <f aca="false">IF($D36="","",COUNTIF(DESIGNAZIONI!P$8:P$872,$D36))</f>
        <v>0</v>
      </c>
      <c r="N36" s="160" t="n">
        <f aca="false">IF($D36="","",COUNTIF(DESIGNAZIONI!Q$8:Q$872,$D36))</f>
        <v>0</v>
      </c>
      <c r="O36" s="160" t="n">
        <f aca="false">IF($D36="","",COUNTIF(DESIGNAZIONI!R$8:R$872,$D36))</f>
        <v>0</v>
      </c>
    </row>
    <row r="37" customFormat="false" ht="15" hidden="false" customHeight="false" outlineLevel="0" collapsed="false">
      <c r="C37" s="132"/>
      <c r="D37" s="8" t="s">
        <v>683</v>
      </c>
      <c r="E37" s="159"/>
      <c r="L37" s="160" t="n">
        <f aca="false">IF($D37="","",SUM(M37:O37))</f>
        <v>0</v>
      </c>
      <c r="M37" s="160" t="n">
        <f aca="false">IF($D37="","",COUNTIF(DESIGNAZIONI!P$8:P$872,$D37))</f>
        <v>0</v>
      </c>
      <c r="N37" s="160" t="n">
        <f aca="false">IF($D37="","",COUNTIF(DESIGNAZIONI!Q$8:Q$872,$D37))</f>
        <v>0</v>
      </c>
      <c r="O37" s="160" t="n">
        <f aca="false">IF($D37="","",COUNTIF(DESIGNAZIONI!R$8:R$872,$D37))</f>
        <v>0</v>
      </c>
    </row>
    <row r="38" customFormat="false" ht="15" hidden="false" customHeight="false" outlineLevel="0" collapsed="false">
      <c r="C38" s="132"/>
      <c r="D38" s="8" t="s">
        <v>684</v>
      </c>
      <c r="E38" s="159"/>
      <c r="L38" s="160" t="n">
        <f aca="false">IF($D38="","",SUM(M38:O38))</f>
        <v>0</v>
      </c>
      <c r="M38" s="160" t="n">
        <f aca="false">IF($D38="","",COUNTIF(DESIGNAZIONI!P$8:P$872,$D38))</f>
        <v>0</v>
      </c>
      <c r="N38" s="160" t="n">
        <f aca="false">IF($D38="","",COUNTIF(DESIGNAZIONI!Q$8:Q$872,$D38))</f>
        <v>0</v>
      </c>
      <c r="O38" s="160" t="n">
        <f aca="false">IF($D38="","",COUNTIF(DESIGNAZIONI!R$8:R$872,$D38))</f>
        <v>0</v>
      </c>
    </row>
    <row r="39" customFormat="false" ht="15" hidden="false" customHeight="false" outlineLevel="0" collapsed="false">
      <c r="C39" s="132"/>
      <c r="D39" s="8" t="s">
        <v>685</v>
      </c>
      <c r="E39" s="159"/>
      <c r="L39" s="160" t="n">
        <f aca="false">IF($D39="","",SUM(M39:O39))</f>
        <v>0</v>
      </c>
      <c r="M39" s="160" t="n">
        <f aca="false">IF($D39="","",COUNTIF(DESIGNAZIONI!P$8:P$872,$D39))</f>
        <v>0</v>
      </c>
      <c r="N39" s="160" t="n">
        <f aca="false">IF($D39="","",COUNTIF(DESIGNAZIONI!Q$8:Q$872,$D39))</f>
        <v>0</v>
      </c>
      <c r="O39" s="160" t="n">
        <f aca="false">IF($D39="","",COUNTIF(DESIGNAZIONI!R$8:R$872,$D39))</f>
        <v>0</v>
      </c>
    </row>
    <row r="40" customFormat="false" ht="15" hidden="false" customHeight="false" outlineLevel="0" collapsed="false">
      <c r="C40" s="132"/>
      <c r="D40" s="8" t="s">
        <v>686</v>
      </c>
      <c r="E40" s="159"/>
      <c r="L40" s="160" t="n">
        <f aca="false">IF($D40="","",SUM(M40:O40))</f>
        <v>0</v>
      </c>
      <c r="M40" s="160" t="n">
        <f aca="false">IF($D40="","",COUNTIF(DESIGNAZIONI!P$8:P$872,$D40))</f>
        <v>0</v>
      </c>
      <c r="N40" s="160" t="n">
        <f aca="false">IF($D40="","",COUNTIF(DESIGNAZIONI!Q$8:Q$872,$D40))</f>
        <v>0</v>
      </c>
      <c r="O40" s="160" t="n">
        <f aca="false">IF($D40="","",COUNTIF(DESIGNAZIONI!R$8:R$872,$D40))</f>
        <v>0</v>
      </c>
    </row>
    <row r="41" customFormat="false" ht="15" hidden="false" customHeight="false" outlineLevel="0" collapsed="false">
      <c r="C41" s="132"/>
      <c r="D41" s="8" t="s">
        <v>687</v>
      </c>
      <c r="E41" s="159"/>
      <c r="L41" s="160" t="n">
        <f aca="false">IF($D41="","",SUM(M41:O41))</f>
        <v>0</v>
      </c>
      <c r="M41" s="160" t="n">
        <f aca="false">IF($D41="","",COUNTIF(DESIGNAZIONI!P$8:P$872,$D41))</f>
        <v>0</v>
      </c>
      <c r="N41" s="160" t="n">
        <f aca="false">IF($D41="","",COUNTIF(DESIGNAZIONI!Q$8:Q$872,$D41))</f>
        <v>0</v>
      </c>
      <c r="O41" s="160" t="n">
        <f aca="false">IF($D41="","",COUNTIF(DESIGNAZIONI!R$8:R$872,$D41))</f>
        <v>0</v>
      </c>
    </row>
    <row r="42" customFormat="false" ht="15" hidden="false" customHeight="false" outlineLevel="0" collapsed="false">
      <c r="C42" s="132"/>
      <c r="D42" s="8" t="s">
        <v>688</v>
      </c>
      <c r="E42" s="159"/>
      <c r="L42" s="160" t="n">
        <f aca="false">IF($D42="","",SUM(M42:O42))</f>
        <v>0</v>
      </c>
      <c r="M42" s="160" t="n">
        <f aca="false">IF($D42="","",COUNTIF(DESIGNAZIONI!P$8:P$872,$D42))</f>
        <v>0</v>
      </c>
      <c r="N42" s="160" t="n">
        <f aca="false">IF($D42="","",COUNTIF(DESIGNAZIONI!Q$8:Q$872,$D42))</f>
        <v>0</v>
      </c>
      <c r="O42" s="160" t="n">
        <f aca="false">IF($D42="","",COUNTIF(DESIGNAZIONI!R$8:R$872,$D42))</f>
        <v>0</v>
      </c>
    </row>
    <row r="43" customFormat="false" ht="15" hidden="false" customHeight="false" outlineLevel="0" collapsed="false">
      <c r="C43" s="132"/>
      <c r="D43" s="8" t="s">
        <v>689</v>
      </c>
      <c r="E43" s="159"/>
      <c r="L43" s="160" t="n">
        <f aca="false">IF($D43="","",SUM(M43:O43))</f>
        <v>0</v>
      </c>
      <c r="M43" s="160" t="n">
        <f aca="false">IF($D43="","",COUNTIF(DESIGNAZIONI!P$8:P$872,$D43))</f>
        <v>0</v>
      </c>
      <c r="N43" s="160" t="n">
        <f aca="false">IF($D43="","",COUNTIF(DESIGNAZIONI!Q$8:Q$872,$D43))</f>
        <v>0</v>
      </c>
      <c r="O43" s="160" t="n">
        <f aca="false">IF($D43="","",COUNTIF(DESIGNAZIONI!R$8:R$872,$D43))</f>
        <v>0</v>
      </c>
    </row>
    <row r="44" customFormat="false" ht="15" hidden="false" customHeight="false" outlineLevel="0" collapsed="false">
      <c r="C44" s="132"/>
      <c r="D44" s="8" t="s">
        <v>690</v>
      </c>
      <c r="E44" s="159"/>
      <c r="L44" s="160" t="n">
        <f aca="false">IF($D44="","",SUM(M44:O44))</f>
        <v>0</v>
      </c>
      <c r="M44" s="160" t="n">
        <f aca="false">IF($D44="","",COUNTIF(DESIGNAZIONI!P$8:P$872,$D44))</f>
        <v>0</v>
      </c>
      <c r="N44" s="160" t="n">
        <f aca="false">IF($D44="","",COUNTIF(DESIGNAZIONI!Q$8:Q$872,$D44))</f>
        <v>0</v>
      </c>
      <c r="O44" s="160" t="n">
        <f aca="false">IF($D44="","",COUNTIF(DESIGNAZIONI!R$8:R$872,$D44))</f>
        <v>0</v>
      </c>
    </row>
    <row r="45" customFormat="false" ht="15" hidden="false" customHeight="false" outlineLevel="0" collapsed="false">
      <c r="C45" s="132"/>
      <c r="D45" s="8" t="s">
        <v>691</v>
      </c>
      <c r="E45" s="159"/>
      <c r="L45" s="160" t="n">
        <f aca="false">IF($D45="","",SUM(M45:O45))</f>
        <v>0</v>
      </c>
      <c r="M45" s="160" t="n">
        <f aca="false">IF($D45="","",COUNTIF(DESIGNAZIONI!P$8:P$872,$D45))</f>
        <v>0</v>
      </c>
      <c r="N45" s="160" t="n">
        <f aca="false">IF($D45="","",COUNTIF(DESIGNAZIONI!Q$8:Q$872,$D45))</f>
        <v>0</v>
      </c>
      <c r="O45" s="160" t="n">
        <f aca="false">IF($D45="","",COUNTIF(DESIGNAZIONI!R$8:R$872,$D45))</f>
        <v>0</v>
      </c>
    </row>
    <row r="46" customFormat="false" ht="15" hidden="false" customHeight="false" outlineLevel="0" collapsed="false">
      <c r="C46" s="132"/>
      <c r="D46" s="8" t="s">
        <v>692</v>
      </c>
      <c r="E46" s="159"/>
      <c r="L46" s="160" t="n">
        <f aca="false">IF($D46="","",SUM(M46:O46))</f>
        <v>0</v>
      </c>
      <c r="M46" s="160" t="n">
        <f aca="false">IF($D46="","",COUNTIF(DESIGNAZIONI!P$8:P$872,$D46))</f>
        <v>0</v>
      </c>
      <c r="N46" s="160" t="n">
        <f aca="false">IF($D46="","",COUNTIF(DESIGNAZIONI!Q$8:Q$872,$D46))</f>
        <v>0</v>
      </c>
      <c r="O46" s="160" t="n">
        <f aca="false">IF($D46="","",COUNTIF(DESIGNAZIONI!R$8:R$872,$D46))</f>
        <v>0</v>
      </c>
    </row>
    <row r="47" customFormat="false" ht="15" hidden="false" customHeight="false" outlineLevel="0" collapsed="false">
      <c r="C47" s="132"/>
      <c r="D47" s="8" t="s">
        <v>693</v>
      </c>
      <c r="E47" s="159"/>
      <c r="L47" s="160" t="n">
        <f aca="false">IF($D47="","",SUM(M47:O47))</f>
        <v>0</v>
      </c>
      <c r="M47" s="160" t="n">
        <f aca="false">IF($D47="","",COUNTIF(DESIGNAZIONI!P$8:P$872,$D47))</f>
        <v>0</v>
      </c>
      <c r="N47" s="160" t="n">
        <f aca="false">IF($D47="","",COUNTIF(DESIGNAZIONI!Q$8:Q$872,$D47))</f>
        <v>0</v>
      </c>
      <c r="O47" s="160" t="n">
        <f aca="false">IF($D47="","",COUNTIF(DESIGNAZIONI!R$8:R$872,$D47))</f>
        <v>0</v>
      </c>
    </row>
    <row r="48" customFormat="false" ht="15" hidden="false" customHeight="false" outlineLevel="0" collapsed="false">
      <c r="C48" s="132"/>
      <c r="D48" s="8" t="s">
        <v>694</v>
      </c>
      <c r="E48" s="159"/>
      <c r="L48" s="160" t="n">
        <f aca="false">IF($D48="","",SUM(M48:O48))</f>
        <v>0</v>
      </c>
      <c r="M48" s="160" t="n">
        <f aca="false">IF($D48="","",COUNTIF(DESIGNAZIONI!P$8:P$872,$D48))</f>
        <v>0</v>
      </c>
      <c r="N48" s="160" t="n">
        <f aca="false">IF($D48="","",COUNTIF(DESIGNAZIONI!Q$8:Q$872,$D48))</f>
        <v>0</v>
      </c>
      <c r="O48" s="160" t="n">
        <f aca="false">IF($D48="","",COUNTIF(DESIGNAZIONI!R$8:R$872,$D48))</f>
        <v>0</v>
      </c>
    </row>
    <row r="49" customFormat="false" ht="15" hidden="false" customHeight="false" outlineLevel="0" collapsed="false">
      <c r="C49" s="132"/>
      <c r="D49" s="8" t="s">
        <v>695</v>
      </c>
      <c r="E49" s="159"/>
      <c r="L49" s="160" t="n">
        <f aca="false">IF($D49="","",SUM(M49:O49))</f>
        <v>0</v>
      </c>
      <c r="M49" s="160" t="n">
        <f aca="false">IF($D49="","",COUNTIF(DESIGNAZIONI!P$8:P$872,$D49))</f>
        <v>0</v>
      </c>
      <c r="N49" s="160" t="n">
        <f aca="false">IF($D49="","",COUNTIF(DESIGNAZIONI!Q$8:Q$872,$D49))</f>
        <v>0</v>
      </c>
      <c r="O49" s="160" t="n">
        <f aca="false">IF($D49="","",COUNTIF(DESIGNAZIONI!R$8:R$872,$D49))</f>
        <v>0</v>
      </c>
    </row>
    <row r="50" customFormat="false" ht="15" hidden="false" customHeight="false" outlineLevel="0" collapsed="false">
      <c r="C50" s="132"/>
      <c r="D50" s="8" t="s">
        <v>696</v>
      </c>
      <c r="E50" s="159"/>
      <c r="L50" s="160" t="n">
        <f aca="false">IF($D50="","",SUM(M50:O50))</f>
        <v>0</v>
      </c>
      <c r="M50" s="160" t="n">
        <f aca="false">IF($D50="","",COUNTIF(DESIGNAZIONI!P$8:P$872,$D50))</f>
        <v>0</v>
      </c>
      <c r="N50" s="160" t="n">
        <f aca="false">IF($D50="","",COUNTIF(DESIGNAZIONI!Q$8:Q$872,$D50))</f>
        <v>0</v>
      </c>
      <c r="O50" s="160" t="n">
        <f aca="false">IF($D50="","",COUNTIF(DESIGNAZIONI!R$8:R$872,$D50))</f>
        <v>0</v>
      </c>
    </row>
    <row r="51" customFormat="false" ht="15" hidden="false" customHeight="false" outlineLevel="0" collapsed="false">
      <c r="C51" s="132"/>
      <c r="D51" s="8" t="s">
        <v>697</v>
      </c>
      <c r="E51" s="159"/>
      <c r="L51" s="160" t="n">
        <f aca="false">IF($D51="","",SUM(M51:O51))</f>
        <v>0</v>
      </c>
      <c r="M51" s="160" t="n">
        <f aca="false">IF($D51="","",COUNTIF(DESIGNAZIONI!P$8:P$872,$D51))</f>
        <v>0</v>
      </c>
      <c r="N51" s="160" t="n">
        <f aca="false">IF($D51="","",COUNTIF(DESIGNAZIONI!Q$8:Q$872,$D51))</f>
        <v>0</v>
      </c>
      <c r="O51" s="160" t="n">
        <f aca="false">IF($D51="","",COUNTIF(DESIGNAZIONI!R$8:R$872,$D51))</f>
        <v>0</v>
      </c>
    </row>
    <row r="52" customFormat="false" ht="15" hidden="false" customHeight="false" outlineLevel="0" collapsed="false">
      <c r="C52" s="132"/>
      <c r="D52" s="8" t="s">
        <v>698</v>
      </c>
      <c r="E52" s="159"/>
      <c r="L52" s="160" t="n">
        <f aca="false">IF($D52="","",SUM(M52:O52))</f>
        <v>0</v>
      </c>
      <c r="M52" s="160" t="n">
        <f aca="false">IF($D52="","",COUNTIF(DESIGNAZIONI!P$8:P$872,$D52))</f>
        <v>0</v>
      </c>
      <c r="N52" s="160" t="n">
        <f aca="false">IF($D52="","",COUNTIF(DESIGNAZIONI!Q$8:Q$872,$D52))</f>
        <v>0</v>
      </c>
      <c r="O52" s="160" t="n">
        <f aca="false">IF($D52="","",COUNTIF(DESIGNAZIONI!R$8:R$872,$D52))</f>
        <v>0</v>
      </c>
    </row>
    <row r="53" customFormat="false" ht="15" hidden="false" customHeight="false" outlineLevel="0" collapsed="false">
      <c r="C53" s="132"/>
      <c r="D53" s="8" t="s">
        <v>699</v>
      </c>
      <c r="E53" s="159"/>
      <c r="L53" s="160" t="n">
        <f aca="false">IF($D53="","",SUM(M53:O53))</f>
        <v>0</v>
      </c>
      <c r="M53" s="160" t="n">
        <f aca="false">IF($D53="","",COUNTIF(DESIGNAZIONI!P$8:P$872,$D53))</f>
        <v>0</v>
      </c>
      <c r="N53" s="160" t="n">
        <f aca="false">IF($D53="","",COUNTIF(DESIGNAZIONI!Q$8:Q$872,$D53))</f>
        <v>0</v>
      </c>
      <c r="O53" s="160" t="n">
        <f aca="false">IF($D53="","",COUNTIF(DESIGNAZIONI!R$8:R$872,$D53))</f>
        <v>0</v>
      </c>
    </row>
    <row r="54" customFormat="false" ht="15" hidden="false" customHeight="false" outlineLevel="0" collapsed="false">
      <c r="C54" s="132"/>
      <c r="D54" s="8" t="s">
        <v>700</v>
      </c>
      <c r="E54" s="159"/>
      <c r="L54" s="160" t="n">
        <f aca="false">IF($D54="","",SUM(M54:O54))</f>
        <v>0</v>
      </c>
      <c r="M54" s="160" t="n">
        <f aca="false">IF($D54="","",COUNTIF(DESIGNAZIONI!P$8:P$872,$D54))</f>
        <v>0</v>
      </c>
      <c r="N54" s="160" t="n">
        <f aca="false">IF($D54="","",COUNTIF(DESIGNAZIONI!Q$8:Q$872,$D54))</f>
        <v>0</v>
      </c>
      <c r="O54" s="160" t="n">
        <f aca="false">IF($D54="","",COUNTIF(DESIGNAZIONI!R$8:R$872,$D54))</f>
        <v>0</v>
      </c>
    </row>
    <row r="55" customFormat="false" ht="15" hidden="false" customHeight="false" outlineLevel="0" collapsed="false">
      <c r="C55" s="132"/>
      <c r="D55" s="8" t="s">
        <v>701</v>
      </c>
      <c r="E55" s="159"/>
      <c r="L55" s="160" t="n">
        <f aca="false">IF($D55="","",SUM(M55:O55))</f>
        <v>0</v>
      </c>
      <c r="M55" s="160" t="n">
        <f aca="false">IF($D55="","",COUNTIF(DESIGNAZIONI!P$8:P$872,$D55))</f>
        <v>0</v>
      </c>
      <c r="N55" s="160" t="n">
        <f aca="false">IF($D55="","",COUNTIF(DESIGNAZIONI!Q$8:Q$872,$D55))</f>
        <v>0</v>
      </c>
      <c r="O55" s="160" t="n">
        <f aca="false">IF($D55="","",COUNTIF(DESIGNAZIONI!R$8:R$872,$D55))</f>
        <v>0</v>
      </c>
    </row>
    <row r="56" customFormat="false" ht="15" hidden="false" customHeight="false" outlineLevel="0" collapsed="false">
      <c r="C56" s="132"/>
      <c r="D56" s="8" t="s">
        <v>702</v>
      </c>
      <c r="E56" s="159"/>
      <c r="L56" s="160" t="n">
        <f aca="false">IF($D56="","",SUM(M56:O56))</f>
        <v>0</v>
      </c>
      <c r="M56" s="160" t="n">
        <f aca="false">IF($D56="","",COUNTIF(DESIGNAZIONI!P$8:P$872,$D56))</f>
        <v>0</v>
      </c>
      <c r="N56" s="160" t="n">
        <f aca="false">IF($D56="","",COUNTIF(DESIGNAZIONI!Q$8:Q$872,$D56))</f>
        <v>0</v>
      </c>
      <c r="O56" s="160" t="n">
        <f aca="false">IF($D56="","",COUNTIF(DESIGNAZIONI!R$8:R$872,$D56))</f>
        <v>0</v>
      </c>
    </row>
    <row r="57" customFormat="false" ht="15" hidden="false" customHeight="false" outlineLevel="0" collapsed="false">
      <c r="C57" s="132"/>
      <c r="D57" s="8" t="s">
        <v>703</v>
      </c>
      <c r="E57" s="159"/>
      <c r="L57" s="160" t="n">
        <f aca="false">IF($D57="","",SUM(M57:O57))</f>
        <v>0</v>
      </c>
      <c r="M57" s="160" t="n">
        <f aca="false">IF($D57="","",COUNTIF(DESIGNAZIONI!P$8:P$872,$D57))</f>
        <v>0</v>
      </c>
      <c r="N57" s="160" t="n">
        <f aca="false">IF($D57="","",COUNTIF(DESIGNAZIONI!Q$8:Q$872,$D57))</f>
        <v>0</v>
      </c>
      <c r="O57" s="160" t="n">
        <f aca="false">IF($D57="","",COUNTIF(DESIGNAZIONI!R$8:R$872,$D57))</f>
        <v>0</v>
      </c>
    </row>
    <row r="58" customFormat="false" ht="15" hidden="false" customHeight="false" outlineLevel="0" collapsed="false">
      <c r="C58" s="132"/>
      <c r="D58" s="8" t="s">
        <v>704</v>
      </c>
      <c r="E58" s="159"/>
      <c r="L58" s="160" t="n">
        <f aca="false">IF($D58="","",SUM(M58:O58))</f>
        <v>0</v>
      </c>
      <c r="M58" s="160" t="n">
        <f aca="false">IF($D58="","",COUNTIF(DESIGNAZIONI!P$8:P$872,$D58))</f>
        <v>0</v>
      </c>
      <c r="N58" s="160" t="n">
        <f aca="false">IF($D58="","",COUNTIF(DESIGNAZIONI!Q$8:Q$872,$D58))</f>
        <v>0</v>
      </c>
      <c r="O58" s="160" t="n">
        <f aca="false">IF($D58="","",COUNTIF(DESIGNAZIONI!R$8:R$872,$D58))</f>
        <v>0</v>
      </c>
    </row>
    <row r="59" customFormat="false" ht="15" hidden="false" customHeight="false" outlineLevel="0" collapsed="false">
      <c r="C59" s="132"/>
      <c r="D59" s="8" t="s">
        <v>705</v>
      </c>
      <c r="E59" s="159"/>
      <c r="L59" s="160" t="n">
        <f aca="false">IF($D59="","",SUM(M59:O59))</f>
        <v>0</v>
      </c>
      <c r="M59" s="160" t="n">
        <f aca="false">IF($D59="","",COUNTIF(DESIGNAZIONI!P$8:P$872,$D59))</f>
        <v>0</v>
      </c>
      <c r="N59" s="160" t="n">
        <f aca="false">IF($D59="","",COUNTIF(DESIGNAZIONI!Q$8:Q$872,$D59))</f>
        <v>0</v>
      </c>
      <c r="O59" s="160" t="n">
        <f aca="false">IF($D59="","",COUNTIF(DESIGNAZIONI!R$8:R$872,$D59))</f>
        <v>0</v>
      </c>
    </row>
    <row r="60" customFormat="false" ht="15" hidden="false" customHeight="false" outlineLevel="0" collapsed="false">
      <c r="C60" s="132"/>
      <c r="D60" s="8" t="s">
        <v>706</v>
      </c>
      <c r="E60" s="159"/>
      <c r="L60" s="160" t="n">
        <f aca="false">IF($D60="","",SUM(M60:O60))</f>
        <v>0</v>
      </c>
      <c r="M60" s="160" t="n">
        <f aca="false">IF($D60="","",COUNTIF(DESIGNAZIONI!P$8:P$872,$D60))</f>
        <v>0</v>
      </c>
      <c r="N60" s="160" t="n">
        <f aca="false">IF($D60="","",COUNTIF(DESIGNAZIONI!Q$8:Q$872,$D60))</f>
        <v>0</v>
      </c>
      <c r="O60" s="160" t="n">
        <f aca="false">IF($D60="","",COUNTIF(DESIGNAZIONI!R$8:R$872,$D60))</f>
        <v>0</v>
      </c>
    </row>
    <row r="61" customFormat="false" ht="15" hidden="false" customHeight="false" outlineLevel="0" collapsed="false">
      <c r="C61" s="132"/>
      <c r="D61" s="8" t="s">
        <v>707</v>
      </c>
      <c r="E61" s="159"/>
      <c r="L61" s="160" t="n">
        <f aca="false">IF($D61="","",SUM(M61:O61))</f>
        <v>0</v>
      </c>
      <c r="M61" s="160" t="n">
        <f aca="false">IF($D61="","",COUNTIF(DESIGNAZIONI!P$8:P$872,$D61))</f>
        <v>0</v>
      </c>
      <c r="N61" s="160" t="n">
        <f aca="false">IF($D61="","",COUNTIF(DESIGNAZIONI!Q$8:Q$872,$D61))</f>
        <v>0</v>
      </c>
      <c r="O61" s="160" t="n">
        <f aca="false">IF($D61="","",COUNTIF(DESIGNAZIONI!R$8:R$872,$D61))</f>
        <v>0</v>
      </c>
    </row>
    <row r="62" customFormat="false" ht="15" hidden="false" customHeight="false" outlineLevel="0" collapsed="false">
      <c r="C62" s="132"/>
      <c r="D62" s="8" t="s">
        <v>708</v>
      </c>
      <c r="E62" s="159"/>
      <c r="L62" s="160" t="n">
        <f aca="false">IF($D62="","",SUM(M62:O62))</f>
        <v>0</v>
      </c>
      <c r="M62" s="160" t="n">
        <f aca="false">IF($D62="","",COUNTIF(DESIGNAZIONI!P$8:P$872,$D62))</f>
        <v>0</v>
      </c>
      <c r="N62" s="160" t="n">
        <f aca="false">IF($D62="","",COUNTIF(DESIGNAZIONI!Q$8:Q$872,$D62))</f>
        <v>0</v>
      </c>
      <c r="O62" s="160" t="n">
        <f aca="false">IF($D62="","",COUNTIF(DESIGNAZIONI!R$8:R$872,$D62))</f>
        <v>0</v>
      </c>
    </row>
    <row r="63" customFormat="false" ht="15" hidden="false" customHeight="false" outlineLevel="0" collapsed="false">
      <c r="C63" s="132"/>
      <c r="D63" s="8" t="s">
        <v>709</v>
      </c>
      <c r="E63" s="159"/>
      <c r="L63" s="160" t="n">
        <f aca="false">IF($D63="","",SUM(M63:O63))</f>
        <v>0</v>
      </c>
      <c r="M63" s="160" t="n">
        <f aca="false">IF($D63="","",COUNTIF(DESIGNAZIONI!P$8:P$872,$D63))</f>
        <v>0</v>
      </c>
      <c r="N63" s="160" t="n">
        <f aca="false">IF($D63="","",COUNTIF(DESIGNAZIONI!Q$8:Q$872,$D63))</f>
        <v>0</v>
      </c>
      <c r="O63" s="160" t="n">
        <f aca="false">IF($D63="","",COUNTIF(DESIGNAZIONI!R$8:R$872,$D63))</f>
        <v>0</v>
      </c>
    </row>
    <row r="64" customFormat="false" ht="15" hidden="false" customHeight="false" outlineLevel="0" collapsed="false">
      <c r="C64" s="132"/>
      <c r="D64" s="8" t="s">
        <v>710</v>
      </c>
      <c r="E64" s="159"/>
      <c r="L64" s="160" t="n">
        <f aca="false">IF($D64="","",SUM(M64:O64))</f>
        <v>0</v>
      </c>
      <c r="M64" s="160" t="n">
        <f aca="false">IF($D64="","",COUNTIF(DESIGNAZIONI!P$8:P$872,$D64))</f>
        <v>0</v>
      </c>
      <c r="N64" s="160" t="n">
        <f aca="false">IF($D64="","",COUNTIF(DESIGNAZIONI!Q$8:Q$872,$D64))</f>
        <v>0</v>
      </c>
      <c r="O64" s="160" t="n">
        <f aca="false">IF($D64="","",COUNTIF(DESIGNAZIONI!R$8:R$872,$D64))</f>
        <v>0</v>
      </c>
    </row>
    <row r="65" customFormat="false" ht="15" hidden="false" customHeight="false" outlineLevel="0" collapsed="false">
      <c r="C65" s="132"/>
      <c r="D65" s="8" t="s">
        <v>711</v>
      </c>
      <c r="E65" s="159"/>
      <c r="L65" s="160" t="n">
        <f aca="false">IF($D65="","",SUM(M65:O65))</f>
        <v>0</v>
      </c>
      <c r="M65" s="160" t="n">
        <f aca="false">IF($D65="","",COUNTIF(DESIGNAZIONI!P$8:P$872,$D65))</f>
        <v>0</v>
      </c>
      <c r="N65" s="160" t="n">
        <f aca="false">IF($D65="","",COUNTIF(DESIGNAZIONI!Q$8:Q$872,$D65))</f>
        <v>0</v>
      </c>
      <c r="O65" s="160" t="n">
        <f aca="false">IF($D65="","",COUNTIF(DESIGNAZIONI!R$8:R$872,$D65))</f>
        <v>0</v>
      </c>
    </row>
    <row r="66" customFormat="false" ht="15" hidden="false" customHeight="false" outlineLevel="0" collapsed="false">
      <c r="C66" s="132"/>
      <c r="D66" s="8" t="s">
        <v>712</v>
      </c>
      <c r="E66" s="159"/>
      <c r="L66" s="160" t="n">
        <f aca="false">IF($D66="","",SUM(M66:O66))</f>
        <v>0</v>
      </c>
      <c r="M66" s="160" t="n">
        <f aca="false">IF($D66="","",COUNTIF(DESIGNAZIONI!P$8:P$872,$D66))</f>
        <v>0</v>
      </c>
      <c r="N66" s="160" t="n">
        <f aca="false">IF($D66="","",COUNTIF(DESIGNAZIONI!Q$8:Q$872,$D66))</f>
        <v>0</v>
      </c>
      <c r="O66" s="160" t="n">
        <f aca="false">IF($D66="","",COUNTIF(DESIGNAZIONI!R$8:R$872,$D66))</f>
        <v>0</v>
      </c>
    </row>
    <row r="67" customFormat="false" ht="15" hidden="false" customHeight="false" outlineLevel="0" collapsed="false">
      <c r="C67" s="132"/>
      <c r="D67" s="8" t="s">
        <v>713</v>
      </c>
      <c r="E67" s="159"/>
      <c r="L67" s="160" t="n">
        <f aca="false">IF($D67="","",SUM(M67:O67))</f>
        <v>0</v>
      </c>
      <c r="M67" s="160" t="n">
        <f aca="false">IF($D67="","",COUNTIF(DESIGNAZIONI!P$8:P$872,$D67))</f>
        <v>0</v>
      </c>
      <c r="N67" s="160" t="n">
        <f aca="false">IF($D67="","",COUNTIF(DESIGNAZIONI!Q$8:Q$872,$D67))</f>
        <v>0</v>
      </c>
      <c r="O67" s="160" t="n">
        <f aca="false">IF($D67="","",COUNTIF(DESIGNAZIONI!R$8:R$872,$D67))</f>
        <v>0</v>
      </c>
    </row>
    <row r="68" customFormat="false" ht="15" hidden="false" customHeight="false" outlineLevel="0" collapsed="false">
      <c r="C68" s="132"/>
      <c r="D68" s="8" t="s">
        <v>714</v>
      </c>
      <c r="E68" s="159"/>
      <c r="L68" s="160" t="n">
        <f aca="false">IF($D68="","",SUM(M68:O68))</f>
        <v>0</v>
      </c>
      <c r="M68" s="160" t="n">
        <f aca="false">IF($D68="","",COUNTIF(DESIGNAZIONI!P$8:P$872,$D68))</f>
        <v>0</v>
      </c>
      <c r="N68" s="160" t="n">
        <f aca="false">IF($D68="","",COUNTIF(DESIGNAZIONI!Q$8:Q$872,$D68))</f>
        <v>0</v>
      </c>
      <c r="O68" s="160" t="n">
        <f aca="false">IF($D68="","",COUNTIF(DESIGNAZIONI!R$8:R$872,$D68))</f>
        <v>0</v>
      </c>
    </row>
    <row r="69" customFormat="false" ht="15" hidden="false" customHeight="false" outlineLevel="0" collapsed="false">
      <c r="C69" s="132"/>
      <c r="D69" s="8" t="s">
        <v>715</v>
      </c>
      <c r="E69" s="159"/>
      <c r="L69" s="160" t="n">
        <f aca="false">IF($D69="","",SUM(M69:O69))</f>
        <v>0</v>
      </c>
      <c r="M69" s="160" t="n">
        <f aca="false">IF($D69="","",COUNTIF(DESIGNAZIONI!P$8:P$872,$D69))</f>
        <v>0</v>
      </c>
      <c r="N69" s="160" t="n">
        <f aca="false">IF($D69="","",COUNTIF(DESIGNAZIONI!Q$8:Q$872,$D69))</f>
        <v>0</v>
      </c>
      <c r="O69" s="160" t="n">
        <f aca="false">IF($D69="","",COUNTIF(DESIGNAZIONI!R$8:R$872,$D69))</f>
        <v>0</v>
      </c>
    </row>
    <row r="70" customFormat="false" ht="15" hidden="false" customHeight="false" outlineLevel="0" collapsed="false">
      <c r="C70" s="132"/>
      <c r="D70" s="8" t="s">
        <v>716</v>
      </c>
      <c r="E70" s="159"/>
      <c r="L70" s="160" t="n">
        <f aca="false">IF($D70="","",SUM(M70:O70))</f>
        <v>0</v>
      </c>
      <c r="M70" s="160" t="n">
        <f aca="false">IF($D70="","",COUNTIF(DESIGNAZIONI!P$8:P$872,$D70))</f>
        <v>0</v>
      </c>
      <c r="N70" s="160" t="n">
        <f aca="false">IF($D70="","",COUNTIF(DESIGNAZIONI!Q$8:Q$872,$D70))</f>
        <v>0</v>
      </c>
      <c r="O70" s="160" t="n">
        <f aca="false">IF($D70="","",COUNTIF(DESIGNAZIONI!R$8:R$872,$D70))</f>
        <v>0</v>
      </c>
    </row>
    <row r="71" customFormat="false" ht="15" hidden="false" customHeight="false" outlineLevel="0" collapsed="false">
      <c r="C71" s="132"/>
      <c r="D71" s="8" t="s">
        <v>717</v>
      </c>
      <c r="E71" s="159"/>
      <c r="L71" s="160" t="n">
        <f aca="false">IF($D71="","",SUM(M71:O71))</f>
        <v>0</v>
      </c>
      <c r="M71" s="160" t="n">
        <f aca="false">IF($D71="","",COUNTIF(DESIGNAZIONI!P$8:P$872,$D71))</f>
        <v>0</v>
      </c>
      <c r="N71" s="160" t="n">
        <f aca="false">IF($D71="","",COUNTIF(DESIGNAZIONI!Q$8:Q$872,$D71))</f>
        <v>0</v>
      </c>
      <c r="O71" s="160" t="n">
        <f aca="false">IF($D71="","",COUNTIF(DESIGNAZIONI!R$8:R$872,$D71))</f>
        <v>0</v>
      </c>
    </row>
    <row r="72" customFormat="false" ht="15" hidden="false" customHeight="false" outlineLevel="0" collapsed="false">
      <c r="C72" s="132"/>
      <c r="D72" s="8" t="s">
        <v>718</v>
      </c>
      <c r="E72" s="159"/>
      <c r="L72" s="160" t="n">
        <f aca="false">IF($D72="","",SUM(M72:O72))</f>
        <v>0</v>
      </c>
      <c r="M72" s="160" t="n">
        <f aca="false">IF($D72="","",COUNTIF(DESIGNAZIONI!P$8:P$872,$D72))</f>
        <v>0</v>
      </c>
      <c r="N72" s="160" t="n">
        <f aca="false">IF($D72="","",COUNTIF(DESIGNAZIONI!Q$8:Q$872,$D72))</f>
        <v>0</v>
      </c>
      <c r="O72" s="160" t="n">
        <f aca="false">IF($D72="","",COUNTIF(DESIGNAZIONI!R$8:R$872,$D72))</f>
        <v>0</v>
      </c>
    </row>
    <row r="73" customFormat="false" ht="15" hidden="false" customHeight="false" outlineLevel="0" collapsed="false">
      <c r="C73" s="132"/>
      <c r="D73" s="8" t="s">
        <v>719</v>
      </c>
      <c r="E73" s="159"/>
      <c r="L73" s="160" t="n">
        <f aca="false">IF($D73="","",SUM(M73:O73))</f>
        <v>0</v>
      </c>
      <c r="M73" s="160" t="n">
        <f aca="false">IF($D73="","",COUNTIF(DESIGNAZIONI!P$8:P$872,$D73))</f>
        <v>0</v>
      </c>
      <c r="N73" s="160" t="n">
        <f aca="false">IF($D73="","",COUNTIF(DESIGNAZIONI!Q$8:Q$872,$D73))</f>
        <v>0</v>
      </c>
      <c r="O73" s="160" t="n">
        <f aca="false">IF($D73="","",COUNTIF(DESIGNAZIONI!R$8:R$872,$D73))</f>
        <v>0</v>
      </c>
    </row>
    <row r="74" customFormat="false" ht="15" hidden="false" customHeight="false" outlineLevel="0" collapsed="false">
      <c r="C74" s="132"/>
      <c r="D74" s="8" t="s">
        <v>720</v>
      </c>
      <c r="E74" s="159"/>
      <c r="L74" s="160" t="n">
        <f aca="false">IF($D74="","",SUM(M74:O74))</f>
        <v>0</v>
      </c>
      <c r="M74" s="160" t="n">
        <f aca="false">IF($D74="","",COUNTIF(DESIGNAZIONI!P$8:P$872,$D74))</f>
        <v>0</v>
      </c>
      <c r="N74" s="160" t="n">
        <f aca="false">IF($D74="","",COUNTIF(DESIGNAZIONI!Q$8:Q$872,$D74))</f>
        <v>0</v>
      </c>
      <c r="O74" s="160" t="n">
        <f aca="false">IF($D74="","",COUNTIF(DESIGNAZIONI!R$8:R$872,$D74))</f>
        <v>0</v>
      </c>
    </row>
    <row r="75" customFormat="false" ht="15" hidden="false" customHeight="false" outlineLevel="0" collapsed="false">
      <c r="C75" s="132"/>
      <c r="D75" s="8" t="s">
        <v>721</v>
      </c>
      <c r="E75" s="159"/>
      <c r="L75" s="160" t="n">
        <f aca="false">IF($D75="","",SUM(M75:O75))</f>
        <v>0</v>
      </c>
      <c r="M75" s="160" t="n">
        <f aca="false">IF($D75="","",COUNTIF(DESIGNAZIONI!P$8:P$872,$D75))</f>
        <v>0</v>
      </c>
      <c r="N75" s="160" t="n">
        <f aca="false">IF($D75="","",COUNTIF(DESIGNAZIONI!Q$8:Q$872,$D75))</f>
        <v>0</v>
      </c>
      <c r="O75" s="160" t="n">
        <f aca="false">IF($D75="","",COUNTIF(DESIGNAZIONI!R$8:R$872,$D75))</f>
        <v>0</v>
      </c>
    </row>
    <row r="76" customFormat="false" ht="15" hidden="false" customHeight="false" outlineLevel="0" collapsed="false">
      <c r="C76" s="132"/>
      <c r="D76" s="8" t="s">
        <v>722</v>
      </c>
      <c r="E76" s="159"/>
      <c r="L76" s="160" t="n">
        <f aca="false">IF($D76="","",SUM(M76:O76))</f>
        <v>0</v>
      </c>
      <c r="M76" s="160" t="n">
        <f aca="false">IF($D76="","",COUNTIF(DESIGNAZIONI!P$8:P$872,$D76))</f>
        <v>0</v>
      </c>
      <c r="N76" s="160" t="n">
        <f aca="false">IF($D76="","",COUNTIF(DESIGNAZIONI!Q$8:Q$872,$D76))</f>
        <v>0</v>
      </c>
      <c r="O76" s="160" t="n">
        <f aca="false">IF($D76="","",COUNTIF(DESIGNAZIONI!R$8:R$872,$D76))</f>
        <v>0</v>
      </c>
    </row>
    <row r="77" customFormat="false" ht="15" hidden="false" customHeight="false" outlineLevel="0" collapsed="false">
      <c r="C77" s="132"/>
      <c r="D77" s="8" t="s">
        <v>723</v>
      </c>
      <c r="E77" s="159"/>
      <c r="L77" s="160" t="n">
        <f aca="false">IF($D77="","",SUM(M77:O77))</f>
        <v>0</v>
      </c>
      <c r="M77" s="160" t="n">
        <f aca="false">IF($D77="","",COUNTIF(DESIGNAZIONI!P$8:P$872,$D77))</f>
        <v>0</v>
      </c>
      <c r="N77" s="160" t="n">
        <f aca="false">IF($D77="","",COUNTIF(DESIGNAZIONI!Q$8:Q$872,$D77))</f>
        <v>0</v>
      </c>
      <c r="O77" s="160" t="n">
        <f aca="false">IF($D77="","",COUNTIF(DESIGNAZIONI!R$8:R$872,$D77))</f>
        <v>0</v>
      </c>
    </row>
    <row r="78" customFormat="false" ht="15" hidden="false" customHeight="false" outlineLevel="0" collapsed="false">
      <c r="C78" s="132"/>
      <c r="D78" s="8" t="s">
        <v>724</v>
      </c>
      <c r="E78" s="159"/>
      <c r="L78" s="160" t="n">
        <f aca="false">IF($D78="","",SUM(M78:O78))</f>
        <v>0</v>
      </c>
      <c r="M78" s="160" t="n">
        <f aca="false">IF($D78="","",COUNTIF(DESIGNAZIONI!P$8:P$872,$D78))</f>
        <v>0</v>
      </c>
      <c r="N78" s="160" t="n">
        <f aca="false">IF($D78="","",COUNTIF(DESIGNAZIONI!Q$8:Q$872,$D78))</f>
        <v>0</v>
      </c>
      <c r="O78" s="160" t="n">
        <f aca="false">IF($D78="","",COUNTIF(DESIGNAZIONI!R$8:R$872,$D78))</f>
        <v>0</v>
      </c>
    </row>
    <row r="79" customFormat="false" ht="15" hidden="false" customHeight="false" outlineLevel="0" collapsed="false">
      <c r="C79" s="132"/>
      <c r="D79" s="8" t="s">
        <v>725</v>
      </c>
      <c r="E79" s="159"/>
      <c r="L79" s="160" t="n">
        <f aca="false">IF($D79="","",SUM(M79:O79))</f>
        <v>0</v>
      </c>
      <c r="M79" s="160" t="n">
        <f aca="false">IF($D79="","",COUNTIF(DESIGNAZIONI!P$8:P$872,$D79))</f>
        <v>0</v>
      </c>
      <c r="N79" s="160" t="n">
        <f aca="false">IF($D79="","",COUNTIF(DESIGNAZIONI!Q$8:Q$872,$D79))</f>
        <v>0</v>
      </c>
      <c r="O79" s="160" t="n">
        <f aca="false">IF($D79="","",COUNTIF(DESIGNAZIONI!R$8:R$872,$D79))</f>
        <v>0</v>
      </c>
    </row>
    <row r="80" customFormat="false" ht="15" hidden="false" customHeight="false" outlineLevel="0" collapsed="false">
      <c r="C80" s="132"/>
      <c r="D80" s="8" t="s">
        <v>726</v>
      </c>
      <c r="E80" s="159"/>
      <c r="L80" s="160" t="n">
        <f aca="false">IF($D80="","",SUM(M80:O80))</f>
        <v>0</v>
      </c>
      <c r="M80" s="160" t="n">
        <f aca="false">IF($D80="","",COUNTIF(DESIGNAZIONI!P$8:P$872,$D80))</f>
        <v>0</v>
      </c>
      <c r="N80" s="160" t="n">
        <f aca="false">IF($D80="","",COUNTIF(DESIGNAZIONI!Q$8:Q$872,$D80))</f>
        <v>0</v>
      </c>
      <c r="O80" s="160" t="n">
        <f aca="false">IF($D80="","",COUNTIF(DESIGNAZIONI!R$8:R$872,$D80))</f>
        <v>0</v>
      </c>
    </row>
    <row r="81" customFormat="false" ht="15" hidden="false" customHeight="false" outlineLevel="0" collapsed="false">
      <c r="C81" s="132"/>
      <c r="D81" s="8" t="s">
        <v>727</v>
      </c>
      <c r="E81" s="159"/>
      <c r="L81" s="160" t="n">
        <f aca="false">IF($D81="","",SUM(M81:O81))</f>
        <v>0</v>
      </c>
      <c r="M81" s="160" t="n">
        <f aca="false">IF($D81="","",COUNTIF(DESIGNAZIONI!P$8:P$872,$D81))</f>
        <v>0</v>
      </c>
      <c r="N81" s="160" t="n">
        <f aca="false">IF($D81="","",COUNTIF(DESIGNAZIONI!Q$8:Q$872,$D81))</f>
        <v>0</v>
      </c>
      <c r="O81" s="160" t="n">
        <f aca="false">IF($D81="","",COUNTIF(DESIGNAZIONI!R$8:R$872,$D81))</f>
        <v>0</v>
      </c>
    </row>
    <row r="82" customFormat="false" ht="15" hidden="false" customHeight="false" outlineLevel="0" collapsed="false">
      <c r="C82" s="132"/>
      <c r="D82" s="8" t="s">
        <v>728</v>
      </c>
      <c r="E82" s="159"/>
      <c r="L82" s="160" t="n">
        <f aca="false">IF($D82="","",SUM(M82:O82))</f>
        <v>0</v>
      </c>
      <c r="M82" s="160" t="n">
        <f aca="false">IF($D82="","",COUNTIF(DESIGNAZIONI!P$8:P$872,$D82))</f>
        <v>0</v>
      </c>
      <c r="N82" s="160" t="n">
        <f aca="false">IF($D82="","",COUNTIF(DESIGNAZIONI!Q$8:Q$872,$D82))</f>
        <v>0</v>
      </c>
      <c r="O82" s="160" t="n">
        <f aca="false">IF($D82="","",COUNTIF(DESIGNAZIONI!R$8:R$872,$D82))</f>
        <v>0</v>
      </c>
    </row>
    <row r="83" customFormat="false" ht="15" hidden="false" customHeight="false" outlineLevel="0" collapsed="false">
      <c r="C83" s="132"/>
      <c r="D83" s="8" t="s">
        <v>729</v>
      </c>
      <c r="E83" s="159"/>
      <c r="L83" s="160" t="n">
        <f aca="false">IF($D83="","",SUM(M83:O83))</f>
        <v>0</v>
      </c>
      <c r="M83" s="160" t="n">
        <f aca="false">IF($D83="","",COUNTIF(DESIGNAZIONI!P$8:P$872,$D83))</f>
        <v>0</v>
      </c>
      <c r="N83" s="160" t="n">
        <f aca="false">IF($D83="","",COUNTIF(DESIGNAZIONI!Q$8:Q$872,$D83))</f>
        <v>0</v>
      </c>
      <c r="O83" s="160" t="n">
        <f aca="false">IF($D83="","",COUNTIF(DESIGNAZIONI!R$8:R$872,$D83))</f>
        <v>0</v>
      </c>
    </row>
    <row r="84" customFormat="false" ht="15" hidden="false" customHeight="false" outlineLevel="0" collapsed="false">
      <c r="C84" s="132"/>
      <c r="D84" s="8" t="s">
        <v>730</v>
      </c>
      <c r="E84" s="159"/>
      <c r="L84" s="160" t="n">
        <f aca="false">IF($D84="","",SUM(M84:O84))</f>
        <v>0</v>
      </c>
      <c r="M84" s="160" t="n">
        <f aca="false">IF($D84="","",COUNTIF(DESIGNAZIONI!P$8:P$872,$D84))</f>
        <v>0</v>
      </c>
      <c r="N84" s="160" t="n">
        <f aca="false">IF($D84="","",COUNTIF(DESIGNAZIONI!Q$8:Q$872,$D84))</f>
        <v>0</v>
      </c>
      <c r="O84" s="160" t="n">
        <f aca="false">IF($D84="","",COUNTIF(DESIGNAZIONI!R$8:R$872,$D84))</f>
        <v>0</v>
      </c>
    </row>
    <row r="85" customFormat="false" ht="15" hidden="false" customHeight="false" outlineLevel="0" collapsed="false">
      <c r="C85" s="132"/>
      <c r="D85" s="8" t="s">
        <v>731</v>
      </c>
      <c r="E85" s="159"/>
      <c r="L85" s="160" t="n">
        <f aca="false">IF($D85="","",SUM(M85:O85))</f>
        <v>0</v>
      </c>
      <c r="M85" s="160" t="n">
        <f aca="false">IF($D85="","",COUNTIF(DESIGNAZIONI!P$8:P$872,$D85))</f>
        <v>0</v>
      </c>
      <c r="N85" s="160" t="n">
        <f aca="false">IF($D85="","",COUNTIF(DESIGNAZIONI!Q$8:Q$872,$D85))</f>
        <v>0</v>
      </c>
      <c r="O85" s="160" t="n">
        <f aca="false">IF($D85="","",COUNTIF(DESIGNAZIONI!R$8:R$872,$D85))</f>
        <v>0</v>
      </c>
    </row>
    <row r="86" customFormat="false" ht="15" hidden="false" customHeight="false" outlineLevel="0" collapsed="false">
      <c r="C86" s="132"/>
      <c r="D86" s="8" t="s">
        <v>732</v>
      </c>
      <c r="E86" s="159"/>
      <c r="L86" s="160" t="n">
        <f aca="false">IF($D86="","",SUM(M86:O86))</f>
        <v>0</v>
      </c>
      <c r="M86" s="160" t="n">
        <f aca="false">IF($D86="","",COUNTIF(DESIGNAZIONI!P$8:P$872,$D86))</f>
        <v>0</v>
      </c>
      <c r="N86" s="160" t="n">
        <f aca="false">IF($D86="","",COUNTIF(DESIGNAZIONI!Q$8:Q$872,$D86))</f>
        <v>0</v>
      </c>
      <c r="O86" s="160" t="n">
        <f aca="false">IF($D86="","",COUNTIF(DESIGNAZIONI!R$8:R$872,$D86))</f>
        <v>0</v>
      </c>
    </row>
    <row r="87" customFormat="false" ht="15" hidden="false" customHeight="false" outlineLevel="0" collapsed="false">
      <c r="C87" s="132"/>
      <c r="D87" s="8" t="s">
        <v>733</v>
      </c>
      <c r="E87" s="159"/>
      <c r="L87" s="160" t="n">
        <f aca="false">IF($D87="","",SUM(M87:O87))</f>
        <v>0</v>
      </c>
      <c r="M87" s="160" t="n">
        <f aca="false">IF($D87="","",COUNTIF(DESIGNAZIONI!P$8:P$872,$D87))</f>
        <v>0</v>
      </c>
      <c r="N87" s="160" t="n">
        <f aca="false">IF($D87="","",COUNTIF(DESIGNAZIONI!Q$8:Q$872,$D87))</f>
        <v>0</v>
      </c>
      <c r="O87" s="160" t="n">
        <f aca="false">IF($D87="","",COUNTIF(DESIGNAZIONI!R$8:R$872,$D87))</f>
        <v>0</v>
      </c>
    </row>
    <row r="88" customFormat="false" ht="15" hidden="false" customHeight="false" outlineLevel="0" collapsed="false">
      <c r="C88" s="132"/>
      <c r="D88" s="8" t="s">
        <v>734</v>
      </c>
      <c r="E88" s="159"/>
      <c r="L88" s="160" t="n">
        <f aca="false">IF($D88="","",SUM(M88:O88))</f>
        <v>0</v>
      </c>
      <c r="M88" s="160" t="n">
        <f aca="false">IF($D88="","",COUNTIF(DESIGNAZIONI!P$8:P$872,$D88))</f>
        <v>0</v>
      </c>
      <c r="N88" s="160" t="n">
        <f aca="false">IF($D88="","",COUNTIF(DESIGNAZIONI!Q$8:Q$872,$D88))</f>
        <v>0</v>
      </c>
      <c r="O88" s="160" t="n">
        <f aca="false">IF($D88="","",COUNTIF(DESIGNAZIONI!R$8:R$872,$D88))</f>
        <v>0</v>
      </c>
    </row>
    <row r="89" customFormat="false" ht="15" hidden="false" customHeight="false" outlineLevel="0" collapsed="false">
      <c r="C89" s="132"/>
      <c r="D89" s="8" t="s">
        <v>735</v>
      </c>
      <c r="E89" s="159"/>
      <c r="L89" s="160" t="n">
        <f aca="false">IF($D89="","",SUM(M89:O89))</f>
        <v>0</v>
      </c>
      <c r="M89" s="160" t="n">
        <f aca="false">IF($D89="","",COUNTIF(DESIGNAZIONI!P$8:P$872,$D89))</f>
        <v>0</v>
      </c>
      <c r="N89" s="160" t="n">
        <f aca="false">IF($D89="","",COUNTIF(DESIGNAZIONI!Q$8:Q$872,$D89))</f>
        <v>0</v>
      </c>
      <c r="O89" s="160" t="n">
        <f aca="false">IF($D89="","",COUNTIF(DESIGNAZIONI!R$8:R$872,$D89))</f>
        <v>0</v>
      </c>
    </row>
    <row r="90" customFormat="false" ht="15" hidden="false" customHeight="false" outlineLevel="0" collapsed="false">
      <c r="C90" s="132"/>
      <c r="D90" s="8" t="s">
        <v>736</v>
      </c>
      <c r="E90" s="159"/>
      <c r="L90" s="160" t="n">
        <f aca="false">IF($D90="","",SUM(M90:O90))</f>
        <v>0</v>
      </c>
      <c r="M90" s="160" t="n">
        <f aca="false">IF($D90="","",COUNTIF(DESIGNAZIONI!P$8:P$872,$D90))</f>
        <v>0</v>
      </c>
      <c r="N90" s="160" t="n">
        <f aca="false">IF($D90="","",COUNTIF(DESIGNAZIONI!Q$8:Q$872,$D90))</f>
        <v>0</v>
      </c>
      <c r="O90" s="160" t="n">
        <f aca="false">IF($D90="","",COUNTIF(DESIGNAZIONI!R$8:R$872,$D90))</f>
        <v>0</v>
      </c>
    </row>
    <row r="91" customFormat="false" ht="15" hidden="false" customHeight="false" outlineLevel="0" collapsed="false">
      <c r="C91" s="132"/>
      <c r="D91" s="8" t="s">
        <v>737</v>
      </c>
      <c r="E91" s="159"/>
      <c r="L91" s="160" t="n">
        <f aca="false">IF($D91="","",SUM(M91:O91))</f>
        <v>0</v>
      </c>
      <c r="M91" s="160" t="n">
        <f aca="false">IF($D91="","",COUNTIF(DESIGNAZIONI!P$8:P$872,$D91))</f>
        <v>0</v>
      </c>
      <c r="N91" s="160" t="n">
        <f aca="false">IF($D91="","",COUNTIF(DESIGNAZIONI!Q$8:Q$872,$D91))</f>
        <v>0</v>
      </c>
      <c r="O91" s="160" t="n">
        <f aca="false">IF($D91="","",COUNTIF(DESIGNAZIONI!R$8:R$872,$D91))</f>
        <v>0</v>
      </c>
    </row>
    <row r="92" customFormat="false" ht="15" hidden="false" customHeight="false" outlineLevel="0" collapsed="false">
      <c r="C92" s="132"/>
      <c r="D92" s="8" t="s">
        <v>738</v>
      </c>
      <c r="E92" s="159"/>
      <c r="L92" s="160" t="n">
        <f aca="false">IF($D92="","",SUM(M92:O92))</f>
        <v>0</v>
      </c>
      <c r="M92" s="160" t="n">
        <f aca="false">IF($D92="","",COUNTIF(DESIGNAZIONI!P$8:P$872,$D92))</f>
        <v>0</v>
      </c>
      <c r="N92" s="160" t="n">
        <f aca="false">IF($D92="","",COUNTIF(DESIGNAZIONI!Q$8:Q$872,$D92))</f>
        <v>0</v>
      </c>
      <c r="O92" s="160" t="n">
        <f aca="false">IF($D92="","",COUNTIF(DESIGNAZIONI!R$8:R$872,$D92))</f>
        <v>0</v>
      </c>
    </row>
    <row r="93" customFormat="false" ht="15" hidden="false" customHeight="false" outlineLevel="0" collapsed="false">
      <c r="C93" s="132"/>
      <c r="D93" s="8" t="s">
        <v>739</v>
      </c>
      <c r="E93" s="159"/>
      <c r="L93" s="160" t="n">
        <f aca="false">IF($D93="","",SUM(M93:O93))</f>
        <v>0</v>
      </c>
      <c r="M93" s="160" t="n">
        <f aca="false">IF($D93="","",COUNTIF(DESIGNAZIONI!P$8:P$872,$D93))</f>
        <v>0</v>
      </c>
      <c r="N93" s="160" t="n">
        <f aca="false">IF($D93="","",COUNTIF(DESIGNAZIONI!Q$8:Q$872,$D93))</f>
        <v>0</v>
      </c>
      <c r="O93" s="160" t="n">
        <f aca="false">IF($D93="","",COUNTIF(DESIGNAZIONI!R$8:R$872,$D93))</f>
        <v>0</v>
      </c>
    </row>
    <row r="94" customFormat="false" ht="15" hidden="false" customHeight="false" outlineLevel="0" collapsed="false">
      <c r="C94" s="132"/>
      <c r="D94" s="8" t="s">
        <v>740</v>
      </c>
      <c r="E94" s="159"/>
      <c r="L94" s="160" t="n">
        <f aca="false">IF($D94="","",SUM(M94:O94))</f>
        <v>0</v>
      </c>
      <c r="M94" s="160" t="n">
        <f aca="false">IF($D94="","",COUNTIF(DESIGNAZIONI!P$8:P$872,$D94))</f>
        <v>0</v>
      </c>
      <c r="N94" s="160" t="n">
        <f aca="false">IF($D94="","",COUNTIF(DESIGNAZIONI!Q$8:Q$872,$D94))</f>
        <v>0</v>
      </c>
      <c r="O94" s="160" t="n">
        <f aca="false">IF($D94="","",COUNTIF(DESIGNAZIONI!R$8:R$872,$D94))</f>
        <v>0</v>
      </c>
    </row>
    <row r="95" customFormat="false" ht="15" hidden="false" customHeight="false" outlineLevel="0" collapsed="false">
      <c r="C95" s="132"/>
      <c r="D95" s="8" t="s">
        <v>741</v>
      </c>
      <c r="E95" s="159"/>
      <c r="L95" s="160" t="n">
        <f aca="false">IF($D95="","",SUM(M95:O95))</f>
        <v>0</v>
      </c>
      <c r="M95" s="160" t="n">
        <f aca="false">IF($D95="","",COUNTIF(DESIGNAZIONI!P$8:P$872,$D95))</f>
        <v>0</v>
      </c>
      <c r="N95" s="160" t="n">
        <f aca="false">IF($D95="","",COUNTIF(DESIGNAZIONI!Q$8:Q$872,$D95))</f>
        <v>0</v>
      </c>
      <c r="O95" s="160" t="n">
        <f aca="false">IF($D95="","",COUNTIF(DESIGNAZIONI!R$8:R$872,$D95))</f>
        <v>0</v>
      </c>
    </row>
    <row r="96" customFormat="false" ht="15" hidden="false" customHeight="false" outlineLevel="0" collapsed="false">
      <c r="C96" s="132"/>
      <c r="D96" s="8" t="s">
        <v>742</v>
      </c>
      <c r="E96" s="159"/>
      <c r="L96" s="160" t="n">
        <f aca="false">IF($D96="","",SUM(M96:O96))</f>
        <v>0</v>
      </c>
      <c r="M96" s="160" t="n">
        <f aca="false">IF($D96="","",COUNTIF(DESIGNAZIONI!P$8:P$872,$D96))</f>
        <v>0</v>
      </c>
      <c r="N96" s="160" t="n">
        <f aca="false">IF($D96="","",COUNTIF(DESIGNAZIONI!Q$8:Q$872,$D96))</f>
        <v>0</v>
      </c>
      <c r="O96" s="160" t="n">
        <f aca="false">IF($D96="","",COUNTIF(DESIGNAZIONI!R$8:R$872,$D96))</f>
        <v>0</v>
      </c>
    </row>
    <row r="97" customFormat="false" ht="15" hidden="false" customHeight="false" outlineLevel="0" collapsed="false">
      <c r="C97" s="132"/>
      <c r="D97" s="8" t="s">
        <v>743</v>
      </c>
      <c r="E97" s="159"/>
      <c r="L97" s="160" t="n">
        <f aca="false">IF($D97="","",SUM(M97:O97))</f>
        <v>0</v>
      </c>
      <c r="M97" s="160" t="n">
        <f aca="false">IF($D97="","",COUNTIF(DESIGNAZIONI!P$8:P$872,$D97))</f>
        <v>0</v>
      </c>
      <c r="N97" s="160" t="n">
        <f aca="false">IF($D97="","",COUNTIF(DESIGNAZIONI!Q$8:Q$872,$D97))</f>
        <v>0</v>
      </c>
      <c r="O97" s="160" t="n">
        <f aca="false">IF($D97="","",COUNTIF(DESIGNAZIONI!R$8:R$872,$D97))</f>
        <v>0</v>
      </c>
    </row>
    <row r="98" customFormat="false" ht="15" hidden="false" customHeight="false" outlineLevel="0" collapsed="false">
      <c r="C98" s="132"/>
      <c r="D98" s="8" t="s">
        <v>744</v>
      </c>
      <c r="E98" s="159"/>
      <c r="L98" s="160" t="n">
        <f aca="false">IF($D98="","",SUM(M98:O98))</f>
        <v>0</v>
      </c>
      <c r="M98" s="160" t="n">
        <f aca="false">IF($D98="","",COUNTIF(DESIGNAZIONI!P$8:P$872,$D98))</f>
        <v>0</v>
      </c>
      <c r="N98" s="160" t="n">
        <f aca="false">IF($D98="","",COUNTIF(DESIGNAZIONI!Q$8:Q$872,$D98))</f>
        <v>0</v>
      </c>
      <c r="O98" s="160" t="n">
        <f aca="false">IF($D98="","",COUNTIF(DESIGNAZIONI!R$8:R$872,$D98))</f>
        <v>0</v>
      </c>
    </row>
    <row r="99" customFormat="false" ht="15" hidden="false" customHeight="false" outlineLevel="0" collapsed="false">
      <c r="C99" s="132"/>
      <c r="D99" s="8" t="s">
        <v>745</v>
      </c>
      <c r="E99" s="159"/>
      <c r="L99" s="160" t="n">
        <f aca="false">IF($D99="","",SUM(M99:O99))</f>
        <v>0</v>
      </c>
      <c r="M99" s="160" t="n">
        <f aca="false">IF($D99="","",COUNTIF(DESIGNAZIONI!P$8:P$872,$D99))</f>
        <v>0</v>
      </c>
      <c r="N99" s="160" t="n">
        <f aca="false">IF($D99="","",COUNTIF(DESIGNAZIONI!Q$8:Q$872,$D99))</f>
        <v>0</v>
      </c>
      <c r="O99" s="160" t="n">
        <f aca="false">IF($D99="","",COUNTIF(DESIGNAZIONI!R$8:R$872,$D99))</f>
        <v>0</v>
      </c>
    </row>
    <row r="100" customFormat="false" ht="15" hidden="false" customHeight="false" outlineLevel="0" collapsed="false">
      <c r="C100" s="132"/>
      <c r="D100" s="8" t="s">
        <v>746</v>
      </c>
      <c r="E100" s="159"/>
      <c r="L100" s="160" t="n">
        <f aca="false">IF($D100="","",SUM(M100:O100))</f>
        <v>0</v>
      </c>
      <c r="M100" s="160" t="n">
        <f aca="false">IF($D100="","",COUNTIF(DESIGNAZIONI!P$8:P$872,$D100))</f>
        <v>0</v>
      </c>
      <c r="N100" s="160" t="n">
        <f aca="false">IF($D100="","",COUNTIF(DESIGNAZIONI!Q$8:Q$872,$D100))</f>
        <v>0</v>
      </c>
      <c r="O100" s="160" t="n">
        <f aca="false">IF($D100="","",COUNTIF(DESIGNAZIONI!R$8:R$872,$D100))</f>
        <v>0</v>
      </c>
    </row>
    <row r="101" customFormat="false" ht="15" hidden="false" customHeight="false" outlineLevel="0" collapsed="false">
      <c r="C101" s="132"/>
      <c r="D101" s="8" t="s">
        <v>747</v>
      </c>
      <c r="E101" s="159"/>
      <c r="L101" s="160" t="n">
        <f aca="false">IF($D101="","",SUM(M101:O101))</f>
        <v>0</v>
      </c>
      <c r="M101" s="160" t="n">
        <f aca="false">IF($D101="","",COUNTIF(DESIGNAZIONI!P$8:P$872,$D101))</f>
        <v>0</v>
      </c>
      <c r="N101" s="160" t="n">
        <f aca="false">IF($D101="","",COUNTIF(DESIGNAZIONI!Q$8:Q$872,$D101))</f>
        <v>0</v>
      </c>
      <c r="O101" s="160" t="n">
        <f aca="false">IF($D101="","",COUNTIF(DESIGNAZIONI!R$8:R$872,$D101))</f>
        <v>0</v>
      </c>
    </row>
    <row r="102" customFormat="false" ht="15" hidden="false" customHeight="false" outlineLevel="0" collapsed="false">
      <c r="C102" s="132"/>
      <c r="D102" s="8" t="s">
        <v>748</v>
      </c>
      <c r="E102" s="159"/>
      <c r="L102" s="160" t="n">
        <f aca="false">IF($D102="","",SUM(M102:O102))</f>
        <v>0</v>
      </c>
      <c r="M102" s="160" t="n">
        <f aca="false">IF($D102="","",COUNTIF(DESIGNAZIONI!P$8:P$872,$D102))</f>
        <v>0</v>
      </c>
      <c r="N102" s="160" t="n">
        <f aca="false">IF($D102="","",COUNTIF(DESIGNAZIONI!Q$8:Q$872,$D102))</f>
        <v>0</v>
      </c>
      <c r="O102" s="160" t="n">
        <f aca="false">IF($D102="","",COUNTIF(DESIGNAZIONI!R$8:R$872,$D102))</f>
        <v>0</v>
      </c>
    </row>
    <row r="103" customFormat="false" ht="15" hidden="false" customHeight="false" outlineLevel="0" collapsed="false">
      <c r="C103" s="132"/>
      <c r="D103" s="8" t="s">
        <v>749</v>
      </c>
      <c r="E103" s="159"/>
      <c r="L103" s="160" t="n">
        <f aca="false">IF($D103="","",SUM(M103:O103))</f>
        <v>0</v>
      </c>
      <c r="M103" s="160" t="n">
        <f aca="false">IF($D103="","",COUNTIF(DESIGNAZIONI!P$8:P$872,$D103))</f>
        <v>0</v>
      </c>
      <c r="N103" s="160" t="n">
        <f aca="false">IF($D103="","",COUNTIF(DESIGNAZIONI!Q$8:Q$872,$D103))</f>
        <v>0</v>
      </c>
      <c r="O103" s="160" t="n">
        <f aca="false">IF($D103="","",COUNTIF(DESIGNAZIONI!R$8:R$872,$D103))</f>
        <v>0</v>
      </c>
    </row>
    <row r="104" customFormat="false" ht="15" hidden="false" customHeight="false" outlineLevel="0" collapsed="false">
      <c r="C104" s="132"/>
      <c r="D104" s="8" t="s">
        <v>750</v>
      </c>
      <c r="E104" s="159"/>
      <c r="L104" s="160" t="n">
        <f aca="false">IF($D104="","",SUM(M104:O104))</f>
        <v>0</v>
      </c>
      <c r="M104" s="160" t="n">
        <f aca="false">IF($D104="","",COUNTIF(DESIGNAZIONI!P$8:P$872,$D104))</f>
        <v>0</v>
      </c>
      <c r="N104" s="160" t="n">
        <f aca="false">IF($D104="","",COUNTIF(DESIGNAZIONI!Q$8:Q$872,$D104))</f>
        <v>0</v>
      </c>
      <c r="O104" s="160" t="n">
        <f aca="false">IF($D104="","",COUNTIF(DESIGNAZIONI!R$8:R$872,$D104))</f>
        <v>0</v>
      </c>
    </row>
  </sheetData>
  <mergeCells count="1">
    <mergeCell ref="C5:C104"/>
  </mergeCells>
  <conditionalFormatting sqref="L5:O104">
    <cfRule type="colorScale" priority="2">
      <colorScale>
        <cfvo type="min" val="0"/>
        <cfvo type="max" val="0"/>
        <color rgb="FFFFFFFF"/>
        <color rgb="FF3D85C6"/>
      </colorScale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E9D24"/>
    <pageSetUpPr fitToPage="true"/>
  </sheetPr>
  <dimension ref="A1:A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57" t="s">
        <v>751</v>
      </c>
    </row>
    <row r="3" customFormat="false" ht="15" hidden="false" customHeight="false" outlineLevel="0" collapsed="false">
      <c r="A3" s="161" t="s">
        <v>752</v>
      </c>
    </row>
    <row r="4" customFormat="false" ht="15" hidden="false" customHeight="false" outlineLevel="0" collapsed="false">
      <c r="A4" s="161" t="s">
        <v>753</v>
      </c>
    </row>
    <row r="5" customFormat="false" ht="15" hidden="false" customHeight="false" outlineLevel="0" collapsed="false">
      <c r="A5" s="161" t="s">
        <v>754</v>
      </c>
    </row>
    <row r="6" customFormat="false" ht="15" hidden="false" customHeight="false" outlineLevel="0" collapsed="false">
      <c r="A6" s="161" t="s">
        <v>755</v>
      </c>
    </row>
    <row r="7" customFormat="false" ht="15" hidden="false" customHeight="false" outlineLevel="0" collapsed="false">
      <c r="A7" s="161" t="s">
        <v>756</v>
      </c>
    </row>
    <row r="8" customFormat="false" ht="15" hidden="false" customHeight="false" outlineLevel="0" collapsed="false">
      <c r="A8" s="161" t="s">
        <v>757</v>
      </c>
    </row>
    <row r="9" customFormat="false" ht="15" hidden="false" customHeight="false" outlineLevel="0" collapsed="false">
      <c r="A9" s="161" t="s">
        <v>758</v>
      </c>
    </row>
    <row r="10" customFormat="false" ht="15" hidden="false" customHeight="false" outlineLevel="0" collapsed="false">
      <c r="A10" s="161" t="s">
        <v>759</v>
      </c>
    </row>
    <row r="11" customFormat="false" ht="15" hidden="false" customHeight="false" outlineLevel="0" collapsed="false">
      <c r="A11" s="161" t="s">
        <v>760</v>
      </c>
    </row>
    <row r="12" customFormat="false" ht="15" hidden="false" customHeight="false" outlineLevel="0" collapsed="false">
      <c r="A12" s="161" t="s">
        <v>761</v>
      </c>
    </row>
    <row r="13" customFormat="false" ht="15" hidden="false" customHeight="false" outlineLevel="0" collapsed="false">
      <c r="A13" s="161" t="s">
        <v>762</v>
      </c>
    </row>
    <row r="14" customFormat="false" ht="15" hidden="false" customHeight="false" outlineLevel="0" collapsed="false">
      <c r="A14" s="161" t="s">
        <v>763</v>
      </c>
    </row>
    <row r="15" customFormat="false" ht="15" hidden="false" customHeight="false" outlineLevel="0" collapsed="false">
      <c r="A15" s="161" t="s">
        <v>764</v>
      </c>
    </row>
    <row r="16" customFormat="false" ht="15" hidden="false" customHeight="false" outlineLevel="0" collapsed="false">
      <c r="A16" s="161" t="s">
        <v>765</v>
      </c>
    </row>
    <row r="17" customFormat="false" ht="15" hidden="false" customHeight="false" outlineLevel="0" collapsed="false">
      <c r="A17" s="161" t="s">
        <v>766</v>
      </c>
    </row>
    <row r="18" customFormat="false" ht="15" hidden="false" customHeight="false" outlineLevel="0" collapsed="false">
      <c r="A18" s="161" t="s">
        <v>767</v>
      </c>
    </row>
    <row r="19" customFormat="false" ht="15" hidden="false" customHeight="false" outlineLevel="0" collapsed="false">
      <c r="A19" s="161" t="s">
        <v>768</v>
      </c>
    </row>
    <row r="20" customFormat="false" ht="15" hidden="false" customHeight="false" outlineLevel="0" collapsed="false">
      <c r="A20" s="161" t="s">
        <v>769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575"/>
    <pageSetUpPr fitToPage="false"/>
  </sheetPr>
  <dimension ref="A1:I2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46"/>
    <col collapsed="false" customWidth="true" hidden="false" outlineLevel="0" max="8" min="8" style="0" width="40"/>
    <col collapsed="false" customWidth="true" hidden="false" outlineLevel="0" max="9" min="9" style="0" width="30"/>
  </cols>
  <sheetData>
    <row r="1" customFormat="false" ht="74.6" hidden="false" customHeight="false" outlineLevel="0" collapsed="false">
      <c r="A1" s="162" t="str">
        <f aca="false">"BEGIN:VCALENDAR
VERSION:2.0
PRODID:ClaudeCoworkBaskin
CALSCALE:GREGORIAN
BEGIN:VTIMEZONE
TZID:Europe/Rome
END:VTIMEZONE"</f>
        <v>BEGIN:VCALENDAR
VERSION:2.0
PRODID:ClaudeCoworkBaskin
CALSCALE:GREGORIAN
BEGIN:VTIMEZONE
TZID:Europe/Rome
END:VTIMEZONE</v>
      </c>
      <c r="B1" s="37" t="s">
        <v>770</v>
      </c>
      <c r="C1" s="37" t="s">
        <v>771</v>
      </c>
      <c r="D1" s="37" t="s">
        <v>772</v>
      </c>
      <c r="E1" s="37" t="s">
        <v>773</v>
      </c>
      <c r="F1" s="37" t="s">
        <v>774</v>
      </c>
      <c r="G1" s="37" t="s">
        <v>775</v>
      </c>
      <c r="H1" s="37" t="s">
        <v>776</v>
      </c>
      <c r="I1" s="37" t="s">
        <v>777</v>
      </c>
    </row>
    <row r="2" customFormat="false" ht="95.5" hidden="false" customHeight="false" outlineLevel="0" collapsed="false">
      <c r="A2" s="162" t="str">
        <f aca="true"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>BEGIN:VEVENT
DTSTAMP:20260907T000001Z
UID:evt1@ClaudeCoworkBaskin
DTSTART;TZID=Europe/Rome:20261018T093000
DTEND;TZID=Europe/Rome:20261018T113000
SUMMARY:Anaconde Arrabbiate vs Ippopotami Iracondi
LOCATION:PalaAnaconde, Via dello Sport 1, Anacondeopoli AE
DESCRIPTION:Campionato Baskin Demo - ESEMPIO COMPILATO 64 Squadre 2026/2027
END:VEVENT</v>
      </c>
      <c r="B2" s="162" t="str">
        <f aca="false">IF('Calendario A'!$B10="","",'Calendario A'!$B10&amp;" vs "&amp;'Calendario A'!$D10)</f>
        <v>Anaconde Arrabbiate vs Ippopotami Iracondi</v>
      </c>
      <c r="C2" s="163" t="n">
        <f aca="false">IF($B2="","",DATE(YEAR('Calendario A'!$F10),MONTH('Calendario A'!$F10),DAY('Calendario A'!$F10)))</f>
        <v>46313</v>
      </c>
      <c r="D2" s="164" t="n">
        <f aca="false">IF($B2="","",TIME(HOUR('Calendario A'!$F10),MINUTE('Calendario A'!$F10),0))</f>
        <v>0.395833333333333</v>
      </c>
      <c r="E2" s="163" t="n">
        <f aca="false">IF($B2="","",DATE(YEAR('Calendario A'!$F10),MONTH('Calendario A'!$F10),DAY('Calendario A'!$F10)))</f>
        <v>46313</v>
      </c>
      <c r="F2" s="164" t="n">
        <f aca="false">IF($B2="","",TIME(HOUR('Calendario A'!$F10)+2,MINUTE('Calendario A'!$F10),0))</f>
        <v>0.479166666666667</v>
      </c>
      <c r="G2" s="162" t="str">
        <f aca="false">IF($B2="","",'Calendario A'!$B11)</f>
        <v>PalaAnaconde, Via dello Sport 1, Anacondeopoli AE</v>
      </c>
      <c r="H2" s="162" t="str">
        <f aca="false">IF($B2="","",Campionato!$D$1&amp;" "&amp;Campionato!$D$5)</f>
        <v>Campionato Baskin Demo - ESEMPIO COMPILATO 64 Squadre 2026/2027</v>
      </c>
      <c r="I2" s="162"/>
    </row>
    <row r="3" customFormat="false" ht="95.5" hidden="false" customHeight="false" outlineLevel="0" collapsed="false">
      <c r="A3" s="162" t="str">
        <f aca="true"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>BEGIN:VEVENT
DTSTAMP:20260907T000001Z
UID:evt2@ClaudeCoworkBaskin
DTSTART;TZID=Europe/Rome:20261018T113000
DTEND;TZID=Europe/Rome:20261018T133000
SUMMARY:Gazzelle Gagliarde vs Bufali Belligeranti
LOCATION:PalaAnaconde, Via dello Sport 1, Anacondeopoli AE
DESCRIPTION:Campionato Baskin Demo - ESEMPIO COMPILATO 64 Squadre 2026/2027
END:VEVENT</v>
      </c>
      <c r="B3" s="162" t="str">
        <f aca="false">IF('Calendario A'!$B13="","",'Calendario A'!$B13&amp;" vs "&amp;'Calendario A'!$D13)</f>
        <v>Gazzelle Gagliarde vs Bufali Belligeranti</v>
      </c>
      <c r="C3" s="163" t="n">
        <f aca="false">IF($B3="","",DATE(YEAR('Calendario A'!$F13),MONTH('Calendario A'!$F13),DAY('Calendario A'!$F13)))</f>
        <v>46313</v>
      </c>
      <c r="D3" s="164" t="n">
        <f aca="false">IF($B3="","",TIME(HOUR('Calendario A'!$F13),MINUTE('Calendario A'!$F13),0))</f>
        <v>0.479166666666667</v>
      </c>
      <c r="E3" s="163" t="n">
        <f aca="false">IF($B3="","",DATE(YEAR('Calendario A'!$F13),MONTH('Calendario A'!$F13),DAY('Calendario A'!$F13)))</f>
        <v>46313</v>
      </c>
      <c r="F3" s="164" t="n">
        <f aca="false">IF($B3="","",TIME(HOUR('Calendario A'!$F13)+2,MINUTE('Calendario A'!$F13),0))</f>
        <v>0.5625</v>
      </c>
      <c r="G3" s="162" t="str">
        <f aca="false">IF($B3="","",'Calendario A'!$B14)</f>
        <v>PalaAnaconde, Via dello Sport 1, Anacondeopoli AE</v>
      </c>
      <c r="H3" s="162" t="str">
        <f aca="false">IF($B3="","",Campionato!$D$1&amp;" "&amp;Campionato!$D$5)</f>
        <v>Campionato Baskin Demo - ESEMPIO COMPILATO 64 Squadre 2026/2027</v>
      </c>
      <c r="I3" s="162"/>
    </row>
    <row r="4" customFormat="false" ht="95.5" hidden="false" customHeight="false" outlineLevel="0" collapsed="false">
      <c r="A4" s="162" t="str">
        <f aca="true"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>BEGIN:VEVENT
DTSTAMP:20260907T000001Z
UID:evt3@ClaudeCoworkBaskin
DTSTART;TZID=Europe/Rome:20261018T150000
DTEND;TZID=Europe/Rome:20261018T170000
SUMMARY:Cobra Coraggiosi vs Falchi Furiosi
LOCATION:PalaAnaconde, Via dello Sport 1, Anacondeopoli AE
DESCRIPTION:Campionato Baskin Demo - ESEMPIO COMPILATO 64 Squadre 2026/2027
END:VEVENT</v>
      </c>
      <c r="B4" s="162" t="str">
        <f aca="false">IF('Calendario A'!$B16="","",'Calendario A'!$B16&amp;" vs "&amp;'Calendario A'!$D16)</f>
        <v>Cobra Coraggiosi vs Falchi Furiosi</v>
      </c>
      <c r="C4" s="163" t="n">
        <f aca="false">IF($B4="","",DATE(YEAR('Calendario A'!$F16),MONTH('Calendario A'!$F16),DAY('Calendario A'!$F16)))</f>
        <v>46313</v>
      </c>
      <c r="D4" s="164" t="n">
        <f aca="false">IF($B4="","",TIME(HOUR('Calendario A'!$F16),MINUTE('Calendario A'!$F16),0))</f>
        <v>0.625</v>
      </c>
      <c r="E4" s="163" t="n">
        <f aca="false">IF($B4="","",DATE(YEAR('Calendario A'!$F16),MONTH('Calendario A'!$F16),DAY('Calendario A'!$F16)))</f>
        <v>46313</v>
      </c>
      <c r="F4" s="164" t="n">
        <f aca="false">IF($B4="","",TIME(HOUR('Calendario A'!$F16)+2,MINUTE('Calendario A'!$F16),0))</f>
        <v>0.708333333333333</v>
      </c>
      <c r="G4" s="162" t="str">
        <f aca="false">IF($B4="","",'Calendario A'!$B17)</f>
        <v>PalaAnaconde, Via dello Sport 1, Anacondeopoli AE</v>
      </c>
      <c r="H4" s="162" t="str">
        <f aca="false">IF($B4="","",Campionato!$D$1&amp;" "&amp;Campionato!$D$5)</f>
        <v>Campionato Baskin Demo - ESEMPIO COMPILATO 64 Squadre 2026/2027</v>
      </c>
      <c r="I4" s="162"/>
    </row>
    <row r="5" customFormat="false" ht="95.5" hidden="false" customHeight="false" outlineLevel="0" collapsed="false">
      <c r="A5" s="162" t="str">
        <f aca="true"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>BEGIN:VEVENT
DTSTAMP:20260907T000001Z
UID:evt4@ClaudeCoworkBaskin
DTSTART;TZID=Europe/Rome:20261018T170000
DTEND;TZID=Europe/Rome:20261018T190000
SUMMARY:Ermellini Eleganti vs Delfini Dispettosi
LOCATION:PalaAnaconde, Via dello Sport 1, Anacondeopoli AE
DESCRIPTION:Campionato Baskin Demo - ESEMPIO COMPILATO 64 Squadre 2026/2027
END:VEVENT</v>
      </c>
      <c r="B5" s="162" t="str">
        <f aca="false">IF('Calendario A'!$B19="","",'Calendario A'!$B19&amp;" vs "&amp;'Calendario A'!$D19)</f>
        <v>Ermellini Eleganti vs Delfini Dispettosi</v>
      </c>
      <c r="C5" s="163" t="n">
        <f aca="false">IF($B5="","",DATE(YEAR('Calendario A'!$F19),MONTH('Calendario A'!$F19),DAY('Calendario A'!$F19)))</f>
        <v>46313</v>
      </c>
      <c r="D5" s="164" t="n">
        <f aca="false">IF($B5="","",TIME(HOUR('Calendario A'!$F19),MINUTE('Calendario A'!$F19),0))</f>
        <v>0.708333333333333</v>
      </c>
      <c r="E5" s="163" t="n">
        <f aca="false">IF($B5="","",DATE(YEAR('Calendario A'!$F19),MONTH('Calendario A'!$F19),DAY('Calendario A'!$F19)))</f>
        <v>46313</v>
      </c>
      <c r="F5" s="164" t="n">
        <f aca="false">IF($B5="","",TIME(HOUR('Calendario A'!$F19)+2,MINUTE('Calendario A'!$F19),0))</f>
        <v>0.791666666666667</v>
      </c>
      <c r="G5" s="162" t="str">
        <f aca="false">IF($B5="","",'Calendario A'!$B20)</f>
        <v>PalaAnaconde, Via dello Sport 1, Anacondeopoli AE</v>
      </c>
      <c r="H5" s="162" t="str">
        <f aca="false">IF($B5="","",Campionato!$D$1&amp;" "&amp;Campionato!$D$5)</f>
        <v>Campionato Baskin Demo - ESEMPIO COMPILATO 64 Squadre 2026/2027</v>
      </c>
      <c r="I5" s="162"/>
    </row>
    <row r="6" customFormat="false" ht="95.5" hidden="false" customHeight="false" outlineLevel="0" collapsed="false">
      <c r="A6" s="162" t="str">
        <f aca="true"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>BEGIN:VEVENT
DTSTAMP:20260907T000001Z
UID:evt5@ClaudeCoworkBaskin
DTSTART;TZID=Europe/Rome:20261108T093000
DTEND;TZID=Europe/Rome:20261108T113000
SUMMARY:Gazzelle Gagliarde vs Anaconde Arrabbiate
LOCATION:PalaBufali, Via dello Sport 2, Bufaliopoli BI
DESCRIPTION:Campionato Baskin Demo - ESEMPIO COMPILATO 64 Squadre 2026/2027
END:VEVENT</v>
      </c>
      <c r="B6" s="162" t="str">
        <f aca="false">IF('Calendario A'!$B24="","",'Calendario A'!$B24&amp;" vs "&amp;'Calendario A'!$D24)</f>
        <v>Gazzelle Gagliarde vs Anaconde Arrabbiate</v>
      </c>
      <c r="C6" s="163" t="n">
        <f aca="false">IF($B6="","",DATE(YEAR('Calendario A'!$F24),MONTH('Calendario A'!$F24),DAY('Calendario A'!$F24)))</f>
        <v>46334</v>
      </c>
      <c r="D6" s="164" t="n">
        <f aca="false">IF($B6="","",TIME(HOUR('Calendario A'!$F24),MINUTE('Calendario A'!$F24),0))</f>
        <v>0.395833333333333</v>
      </c>
      <c r="E6" s="163" t="n">
        <f aca="false">IF($B6="","",DATE(YEAR('Calendario A'!$F24),MONTH('Calendario A'!$F24),DAY('Calendario A'!$F24)))</f>
        <v>46334</v>
      </c>
      <c r="F6" s="164" t="n">
        <f aca="false">IF($B6="","",TIME(HOUR('Calendario A'!$F24)+2,MINUTE('Calendario A'!$F24),0))</f>
        <v>0.479166666666667</v>
      </c>
      <c r="G6" s="162" t="str">
        <f aca="false">IF($B6="","",'Calendario A'!$B25)</f>
        <v>PalaBufali, Via dello Sport 2, Bufaliopoli BI</v>
      </c>
      <c r="H6" s="162" t="str">
        <f aca="false">IF($B6="","",Campionato!$D$1&amp;" "&amp;Campionato!$D$5)</f>
        <v>Campionato Baskin Demo - ESEMPIO COMPILATO 64 Squadre 2026/2027</v>
      </c>
      <c r="I6" s="162"/>
    </row>
    <row r="7" customFormat="false" ht="95.5" hidden="false" customHeight="false" outlineLevel="0" collapsed="false">
      <c r="A7" s="162" t="str">
        <f aca="true"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>BEGIN:VEVENT
DTSTAMP:20260907T000001Z
UID:evt6@ClaudeCoworkBaskin
DTSTART;TZID=Europe/Rome:20261108T113000
DTEND;TZID=Europe/Rome:20261108T133000
SUMMARY:Ippopotami Iracondi vs Falchi Furiosi
LOCATION:PalaBufali, Via dello Sport 2, Bufaliopoli BI
DESCRIPTION:Campionato Baskin Demo - ESEMPIO COMPILATO 64 Squadre 2026/2027
END:VEVENT</v>
      </c>
      <c r="B7" s="162" t="str">
        <f aca="false">IF('Calendario A'!$B27="","",'Calendario A'!$B27&amp;" vs "&amp;'Calendario A'!$D27)</f>
        <v>Ippopotami Iracondi vs Falchi Furiosi</v>
      </c>
      <c r="C7" s="163" t="n">
        <f aca="false">IF($B7="","",DATE(YEAR('Calendario A'!$F27),MONTH('Calendario A'!$F27),DAY('Calendario A'!$F27)))</f>
        <v>46334</v>
      </c>
      <c r="D7" s="164" t="n">
        <f aca="false">IF($B7="","",TIME(HOUR('Calendario A'!$F27),MINUTE('Calendario A'!$F27),0))</f>
        <v>0.479166666666667</v>
      </c>
      <c r="E7" s="163" t="n">
        <f aca="false">IF($B7="","",DATE(YEAR('Calendario A'!$F27),MONTH('Calendario A'!$F27),DAY('Calendario A'!$F27)))</f>
        <v>46334</v>
      </c>
      <c r="F7" s="164" t="n">
        <f aca="false">IF($B7="","",TIME(HOUR('Calendario A'!$F27)+2,MINUTE('Calendario A'!$F27),0))</f>
        <v>0.5625</v>
      </c>
      <c r="G7" s="162" t="str">
        <f aca="false">IF($B7="","",'Calendario A'!$B28)</f>
        <v>PalaBufali, Via dello Sport 2, Bufaliopoli BI</v>
      </c>
      <c r="H7" s="162" t="str">
        <f aca="false">IF($B7="","",Campionato!$D$1&amp;" "&amp;Campionato!$D$5)</f>
        <v>Campionato Baskin Demo - ESEMPIO COMPILATO 64 Squadre 2026/2027</v>
      </c>
      <c r="I7" s="162"/>
    </row>
    <row r="8" customFormat="false" ht="95.5" hidden="false" customHeight="false" outlineLevel="0" collapsed="false">
      <c r="A8" s="162" t="str">
        <f aca="true"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>BEGIN:VEVENT
DTSTAMP:20260907T000001Z
UID:evt7@ClaudeCoworkBaskin
DTSTART;TZID=Europe/Rome:20261108T150000
DTEND;TZID=Europe/Rome:20261108T170000
SUMMARY:Ermellini Eleganti vs Bufali Belligeranti
LOCATION:PalaBufali, Via dello Sport 2, Bufaliopoli BI
DESCRIPTION:Campionato Baskin Demo - ESEMPIO COMPILATO 64 Squadre 2026/2027
END:VEVENT</v>
      </c>
      <c r="B8" s="162" t="str">
        <f aca="false">IF('Calendario A'!$B30="","",'Calendario A'!$B30&amp;" vs "&amp;'Calendario A'!$D30)</f>
        <v>Ermellini Eleganti vs Bufali Belligeranti</v>
      </c>
      <c r="C8" s="163" t="n">
        <f aca="false">IF($B8="","",DATE(YEAR('Calendario A'!$F30),MONTH('Calendario A'!$F30),DAY('Calendario A'!$F30)))</f>
        <v>46334</v>
      </c>
      <c r="D8" s="164" t="n">
        <f aca="false">IF($B8="","",TIME(HOUR('Calendario A'!$F30),MINUTE('Calendario A'!$F30),0))</f>
        <v>0.625</v>
      </c>
      <c r="E8" s="163" t="n">
        <f aca="false">IF($B8="","",DATE(YEAR('Calendario A'!$F30),MONTH('Calendario A'!$F30),DAY('Calendario A'!$F30)))</f>
        <v>46334</v>
      </c>
      <c r="F8" s="164" t="n">
        <f aca="false">IF($B8="","",TIME(HOUR('Calendario A'!$F30)+2,MINUTE('Calendario A'!$F30),0))</f>
        <v>0.708333333333333</v>
      </c>
      <c r="G8" s="162" t="str">
        <f aca="false">IF($B8="","",'Calendario A'!$B31)</f>
        <v>PalaBufali, Via dello Sport 2, Bufaliopoli BI</v>
      </c>
      <c r="H8" s="162" t="str">
        <f aca="false">IF($B8="","",Campionato!$D$1&amp;" "&amp;Campionato!$D$5)</f>
        <v>Campionato Baskin Demo - ESEMPIO COMPILATO 64 Squadre 2026/2027</v>
      </c>
      <c r="I8" s="162"/>
    </row>
    <row r="9" customFormat="false" ht="95.5" hidden="false" customHeight="false" outlineLevel="0" collapsed="false">
      <c r="A9" s="162" t="str">
        <f aca="true"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>BEGIN:VEVENT
DTSTAMP:20260907T000001Z
UID:evt8@ClaudeCoworkBaskin
DTSTART;TZID=Europe/Rome:20261108T170000
DTEND;TZID=Europe/Rome:20261108T190000
SUMMARY:Cobra Coraggiosi vs Delfini Dispettosi
LOCATION:PalaBufali, Via dello Sport 2, Bufaliopoli BI
DESCRIPTION:Campionato Baskin Demo - ESEMPIO COMPILATO 64 Squadre 2026/2027
END:VEVENT</v>
      </c>
      <c r="B9" s="162" t="str">
        <f aca="false">IF('Calendario A'!$B33="","",'Calendario A'!$B33&amp;" vs "&amp;'Calendario A'!$D33)</f>
        <v>Cobra Coraggiosi vs Delfini Dispettosi</v>
      </c>
      <c r="C9" s="163" t="n">
        <f aca="false">IF($B9="","",DATE(YEAR('Calendario A'!$F33),MONTH('Calendario A'!$F33),DAY('Calendario A'!$F33)))</f>
        <v>46334</v>
      </c>
      <c r="D9" s="164" t="n">
        <f aca="false">IF($B9="","",TIME(HOUR('Calendario A'!$F33),MINUTE('Calendario A'!$F33),0))</f>
        <v>0.708333333333333</v>
      </c>
      <c r="E9" s="163" t="n">
        <f aca="false">IF($B9="","",DATE(YEAR('Calendario A'!$F33),MONTH('Calendario A'!$F33),DAY('Calendario A'!$F33)))</f>
        <v>46334</v>
      </c>
      <c r="F9" s="164" t="n">
        <f aca="false">IF($B9="","",TIME(HOUR('Calendario A'!$F33)+2,MINUTE('Calendario A'!$F33),0))</f>
        <v>0.791666666666667</v>
      </c>
      <c r="G9" s="162" t="str">
        <f aca="false">IF($B9="","",'Calendario A'!$B34)</f>
        <v>PalaBufali, Via dello Sport 2, Bufaliopoli BI</v>
      </c>
      <c r="H9" s="162" t="str">
        <f aca="false">IF($B9="","",Campionato!$D$1&amp;" "&amp;Campionato!$D$5)</f>
        <v>Campionato Baskin Demo - ESEMPIO COMPILATO 64 Squadre 2026/2027</v>
      </c>
      <c r="I9" s="162"/>
    </row>
    <row r="10" customFormat="false" ht="95.5" hidden="false" customHeight="false" outlineLevel="0" collapsed="false">
      <c r="A10" s="162" t="str">
        <f aca="true"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>BEGIN:VEVENT
DTSTAMP:20260907T000001Z
UID:evt9@ClaudeCoworkBaskin
DTSTART;TZID=Europe/Rome:20261129T093000
DTEND;TZID=Europe/Rome:20261129T113000
SUMMARY:Anaconde Arrabbiate vs Falchi Furiosi
LOCATION:PalaCobra, Via dello Sport 3, Cobraopoli CA
DESCRIPTION:Campionato Baskin Demo - ESEMPIO COMPILATO 64 Squadre 2026/2027
END:VEVENT</v>
      </c>
      <c r="B10" s="162" t="str">
        <f aca="false">IF('Calendario A'!$B38="","",'Calendario A'!$B38&amp;" vs "&amp;'Calendario A'!$D38)</f>
        <v>Anaconde Arrabbiate vs Falchi Furiosi</v>
      </c>
      <c r="C10" s="163" t="n">
        <f aca="false">IF($B10="","",DATE(YEAR('Calendario A'!$F38),MONTH('Calendario A'!$F38),DAY('Calendario A'!$F38)))</f>
        <v>46355</v>
      </c>
      <c r="D10" s="164" t="n">
        <f aca="false">IF($B10="","",TIME(HOUR('Calendario A'!$F38),MINUTE('Calendario A'!$F38),0))</f>
        <v>0.395833333333333</v>
      </c>
      <c r="E10" s="163" t="n">
        <f aca="false">IF($B10="","",DATE(YEAR('Calendario A'!$F38),MONTH('Calendario A'!$F38),DAY('Calendario A'!$F38)))</f>
        <v>46355</v>
      </c>
      <c r="F10" s="164" t="n">
        <f aca="false">IF($B10="","",TIME(HOUR('Calendario A'!$F38)+2,MINUTE('Calendario A'!$F38),0))</f>
        <v>0.479166666666667</v>
      </c>
      <c r="G10" s="162" t="str">
        <f aca="false">IF($B10="","",'Calendario A'!$B39)</f>
        <v>PalaCobra, Via dello Sport 3, Cobraopoli CA</v>
      </c>
      <c r="H10" s="162" t="str">
        <f aca="false">IF($B10="","",Campionato!$D$1&amp;" "&amp;Campionato!$D$5)</f>
        <v>Campionato Baskin Demo - ESEMPIO COMPILATO 64 Squadre 2026/2027</v>
      </c>
      <c r="I10" s="162"/>
    </row>
    <row r="11" customFormat="false" ht="95.5" hidden="false" customHeight="false" outlineLevel="0" collapsed="false">
      <c r="A11" s="162" t="str">
        <f aca="true"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>BEGIN:VEVENT
DTSTAMP:20260907T000001Z
UID:evt10@ClaudeCoworkBaskin
DTSTART;TZID=Europe/Rome:20261129T113000
DTEND;TZID=Europe/Rome:20261129T133000
SUMMARY:Ermellini Eleganti vs Gazzelle Gagliarde
LOCATION:PalaCobra, Via dello Sport 3, Cobraopoli CA
DESCRIPTION:Campionato Baskin Demo - ESEMPIO COMPILATO 64 Squadre 2026/2027
END:VEVENT</v>
      </c>
      <c r="B11" s="162" t="str">
        <f aca="false">IF('Calendario A'!$B41="","",'Calendario A'!$B41&amp;" vs "&amp;'Calendario A'!$D41)</f>
        <v>Ermellini Eleganti vs Gazzelle Gagliarde</v>
      </c>
      <c r="C11" s="163" t="n">
        <f aca="false">IF($B11="","",DATE(YEAR('Calendario A'!$F41),MONTH('Calendario A'!$F41),DAY('Calendario A'!$F41)))</f>
        <v>46355</v>
      </c>
      <c r="D11" s="164" t="n">
        <f aca="false">IF($B11="","",TIME(HOUR('Calendario A'!$F41),MINUTE('Calendario A'!$F41),0))</f>
        <v>0.479166666666667</v>
      </c>
      <c r="E11" s="163" t="n">
        <f aca="false">IF($B11="","",DATE(YEAR('Calendario A'!$F41),MONTH('Calendario A'!$F41),DAY('Calendario A'!$F41)))</f>
        <v>46355</v>
      </c>
      <c r="F11" s="164" t="n">
        <f aca="false">IF($B11="","",TIME(HOUR('Calendario A'!$F41)+2,MINUTE('Calendario A'!$F41),0))</f>
        <v>0.5625</v>
      </c>
      <c r="G11" s="162" t="str">
        <f aca="false">IF($B11="","",'Calendario A'!$B42)</f>
        <v>PalaCobra, Via dello Sport 3, Cobraopoli CA</v>
      </c>
      <c r="H11" s="162" t="str">
        <f aca="false">IF($B11="","",Campionato!$D$1&amp;" "&amp;Campionato!$D$5)</f>
        <v>Campionato Baskin Demo - ESEMPIO COMPILATO 64 Squadre 2026/2027</v>
      </c>
      <c r="I11" s="162"/>
    </row>
    <row r="12" customFormat="false" ht="95.5" hidden="false" customHeight="false" outlineLevel="0" collapsed="false">
      <c r="A12" s="162" t="str">
        <f aca="true"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>BEGIN:VEVENT
DTSTAMP:20260907T000001Z
UID:evt11@ClaudeCoworkBaskin
DTSTART;TZID=Europe/Rome:20261129T150000
DTEND;TZID=Europe/Rome:20261129T170000
SUMMARY:Ippopotami Iracondi vs Delfini Dispettosi
LOCATION:PalaCobra, Via dello Sport 3, Cobraopoli CA
DESCRIPTION:Campionato Baskin Demo - ESEMPIO COMPILATO 64 Squadre 2026/2027
END:VEVENT</v>
      </c>
      <c r="B12" s="162" t="str">
        <f aca="false">IF('Calendario A'!$B44="","",'Calendario A'!$B44&amp;" vs "&amp;'Calendario A'!$D44)</f>
        <v>Ippopotami Iracondi vs Delfini Dispettosi</v>
      </c>
      <c r="C12" s="163" t="n">
        <f aca="false">IF($B12="","",DATE(YEAR('Calendario A'!$F44),MONTH('Calendario A'!$F44),DAY('Calendario A'!$F44)))</f>
        <v>46355</v>
      </c>
      <c r="D12" s="164" t="n">
        <f aca="false">IF($B12="","",TIME(HOUR('Calendario A'!$F44),MINUTE('Calendario A'!$F44),0))</f>
        <v>0.625</v>
      </c>
      <c r="E12" s="163" t="n">
        <f aca="false">IF($B12="","",DATE(YEAR('Calendario A'!$F44),MONTH('Calendario A'!$F44),DAY('Calendario A'!$F44)))</f>
        <v>46355</v>
      </c>
      <c r="F12" s="164" t="n">
        <f aca="false">IF($B12="","",TIME(HOUR('Calendario A'!$F44)+2,MINUTE('Calendario A'!$F44),0))</f>
        <v>0.708333333333333</v>
      </c>
      <c r="G12" s="162" t="str">
        <f aca="false">IF($B12="","",'Calendario A'!$B45)</f>
        <v>PalaCobra, Via dello Sport 3, Cobraopoli CA</v>
      </c>
      <c r="H12" s="162" t="str">
        <f aca="false">IF($B12="","",Campionato!$D$1&amp;" "&amp;Campionato!$D$5)</f>
        <v>Campionato Baskin Demo - ESEMPIO COMPILATO 64 Squadre 2026/2027</v>
      </c>
      <c r="I12" s="162"/>
    </row>
    <row r="13" customFormat="false" ht="95.5" hidden="false" customHeight="false" outlineLevel="0" collapsed="false">
      <c r="A13" s="162" t="str">
        <f aca="true"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>BEGIN:VEVENT
DTSTAMP:20260907T000001Z
UID:evt12@ClaudeCoworkBaskin
DTSTART;TZID=Europe/Rome:20261129T170000
DTEND;TZID=Europe/Rome:20261129T190000
SUMMARY:Cobra Coraggiosi vs Bufali Belligeranti
LOCATION:PalaCobra, Via dello Sport 3, Cobraopoli CA
DESCRIPTION:Campionato Baskin Demo - ESEMPIO COMPILATO 64 Squadre 2026/2027
END:VEVENT</v>
      </c>
      <c r="B13" s="162" t="str">
        <f aca="false">IF('Calendario A'!$B47="","",'Calendario A'!$B47&amp;" vs "&amp;'Calendario A'!$D47)</f>
        <v>Cobra Coraggiosi vs Bufali Belligeranti</v>
      </c>
      <c r="C13" s="163" t="n">
        <f aca="false">IF($B13="","",DATE(YEAR('Calendario A'!$F47),MONTH('Calendario A'!$F47),DAY('Calendario A'!$F47)))</f>
        <v>46355</v>
      </c>
      <c r="D13" s="164" t="n">
        <f aca="false">IF($B13="","",TIME(HOUR('Calendario A'!$F47),MINUTE('Calendario A'!$F47),0))</f>
        <v>0.708333333333333</v>
      </c>
      <c r="E13" s="163" t="n">
        <f aca="false">IF($B13="","",DATE(YEAR('Calendario A'!$F47),MONTH('Calendario A'!$F47),DAY('Calendario A'!$F47)))</f>
        <v>46355</v>
      </c>
      <c r="F13" s="164" t="n">
        <f aca="false">IF($B13="","",TIME(HOUR('Calendario A'!$F47)+2,MINUTE('Calendario A'!$F47),0))</f>
        <v>0.791666666666667</v>
      </c>
      <c r="G13" s="162" t="str">
        <f aca="false">IF($B13="","",'Calendario A'!$B48)</f>
        <v>PalaCobra, Via dello Sport 3, Cobraopoli CA</v>
      </c>
      <c r="H13" s="162" t="str">
        <f aca="false">IF($B13="","",Campionato!$D$1&amp;" "&amp;Campionato!$D$5)</f>
        <v>Campionato Baskin Demo - ESEMPIO COMPILATO 64 Squadre 2026/2027</v>
      </c>
      <c r="I13" s="162"/>
    </row>
    <row r="14" customFormat="false" ht="95.5" hidden="false" customHeight="false" outlineLevel="0" collapsed="false">
      <c r="A14" s="162" t="str">
        <f aca="true"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>BEGIN:VEVENT
DTSTAMP:20260907T000001Z
UID:evt13@ClaudeCoworkBaskin
DTSTART;TZID=Europe/Rome:20261213T093000
DTEND;TZID=Europe/Rome:20261213T113000
SUMMARY:Ermellini Eleganti vs Anaconde Arrabbiate
LOCATION:PalaDelfini, Via dello Sport 4, Delfiniopoli DI
DESCRIPTION:Campionato Baskin Demo - ESEMPIO COMPILATO 64 Squadre 2026/2027
END:VEVENT</v>
      </c>
      <c r="B14" s="162" t="str">
        <f aca="false">IF('Calendario A'!$B52="","",'Calendario A'!$B52&amp;" vs "&amp;'Calendario A'!$D52)</f>
        <v>Ermellini Eleganti vs Anaconde Arrabbiate</v>
      </c>
      <c r="C14" s="163" t="n">
        <f aca="false">IF($B14="","",DATE(YEAR('Calendario A'!$F52),MONTH('Calendario A'!$F52),DAY('Calendario A'!$F52)))</f>
        <v>46369</v>
      </c>
      <c r="D14" s="164" t="n">
        <f aca="false">IF($B14="","",TIME(HOUR('Calendario A'!$F52),MINUTE('Calendario A'!$F52),0))</f>
        <v>0.395833333333333</v>
      </c>
      <c r="E14" s="163" t="n">
        <f aca="false">IF($B14="","",DATE(YEAR('Calendario A'!$F52),MONTH('Calendario A'!$F52),DAY('Calendario A'!$F52)))</f>
        <v>46369</v>
      </c>
      <c r="F14" s="164" t="n">
        <f aca="false">IF($B14="","",TIME(HOUR('Calendario A'!$F52)+2,MINUTE('Calendario A'!$F52),0))</f>
        <v>0.479166666666667</v>
      </c>
      <c r="G14" s="162" t="str">
        <f aca="false">IF($B14="","",'Calendario A'!$B53)</f>
        <v>PalaDelfini, Via dello Sport 4, Delfiniopoli DI</v>
      </c>
      <c r="H14" s="162" t="str">
        <f aca="false">IF($B14="","",Campionato!$D$1&amp;" "&amp;Campionato!$D$5)</f>
        <v>Campionato Baskin Demo - ESEMPIO COMPILATO 64 Squadre 2026/2027</v>
      </c>
      <c r="I14" s="162"/>
    </row>
    <row r="15" customFormat="false" ht="95.5" hidden="false" customHeight="false" outlineLevel="0" collapsed="false">
      <c r="A15" s="162" t="str">
        <f aca="true"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>BEGIN:VEVENT
DTSTAMP:20260907T000001Z
UID:evt14@ClaudeCoworkBaskin
DTSTART;TZID=Europe/Rome:20261213T113000
DTEND;TZID=Europe/Rome:20261213T133000
SUMMARY:Falchi Furiosi vs Delfini Dispettosi
LOCATION:PalaDelfini, Via dello Sport 4, Delfiniopoli DI
DESCRIPTION:Campionato Baskin Demo - ESEMPIO COMPILATO 64 Squadre 2026/2027
END:VEVENT</v>
      </c>
      <c r="B15" s="162" t="str">
        <f aca="false">IF('Calendario A'!$B55="","",'Calendario A'!$B55&amp;" vs "&amp;'Calendario A'!$D55)</f>
        <v>Falchi Furiosi vs Delfini Dispettosi</v>
      </c>
      <c r="C15" s="163" t="n">
        <f aca="false">IF($B15="","",DATE(YEAR('Calendario A'!$F55),MONTH('Calendario A'!$F55),DAY('Calendario A'!$F55)))</f>
        <v>46369</v>
      </c>
      <c r="D15" s="164" t="n">
        <f aca="false">IF($B15="","",TIME(HOUR('Calendario A'!$F55),MINUTE('Calendario A'!$F55),0))</f>
        <v>0.479166666666667</v>
      </c>
      <c r="E15" s="163" t="n">
        <f aca="false">IF($B15="","",DATE(YEAR('Calendario A'!$F55),MONTH('Calendario A'!$F55),DAY('Calendario A'!$F55)))</f>
        <v>46369</v>
      </c>
      <c r="F15" s="164" t="n">
        <f aca="false">IF($B15="","",TIME(HOUR('Calendario A'!$F55)+2,MINUTE('Calendario A'!$F55),0))</f>
        <v>0.5625</v>
      </c>
      <c r="G15" s="162" t="str">
        <f aca="false">IF($B15="","",'Calendario A'!$B56)</f>
        <v>PalaDelfini, Via dello Sport 4, Delfiniopoli DI</v>
      </c>
      <c r="H15" s="162" t="str">
        <f aca="false">IF($B15="","",Campionato!$D$1&amp;" "&amp;Campionato!$D$5)</f>
        <v>Campionato Baskin Demo - ESEMPIO COMPILATO 64 Squadre 2026/2027</v>
      </c>
      <c r="I15" s="162"/>
    </row>
    <row r="16" customFormat="false" ht="95.5" hidden="false" customHeight="false" outlineLevel="0" collapsed="false">
      <c r="A16" s="162" t="str">
        <f aca="true"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>BEGIN:VEVENT
DTSTAMP:20260907T000001Z
UID:evt15@ClaudeCoworkBaskin
DTSTART;TZID=Europe/Rome:20261213T150000
DTEND;TZID=Europe/Rome:20261213T170000
SUMMARY:Cobra Coraggiosi vs Gazzelle Gagliarde
LOCATION:PalaDelfini, Via dello Sport 4, Delfiniopoli DI
DESCRIPTION:Campionato Baskin Demo - ESEMPIO COMPILATO 64 Squadre 2026/2027
END:VEVENT</v>
      </c>
      <c r="B16" s="162" t="str">
        <f aca="false">IF('Calendario A'!$B58="","",'Calendario A'!$B58&amp;" vs "&amp;'Calendario A'!$D58)</f>
        <v>Cobra Coraggiosi vs Gazzelle Gagliarde</v>
      </c>
      <c r="C16" s="163" t="n">
        <f aca="false">IF($B16="","",DATE(YEAR('Calendario A'!$F58),MONTH('Calendario A'!$F58),DAY('Calendario A'!$F58)))</f>
        <v>46369</v>
      </c>
      <c r="D16" s="164" t="n">
        <f aca="false">IF($B16="","",TIME(HOUR('Calendario A'!$F58),MINUTE('Calendario A'!$F58),0))</f>
        <v>0.625</v>
      </c>
      <c r="E16" s="163" t="n">
        <f aca="false">IF($B16="","",DATE(YEAR('Calendario A'!$F58),MONTH('Calendario A'!$F58),DAY('Calendario A'!$F58)))</f>
        <v>46369</v>
      </c>
      <c r="F16" s="164" t="n">
        <f aca="false">IF($B16="","",TIME(HOUR('Calendario A'!$F58)+2,MINUTE('Calendario A'!$F58),0))</f>
        <v>0.708333333333333</v>
      </c>
      <c r="G16" s="162" t="str">
        <f aca="false">IF($B16="","",'Calendario A'!$B59)</f>
        <v>PalaDelfini, Via dello Sport 4, Delfiniopoli DI</v>
      </c>
      <c r="H16" s="162" t="str">
        <f aca="false">IF($B16="","",Campionato!$D$1&amp;" "&amp;Campionato!$D$5)</f>
        <v>Campionato Baskin Demo - ESEMPIO COMPILATO 64 Squadre 2026/2027</v>
      </c>
      <c r="I16" s="162"/>
    </row>
    <row r="17" customFormat="false" ht="95.5" hidden="false" customHeight="false" outlineLevel="0" collapsed="false">
      <c r="A17" s="162" t="str">
        <f aca="true"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>BEGIN:VEVENT
DTSTAMP:20260907T000001Z
UID:evt16@ClaudeCoworkBaskin
DTSTART;TZID=Europe/Rome:20261213T170000
DTEND;TZID=Europe/Rome:20261213T190000
SUMMARY:Ippopotami Iracondi vs Bufali Belligeranti
LOCATION:PalaDelfini, Via dello Sport 4, Delfiniopoli DI
DESCRIPTION:Campionato Baskin Demo - ESEMPIO COMPILATO 64 Squadre 2026/2027
END:VEVENT</v>
      </c>
      <c r="B17" s="162" t="str">
        <f aca="false">IF('Calendario A'!$B61="","",'Calendario A'!$B61&amp;" vs "&amp;'Calendario A'!$D61)</f>
        <v>Ippopotami Iracondi vs Bufali Belligeranti</v>
      </c>
      <c r="C17" s="163" t="n">
        <f aca="false">IF($B17="","",DATE(YEAR('Calendario A'!$F61),MONTH('Calendario A'!$F61),DAY('Calendario A'!$F61)))</f>
        <v>46369</v>
      </c>
      <c r="D17" s="164" t="n">
        <f aca="false">IF($B17="","",TIME(HOUR('Calendario A'!$F61),MINUTE('Calendario A'!$F61),0))</f>
        <v>0.708333333333333</v>
      </c>
      <c r="E17" s="163" t="n">
        <f aca="false">IF($B17="","",DATE(YEAR('Calendario A'!$F61),MONTH('Calendario A'!$F61),DAY('Calendario A'!$F61)))</f>
        <v>46369</v>
      </c>
      <c r="F17" s="164" t="n">
        <f aca="false">IF($B17="","",TIME(HOUR('Calendario A'!$F61)+2,MINUTE('Calendario A'!$F61),0))</f>
        <v>0.791666666666667</v>
      </c>
      <c r="G17" s="162" t="str">
        <f aca="false">IF($B17="","",'Calendario A'!$B62)</f>
        <v>PalaDelfini, Via dello Sport 4, Delfiniopoli DI</v>
      </c>
      <c r="H17" s="162" t="str">
        <f aca="false">IF($B17="","",Campionato!$D$1&amp;" "&amp;Campionato!$D$5)</f>
        <v>Campionato Baskin Demo - ESEMPIO COMPILATO 64 Squadre 2026/2027</v>
      </c>
      <c r="I17" s="162"/>
    </row>
    <row r="18" customFormat="false" ht="95.5" hidden="false" customHeight="false" outlineLevel="0" collapsed="false">
      <c r="A18" s="162" t="str">
        <f aca="true"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>BEGIN:VEVENT
DTSTAMP:20260907T000001Z
UID:evt17@ClaudeCoworkBaskin
DTSTART;TZID=Europe/Rome:20270124T093000
DTEND;TZID=Europe/Rome:20270124T113000
SUMMARY:Anaconde Arrabbiate vs Delfini Dispettosi
LOCATION:PalaErmellini, Via dello Sport 5, Ermelliniopoli EI
DESCRIPTION:Campionato Baskin Demo - ESEMPIO COMPILATO 64 Squadre 2026/2027
END:VEVENT</v>
      </c>
      <c r="B18" s="162" t="str">
        <f aca="false">IF('Calendario A'!$B66="","",'Calendario A'!$B66&amp;" vs "&amp;'Calendario A'!$D66)</f>
        <v>Anaconde Arrabbiate vs Delfini Dispettosi</v>
      </c>
      <c r="C18" s="163" t="n">
        <f aca="false">IF($B18="","",DATE(YEAR('Calendario A'!$F66),MONTH('Calendario A'!$F66),DAY('Calendario A'!$F66)))</f>
        <v>46411</v>
      </c>
      <c r="D18" s="164" t="n">
        <f aca="false">IF($B18="","",TIME(HOUR('Calendario A'!$F66),MINUTE('Calendario A'!$F66),0))</f>
        <v>0.395833333333333</v>
      </c>
      <c r="E18" s="163" t="n">
        <f aca="false">IF($B18="","",DATE(YEAR('Calendario A'!$F66),MONTH('Calendario A'!$F66),DAY('Calendario A'!$F66)))</f>
        <v>46411</v>
      </c>
      <c r="F18" s="164" t="n">
        <f aca="false">IF($B18="","",TIME(HOUR('Calendario A'!$F66)+2,MINUTE('Calendario A'!$F66),0))</f>
        <v>0.479166666666667</v>
      </c>
      <c r="G18" s="162" t="str">
        <f aca="false">IF($B18="","",'Calendario A'!$B67)</f>
        <v>PalaErmellini, Via dello Sport 5, Ermelliniopoli EI</v>
      </c>
      <c r="H18" s="162" t="str">
        <f aca="false">IF($B18="","",Campionato!$D$1&amp;" "&amp;Campionato!$D$5)</f>
        <v>Campionato Baskin Demo - ESEMPIO COMPILATO 64 Squadre 2026/2027</v>
      </c>
      <c r="I18" s="162"/>
    </row>
    <row r="19" customFormat="false" ht="95.5" hidden="false" customHeight="false" outlineLevel="0" collapsed="false">
      <c r="A19" s="162" t="str">
        <f aca="true"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>BEGIN:VEVENT
DTSTAMP:20260907T000001Z
UID:evt18@ClaudeCoworkBaskin
DTSTART;TZID=Europe/Rome:20270124T113000
DTEND;TZID=Europe/Rome:20270124T133000
SUMMARY:Cobra Coraggiosi vs Ermellini Eleganti
LOCATION:PalaErmellini, Via dello Sport 5, Ermelliniopoli EI
DESCRIPTION:Campionato Baskin Demo - ESEMPIO COMPILATO 64 Squadre 2026/2027
END:VEVENT</v>
      </c>
      <c r="B19" s="162" t="str">
        <f aca="false">IF('Calendario A'!$B69="","",'Calendario A'!$B69&amp;" vs "&amp;'Calendario A'!$D69)</f>
        <v>Cobra Coraggiosi vs Ermellini Eleganti</v>
      </c>
      <c r="C19" s="163" t="n">
        <f aca="false">IF($B19="","",DATE(YEAR('Calendario A'!$F69),MONTH('Calendario A'!$F69),DAY('Calendario A'!$F69)))</f>
        <v>46411</v>
      </c>
      <c r="D19" s="164" t="n">
        <f aca="false">IF($B19="","",TIME(HOUR('Calendario A'!$F69),MINUTE('Calendario A'!$F69),0))</f>
        <v>0.479166666666667</v>
      </c>
      <c r="E19" s="163" t="n">
        <f aca="false">IF($B19="","",DATE(YEAR('Calendario A'!$F69),MONTH('Calendario A'!$F69),DAY('Calendario A'!$F69)))</f>
        <v>46411</v>
      </c>
      <c r="F19" s="164" t="n">
        <f aca="false">IF($B19="","",TIME(HOUR('Calendario A'!$F69)+2,MINUTE('Calendario A'!$F69),0))</f>
        <v>0.5625</v>
      </c>
      <c r="G19" s="162" t="str">
        <f aca="false">IF($B19="","",'Calendario A'!$B70)</f>
        <v>PalaErmellini, Via dello Sport 5, Ermelliniopoli EI</v>
      </c>
      <c r="H19" s="162" t="str">
        <f aca="false">IF($B19="","",Campionato!$D$1&amp;" "&amp;Campionato!$D$5)</f>
        <v>Campionato Baskin Demo - ESEMPIO COMPILATO 64 Squadre 2026/2027</v>
      </c>
      <c r="I19" s="162"/>
    </row>
    <row r="20" customFormat="false" ht="95.5" hidden="false" customHeight="false" outlineLevel="0" collapsed="false">
      <c r="A20" s="162" t="str">
        <f aca="true"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>BEGIN:VEVENT
DTSTAMP:20260907T000001Z
UID:evt19@ClaudeCoworkBaskin
DTSTART;TZID=Europe/Rome:20270124T150000
DTEND;TZID=Europe/Rome:20270124T170000
SUMMARY:Falchi Furiosi vs Bufali Belligeranti
LOCATION:PalaErmellini, Via dello Sport 5, Ermelliniopoli EI
DESCRIPTION:Campionato Baskin Demo - ESEMPIO COMPILATO 64 Squadre 2026/2027
END:VEVENT</v>
      </c>
      <c r="B20" s="162" t="str">
        <f aca="false">IF('Calendario A'!$B72="","",'Calendario A'!$B72&amp;" vs "&amp;'Calendario A'!$D72)</f>
        <v>Falchi Furiosi vs Bufali Belligeranti</v>
      </c>
      <c r="C20" s="163" t="n">
        <f aca="false">IF($B20="","",DATE(YEAR('Calendario A'!$F72),MONTH('Calendario A'!$F72),DAY('Calendario A'!$F72)))</f>
        <v>46411</v>
      </c>
      <c r="D20" s="164" t="n">
        <f aca="false">IF($B20="","",TIME(HOUR('Calendario A'!$F72),MINUTE('Calendario A'!$F72),0))</f>
        <v>0.625</v>
      </c>
      <c r="E20" s="163" t="n">
        <f aca="false">IF($B20="","",DATE(YEAR('Calendario A'!$F72),MONTH('Calendario A'!$F72),DAY('Calendario A'!$F72)))</f>
        <v>46411</v>
      </c>
      <c r="F20" s="164" t="n">
        <f aca="false">IF($B20="","",TIME(HOUR('Calendario A'!$F72)+2,MINUTE('Calendario A'!$F72),0))</f>
        <v>0.708333333333333</v>
      </c>
      <c r="G20" s="162" t="str">
        <f aca="false">IF($B20="","",'Calendario A'!$B73)</f>
        <v>PalaErmellini, Via dello Sport 5, Ermelliniopoli EI</v>
      </c>
      <c r="H20" s="162" t="str">
        <f aca="false">IF($B20="","",Campionato!$D$1&amp;" "&amp;Campionato!$D$5)</f>
        <v>Campionato Baskin Demo - ESEMPIO COMPILATO 64 Squadre 2026/2027</v>
      </c>
      <c r="I20" s="162"/>
    </row>
    <row r="21" customFormat="false" ht="95.5" hidden="false" customHeight="false" outlineLevel="0" collapsed="false">
      <c r="A21" s="162" t="str">
        <f aca="true"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>BEGIN:VEVENT
DTSTAMP:20260907T000001Z
UID:evt20@ClaudeCoworkBaskin
DTSTART;TZID=Europe/Rome:20270124T170000
DTEND;TZID=Europe/Rome:20270124T190000
SUMMARY:Ippopotami Iracondi vs Gazzelle Gagliarde
LOCATION:PalaErmellini, Via dello Sport 5, Ermelliniopoli EI
DESCRIPTION:Campionato Baskin Demo - ESEMPIO COMPILATO 64 Squadre 2026/2027
END:VEVENT</v>
      </c>
      <c r="B21" s="162" t="str">
        <f aca="false">IF('Calendario A'!$B75="","",'Calendario A'!$B75&amp;" vs "&amp;'Calendario A'!$D75)</f>
        <v>Ippopotami Iracondi vs Gazzelle Gagliarde</v>
      </c>
      <c r="C21" s="163" t="n">
        <f aca="false">IF($B21="","",DATE(YEAR('Calendario A'!$F75),MONTH('Calendario A'!$F75),DAY('Calendario A'!$F75)))</f>
        <v>46411</v>
      </c>
      <c r="D21" s="164" t="n">
        <f aca="false">IF($B21="","",TIME(HOUR('Calendario A'!$F75),MINUTE('Calendario A'!$F75),0))</f>
        <v>0.708333333333333</v>
      </c>
      <c r="E21" s="163" t="n">
        <f aca="false">IF($B21="","",DATE(YEAR('Calendario A'!$F75),MONTH('Calendario A'!$F75),DAY('Calendario A'!$F75)))</f>
        <v>46411</v>
      </c>
      <c r="F21" s="164" t="n">
        <f aca="false">IF($B21="","",TIME(HOUR('Calendario A'!$F75)+2,MINUTE('Calendario A'!$F75),0))</f>
        <v>0.791666666666667</v>
      </c>
      <c r="G21" s="162" t="str">
        <f aca="false">IF($B21="","",'Calendario A'!$B76)</f>
        <v>PalaErmellini, Via dello Sport 5, Ermelliniopoli EI</v>
      </c>
      <c r="H21" s="162" t="str">
        <f aca="false">IF($B21="","",Campionato!$D$1&amp;" "&amp;Campionato!$D$5)</f>
        <v>Campionato Baskin Demo - ESEMPIO COMPILATO 64 Squadre 2026/2027</v>
      </c>
      <c r="I21" s="162"/>
    </row>
    <row r="22" customFormat="false" ht="95.5" hidden="false" customHeight="false" outlineLevel="0" collapsed="false">
      <c r="A22" s="162" t="str">
        <f aca="true"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>BEGIN:VEVENT
DTSTAMP:20260907T000001Z
UID:evt21@ClaudeCoworkBaskin
DTSTART;TZID=Europe/Rome:20270214T093000
DTEND;TZID=Europe/Rome:20270214T113000
SUMMARY:Cobra Coraggiosi vs Anaconde Arrabbiate
LOCATION:PalaFalchi, Via dello Sport 6, Falchiopoli FI
DESCRIPTION:Campionato Baskin Demo - ESEMPIO COMPILATO 64 Squadre 2026/2027
END:VEVENT</v>
      </c>
      <c r="B22" s="162" t="str">
        <f aca="false">IF('Calendario A'!$B80="","",'Calendario A'!$B80&amp;" vs "&amp;'Calendario A'!$D80)</f>
        <v>Cobra Coraggiosi vs Anaconde Arrabbiate</v>
      </c>
      <c r="C22" s="163" t="n">
        <f aca="false">IF($B22="","",DATE(YEAR('Calendario A'!$F80),MONTH('Calendario A'!$F80),DAY('Calendario A'!$F80)))</f>
        <v>46432</v>
      </c>
      <c r="D22" s="164" t="n">
        <f aca="false">IF($B22="","",TIME(HOUR('Calendario A'!$F80),MINUTE('Calendario A'!$F80),0))</f>
        <v>0.395833333333333</v>
      </c>
      <c r="E22" s="163" t="n">
        <f aca="false">IF($B22="","",DATE(YEAR('Calendario A'!$F80),MONTH('Calendario A'!$F80),DAY('Calendario A'!$F80)))</f>
        <v>46432</v>
      </c>
      <c r="F22" s="164" t="n">
        <f aca="false">IF($B22="","",TIME(HOUR('Calendario A'!$F80)+2,MINUTE('Calendario A'!$F80),0))</f>
        <v>0.479166666666667</v>
      </c>
      <c r="G22" s="162" t="str">
        <f aca="false">IF($B22="","",'Calendario A'!$B81)</f>
        <v>PalaFalchi, Via dello Sport 6, Falchiopoli FI</v>
      </c>
      <c r="H22" s="162" t="str">
        <f aca="false">IF($B22="","",Campionato!$D$1&amp;" "&amp;Campionato!$D$5)</f>
        <v>Campionato Baskin Demo - ESEMPIO COMPILATO 64 Squadre 2026/2027</v>
      </c>
      <c r="I22" s="162"/>
    </row>
    <row r="23" customFormat="false" ht="95.5" hidden="false" customHeight="false" outlineLevel="0" collapsed="false">
      <c r="A23" s="162" t="str">
        <f aca="true"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>BEGIN:VEVENT
DTSTAMP:20260907T000001Z
UID:evt22@ClaudeCoworkBaskin
DTSTART;TZID=Europe/Rome:20270214T113000
DTEND;TZID=Europe/Rome:20270214T133000
SUMMARY:Delfini Dispettosi vs Bufali Belligeranti
LOCATION:PalaFalchi, Via dello Sport 6, Falchiopoli FI
DESCRIPTION:Campionato Baskin Demo - ESEMPIO COMPILATO 64 Squadre 2026/2027
END:VEVENT</v>
      </c>
      <c r="B23" s="162" t="str">
        <f aca="false">IF('Calendario A'!$B83="","",'Calendario A'!$B83&amp;" vs "&amp;'Calendario A'!$D83)</f>
        <v>Delfini Dispettosi vs Bufali Belligeranti</v>
      </c>
      <c r="C23" s="163" t="n">
        <f aca="false">IF($B23="","",DATE(YEAR('Calendario A'!$F83),MONTH('Calendario A'!$F83),DAY('Calendario A'!$F83)))</f>
        <v>46432</v>
      </c>
      <c r="D23" s="164" t="n">
        <f aca="false">IF($B23="","",TIME(HOUR('Calendario A'!$F83),MINUTE('Calendario A'!$F83),0))</f>
        <v>0.479166666666667</v>
      </c>
      <c r="E23" s="163" t="n">
        <f aca="false">IF($B23="","",DATE(YEAR('Calendario A'!$F83),MONTH('Calendario A'!$F83),DAY('Calendario A'!$F83)))</f>
        <v>46432</v>
      </c>
      <c r="F23" s="164" t="n">
        <f aca="false">IF($B23="","",TIME(HOUR('Calendario A'!$F83)+2,MINUTE('Calendario A'!$F83),0))</f>
        <v>0.5625</v>
      </c>
      <c r="G23" s="162" t="str">
        <f aca="false">IF($B23="","",'Calendario A'!$B84)</f>
        <v>PalaFalchi, Via dello Sport 6, Falchiopoli FI</v>
      </c>
      <c r="H23" s="162" t="str">
        <f aca="false">IF($B23="","",Campionato!$D$1&amp;" "&amp;Campionato!$D$5)</f>
        <v>Campionato Baskin Demo - ESEMPIO COMPILATO 64 Squadre 2026/2027</v>
      </c>
      <c r="I23" s="162"/>
    </row>
    <row r="24" customFormat="false" ht="95.5" hidden="false" customHeight="false" outlineLevel="0" collapsed="false">
      <c r="A24" s="162" t="str">
        <f aca="true"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>BEGIN:VEVENT
DTSTAMP:20260907T000001Z
UID:evt23@ClaudeCoworkBaskin
DTSTART;TZID=Europe/Rome:20270214T150000
DTEND;TZID=Europe/Rome:20270214T170000
SUMMARY:Ippopotami Iracondi vs Ermellini Eleganti
LOCATION:PalaFalchi, Via dello Sport 6, Falchiopoli FI
DESCRIPTION:Campionato Baskin Demo - ESEMPIO COMPILATO 64 Squadre 2026/2027
END:VEVENT</v>
      </c>
      <c r="B24" s="162" t="str">
        <f aca="false">IF('Calendario A'!$B86="","",'Calendario A'!$B86&amp;" vs "&amp;'Calendario A'!$D86)</f>
        <v>Ippopotami Iracondi vs Ermellini Eleganti</v>
      </c>
      <c r="C24" s="163" t="n">
        <f aca="false">IF($B24="","",DATE(YEAR('Calendario A'!$F86),MONTH('Calendario A'!$F86),DAY('Calendario A'!$F86)))</f>
        <v>46432</v>
      </c>
      <c r="D24" s="164" t="n">
        <f aca="false">IF($B24="","",TIME(HOUR('Calendario A'!$F86),MINUTE('Calendario A'!$F86),0))</f>
        <v>0.625</v>
      </c>
      <c r="E24" s="163" t="n">
        <f aca="false">IF($B24="","",DATE(YEAR('Calendario A'!$F86),MONTH('Calendario A'!$F86),DAY('Calendario A'!$F86)))</f>
        <v>46432</v>
      </c>
      <c r="F24" s="164" t="n">
        <f aca="false">IF($B24="","",TIME(HOUR('Calendario A'!$F86)+2,MINUTE('Calendario A'!$F86),0))</f>
        <v>0.708333333333333</v>
      </c>
      <c r="G24" s="162" t="str">
        <f aca="false">IF($B24="","",'Calendario A'!$B87)</f>
        <v>PalaFalchi, Via dello Sport 6, Falchiopoli FI</v>
      </c>
      <c r="H24" s="162" t="str">
        <f aca="false">IF($B24="","",Campionato!$D$1&amp;" "&amp;Campionato!$D$5)</f>
        <v>Campionato Baskin Demo - ESEMPIO COMPILATO 64 Squadre 2026/2027</v>
      </c>
      <c r="I24" s="162"/>
    </row>
    <row r="25" customFormat="false" ht="95.5" hidden="false" customHeight="false" outlineLevel="0" collapsed="false">
      <c r="A25" s="162" t="str">
        <f aca="true"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>BEGIN:VEVENT
DTSTAMP:20260907T000001Z
UID:evt24@ClaudeCoworkBaskin
DTSTART;TZID=Europe/Rome:20270214T170000
DTEND;TZID=Europe/Rome:20270214T190000
SUMMARY:Falchi Furiosi vs Gazzelle Gagliarde
LOCATION:PalaFalchi, Via dello Sport 6, Falchiopoli FI
DESCRIPTION:Campionato Baskin Demo - ESEMPIO COMPILATO 64 Squadre 2026/2027
END:VEVENT</v>
      </c>
      <c r="B25" s="162" t="str">
        <f aca="false">IF('Calendario A'!$B89="","",'Calendario A'!$B89&amp;" vs "&amp;'Calendario A'!$D89)</f>
        <v>Falchi Furiosi vs Gazzelle Gagliarde</v>
      </c>
      <c r="C25" s="163" t="n">
        <f aca="false">IF($B25="","",DATE(YEAR('Calendario A'!$F89),MONTH('Calendario A'!$F89),DAY('Calendario A'!$F89)))</f>
        <v>46432</v>
      </c>
      <c r="D25" s="164" t="n">
        <f aca="false">IF($B25="","",TIME(HOUR('Calendario A'!$F89),MINUTE('Calendario A'!$F89),0))</f>
        <v>0.708333333333333</v>
      </c>
      <c r="E25" s="163" t="n">
        <f aca="false">IF($B25="","",DATE(YEAR('Calendario A'!$F89),MONTH('Calendario A'!$F89),DAY('Calendario A'!$F89)))</f>
        <v>46432</v>
      </c>
      <c r="F25" s="164" t="n">
        <f aca="false">IF($B25="","",TIME(HOUR('Calendario A'!$F89)+2,MINUTE('Calendario A'!$F89),0))</f>
        <v>0.791666666666667</v>
      </c>
      <c r="G25" s="162" t="str">
        <f aca="false">IF($B25="","",'Calendario A'!$B90)</f>
        <v>PalaFalchi, Via dello Sport 6, Falchiopoli FI</v>
      </c>
      <c r="H25" s="162" t="str">
        <f aca="false">IF($B25="","",Campionato!$D$1&amp;" "&amp;Campionato!$D$5)</f>
        <v>Campionato Baskin Demo - ESEMPIO COMPILATO 64 Squadre 2026/2027</v>
      </c>
      <c r="I25" s="162"/>
    </row>
    <row r="26" customFormat="false" ht="95.5" hidden="false" customHeight="false" outlineLevel="0" collapsed="false">
      <c r="A26" s="162" t="str">
        <f aca="true"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>BEGIN:VEVENT
DTSTAMP:20260907T000001Z
UID:evt25@ClaudeCoworkBaskin
DTSTART;TZID=Europe/Rome:20270307T093000
DTEND;TZID=Europe/Rome:20270307T113000
SUMMARY:Anaconde Arrabbiate vs Bufali Belligeranti
LOCATION:PalaGazzelle, Via dello Sport 7, Gazzelleopoli GE
DESCRIPTION:Campionato Baskin Demo - ESEMPIO COMPILATO 64 Squadre 2026/2027
END:VEVENT</v>
      </c>
      <c r="B26" s="162" t="str">
        <f aca="false">IF('Calendario A'!$B94="","",'Calendario A'!$B94&amp;" vs "&amp;'Calendario A'!$D94)</f>
        <v>Anaconde Arrabbiate vs Bufali Belligeranti</v>
      </c>
      <c r="C26" s="163" t="n">
        <f aca="false">IF($B26="","",DATE(YEAR('Calendario A'!$F94),MONTH('Calendario A'!$F94),DAY('Calendario A'!$F94)))</f>
        <v>46453</v>
      </c>
      <c r="D26" s="164" t="n">
        <f aca="false">IF($B26="","",TIME(HOUR('Calendario A'!$F94),MINUTE('Calendario A'!$F94),0))</f>
        <v>0.395833333333333</v>
      </c>
      <c r="E26" s="163" t="n">
        <f aca="false">IF($B26="","",DATE(YEAR('Calendario A'!$F94),MONTH('Calendario A'!$F94),DAY('Calendario A'!$F94)))</f>
        <v>46453</v>
      </c>
      <c r="F26" s="164" t="n">
        <f aca="false">IF($B26="","",TIME(HOUR('Calendario A'!$F94)+2,MINUTE('Calendario A'!$F94),0))</f>
        <v>0.479166666666667</v>
      </c>
      <c r="G26" s="162" t="str">
        <f aca="false">IF($B26="","",'Calendario A'!$B95)</f>
        <v>PalaGazzelle, Via dello Sport 7, Gazzelleopoli GE</v>
      </c>
      <c r="H26" s="162" t="str">
        <f aca="false">IF($B26="","",Campionato!$D$1&amp;" "&amp;Campionato!$D$5)</f>
        <v>Campionato Baskin Demo - ESEMPIO COMPILATO 64 Squadre 2026/2027</v>
      </c>
      <c r="I26" s="162"/>
    </row>
    <row r="27" customFormat="false" ht="95.5" hidden="false" customHeight="false" outlineLevel="0" collapsed="false">
      <c r="A27" s="162" t="str">
        <f aca="true"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>BEGIN:VEVENT
DTSTAMP:20260907T000001Z
UID:evt26@ClaudeCoworkBaskin
DTSTART;TZID=Europe/Rome:20270307T113000
DTEND;TZID=Europe/Rome:20270307T133000
SUMMARY:Ippopotami Iracondi vs Cobra Coraggiosi
LOCATION:PalaGazzelle, Via dello Sport 7, Gazzelleopoli GE
DESCRIPTION:Campionato Baskin Demo - ESEMPIO COMPILATO 64 Squadre 2026/2027
END:VEVENT</v>
      </c>
      <c r="B27" s="162" t="str">
        <f aca="false">IF('Calendario A'!$B97="","",'Calendario A'!$B97&amp;" vs "&amp;'Calendario A'!$D97)</f>
        <v>Ippopotami Iracondi vs Cobra Coraggiosi</v>
      </c>
      <c r="C27" s="163" t="n">
        <f aca="false">IF($B27="","",DATE(YEAR('Calendario A'!$F97),MONTH('Calendario A'!$F97),DAY('Calendario A'!$F97)))</f>
        <v>46453</v>
      </c>
      <c r="D27" s="164" t="n">
        <f aca="false">IF($B27="","",TIME(HOUR('Calendario A'!$F97),MINUTE('Calendario A'!$F97),0))</f>
        <v>0.479166666666667</v>
      </c>
      <c r="E27" s="163" t="n">
        <f aca="false">IF($B27="","",DATE(YEAR('Calendario A'!$F97),MONTH('Calendario A'!$F97),DAY('Calendario A'!$F97)))</f>
        <v>46453</v>
      </c>
      <c r="F27" s="164" t="n">
        <f aca="false">IF($B27="","",TIME(HOUR('Calendario A'!$F97)+2,MINUTE('Calendario A'!$F97),0))</f>
        <v>0.5625</v>
      </c>
      <c r="G27" s="162" t="str">
        <f aca="false">IF($B27="","",'Calendario A'!$B98)</f>
        <v>PalaGazzelle, Via dello Sport 7, Gazzelleopoli GE</v>
      </c>
      <c r="H27" s="162" t="str">
        <f aca="false">IF($B27="","",Campionato!$D$1&amp;" "&amp;Campionato!$D$5)</f>
        <v>Campionato Baskin Demo - ESEMPIO COMPILATO 64 Squadre 2026/2027</v>
      </c>
      <c r="I27" s="162"/>
    </row>
    <row r="28" customFormat="false" ht="95.5" hidden="false" customHeight="false" outlineLevel="0" collapsed="false">
      <c r="A28" s="162" t="str">
        <f aca="true"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>BEGIN:VEVENT
DTSTAMP:20260907T000001Z
UID:evt27@ClaudeCoworkBaskin
DTSTART;TZID=Europe/Rome:20270307T150000
DTEND;TZID=Europe/Rome:20270307T170000
SUMMARY:Delfini Dispettosi vs Gazzelle Gagliarde
LOCATION:PalaGazzelle, Via dello Sport 7, Gazzelleopoli GE
DESCRIPTION:Campionato Baskin Demo - ESEMPIO COMPILATO 64 Squadre 2026/2027
END:VEVENT</v>
      </c>
      <c r="B28" s="162" t="str">
        <f aca="false">IF('Calendario A'!$B100="","",'Calendario A'!$B100&amp;" vs "&amp;'Calendario A'!$D100)</f>
        <v>Delfini Dispettosi vs Gazzelle Gagliarde</v>
      </c>
      <c r="C28" s="163" t="n">
        <f aca="false">IF($B28="","",DATE(YEAR('Calendario A'!$F100),MONTH('Calendario A'!$F100),DAY('Calendario A'!$F100)))</f>
        <v>46453</v>
      </c>
      <c r="D28" s="164" t="n">
        <f aca="false">IF($B28="","",TIME(HOUR('Calendario A'!$F100),MINUTE('Calendario A'!$F100),0))</f>
        <v>0.625</v>
      </c>
      <c r="E28" s="163" t="n">
        <f aca="false">IF($B28="","",DATE(YEAR('Calendario A'!$F100),MONTH('Calendario A'!$F100),DAY('Calendario A'!$F100)))</f>
        <v>46453</v>
      </c>
      <c r="F28" s="164" t="n">
        <f aca="false">IF($B28="","",TIME(HOUR('Calendario A'!$F100)+2,MINUTE('Calendario A'!$F100),0))</f>
        <v>0.708333333333333</v>
      </c>
      <c r="G28" s="162" t="str">
        <f aca="false">IF($B28="","",'Calendario A'!$B101)</f>
        <v>PalaGazzelle, Via dello Sport 7, Gazzelleopoli GE</v>
      </c>
      <c r="H28" s="162" t="str">
        <f aca="false">IF($B28="","",Campionato!$D$1&amp;" "&amp;Campionato!$D$5)</f>
        <v>Campionato Baskin Demo - ESEMPIO COMPILATO 64 Squadre 2026/2027</v>
      </c>
      <c r="I28" s="162"/>
    </row>
    <row r="29" customFormat="false" ht="95.5" hidden="false" customHeight="false" outlineLevel="0" collapsed="false">
      <c r="A29" s="162" t="str">
        <f aca="true"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>BEGIN:VEVENT
DTSTAMP:20260907T000001Z
UID:evt28@ClaudeCoworkBaskin
DTSTART;TZID=Europe/Rome:20270307T170000
DTEND;TZID=Europe/Rome:20270307T190000
SUMMARY:Falchi Furiosi vs Ermellini Eleganti
LOCATION:PalaGazzelle, Via dello Sport 7, Gazzelleopoli GE
DESCRIPTION:Campionato Baskin Demo - ESEMPIO COMPILATO 64 Squadre 2026/2027
END:VEVENT</v>
      </c>
      <c r="B29" s="162" t="str">
        <f aca="false">IF('Calendario A'!$B103="","",'Calendario A'!$B103&amp;" vs "&amp;'Calendario A'!$D103)</f>
        <v>Falchi Furiosi vs Ermellini Eleganti</v>
      </c>
      <c r="C29" s="163" t="n">
        <f aca="false">IF($B29="","",DATE(YEAR('Calendario A'!$F103),MONTH('Calendario A'!$F103),DAY('Calendario A'!$F103)))</f>
        <v>46453</v>
      </c>
      <c r="D29" s="164" t="n">
        <f aca="false">IF($B29="","",TIME(HOUR('Calendario A'!$F103),MINUTE('Calendario A'!$F103),0))</f>
        <v>0.708333333333333</v>
      </c>
      <c r="E29" s="163" t="n">
        <f aca="false">IF($B29="","",DATE(YEAR('Calendario A'!$F103),MONTH('Calendario A'!$F103),DAY('Calendario A'!$F103)))</f>
        <v>46453</v>
      </c>
      <c r="F29" s="164" t="n">
        <f aca="false">IF($B29="","",TIME(HOUR('Calendario A'!$F103)+2,MINUTE('Calendario A'!$F103),0))</f>
        <v>0.791666666666667</v>
      </c>
      <c r="G29" s="162" t="str">
        <f aca="false">IF($B29="","",'Calendario A'!$B104)</f>
        <v>PalaGazzelle, Via dello Sport 7, Gazzelleopoli GE</v>
      </c>
      <c r="H29" s="162" t="str">
        <f aca="false">IF($B29="","",Campionato!$D$1&amp;" "&amp;Campionato!$D$5)</f>
        <v>Campionato Baskin Demo - ESEMPIO COMPILATO 64 Squadre 2026/2027</v>
      </c>
      <c r="I29" s="162"/>
    </row>
    <row r="30" customFormat="false" ht="95.5" hidden="false" customHeight="false" outlineLevel="0" collapsed="false">
      <c r="A30" s="162" t="str">
        <f aca="true"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>BEGIN:VEVENT
DTSTAMP:20260907T000001Z
UID:evt29@ClaudeCoworkBaskin
DTSTART;TZID=Europe/Rome:20261018T093000
DTEND;TZID=Europe/Rome:20261018T113000
SUMMARY:Lupi Lucenti vs Salamandre Scaltre
LOCATION:PalaLupi, Via dello Sport 9, Lupiopoli LI
DESCRIPTION:Campionato Baskin Demo - ESEMPIO COMPILATO 64 Squadre 2026/2027
END:VEVENT</v>
      </c>
      <c r="B30" s="162" t="str">
        <f aca="false">IF('Calendario B'!$B10="","",'Calendario B'!$B10&amp;" vs "&amp;'Calendario B'!$D10)</f>
        <v>Lupi Lucenti vs Salamandre Scaltre</v>
      </c>
      <c r="C30" s="163" t="n">
        <f aca="false">IF($B30="","",DATE(YEAR('Calendario B'!$F10),MONTH('Calendario B'!$F10),DAY('Calendario B'!$F10)))</f>
        <v>46313</v>
      </c>
      <c r="D30" s="164" t="n">
        <f aca="false">IF($B30="","",TIME(HOUR('Calendario B'!$F10),MINUTE('Calendario B'!$F10),0))</f>
        <v>0.395833333333333</v>
      </c>
      <c r="E30" s="163" t="n">
        <f aca="false">IF($B30="","",DATE(YEAR('Calendario B'!$F10),MONTH('Calendario B'!$F10),DAY('Calendario B'!$F10)))</f>
        <v>46313</v>
      </c>
      <c r="F30" s="164" t="n">
        <f aca="false">IF($B30="","",TIME(HOUR('Calendario B'!$F10)+2,MINUTE('Calendario B'!$F10),0))</f>
        <v>0.479166666666667</v>
      </c>
      <c r="G30" s="162" t="str">
        <f aca="false">IF($B30="","",'Calendario B'!$B11)</f>
        <v>PalaLupi, Via dello Sport 9, Lupiopoli LI</v>
      </c>
      <c r="H30" s="162" t="str">
        <f aca="false">IF($B30="","",Campionato!$D$1&amp;" "&amp;Campionato!$D$5)</f>
        <v>Campionato Baskin Demo - ESEMPIO COMPILATO 64 Squadre 2026/2027</v>
      </c>
      <c r="I30" s="162"/>
    </row>
    <row r="31" customFormat="false" ht="95.5" hidden="false" customHeight="false" outlineLevel="0" collapsed="false">
      <c r="A31" s="162" t="str">
        <f aca="true"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>BEGIN:VEVENT
DTSTAMP:20260907T000001Z
UID:evt30@ClaudeCoworkBaskin
DTSTART;TZID=Europe/Rome:20261018T113000
DTEND;TZID=Europe/Rome:20261018T133000
SUMMARY:Rinoceronti Ribelli vs Marmotte Maldestre
LOCATION:PalaLupi, Via dello Sport 9, Lupiopoli LI
DESCRIPTION:Campionato Baskin Demo - ESEMPIO COMPILATO 64 Squadre 2026/2027
END:VEVENT</v>
      </c>
      <c r="B31" s="162" t="str">
        <f aca="false">IF('Calendario B'!$B13="","",'Calendario B'!$B13&amp;" vs "&amp;'Calendario B'!$D13)</f>
        <v>Rinoceronti Ribelli vs Marmotte Maldestre</v>
      </c>
      <c r="C31" s="163" t="n">
        <f aca="false">IF($B31="","",DATE(YEAR('Calendario B'!$F13),MONTH('Calendario B'!$F13),DAY('Calendario B'!$F13)))</f>
        <v>46313</v>
      </c>
      <c r="D31" s="164" t="n">
        <f aca="false">IF($B31="","",TIME(HOUR('Calendario B'!$F13),MINUTE('Calendario B'!$F13),0))</f>
        <v>0.479166666666667</v>
      </c>
      <c r="E31" s="163" t="n">
        <f aca="false">IF($B31="","",DATE(YEAR('Calendario B'!$F13),MONTH('Calendario B'!$F13),DAY('Calendario B'!$F13)))</f>
        <v>46313</v>
      </c>
      <c r="F31" s="164" t="n">
        <f aca="false">IF($B31="","",TIME(HOUR('Calendario B'!$F13)+2,MINUTE('Calendario B'!$F13),0))</f>
        <v>0.5625</v>
      </c>
      <c r="G31" s="162" t="str">
        <f aca="false">IF($B31="","",'Calendario B'!$B14)</f>
        <v>PalaLupi, Via dello Sport 9, Lupiopoli LI</v>
      </c>
      <c r="H31" s="162" t="str">
        <f aca="false">IF($B31="","",Campionato!$D$1&amp;" "&amp;Campionato!$D$5)</f>
        <v>Campionato Baskin Demo - ESEMPIO COMPILATO 64 Squadre 2026/2027</v>
      </c>
      <c r="I31" s="162"/>
    </row>
    <row r="32" customFormat="false" ht="95.5" hidden="false" customHeight="false" outlineLevel="0" collapsed="false">
      <c r="A32" s="162" t="str">
        <f aca="true"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>BEGIN:VEVENT
DTSTAMP:20260907T000001Z
UID:evt31@ClaudeCoworkBaskin
DTSTART;TZID=Europe/Rome:20261018T150000
DTEND;TZID=Europe/Rome:20261018T170000
SUMMARY:Narvali Nobili vs Quaglie Quiete
LOCATION:PalaLupi, Via dello Sport 9, Lupiopoli LI
DESCRIPTION:Campionato Baskin Demo - ESEMPIO COMPILATO 64 Squadre 2026/2027
END:VEVENT</v>
      </c>
      <c r="B32" s="162" t="str">
        <f aca="false">IF('Calendario B'!$B16="","",'Calendario B'!$B16&amp;" vs "&amp;'Calendario B'!$D16)</f>
        <v>Narvali Nobili vs Quaglie Quiete</v>
      </c>
      <c r="C32" s="163" t="n">
        <f aca="false">IF($B32="","",DATE(YEAR('Calendario B'!$F16),MONTH('Calendario B'!$F16),DAY('Calendario B'!$F16)))</f>
        <v>46313</v>
      </c>
      <c r="D32" s="164" t="n">
        <f aca="false">IF($B32="","",TIME(HOUR('Calendario B'!$F16),MINUTE('Calendario B'!$F16),0))</f>
        <v>0.625</v>
      </c>
      <c r="E32" s="163" t="n">
        <f aca="false">IF($B32="","",DATE(YEAR('Calendario B'!$F16),MONTH('Calendario B'!$F16),DAY('Calendario B'!$F16)))</f>
        <v>46313</v>
      </c>
      <c r="F32" s="164" t="n">
        <f aca="false">IF($B32="","",TIME(HOUR('Calendario B'!$F16)+2,MINUTE('Calendario B'!$F16),0))</f>
        <v>0.708333333333333</v>
      </c>
      <c r="G32" s="162" t="str">
        <f aca="false">IF($B32="","",'Calendario B'!$B17)</f>
        <v>PalaLupi, Via dello Sport 9, Lupiopoli LI</v>
      </c>
      <c r="H32" s="162" t="str">
        <f aca="false">IF($B32="","",Campionato!$D$1&amp;" "&amp;Campionato!$D$5)</f>
        <v>Campionato Baskin Demo - ESEMPIO COMPILATO 64 Squadre 2026/2027</v>
      </c>
      <c r="I32" s="162"/>
    </row>
    <row r="33" customFormat="false" ht="95.5" hidden="false" customHeight="false" outlineLevel="0" collapsed="false">
      <c r="A33" s="162" t="str">
        <f aca="true"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>BEGIN:VEVENT
DTSTAMP:20260907T000001Z
UID:evt32@ClaudeCoworkBaskin
DTSTART;TZID=Europe/Rome:20261018T170000
DTEND;TZID=Europe/Rome:20261018T190000
SUMMARY:Pantere Pungenti vs Orsi Ostinati
LOCATION:PalaLupi, Via dello Sport 9, Lupiopoli LI
DESCRIPTION:Campionato Baskin Demo - ESEMPIO COMPILATO 64 Squadre 2026/2027
END:VEVENT</v>
      </c>
      <c r="B33" s="162" t="str">
        <f aca="false">IF('Calendario B'!$B19="","",'Calendario B'!$B19&amp;" vs "&amp;'Calendario B'!$D19)</f>
        <v>Pantere Pungenti vs Orsi Ostinati</v>
      </c>
      <c r="C33" s="163" t="n">
        <f aca="false">IF($B33="","",DATE(YEAR('Calendario B'!$F19),MONTH('Calendario B'!$F19),DAY('Calendario B'!$F19)))</f>
        <v>46313</v>
      </c>
      <c r="D33" s="164" t="n">
        <f aca="false">IF($B33="","",TIME(HOUR('Calendario B'!$F19),MINUTE('Calendario B'!$F19),0))</f>
        <v>0.708333333333333</v>
      </c>
      <c r="E33" s="163" t="n">
        <f aca="false">IF($B33="","",DATE(YEAR('Calendario B'!$F19),MONTH('Calendario B'!$F19),DAY('Calendario B'!$F19)))</f>
        <v>46313</v>
      </c>
      <c r="F33" s="164" t="n">
        <f aca="false">IF($B33="","",TIME(HOUR('Calendario B'!$F19)+2,MINUTE('Calendario B'!$F19),0))</f>
        <v>0.791666666666667</v>
      </c>
      <c r="G33" s="162" t="str">
        <f aca="false">IF($B33="","",'Calendario B'!$B20)</f>
        <v>PalaLupi, Via dello Sport 9, Lupiopoli LI</v>
      </c>
      <c r="H33" s="162" t="str">
        <f aca="false">IF($B33="","",Campionato!$D$1&amp;" "&amp;Campionato!$D$5)</f>
        <v>Campionato Baskin Demo - ESEMPIO COMPILATO 64 Squadre 2026/2027</v>
      </c>
      <c r="I33" s="162"/>
    </row>
    <row r="34" customFormat="false" ht="95.5" hidden="false" customHeight="false" outlineLevel="0" collapsed="false">
      <c r="A34" s="162" t="str">
        <f aca="true"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>BEGIN:VEVENT
DTSTAMP:20260907T000001Z
UID:evt33@ClaudeCoworkBaskin
DTSTART;TZID=Europe/Rome:20261108T093000
DTEND;TZID=Europe/Rome:20261108T113000
SUMMARY:Rinoceronti Ribelli vs Lupi Lucenti
LOCATION:PalaMarmotte, Via dello Sport 10, Marmotteopoli ME
DESCRIPTION:Campionato Baskin Demo - ESEMPIO COMPILATO 64 Squadre 2026/2027
END:VEVENT</v>
      </c>
      <c r="B34" s="162" t="str">
        <f aca="false">IF('Calendario B'!$B24="","",'Calendario B'!$B24&amp;" vs "&amp;'Calendario B'!$D24)</f>
        <v>Rinoceronti Ribelli vs Lupi Lucenti</v>
      </c>
      <c r="C34" s="163" t="n">
        <f aca="false">IF($B34="","",DATE(YEAR('Calendario B'!$F24),MONTH('Calendario B'!$F24),DAY('Calendario B'!$F24)))</f>
        <v>46334</v>
      </c>
      <c r="D34" s="164" t="n">
        <f aca="false">IF($B34="","",TIME(HOUR('Calendario B'!$F24),MINUTE('Calendario B'!$F24),0))</f>
        <v>0.395833333333333</v>
      </c>
      <c r="E34" s="163" t="n">
        <f aca="false">IF($B34="","",DATE(YEAR('Calendario B'!$F24),MONTH('Calendario B'!$F24),DAY('Calendario B'!$F24)))</f>
        <v>46334</v>
      </c>
      <c r="F34" s="164" t="n">
        <f aca="false">IF($B34="","",TIME(HOUR('Calendario B'!$F24)+2,MINUTE('Calendario B'!$F24),0))</f>
        <v>0.479166666666667</v>
      </c>
      <c r="G34" s="162" t="str">
        <f aca="false">IF($B34="","",'Calendario B'!$B25)</f>
        <v>PalaMarmotte, Via dello Sport 10, Marmotteopoli ME</v>
      </c>
      <c r="H34" s="162" t="str">
        <f aca="false">IF($B34="","",Campionato!$D$1&amp;" "&amp;Campionato!$D$5)</f>
        <v>Campionato Baskin Demo - ESEMPIO COMPILATO 64 Squadre 2026/2027</v>
      </c>
      <c r="I34" s="162"/>
    </row>
    <row r="35" customFormat="false" ht="95.5" hidden="false" customHeight="false" outlineLevel="0" collapsed="false">
      <c r="A35" s="162" t="str">
        <f aca="true"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>BEGIN:VEVENT
DTSTAMP:20260907T000001Z
UID:evt34@ClaudeCoworkBaskin
DTSTART;TZID=Europe/Rome:20261108T113000
DTEND;TZID=Europe/Rome:20261108T133000
SUMMARY:Salamandre Scaltre vs Quaglie Quiete
LOCATION:PalaMarmotte, Via dello Sport 10, Marmotteopoli ME
DESCRIPTION:Campionato Baskin Demo - ESEMPIO COMPILATO 64 Squadre 2026/2027
END:VEVENT</v>
      </c>
      <c r="B35" s="162" t="str">
        <f aca="false">IF('Calendario B'!$B27="","",'Calendario B'!$B27&amp;" vs "&amp;'Calendario B'!$D27)</f>
        <v>Salamandre Scaltre vs Quaglie Quiete</v>
      </c>
      <c r="C35" s="163" t="n">
        <f aca="false">IF($B35="","",DATE(YEAR('Calendario B'!$F27),MONTH('Calendario B'!$F27),DAY('Calendario B'!$F27)))</f>
        <v>46334</v>
      </c>
      <c r="D35" s="164" t="n">
        <f aca="false">IF($B35="","",TIME(HOUR('Calendario B'!$F27),MINUTE('Calendario B'!$F27),0))</f>
        <v>0.479166666666667</v>
      </c>
      <c r="E35" s="163" t="n">
        <f aca="false">IF($B35="","",DATE(YEAR('Calendario B'!$F27),MONTH('Calendario B'!$F27),DAY('Calendario B'!$F27)))</f>
        <v>46334</v>
      </c>
      <c r="F35" s="164" t="n">
        <f aca="false">IF($B35="","",TIME(HOUR('Calendario B'!$F27)+2,MINUTE('Calendario B'!$F27),0))</f>
        <v>0.5625</v>
      </c>
      <c r="G35" s="162" t="str">
        <f aca="false">IF($B35="","",'Calendario B'!$B28)</f>
        <v>PalaMarmotte, Via dello Sport 10, Marmotteopoli ME</v>
      </c>
      <c r="H35" s="162" t="str">
        <f aca="false">IF($B35="","",Campionato!$D$1&amp;" "&amp;Campionato!$D$5)</f>
        <v>Campionato Baskin Demo - ESEMPIO COMPILATO 64 Squadre 2026/2027</v>
      </c>
      <c r="I35" s="162"/>
    </row>
    <row r="36" customFormat="false" ht="95.5" hidden="false" customHeight="false" outlineLevel="0" collapsed="false">
      <c r="A36" s="162" t="str">
        <f aca="true"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>BEGIN:VEVENT
DTSTAMP:20260907T000001Z
UID:evt35@ClaudeCoworkBaskin
DTSTART;TZID=Europe/Rome:20261108T150000
DTEND;TZID=Europe/Rome:20261108T170000
SUMMARY:Pantere Pungenti vs Marmotte Maldestre
LOCATION:PalaMarmotte, Via dello Sport 10, Marmotteopoli ME
DESCRIPTION:Campionato Baskin Demo - ESEMPIO COMPILATO 64 Squadre 2026/2027
END:VEVENT</v>
      </c>
      <c r="B36" s="162" t="str">
        <f aca="false">IF('Calendario B'!$B30="","",'Calendario B'!$B30&amp;" vs "&amp;'Calendario B'!$D30)</f>
        <v>Pantere Pungenti vs Marmotte Maldestre</v>
      </c>
      <c r="C36" s="163" t="n">
        <f aca="false">IF($B36="","",DATE(YEAR('Calendario B'!$F30),MONTH('Calendario B'!$F30),DAY('Calendario B'!$F30)))</f>
        <v>46334</v>
      </c>
      <c r="D36" s="164" t="n">
        <f aca="false">IF($B36="","",TIME(HOUR('Calendario B'!$F30),MINUTE('Calendario B'!$F30),0))</f>
        <v>0.625</v>
      </c>
      <c r="E36" s="163" t="n">
        <f aca="false">IF($B36="","",DATE(YEAR('Calendario B'!$F30),MONTH('Calendario B'!$F30),DAY('Calendario B'!$F30)))</f>
        <v>46334</v>
      </c>
      <c r="F36" s="164" t="n">
        <f aca="false">IF($B36="","",TIME(HOUR('Calendario B'!$F30)+2,MINUTE('Calendario B'!$F30),0))</f>
        <v>0.708333333333333</v>
      </c>
      <c r="G36" s="162" t="str">
        <f aca="false">IF($B36="","",'Calendario B'!$B31)</f>
        <v>PalaMarmotte, Via dello Sport 10, Marmotteopoli ME</v>
      </c>
      <c r="H36" s="162" t="str">
        <f aca="false">IF($B36="","",Campionato!$D$1&amp;" "&amp;Campionato!$D$5)</f>
        <v>Campionato Baskin Demo - ESEMPIO COMPILATO 64 Squadre 2026/2027</v>
      </c>
      <c r="I36" s="162"/>
    </row>
    <row r="37" customFormat="false" ht="95.5" hidden="false" customHeight="false" outlineLevel="0" collapsed="false">
      <c r="A37" s="162" t="str">
        <f aca="true"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>BEGIN:VEVENT
DTSTAMP:20260907T000001Z
UID:evt36@ClaudeCoworkBaskin
DTSTART;TZID=Europe/Rome:20261108T170000
DTEND;TZID=Europe/Rome:20261108T190000
SUMMARY:Narvali Nobili vs Orsi Ostinati
LOCATION:PalaMarmotte, Via dello Sport 10, Marmotteopoli ME
DESCRIPTION:Campionato Baskin Demo - ESEMPIO COMPILATO 64 Squadre 2026/2027
END:VEVENT</v>
      </c>
      <c r="B37" s="162" t="str">
        <f aca="false">IF('Calendario B'!$B33="","",'Calendario B'!$B33&amp;" vs "&amp;'Calendario B'!$D33)</f>
        <v>Narvali Nobili vs Orsi Ostinati</v>
      </c>
      <c r="C37" s="163" t="n">
        <f aca="false">IF($B37="","",DATE(YEAR('Calendario B'!$F33),MONTH('Calendario B'!$F33),DAY('Calendario B'!$F33)))</f>
        <v>46334</v>
      </c>
      <c r="D37" s="164" t="n">
        <f aca="false">IF($B37="","",TIME(HOUR('Calendario B'!$F33),MINUTE('Calendario B'!$F33),0))</f>
        <v>0.708333333333333</v>
      </c>
      <c r="E37" s="163" t="n">
        <f aca="false">IF($B37="","",DATE(YEAR('Calendario B'!$F33),MONTH('Calendario B'!$F33),DAY('Calendario B'!$F33)))</f>
        <v>46334</v>
      </c>
      <c r="F37" s="164" t="n">
        <f aca="false">IF($B37="","",TIME(HOUR('Calendario B'!$F33)+2,MINUTE('Calendario B'!$F33),0))</f>
        <v>0.791666666666667</v>
      </c>
      <c r="G37" s="162" t="str">
        <f aca="false">IF($B37="","",'Calendario B'!$B34)</f>
        <v>PalaMarmotte, Via dello Sport 10, Marmotteopoli ME</v>
      </c>
      <c r="H37" s="162" t="str">
        <f aca="false">IF($B37="","",Campionato!$D$1&amp;" "&amp;Campionato!$D$5)</f>
        <v>Campionato Baskin Demo - ESEMPIO COMPILATO 64 Squadre 2026/2027</v>
      </c>
      <c r="I37" s="162"/>
    </row>
    <row r="38" customFormat="false" ht="95.5" hidden="false" customHeight="false" outlineLevel="0" collapsed="false">
      <c r="A38" s="162" t="str">
        <f aca="true"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>BEGIN:VEVENT
DTSTAMP:20260907T000001Z
UID:evt37@ClaudeCoworkBaskin
DTSTART;TZID=Europe/Rome:20261129T093000
DTEND;TZID=Europe/Rome:20261129T113000
SUMMARY:Lupi Lucenti vs Quaglie Quiete
LOCATION:PalaNarvali, Via dello Sport 11, Narvaliopoli NI
DESCRIPTION:Campionato Baskin Demo - ESEMPIO COMPILATO 64 Squadre 2026/2027
END:VEVENT</v>
      </c>
      <c r="B38" s="162" t="str">
        <f aca="false">IF('Calendario B'!$B38="","",'Calendario B'!$B38&amp;" vs "&amp;'Calendario B'!$D38)</f>
        <v>Lupi Lucenti vs Quaglie Quiete</v>
      </c>
      <c r="C38" s="163" t="n">
        <f aca="false">IF($B38="","",DATE(YEAR('Calendario B'!$F38),MONTH('Calendario B'!$F38),DAY('Calendario B'!$F38)))</f>
        <v>46355</v>
      </c>
      <c r="D38" s="164" t="n">
        <f aca="false">IF($B38="","",TIME(HOUR('Calendario B'!$F38),MINUTE('Calendario B'!$F38),0))</f>
        <v>0.395833333333333</v>
      </c>
      <c r="E38" s="163" t="n">
        <f aca="false">IF($B38="","",DATE(YEAR('Calendario B'!$F38),MONTH('Calendario B'!$F38),DAY('Calendario B'!$F38)))</f>
        <v>46355</v>
      </c>
      <c r="F38" s="164" t="n">
        <f aca="false">IF($B38="","",TIME(HOUR('Calendario B'!$F38)+2,MINUTE('Calendario B'!$F38),0))</f>
        <v>0.479166666666667</v>
      </c>
      <c r="G38" s="162" t="str">
        <f aca="false">IF($B38="","",'Calendario B'!$B39)</f>
        <v>PalaNarvali, Via dello Sport 11, Narvaliopoli NI</v>
      </c>
      <c r="H38" s="162" t="str">
        <f aca="false">IF($B38="","",Campionato!$D$1&amp;" "&amp;Campionato!$D$5)</f>
        <v>Campionato Baskin Demo - ESEMPIO COMPILATO 64 Squadre 2026/2027</v>
      </c>
      <c r="I38" s="162"/>
    </row>
    <row r="39" customFormat="false" ht="95.5" hidden="false" customHeight="false" outlineLevel="0" collapsed="false">
      <c r="A39" s="162" t="str">
        <f aca="true"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>BEGIN:VEVENT
DTSTAMP:20260907T000001Z
UID:evt38@ClaudeCoworkBaskin
DTSTART;TZID=Europe/Rome:20261129T113000
DTEND;TZID=Europe/Rome:20261129T133000
SUMMARY:Pantere Pungenti vs Rinoceronti Ribelli
LOCATION:PalaNarvali, Via dello Sport 11, Narvaliopoli NI
DESCRIPTION:Campionato Baskin Demo - ESEMPIO COMPILATO 64 Squadre 2026/2027
END:VEVENT</v>
      </c>
      <c r="B39" s="162" t="str">
        <f aca="false">IF('Calendario B'!$B41="","",'Calendario B'!$B41&amp;" vs "&amp;'Calendario B'!$D41)</f>
        <v>Pantere Pungenti vs Rinoceronti Ribelli</v>
      </c>
      <c r="C39" s="163" t="n">
        <f aca="false">IF($B39="","",DATE(YEAR('Calendario B'!$F41),MONTH('Calendario B'!$F41),DAY('Calendario B'!$F41)))</f>
        <v>46355</v>
      </c>
      <c r="D39" s="164" t="n">
        <f aca="false">IF($B39="","",TIME(HOUR('Calendario B'!$F41),MINUTE('Calendario B'!$F41),0))</f>
        <v>0.479166666666667</v>
      </c>
      <c r="E39" s="163" t="n">
        <f aca="false">IF($B39="","",DATE(YEAR('Calendario B'!$F41),MONTH('Calendario B'!$F41),DAY('Calendario B'!$F41)))</f>
        <v>46355</v>
      </c>
      <c r="F39" s="164" t="n">
        <f aca="false">IF($B39="","",TIME(HOUR('Calendario B'!$F41)+2,MINUTE('Calendario B'!$F41),0))</f>
        <v>0.5625</v>
      </c>
      <c r="G39" s="162" t="str">
        <f aca="false">IF($B39="","",'Calendario B'!$B42)</f>
        <v>PalaNarvali, Via dello Sport 11, Narvaliopoli NI</v>
      </c>
      <c r="H39" s="162" t="str">
        <f aca="false">IF($B39="","",Campionato!$D$1&amp;" "&amp;Campionato!$D$5)</f>
        <v>Campionato Baskin Demo - ESEMPIO COMPILATO 64 Squadre 2026/2027</v>
      </c>
      <c r="I39" s="162"/>
    </row>
    <row r="40" customFormat="false" ht="95.5" hidden="false" customHeight="false" outlineLevel="0" collapsed="false">
      <c r="A40" s="162" t="str">
        <f aca="true"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>BEGIN:VEVENT
DTSTAMP:20260907T000001Z
UID:evt39@ClaudeCoworkBaskin
DTSTART;TZID=Europe/Rome:20261129T150000
DTEND;TZID=Europe/Rome:20261129T170000
SUMMARY:Salamandre Scaltre vs Orsi Ostinati
LOCATION:PalaNarvali, Via dello Sport 11, Narvaliopoli NI
DESCRIPTION:Campionato Baskin Demo - ESEMPIO COMPILATO 64 Squadre 2026/2027
END:VEVENT</v>
      </c>
      <c r="B40" s="162" t="str">
        <f aca="false">IF('Calendario B'!$B44="","",'Calendario B'!$B44&amp;" vs "&amp;'Calendario B'!$D44)</f>
        <v>Salamandre Scaltre vs Orsi Ostinati</v>
      </c>
      <c r="C40" s="163" t="n">
        <f aca="false">IF($B40="","",DATE(YEAR('Calendario B'!$F44),MONTH('Calendario B'!$F44),DAY('Calendario B'!$F44)))</f>
        <v>46355</v>
      </c>
      <c r="D40" s="164" t="n">
        <f aca="false">IF($B40="","",TIME(HOUR('Calendario B'!$F44),MINUTE('Calendario B'!$F44),0))</f>
        <v>0.625</v>
      </c>
      <c r="E40" s="163" t="n">
        <f aca="false">IF($B40="","",DATE(YEAR('Calendario B'!$F44),MONTH('Calendario B'!$F44),DAY('Calendario B'!$F44)))</f>
        <v>46355</v>
      </c>
      <c r="F40" s="164" t="n">
        <f aca="false">IF($B40="","",TIME(HOUR('Calendario B'!$F44)+2,MINUTE('Calendario B'!$F44),0))</f>
        <v>0.708333333333333</v>
      </c>
      <c r="G40" s="162" t="str">
        <f aca="false">IF($B40="","",'Calendario B'!$B45)</f>
        <v>PalaNarvali, Via dello Sport 11, Narvaliopoli NI</v>
      </c>
      <c r="H40" s="162" t="str">
        <f aca="false">IF($B40="","",Campionato!$D$1&amp;" "&amp;Campionato!$D$5)</f>
        <v>Campionato Baskin Demo - ESEMPIO COMPILATO 64 Squadre 2026/2027</v>
      </c>
      <c r="I40" s="162"/>
    </row>
    <row r="41" customFormat="false" ht="95.5" hidden="false" customHeight="false" outlineLevel="0" collapsed="false">
      <c r="A41" s="162" t="str">
        <f aca="true"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>BEGIN:VEVENT
DTSTAMP:20260907T000001Z
UID:evt40@ClaudeCoworkBaskin
DTSTART;TZID=Europe/Rome:20261129T170000
DTEND;TZID=Europe/Rome:20261129T190000
SUMMARY:Narvali Nobili vs Marmotte Maldestre
LOCATION:PalaNarvali, Via dello Sport 11, Narvaliopoli NI
DESCRIPTION:Campionato Baskin Demo - ESEMPIO COMPILATO 64 Squadre 2026/2027
END:VEVENT</v>
      </c>
      <c r="B41" s="162" t="str">
        <f aca="false">IF('Calendario B'!$B47="","",'Calendario B'!$B47&amp;" vs "&amp;'Calendario B'!$D47)</f>
        <v>Narvali Nobili vs Marmotte Maldestre</v>
      </c>
      <c r="C41" s="163" t="n">
        <f aca="false">IF($B41="","",DATE(YEAR('Calendario B'!$F47),MONTH('Calendario B'!$F47),DAY('Calendario B'!$F47)))</f>
        <v>46355</v>
      </c>
      <c r="D41" s="164" t="n">
        <f aca="false">IF($B41="","",TIME(HOUR('Calendario B'!$F47),MINUTE('Calendario B'!$F47),0))</f>
        <v>0.708333333333333</v>
      </c>
      <c r="E41" s="163" t="n">
        <f aca="false">IF($B41="","",DATE(YEAR('Calendario B'!$F47),MONTH('Calendario B'!$F47),DAY('Calendario B'!$F47)))</f>
        <v>46355</v>
      </c>
      <c r="F41" s="164" t="n">
        <f aca="false">IF($B41="","",TIME(HOUR('Calendario B'!$F47)+2,MINUTE('Calendario B'!$F47),0))</f>
        <v>0.791666666666667</v>
      </c>
      <c r="G41" s="162" t="str">
        <f aca="false">IF($B41="","",'Calendario B'!$B48)</f>
        <v>PalaNarvali, Via dello Sport 11, Narvaliopoli NI</v>
      </c>
      <c r="H41" s="162" t="str">
        <f aca="false">IF($B41="","",Campionato!$D$1&amp;" "&amp;Campionato!$D$5)</f>
        <v>Campionato Baskin Demo - ESEMPIO COMPILATO 64 Squadre 2026/2027</v>
      </c>
      <c r="I41" s="162"/>
    </row>
    <row r="42" customFormat="false" ht="95.5" hidden="false" customHeight="false" outlineLevel="0" collapsed="false">
      <c r="A42" s="162" t="str">
        <f aca="true"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>BEGIN:VEVENT
DTSTAMP:20260907T000001Z
UID:evt41@ClaudeCoworkBaskin
DTSTART;TZID=Europe/Rome:20261213T093000
DTEND;TZID=Europe/Rome:20261213T113000
SUMMARY:Pantere Pungenti vs Lupi Lucenti
LOCATION:PalaOrsi, Via dello Sport 12, Orsiopoli OI
DESCRIPTION:Campionato Baskin Demo - ESEMPIO COMPILATO 64 Squadre 2026/2027
END:VEVENT</v>
      </c>
      <c r="B42" s="162" t="str">
        <f aca="false">IF('Calendario B'!$B52="","",'Calendario B'!$B52&amp;" vs "&amp;'Calendario B'!$D52)</f>
        <v>Pantere Pungenti vs Lupi Lucenti</v>
      </c>
      <c r="C42" s="163" t="n">
        <f aca="false">IF($B42="","",DATE(YEAR('Calendario B'!$F52),MONTH('Calendario B'!$F52),DAY('Calendario B'!$F52)))</f>
        <v>46369</v>
      </c>
      <c r="D42" s="164" t="n">
        <f aca="false">IF($B42="","",TIME(HOUR('Calendario B'!$F52),MINUTE('Calendario B'!$F52),0))</f>
        <v>0.395833333333333</v>
      </c>
      <c r="E42" s="163" t="n">
        <f aca="false">IF($B42="","",DATE(YEAR('Calendario B'!$F52),MONTH('Calendario B'!$F52),DAY('Calendario B'!$F52)))</f>
        <v>46369</v>
      </c>
      <c r="F42" s="164" t="n">
        <f aca="false">IF($B42="","",TIME(HOUR('Calendario B'!$F52)+2,MINUTE('Calendario B'!$F52),0))</f>
        <v>0.479166666666667</v>
      </c>
      <c r="G42" s="162" t="str">
        <f aca="false">IF($B42="","",'Calendario B'!$B53)</f>
        <v>PalaOrsi, Via dello Sport 12, Orsiopoli OI</v>
      </c>
      <c r="H42" s="162" t="str">
        <f aca="false">IF($B42="","",Campionato!$D$1&amp;" "&amp;Campionato!$D$5)</f>
        <v>Campionato Baskin Demo - ESEMPIO COMPILATO 64 Squadre 2026/2027</v>
      </c>
      <c r="I42" s="162"/>
    </row>
    <row r="43" customFormat="false" ht="95.5" hidden="false" customHeight="false" outlineLevel="0" collapsed="false">
      <c r="A43" s="162" t="str">
        <f aca="true"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>BEGIN:VEVENT
DTSTAMP:20260907T000001Z
UID:evt42@ClaudeCoworkBaskin
DTSTART;TZID=Europe/Rome:20261213T113000
DTEND;TZID=Europe/Rome:20261213T133000
SUMMARY:Quaglie Quiete vs Orsi Ostinati
LOCATION:PalaOrsi, Via dello Sport 12, Orsiopoli OI
DESCRIPTION:Campionato Baskin Demo - ESEMPIO COMPILATO 64 Squadre 2026/2027
END:VEVENT</v>
      </c>
      <c r="B43" s="162" t="str">
        <f aca="false">IF('Calendario B'!$B55="","",'Calendario B'!$B55&amp;" vs "&amp;'Calendario B'!$D55)</f>
        <v>Quaglie Quiete vs Orsi Ostinati</v>
      </c>
      <c r="C43" s="163" t="n">
        <f aca="false">IF($B43="","",DATE(YEAR('Calendario B'!$F55),MONTH('Calendario B'!$F55),DAY('Calendario B'!$F55)))</f>
        <v>46369</v>
      </c>
      <c r="D43" s="164" t="n">
        <f aca="false">IF($B43="","",TIME(HOUR('Calendario B'!$F55),MINUTE('Calendario B'!$F55),0))</f>
        <v>0.479166666666667</v>
      </c>
      <c r="E43" s="163" t="n">
        <f aca="false">IF($B43="","",DATE(YEAR('Calendario B'!$F55),MONTH('Calendario B'!$F55),DAY('Calendario B'!$F55)))</f>
        <v>46369</v>
      </c>
      <c r="F43" s="164" t="n">
        <f aca="false">IF($B43="","",TIME(HOUR('Calendario B'!$F55)+2,MINUTE('Calendario B'!$F55),0))</f>
        <v>0.5625</v>
      </c>
      <c r="G43" s="162" t="str">
        <f aca="false">IF($B43="","",'Calendario B'!$B56)</f>
        <v>PalaOrsi, Via dello Sport 12, Orsiopoli OI</v>
      </c>
      <c r="H43" s="162" t="str">
        <f aca="false">IF($B43="","",Campionato!$D$1&amp;" "&amp;Campionato!$D$5)</f>
        <v>Campionato Baskin Demo - ESEMPIO COMPILATO 64 Squadre 2026/2027</v>
      </c>
      <c r="I43" s="162"/>
    </row>
    <row r="44" customFormat="false" ht="95.5" hidden="false" customHeight="false" outlineLevel="0" collapsed="false">
      <c r="A44" s="162" t="str">
        <f aca="true"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>BEGIN:VEVENT
DTSTAMP:20260907T000001Z
UID:evt43@ClaudeCoworkBaskin
DTSTART;TZID=Europe/Rome:20261213T150000
DTEND;TZID=Europe/Rome:20261213T170000
SUMMARY:Narvali Nobili vs Rinoceronti Ribelli
LOCATION:PalaOrsi, Via dello Sport 12, Orsiopoli OI
DESCRIPTION:Campionato Baskin Demo - ESEMPIO COMPILATO 64 Squadre 2026/2027
END:VEVENT</v>
      </c>
      <c r="B44" s="162" t="str">
        <f aca="false">IF('Calendario B'!$B58="","",'Calendario B'!$B58&amp;" vs "&amp;'Calendario B'!$D58)</f>
        <v>Narvali Nobili vs Rinoceronti Ribelli</v>
      </c>
      <c r="C44" s="163" t="n">
        <f aca="false">IF($B44="","",DATE(YEAR('Calendario B'!$F58),MONTH('Calendario B'!$F58),DAY('Calendario B'!$F58)))</f>
        <v>46369</v>
      </c>
      <c r="D44" s="164" t="n">
        <f aca="false">IF($B44="","",TIME(HOUR('Calendario B'!$F58),MINUTE('Calendario B'!$F58),0))</f>
        <v>0.625</v>
      </c>
      <c r="E44" s="163" t="n">
        <f aca="false">IF($B44="","",DATE(YEAR('Calendario B'!$F58),MONTH('Calendario B'!$F58),DAY('Calendario B'!$F58)))</f>
        <v>46369</v>
      </c>
      <c r="F44" s="164" t="n">
        <f aca="false">IF($B44="","",TIME(HOUR('Calendario B'!$F58)+2,MINUTE('Calendario B'!$F58),0))</f>
        <v>0.708333333333333</v>
      </c>
      <c r="G44" s="162" t="str">
        <f aca="false">IF($B44="","",'Calendario B'!$B59)</f>
        <v>PalaOrsi, Via dello Sport 12, Orsiopoli OI</v>
      </c>
      <c r="H44" s="162" t="str">
        <f aca="false">IF($B44="","",Campionato!$D$1&amp;" "&amp;Campionato!$D$5)</f>
        <v>Campionato Baskin Demo - ESEMPIO COMPILATO 64 Squadre 2026/2027</v>
      </c>
      <c r="I44" s="162"/>
    </row>
    <row r="45" customFormat="false" ht="95.5" hidden="false" customHeight="false" outlineLevel="0" collapsed="false">
      <c r="A45" s="162" t="str">
        <f aca="true"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>BEGIN:VEVENT
DTSTAMP:20260907T000001Z
UID:evt44@ClaudeCoworkBaskin
DTSTART;TZID=Europe/Rome:20261213T170000
DTEND;TZID=Europe/Rome:20261213T190000
SUMMARY:Salamandre Scaltre vs Marmotte Maldestre
LOCATION:PalaOrsi, Via dello Sport 12, Orsiopoli OI
DESCRIPTION:Campionato Baskin Demo - ESEMPIO COMPILATO 64 Squadre 2026/2027
END:VEVENT</v>
      </c>
      <c r="B45" s="162" t="str">
        <f aca="false">IF('Calendario B'!$B61="","",'Calendario B'!$B61&amp;" vs "&amp;'Calendario B'!$D61)</f>
        <v>Salamandre Scaltre vs Marmotte Maldestre</v>
      </c>
      <c r="C45" s="163" t="n">
        <f aca="false">IF($B45="","",DATE(YEAR('Calendario B'!$F61),MONTH('Calendario B'!$F61),DAY('Calendario B'!$F61)))</f>
        <v>46369</v>
      </c>
      <c r="D45" s="164" t="n">
        <f aca="false">IF($B45="","",TIME(HOUR('Calendario B'!$F61),MINUTE('Calendario B'!$F61),0))</f>
        <v>0.708333333333333</v>
      </c>
      <c r="E45" s="163" t="n">
        <f aca="false">IF($B45="","",DATE(YEAR('Calendario B'!$F61),MONTH('Calendario B'!$F61),DAY('Calendario B'!$F61)))</f>
        <v>46369</v>
      </c>
      <c r="F45" s="164" t="n">
        <f aca="false">IF($B45="","",TIME(HOUR('Calendario B'!$F61)+2,MINUTE('Calendario B'!$F61),0))</f>
        <v>0.791666666666667</v>
      </c>
      <c r="G45" s="162" t="str">
        <f aca="false">IF($B45="","",'Calendario B'!$B62)</f>
        <v>PalaOrsi, Via dello Sport 12, Orsiopoli OI</v>
      </c>
      <c r="H45" s="162" t="str">
        <f aca="false">IF($B45="","",Campionato!$D$1&amp;" "&amp;Campionato!$D$5)</f>
        <v>Campionato Baskin Demo - ESEMPIO COMPILATO 64 Squadre 2026/2027</v>
      </c>
      <c r="I45" s="162"/>
    </row>
    <row r="46" customFormat="false" ht="95.5" hidden="false" customHeight="false" outlineLevel="0" collapsed="false">
      <c r="A46" s="162" t="str">
        <f aca="true"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>BEGIN:VEVENT
DTSTAMP:20260907T000001Z
UID:evt45@ClaudeCoworkBaskin
DTSTART;TZID=Europe/Rome:20270124T093000
DTEND;TZID=Europe/Rome:20270124T113000
SUMMARY:Lupi Lucenti vs Orsi Ostinati
LOCATION:PalaPantere, Via dello Sport 13, Pantereopoli PE
DESCRIPTION:Campionato Baskin Demo - ESEMPIO COMPILATO 64 Squadre 2026/2027
END:VEVENT</v>
      </c>
      <c r="B46" s="162" t="str">
        <f aca="false">IF('Calendario B'!$B66="","",'Calendario B'!$B66&amp;" vs "&amp;'Calendario B'!$D66)</f>
        <v>Lupi Lucenti vs Orsi Ostinati</v>
      </c>
      <c r="C46" s="163" t="n">
        <f aca="false">IF($B46="","",DATE(YEAR('Calendario B'!$F66),MONTH('Calendario B'!$F66),DAY('Calendario B'!$F66)))</f>
        <v>46411</v>
      </c>
      <c r="D46" s="164" t="n">
        <f aca="false">IF($B46="","",TIME(HOUR('Calendario B'!$F66),MINUTE('Calendario B'!$F66),0))</f>
        <v>0.395833333333333</v>
      </c>
      <c r="E46" s="163" t="n">
        <f aca="false">IF($B46="","",DATE(YEAR('Calendario B'!$F66),MONTH('Calendario B'!$F66),DAY('Calendario B'!$F66)))</f>
        <v>46411</v>
      </c>
      <c r="F46" s="164" t="n">
        <f aca="false">IF($B46="","",TIME(HOUR('Calendario B'!$F66)+2,MINUTE('Calendario B'!$F66),0))</f>
        <v>0.479166666666667</v>
      </c>
      <c r="G46" s="162" t="str">
        <f aca="false">IF($B46="","",'Calendario B'!$B67)</f>
        <v>PalaPantere, Via dello Sport 13, Pantereopoli PE</v>
      </c>
      <c r="H46" s="162" t="str">
        <f aca="false">IF($B46="","",Campionato!$D$1&amp;" "&amp;Campionato!$D$5)</f>
        <v>Campionato Baskin Demo - ESEMPIO COMPILATO 64 Squadre 2026/2027</v>
      </c>
      <c r="I46" s="162"/>
    </row>
    <row r="47" customFormat="false" ht="95.5" hidden="false" customHeight="false" outlineLevel="0" collapsed="false">
      <c r="A47" s="162" t="str">
        <f aca="true"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>BEGIN:VEVENT
DTSTAMP:20260907T000001Z
UID:evt46@ClaudeCoworkBaskin
DTSTART;TZID=Europe/Rome:20270124T113000
DTEND;TZID=Europe/Rome:20270124T133000
SUMMARY:Narvali Nobili vs Pantere Pungenti
LOCATION:PalaPantere, Via dello Sport 13, Pantereopoli PE
DESCRIPTION:Campionato Baskin Demo - ESEMPIO COMPILATO 64 Squadre 2026/2027
END:VEVENT</v>
      </c>
      <c r="B47" s="162" t="str">
        <f aca="false">IF('Calendario B'!$B69="","",'Calendario B'!$B69&amp;" vs "&amp;'Calendario B'!$D69)</f>
        <v>Narvali Nobili vs Pantere Pungenti</v>
      </c>
      <c r="C47" s="163" t="n">
        <f aca="false">IF($B47="","",DATE(YEAR('Calendario B'!$F69),MONTH('Calendario B'!$F69),DAY('Calendario B'!$F69)))</f>
        <v>46411</v>
      </c>
      <c r="D47" s="164" t="n">
        <f aca="false">IF($B47="","",TIME(HOUR('Calendario B'!$F69),MINUTE('Calendario B'!$F69),0))</f>
        <v>0.479166666666667</v>
      </c>
      <c r="E47" s="163" t="n">
        <f aca="false">IF($B47="","",DATE(YEAR('Calendario B'!$F69),MONTH('Calendario B'!$F69),DAY('Calendario B'!$F69)))</f>
        <v>46411</v>
      </c>
      <c r="F47" s="164" t="n">
        <f aca="false">IF($B47="","",TIME(HOUR('Calendario B'!$F69)+2,MINUTE('Calendario B'!$F69),0))</f>
        <v>0.5625</v>
      </c>
      <c r="G47" s="162" t="str">
        <f aca="false">IF($B47="","",'Calendario B'!$B70)</f>
        <v>PalaPantere, Via dello Sport 13, Pantereopoli PE</v>
      </c>
      <c r="H47" s="162" t="str">
        <f aca="false">IF($B47="","",Campionato!$D$1&amp;" "&amp;Campionato!$D$5)</f>
        <v>Campionato Baskin Demo - ESEMPIO COMPILATO 64 Squadre 2026/2027</v>
      </c>
      <c r="I47" s="162"/>
    </row>
    <row r="48" customFormat="false" ht="95.5" hidden="false" customHeight="false" outlineLevel="0" collapsed="false">
      <c r="A48" s="162" t="str">
        <f aca="true"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>BEGIN:VEVENT
DTSTAMP:20260907T000001Z
UID:evt47@ClaudeCoworkBaskin
DTSTART;TZID=Europe/Rome:20270124T150000
DTEND;TZID=Europe/Rome:20270124T170000
SUMMARY:Quaglie Quiete vs Marmotte Maldestre
LOCATION:PalaPantere, Via dello Sport 13, Pantereopoli PE
DESCRIPTION:Campionato Baskin Demo - ESEMPIO COMPILATO 64 Squadre 2026/2027
END:VEVENT</v>
      </c>
      <c r="B48" s="162" t="str">
        <f aca="false">IF('Calendario B'!$B72="","",'Calendario B'!$B72&amp;" vs "&amp;'Calendario B'!$D72)</f>
        <v>Quaglie Quiete vs Marmotte Maldestre</v>
      </c>
      <c r="C48" s="163" t="n">
        <f aca="false">IF($B48="","",DATE(YEAR('Calendario B'!$F72),MONTH('Calendario B'!$F72),DAY('Calendario B'!$F72)))</f>
        <v>46411</v>
      </c>
      <c r="D48" s="164" t="n">
        <f aca="false">IF($B48="","",TIME(HOUR('Calendario B'!$F72),MINUTE('Calendario B'!$F72),0))</f>
        <v>0.625</v>
      </c>
      <c r="E48" s="163" t="n">
        <f aca="false">IF($B48="","",DATE(YEAR('Calendario B'!$F72),MONTH('Calendario B'!$F72),DAY('Calendario B'!$F72)))</f>
        <v>46411</v>
      </c>
      <c r="F48" s="164" t="n">
        <f aca="false">IF($B48="","",TIME(HOUR('Calendario B'!$F72)+2,MINUTE('Calendario B'!$F72),0))</f>
        <v>0.708333333333333</v>
      </c>
      <c r="G48" s="162" t="str">
        <f aca="false">IF($B48="","",'Calendario B'!$B73)</f>
        <v>PalaPantere, Via dello Sport 13, Pantereopoli PE</v>
      </c>
      <c r="H48" s="162" t="str">
        <f aca="false">IF($B48="","",Campionato!$D$1&amp;" "&amp;Campionato!$D$5)</f>
        <v>Campionato Baskin Demo - ESEMPIO COMPILATO 64 Squadre 2026/2027</v>
      </c>
      <c r="I48" s="162"/>
    </row>
    <row r="49" customFormat="false" ht="95.5" hidden="false" customHeight="false" outlineLevel="0" collapsed="false">
      <c r="A49" s="162" t="str">
        <f aca="true"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>BEGIN:VEVENT
DTSTAMP:20260907T000001Z
UID:evt48@ClaudeCoworkBaskin
DTSTART;TZID=Europe/Rome:20270124T170000
DTEND;TZID=Europe/Rome:20270124T190000
SUMMARY:Salamandre Scaltre vs Rinoceronti Ribelli
LOCATION:PalaPantere, Via dello Sport 13, Pantereopoli PE
DESCRIPTION:Campionato Baskin Demo - ESEMPIO COMPILATO 64 Squadre 2026/2027
END:VEVENT</v>
      </c>
      <c r="B49" s="162" t="str">
        <f aca="false">IF('Calendario B'!$B75="","",'Calendario B'!$B75&amp;" vs "&amp;'Calendario B'!$D75)</f>
        <v>Salamandre Scaltre vs Rinoceronti Ribelli</v>
      </c>
      <c r="C49" s="163" t="n">
        <f aca="false">IF($B49="","",DATE(YEAR('Calendario B'!$F75),MONTH('Calendario B'!$F75),DAY('Calendario B'!$F75)))</f>
        <v>46411</v>
      </c>
      <c r="D49" s="164" t="n">
        <f aca="false">IF($B49="","",TIME(HOUR('Calendario B'!$F75),MINUTE('Calendario B'!$F75),0))</f>
        <v>0.708333333333333</v>
      </c>
      <c r="E49" s="163" t="n">
        <f aca="false">IF($B49="","",DATE(YEAR('Calendario B'!$F75),MONTH('Calendario B'!$F75),DAY('Calendario B'!$F75)))</f>
        <v>46411</v>
      </c>
      <c r="F49" s="164" t="n">
        <f aca="false">IF($B49="","",TIME(HOUR('Calendario B'!$F75)+2,MINUTE('Calendario B'!$F75),0))</f>
        <v>0.791666666666667</v>
      </c>
      <c r="G49" s="162" t="str">
        <f aca="false">IF($B49="","",'Calendario B'!$B76)</f>
        <v>PalaPantere, Via dello Sport 13, Pantereopoli PE</v>
      </c>
      <c r="H49" s="162" t="str">
        <f aca="false">IF($B49="","",Campionato!$D$1&amp;" "&amp;Campionato!$D$5)</f>
        <v>Campionato Baskin Demo - ESEMPIO COMPILATO 64 Squadre 2026/2027</v>
      </c>
      <c r="I49" s="162"/>
    </row>
    <row r="50" customFormat="false" ht="95.5" hidden="false" customHeight="false" outlineLevel="0" collapsed="false">
      <c r="A50" s="162" t="str">
        <f aca="true"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>BEGIN:VEVENT
DTSTAMP:20260907T000001Z
UID:evt49@ClaudeCoworkBaskin
DTSTART;TZID=Europe/Rome:20270214T093000
DTEND;TZID=Europe/Rome:20270214T113000
SUMMARY:Narvali Nobili vs Lupi Lucenti
LOCATION:PalaQuaglie, Via dello Sport 14, Quaglieopoli QE
DESCRIPTION:Campionato Baskin Demo - ESEMPIO COMPILATO 64 Squadre 2026/2027
END:VEVENT</v>
      </c>
      <c r="B50" s="162" t="str">
        <f aca="false">IF('Calendario B'!$B80="","",'Calendario B'!$B80&amp;" vs "&amp;'Calendario B'!$D80)</f>
        <v>Narvali Nobili vs Lupi Lucenti</v>
      </c>
      <c r="C50" s="163" t="n">
        <f aca="false">IF($B50="","",DATE(YEAR('Calendario B'!$F80),MONTH('Calendario B'!$F80),DAY('Calendario B'!$F80)))</f>
        <v>46432</v>
      </c>
      <c r="D50" s="164" t="n">
        <f aca="false">IF($B50="","",TIME(HOUR('Calendario B'!$F80),MINUTE('Calendario B'!$F80),0))</f>
        <v>0.395833333333333</v>
      </c>
      <c r="E50" s="163" t="n">
        <f aca="false">IF($B50="","",DATE(YEAR('Calendario B'!$F80),MONTH('Calendario B'!$F80),DAY('Calendario B'!$F80)))</f>
        <v>46432</v>
      </c>
      <c r="F50" s="164" t="n">
        <f aca="false">IF($B50="","",TIME(HOUR('Calendario B'!$F80)+2,MINUTE('Calendario B'!$F80),0))</f>
        <v>0.479166666666667</v>
      </c>
      <c r="G50" s="162" t="str">
        <f aca="false">IF($B50="","",'Calendario B'!$B81)</f>
        <v>PalaQuaglie, Via dello Sport 14, Quaglieopoli QE</v>
      </c>
      <c r="H50" s="162" t="str">
        <f aca="false">IF($B50="","",Campionato!$D$1&amp;" "&amp;Campionato!$D$5)</f>
        <v>Campionato Baskin Demo - ESEMPIO COMPILATO 64 Squadre 2026/2027</v>
      </c>
      <c r="I50" s="162"/>
    </row>
    <row r="51" customFormat="false" ht="95.5" hidden="false" customHeight="false" outlineLevel="0" collapsed="false">
      <c r="A51" s="162" t="str">
        <f aca="true"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>BEGIN:VEVENT
DTSTAMP:20260907T000001Z
UID:evt50@ClaudeCoworkBaskin
DTSTART;TZID=Europe/Rome:20270214T113000
DTEND;TZID=Europe/Rome:20270214T133000
SUMMARY:Orsi Ostinati vs Marmotte Maldestre
LOCATION:PalaQuaglie, Via dello Sport 14, Quaglieopoli QE
DESCRIPTION:Campionato Baskin Demo - ESEMPIO COMPILATO 64 Squadre 2026/2027
END:VEVENT</v>
      </c>
      <c r="B51" s="162" t="str">
        <f aca="false">IF('Calendario B'!$B83="","",'Calendario B'!$B83&amp;" vs "&amp;'Calendario B'!$D83)</f>
        <v>Orsi Ostinati vs Marmotte Maldestre</v>
      </c>
      <c r="C51" s="163" t="n">
        <f aca="false">IF($B51="","",DATE(YEAR('Calendario B'!$F83),MONTH('Calendario B'!$F83),DAY('Calendario B'!$F83)))</f>
        <v>46432</v>
      </c>
      <c r="D51" s="164" t="n">
        <f aca="false">IF($B51="","",TIME(HOUR('Calendario B'!$F83),MINUTE('Calendario B'!$F83),0))</f>
        <v>0.479166666666667</v>
      </c>
      <c r="E51" s="163" t="n">
        <f aca="false">IF($B51="","",DATE(YEAR('Calendario B'!$F83),MONTH('Calendario B'!$F83),DAY('Calendario B'!$F83)))</f>
        <v>46432</v>
      </c>
      <c r="F51" s="164" t="n">
        <f aca="false">IF($B51="","",TIME(HOUR('Calendario B'!$F83)+2,MINUTE('Calendario B'!$F83),0))</f>
        <v>0.5625</v>
      </c>
      <c r="G51" s="162" t="str">
        <f aca="false">IF($B51="","",'Calendario B'!$B84)</f>
        <v>PalaQuaglie, Via dello Sport 14, Quaglieopoli QE</v>
      </c>
      <c r="H51" s="162" t="str">
        <f aca="false">IF($B51="","",Campionato!$D$1&amp;" "&amp;Campionato!$D$5)</f>
        <v>Campionato Baskin Demo - ESEMPIO COMPILATO 64 Squadre 2026/2027</v>
      </c>
      <c r="I51" s="162"/>
    </row>
    <row r="52" customFormat="false" ht="95.5" hidden="false" customHeight="false" outlineLevel="0" collapsed="false">
      <c r="A52" s="162" t="str">
        <f aca="true"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>BEGIN:VEVENT
DTSTAMP:20260907T000001Z
UID:evt51@ClaudeCoworkBaskin
DTSTART;TZID=Europe/Rome:20270214T150000
DTEND;TZID=Europe/Rome:20270214T170000
SUMMARY:Salamandre Scaltre vs Pantere Pungenti
LOCATION:PalaQuaglie, Via dello Sport 14, Quaglieopoli QE
DESCRIPTION:Campionato Baskin Demo - ESEMPIO COMPILATO 64 Squadre 2026/2027
END:VEVENT</v>
      </c>
      <c r="B52" s="162" t="str">
        <f aca="false">IF('Calendario B'!$B86="","",'Calendario B'!$B86&amp;" vs "&amp;'Calendario B'!$D86)</f>
        <v>Salamandre Scaltre vs Pantere Pungenti</v>
      </c>
      <c r="C52" s="163" t="n">
        <f aca="false">IF($B52="","",DATE(YEAR('Calendario B'!$F86),MONTH('Calendario B'!$F86),DAY('Calendario B'!$F86)))</f>
        <v>46432</v>
      </c>
      <c r="D52" s="164" t="n">
        <f aca="false">IF($B52="","",TIME(HOUR('Calendario B'!$F86),MINUTE('Calendario B'!$F86),0))</f>
        <v>0.625</v>
      </c>
      <c r="E52" s="163" t="n">
        <f aca="false">IF($B52="","",DATE(YEAR('Calendario B'!$F86),MONTH('Calendario B'!$F86),DAY('Calendario B'!$F86)))</f>
        <v>46432</v>
      </c>
      <c r="F52" s="164" t="n">
        <f aca="false">IF($B52="","",TIME(HOUR('Calendario B'!$F86)+2,MINUTE('Calendario B'!$F86),0))</f>
        <v>0.708333333333333</v>
      </c>
      <c r="G52" s="162" t="str">
        <f aca="false">IF($B52="","",'Calendario B'!$B87)</f>
        <v>PalaQuaglie, Via dello Sport 14, Quaglieopoli QE</v>
      </c>
      <c r="H52" s="162" t="str">
        <f aca="false">IF($B52="","",Campionato!$D$1&amp;" "&amp;Campionato!$D$5)</f>
        <v>Campionato Baskin Demo - ESEMPIO COMPILATO 64 Squadre 2026/2027</v>
      </c>
      <c r="I52" s="162"/>
    </row>
    <row r="53" customFormat="false" ht="95.5" hidden="false" customHeight="false" outlineLevel="0" collapsed="false">
      <c r="A53" s="162" t="str">
        <f aca="true"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>BEGIN:VEVENT
DTSTAMP:20260907T000001Z
UID:evt52@ClaudeCoworkBaskin
DTSTART;TZID=Europe/Rome:20270214T170000
DTEND;TZID=Europe/Rome:20270214T190000
SUMMARY:Quaglie Quiete vs Rinoceronti Ribelli
LOCATION:PalaQuaglie, Via dello Sport 14, Quaglieopoli QE
DESCRIPTION:Campionato Baskin Demo - ESEMPIO COMPILATO 64 Squadre 2026/2027
END:VEVENT</v>
      </c>
      <c r="B53" s="162" t="str">
        <f aca="false">IF('Calendario B'!$B89="","",'Calendario B'!$B89&amp;" vs "&amp;'Calendario B'!$D89)</f>
        <v>Quaglie Quiete vs Rinoceronti Ribelli</v>
      </c>
      <c r="C53" s="163" t="n">
        <f aca="false">IF($B53="","",DATE(YEAR('Calendario B'!$F89),MONTH('Calendario B'!$F89),DAY('Calendario B'!$F89)))</f>
        <v>46432</v>
      </c>
      <c r="D53" s="164" t="n">
        <f aca="false">IF($B53="","",TIME(HOUR('Calendario B'!$F89),MINUTE('Calendario B'!$F89),0))</f>
        <v>0.708333333333333</v>
      </c>
      <c r="E53" s="163" t="n">
        <f aca="false">IF($B53="","",DATE(YEAR('Calendario B'!$F89),MONTH('Calendario B'!$F89),DAY('Calendario B'!$F89)))</f>
        <v>46432</v>
      </c>
      <c r="F53" s="164" t="n">
        <f aca="false">IF($B53="","",TIME(HOUR('Calendario B'!$F89)+2,MINUTE('Calendario B'!$F89),0))</f>
        <v>0.791666666666667</v>
      </c>
      <c r="G53" s="162" t="str">
        <f aca="false">IF($B53="","",'Calendario B'!$B90)</f>
        <v>PalaQuaglie, Via dello Sport 14, Quaglieopoli QE</v>
      </c>
      <c r="H53" s="162" t="str">
        <f aca="false">IF($B53="","",Campionato!$D$1&amp;" "&amp;Campionato!$D$5)</f>
        <v>Campionato Baskin Demo - ESEMPIO COMPILATO 64 Squadre 2026/2027</v>
      </c>
      <c r="I53" s="162"/>
    </row>
    <row r="54" customFormat="false" ht="95.5" hidden="false" customHeight="false" outlineLevel="0" collapsed="false">
      <c r="A54" s="162" t="str">
        <f aca="true"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>BEGIN:VEVENT
DTSTAMP:20260907T000001Z
UID:evt53@ClaudeCoworkBaskin
DTSTART;TZID=Europe/Rome:20270307T093000
DTEND;TZID=Europe/Rome:20270307T113000
SUMMARY:Lupi Lucenti vs Marmotte Maldestre
LOCATION:PalaRinoceronti, Via dello Sport 15, Rinocerontiopoli RI
DESCRIPTION:Campionato Baskin Demo - ESEMPIO COMPILATO 64 Squadre 2026/2027
END:VEVENT</v>
      </c>
      <c r="B54" s="162" t="str">
        <f aca="false">IF('Calendario B'!$B94="","",'Calendario B'!$B94&amp;" vs "&amp;'Calendario B'!$D94)</f>
        <v>Lupi Lucenti vs Marmotte Maldestre</v>
      </c>
      <c r="C54" s="163" t="n">
        <f aca="false">IF($B54="","",DATE(YEAR('Calendario B'!$F94),MONTH('Calendario B'!$F94),DAY('Calendario B'!$F94)))</f>
        <v>46453</v>
      </c>
      <c r="D54" s="164" t="n">
        <f aca="false">IF($B54="","",TIME(HOUR('Calendario B'!$F94),MINUTE('Calendario B'!$F94),0))</f>
        <v>0.395833333333333</v>
      </c>
      <c r="E54" s="163" t="n">
        <f aca="false">IF($B54="","",DATE(YEAR('Calendario B'!$F94),MONTH('Calendario B'!$F94),DAY('Calendario B'!$F94)))</f>
        <v>46453</v>
      </c>
      <c r="F54" s="164" t="n">
        <f aca="false">IF($B54="","",TIME(HOUR('Calendario B'!$F94)+2,MINUTE('Calendario B'!$F94),0))</f>
        <v>0.479166666666667</v>
      </c>
      <c r="G54" s="162" t="str">
        <f aca="false">IF($B54="","",'Calendario B'!$B95)</f>
        <v>PalaRinoceronti, Via dello Sport 15, Rinocerontiopoli RI</v>
      </c>
      <c r="H54" s="162" t="str">
        <f aca="false">IF($B54="","",Campionato!$D$1&amp;" "&amp;Campionato!$D$5)</f>
        <v>Campionato Baskin Demo - ESEMPIO COMPILATO 64 Squadre 2026/2027</v>
      </c>
      <c r="I54" s="162"/>
    </row>
    <row r="55" customFormat="false" ht="95.5" hidden="false" customHeight="false" outlineLevel="0" collapsed="false">
      <c r="A55" s="162" t="str">
        <f aca="true">IF($B55="","","BEGIN:VEVENT
DTSTAMP:"&amp;TEXT(NOW(),"yyyymmdd")&amp;"T000001Z
UID:evt54@ClaudeCoworkBaskin
DTSTART;TZID=Europe/Rome:"&amp;TEXT($C55,"yyyymmdd")&amp;"T"&amp;TEXT($D55,"hhmmss")&amp;"
DTEND;TZID=Europe/Rome:"&amp;TEXT($E55,"yyyymmdd")&amp;"T"&amp;TEXT($F55,"hhmmss")&amp;"
SUMMARY:"&amp;$B55&amp;"
LOCATION:"&amp;$G55&amp;"
DESCRIPTION:"&amp;$H55&amp;"
END:VEVENT")</f>
        <v>BEGIN:VEVENT
DTSTAMP:20260907T000001Z
UID:evt54@ClaudeCoworkBaskin
DTSTART;TZID=Europe/Rome:20270307T113000
DTEND;TZID=Europe/Rome:20270307T133000
SUMMARY:Salamandre Scaltre vs Narvali Nobili
LOCATION:PalaRinoceronti, Via dello Sport 15, Rinocerontiopoli RI
DESCRIPTION:Campionato Baskin Demo - ESEMPIO COMPILATO 64 Squadre 2026/2027
END:VEVENT</v>
      </c>
      <c r="B55" s="162" t="str">
        <f aca="false">IF('Calendario B'!$B97="","",'Calendario B'!$B97&amp;" vs "&amp;'Calendario B'!$D97)</f>
        <v>Salamandre Scaltre vs Narvali Nobili</v>
      </c>
      <c r="C55" s="163" t="n">
        <f aca="false">IF($B55="","",DATE(YEAR('Calendario B'!$F97),MONTH('Calendario B'!$F97),DAY('Calendario B'!$F97)))</f>
        <v>46453</v>
      </c>
      <c r="D55" s="164" t="n">
        <f aca="false">IF($B55="","",TIME(HOUR('Calendario B'!$F97),MINUTE('Calendario B'!$F97),0))</f>
        <v>0.479166666666667</v>
      </c>
      <c r="E55" s="163" t="n">
        <f aca="false">IF($B55="","",DATE(YEAR('Calendario B'!$F97),MONTH('Calendario B'!$F97),DAY('Calendario B'!$F97)))</f>
        <v>46453</v>
      </c>
      <c r="F55" s="164" t="n">
        <f aca="false">IF($B55="","",TIME(HOUR('Calendario B'!$F97)+2,MINUTE('Calendario B'!$F97),0))</f>
        <v>0.5625</v>
      </c>
      <c r="G55" s="162" t="str">
        <f aca="false">IF($B55="","",'Calendario B'!$B98)</f>
        <v>PalaRinoceronti, Via dello Sport 15, Rinocerontiopoli RI</v>
      </c>
      <c r="H55" s="162" t="str">
        <f aca="false">IF($B55="","",Campionato!$D$1&amp;" "&amp;Campionato!$D$5)</f>
        <v>Campionato Baskin Demo - ESEMPIO COMPILATO 64 Squadre 2026/2027</v>
      </c>
      <c r="I55" s="162"/>
    </row>
    <row r="56" customFormat="false" ht="95.5" hidden="false" customHeight="false" outlineLevel="0" collapsed="false">
      <c r="A56" s="162" t="str">
        <f aca="true">IF($B56="","","BEGIN:VEVENT
DTSTAMP:"&amp;TEXT(NOW(),"yyyymmdd")&amp;"T000001Z
UID:evt55@ClaudeCoworkBaskin
DTSTART;TZID=Europe/Rome:"&amp;TEXT($C56,"yyyymmdd")&amp;"T"&amp;TEXT($D56,"hhmmss")&amp;"
DTEND;TZID=Europe/Rome:"&amp;TEXT($E56,"yyyymmdd")&amp;"T"&amp;TEXT($F56,"hhmmss")&amp;"
SUMMARY:"&amp;$B56&amp;"
LOCATION:"&amp;$G56&amp;"
DESCRIPTION:"&amp;$H56&amp;"
END:VEVENT")</f>
        <v>BEGIN:VEVENT
DTSTAMP:20260907T000001Z
UID:evt55@ClaudeCoworkBaskin
DTSTART;TZID=Europe/Rome:20270307T150000
DTEND;TZID=Europe/Rome:20270307T170000
SUMMARY:Orsi Ostinati vs Rinoceronti Ribelli
LOCATION:PalaRinoceronti, Via dello Sport 15, Rinocerontiopoli RI
DESCRIPTION:Campionato Baskin Demo - ESEMPIO COMPILATO 64 Squadre 2026/2027
END:VEVENT</v>
      </c>
      <c r="B56" s="162" t="str">
        <f aca="false">IF('Calendario B'!$B100="","",'Calendario B'!$B100&amp;" vs "&amp;'Calendario B'!$D100)</f>
        <v>Orsi Ostinati vs Rinoceronti Ribelli</v>
      </c>
      <c r="C56" s="163" t="n">
        <f aca="false">IF($B56="","",DATE(YEAR('Calendario B'!$F100),MONTH('Calendario B'!$F100),DAY('Calendario B'!$F100)))</f>
        <v>46453</v>
      </c>
      <c r="D56" s="164" t="n">
        <f aca="false">IF($B56="","",TIME(HOUR('Calendario B'!$F100),MINUTE('Calendario B'!$F100),0))</f>
        <v>0.625</v>
      </c>
      <c r="E56" s="163" t="n">
        <f aca="false">IF($B56="","",DATE(YEAR('Calendario B'!$F100),MONTH('Calendario B'!$F100),DAY('Calendario B'!$F100)))</f>
        <v>46453</v>
      </c>
      <c r="F56" s="164" t="n">
        <f aca="false">IF($B56="","",TIME(HOUR('Calendario B'!$F100)+2,MINUTE('Calendario B'!$F100),0))</f>
        <v>0.708333333333333</v>
      </c>
      <c r="G56" s="162" t="str">
        <f aca="false">IF($B56="","",'Calendario B'!$B101)</f>
        <v>PalaRinoceronti, Via dello Sport 15, Rinocerontiopoli RI</v>
      </c>
      <c r="H56" s="162" t="str">
        <f aca="false">IF($B56="","",Campionato!$D$1&amp;" "&amp;Campionato!$D$5)</f>
        <v>Campionato Baskin Demo - ESEMPIO COMPILATO 64 Squadre 2026/2027</v>
      </c>
      <c r="I56" s="162"/>
    </row>
    <row r="57" customFormat="false" ht="95.5" hidden="false" customHeight="false" outlineLevel="0" collapsed="false">
      <c r="A57" s="162" t="str">
        <f aca="true">IF($B57="","","BEGIN:VEVENT
DTSTAMP:"&amp;TEXT(NOW(),"yyyymmdd")&amp;"T000001Z
UID:evt56@ClaudeCoworkBaskin
DTSTART;TZID=Europe/Rome:"&amp;TEXT($C57,"yyyymmdd")&amp;"T"&amp;TEXT($D57,"hhmmss")&amp;"
DTEND;TZID=Europe/Rome:"&amp;TEXT($E57,"yyyymmdd")&amp;"T"&amp;TEXT($F57,"hhmmss")&amp;"
SUMMARY:"&amp;$B57&amp;"
LOCATION:"&amp;$G57&amp;"
DESCRIPTION:"&amp;$H57&amp;"
END:VEVENT")</f>
        <v>BEGIN:VEVENT
DTSTAMP:20260907T000001Z
UID:evt56@ClaudeCoworkBaskin
DTSTART;TZID=Europe/Rome:20270307T170000
DTEND;TZID=Europe/Rome:20270307T190000
SUMMARY:Quaglie Quiete vs Pantere Pungenti
LOCATION:PalaRinoceronti, Via dello Sport 15, Rinocerontiopoli RI
DESCRIPTION:Campionato Baskin Demo - ESEMPIO COMPILATO 64 Squadre 2026/2027
END:VEVENT</v>
      </c>
      <c r="B57" s="162" t="str">
        <f aca="false">IF('Calendario B'!$B103="","",'Calendario B'!$B103&amp;" vs "&amp;'Calendario B'!$D103)</f>
        <v>Quaglie Quiete vs Pantere Pungenti</v>
      </c>
      <c r="C57" s="163" t="n">
        <f aca="false">IF($B57="","",DATE(YEAR('Calendario B'!$F103),MONTH('Calendario B'!$F103),DAY('Calendario B'!$F103)))</f>
        <v>46453</v>
      </c>
      <c r="D57" s="164" t="n">
        <f aca="false">IF($B57="","",TIME(HOUR('Calendario B'!$F103),MINUTE('Calendario B'!$F103),0))</f>
        <v>0.708333333333333</v>
      </c>
      <c r="E57" s="163" t="n">
        <f aca="false">IF($B57="","",DATE(YEAR('Calendario B'!$F103),MONTH('Calendario B'!$F103),DAY('Calendario B'!$F103)))</f>
        <v>46453</v>
      </c>
      <c r="F57" s="164" t="n">
        <f aca="false">IF($B57="","",TIME(HOUR('Calendario B'!$F103)+2,MINUTE('Calendario B'!$F103),0))</f>
        <v>0.791666666666667</v>
      </c>
      <c r="G57" s="162" t="str">
        <f aca="false">IF($B57="","",'Calendario B'!$B104)</f>
        <v>PalaRinoceronti, Via dello Sport 15, Rinocerontiopoli RI</v>
      </c>
      <c r="H57" s="162" t="str">
        <f aca="false">IF($B57="","",Campionato!$D$1&amp;" "&amp;Campionato!$D$5)</f>
        <v>Campionato Baskin Demo - ESEMPIO COMPILATO 64 Squadre 2026/2027</v>
      </c>
      <c r="I57" s="162"/>
    </row>
    <row r="58" customFormat="false" ht="95.5" hidden="false" customHeight="false" outlineLevel="0" collapsed="false">
      <c r="A58" s="162" t="str">
        <f aca="true">IF($B58="","","BEGIN:VEVENT
DTSTAMP:"&amp;TEXT(NOW(),"yyyymmdd")&amp;"T000001Z
UID:evt57@ClaudeCoworkBaskin
DTSTART;TZID=Europe/Rome:"&amp;TEXT($C58,"yyyymmdd")&amp;"T"&amp;TEXT($D58,"hhmmss")&amp;"
DTEND;TZID=Europe/Rome:"&amp;TEXT($E58,"yyyymmdd")&amp;"T"&amp;TEXT($F58,"hhmmss")&amp;"
SUMMARY:"&amp;$B58&amp;"
LOCATION:"&amp;$G58&amp;"
DESCRIPTION:"&amp;$H58&amp;"
END:VEVENT")</f>
        <v>BEGIN:VEVENT
DTSTAMP:20260907T000001Z
UID:evt57@ClaudeCoworkBaskin
DTSTART;TZID=Europe/Rome:20261018T093000
DTEND;TZID=Europe/Rome:20261018T113000
SUMMARY:Tigri Tenaci vs Dromedari Danzanti
LOCATION:PalaTigri, Via dello Sport 17, Tigriopoli TI
DESCRIPTION:Campionato Baskin Demo - ESEMPIO COMPILATO 64 Squadre 2026/2027
END:VEVENT</v>
      </c>
      <c r="B58" s="162" t="str">
        <f aca="false">IF('Calendario C'!$B10="","",'Calendario C'!$B10&amp;" vs "&amp;'Calendario C'!$D10)</f>
        <v>Tigri Tenaci vs Dromedari Danzanti</v>
      </c>
      <c r="C58" s="163" t="n">
        <f aca="false">IF($B58="","",DATE(YEAR('Calendario C'!$F10),MONTH('Calendario C'!$F10),DAY('Calendario C'!$F10)))</f>
        <v>46313</v>
      </c>
      <c r="D58" s="164" t="n">
        <f aca="false">IF($B58="","",TIME(HOUR('Calendario C'!$F10),MINUTE('Calendario C'!$F10),0))</f>
        <v>0.395833333333333</v>
      </c>
      <c r="E58" s="163" t="n">
        <f aca="false">IF($B58="","",DATE(YEAR('Calendario C'!$F10),MONTH('Calendario C'!$F10),DAY('Calendario C'!$F10)))</f>
        <v>46313</v>
      </c>
      <c r="F58" s="164" t="n">
        <f aca="false">IF($B58="","",TIME(HOUR('Calendario C'!$F10)+2,MINUTE('Calendario C'!$F10),0))</f>
        <v>0.479166666666667</v>
      </c>
      <c r="G58" s="162" t="str">
        <f aca="false">IF($B58="","",'Calendario C'!$B11)</f>
        <v>PalaTigri, Via dello Sport 17, Tigriopoli TI</v>
      </c>
      <c r="H58" s="162" t="str">
        <f aca="false">IF($B58="","",Campionato!$D$1&amp;" "&amp;Campionato!$D$5)</f>
        <v>Campionato Baskin Demo - ESEMPIO COMPILATO 64 Squadre 2026/2027</v>
      </c>
      <c r="I58" s="162"/>
    </row>
    <row r="59" customFormat="false" ht="95.5" hidden="false" customHeight="false" outlineLevel="0" collapsed="false">
      <c r="A59" s="162" t="str">
        <f aca="true">IF($B59="","","BEGIN:VEVENT
DTSTAMP:"&amp;TEXT(NOW(),"yyyymmdd")&amp;"T000001Z
UID:evt58@ClaudeCoworkBaskin
DTSTART;TZID=Europe/Rome:"&amp;TEXT($C59,"yyyymmdd")&amp;"T"&amp;TEXT($D59,"hhmmss")&amp;"
DTEND;TZID=Europe/Rome:"&amp;TEXT($E59,"yyyymmdd")&amp;"T"&amp;TEXT($F59,"hhmmss")&amp;"
SUMMARY:"&amp;$B59&amp;"
LOCATION:"&amp;$G59&amp;"
DESCRIPTION:"&amp;$H59&amp;"
END:VEVENT")</f>
        <v>BEGIN:VEVENT
DTSTAMP:20260907T000001Z
UID:evt58@ClaudeCoworkBaskin
DTSTART;TZID=Europe/Rome:20261018T113000
DTEND;TZID=Europe/Rome:20261018T133000
SUMMARY:Cinghiali Caparbi vs Upupe Umoristiche
LOCATION:PalaTigri, Via dello Sport 17, Tigriopoli TI
DESCRIPTION:Campionato Baskin Demo - ESEMPIO COMPILATO 64 Squadre 2026/2027
END:VEVENT</v>
      </c>
      <c r="B59" s="162" t="str">
        <f aca="false">IF('Calendario C'!$B13="","",'Calendario C'!$B13&amp;" vs "&amp;'Calendario C'!$D13)</f>
        <v>Cinghiali Caparbi vs Upupe Umoristiche</v>
      </c>
      <c r="C59" s="163" t="n">
        <f aca="false">IF($B59="","",DATE(YEAR('Calendario C'!$F13),MONTH('Calendario C'!$F13),DAY('Calendario C'!$F13)))</f>
        <v>46313</v>
      </c>
      <c r="D59" s="164" t="n">
        <f aca="false">IF($B59="","",TIME(HOUR('Calendario C'!$F13),MINUTE('Calendario C'!$F13),0))</f>
        <v>0.479166666666667</v>
      </c>
      <c r="E59" s="163" t="n">
        <f aca="false">IF($B59="","",DATE(YEAR('Calendario C'!$F13),MONTH('Calendario C'!$F13),DAY('Calendario C'!$F13)))</f>
        <v>46313</v>
      </c>
      <c r="F59" s="164" t="n">
        <f aca="false">IF($B59="","",TIME(HOUR('Calendario C'!$F13)+2,MINUTE('Calendario C'!$F13),0))</f>
        <v>0.5625</v>
      </c>
      <c r="G59" s="162" t="str">
        <f aca="false">IF($B59="","",'Calendario C'!$B14)</f>
        <v>PalaTigri, Via dello Sport 17, Tigriopoli TI</v>
      </c>
      <c r="H59" s="162" t="str">
        <f aca="false">IF($B59="","",Campionato!$D$1&amp;" "&amp;Campionato!$D$5)</f>
        <v>Campionato Baskin Demo - ESEMPIO COMPILATO 64 Squadre 2026/2027</v>
      </c>
      <c r="I59" s="162"/>
    </row>
    <row r="60" customFormat="false" ht="95.5" hidden="false" customHeight="false" outlineLevel="0" collapsed="false">
      <c r="A60" s="162" t="str">
        <f aca="true">IF($B60="","","BEGIN:VEVENT
DTSTAMP:"&amp;TEXT(NOW(),"yyyymmdd")&amp;"T000001Z
UID:evt59@ClaudeCoworkBaskin
DTSTART;TZID=Europe/Rome:"&amp;TEXT($C60,"yyyymmdd")&amp;"T"&amp;TEXT($D60,"hhmmss")&amp;"
DTEND;TZID=Europe/Rome:"&amp;TEXT($E60,"yyyymmdd")&amp;"T"&amp;TEXT($F60,"hhmmss")&amp;"
SUMMARY:"&amp;$B60&amp;"
LOCATION:"&amp;$G60&amp;"
DESCRIPTION:"&amp;$H60&amp;"
END:VEVENT")</f>
        <v>BEGIN:VEVENT
DTSTAMP:20260907T000001Z
UID:evt59@ClaudeCoworkBaskin
DTSTART;TZID=Europe/Rome:20261018T150000
DTEND;TZID=Europe/Rome:20261018T170000
SUMMARY:Vipere Vivaci vs Bisonti Baldanzosi
LOCATION:PalaTigri, Via dello Sport 17, Tigriopoli TI
DESCRIPTION:Campionato Baskin Demo - ESEMPIO COMPILATO 64 Squadre 2026/2027
END:VEVENT</v>
      </c>
      <c r="B60" s="162" t="str">
        <f aca="false">IF('Calendario C'!$B16="","",'Calendario C'!$B16&amp;" vs "&amp;'Calendario C'!$D16)</f>
        <v>Vipere Vivaci vs Bisonti Baldanzosi</v>
      </c>
      <c r="C60" s="163" t="n">
        <f aca="false">IF($B60="","",DATE(YEAR('Calendario C'!$F16),MONTH('Calendario C'!$F16),DAY('Calendario C'!$F16)))</f>
        <v>46313</v>
      </c>
      <c r="D60" s="164" t="n">
        <f aca="false">IF($B60="","",TIME(HOUR('Calendario C'!$F16),MINUTE('Calendario C'!$F16),0))</f>
        <v>0.625</v>
      </c>
      <c r="E60" s="163" t="n">
        <f aca="false">IF($B60="","",DATE(YEAR('Calendario C'!$F16),MONTH('Calendario C'!$F16),DAY('Calendario C'!$F16)))</f>
        <v>46313</v>
      </c>
      <c r="F60" s="164" t="n">
        <f aca="false">IF($B60="","",TIME(HOUR('Calendario C'!$F16)+2,MINUTE('Calendario C'!$F16),0))</f>
        <v>0.708333333333333</v>
      </c>
      <c r="G60" s="162" t="str">
        <f aca="false">IF($B60="","",'Calendario C'!$B17)</f>
        <v>PalaTigri, Via dello Sport 17, Tigriopoli TI</v>
      </c>
      <c r="H60" s="162" t="str">
        <f aca="false">IF($B60="","",Campionato!$D$1&amp;" "&amp;Campionato!$D$5)</f>
        <v>Campionato Baskin Demo - ESEMPIO COMPILATO 64 Squadre 2026/2027</v>
      </c>
      <c r="I60" s="162"/>
    </row>
    <row r="61" customFormat="false" ht="95.5" hidden="false" customHeight="false" outlineLevel="0" collapsed="false">
      <c r="A61" s="162" t="str">
        <f aca="true">IF($B61="","","BEGIN:VEVENT
DTSTAMP:"&amp;TEXT(NOW(),"yyyymmdd")&amp;"T000001Z
UID:evt60@ClaudeCoworkBaskin
DTSTART;TZID=Europe/Rome:"&amp;TEXT($C61,"yyyymmdd")&amp;"T"&amp;TEXT($D61,"hhmmss")&amp;"
DTEND;TZID=Europe/Rome:"&amp;TEXT($E61,"yyyymmdd")&amp;"T"&amp;TEXT($F61,"hhmmss")&amp;"
SUMMARY:"&amp;$B61&amp;"
LOCATION:"&amp;$G61&amp;"
DESCRIPTION:"&amp;$H61&amp;"
END:VEVENT")</f>
        <v>BEGIN:VEVENT
DTSTAMP:20260907T000001Z
UID:evt60@ClaudeCoworkBaskin
DTSTART;TZID=Europe/Rome:20261018T170000
DTEND;TZID=Europe/Rome:20261018T190000
SUMMARY:Albatri Astuti vs Zebre Zelanti
LOCATION:PalaTigri, Via dello Sport 17, Tigriopoli TI
DESCRIPTION:Campionato Baskin Demo - ESEMPIO COMPILATO 64 Squadre 2026/2027
END:VEVENT</v>
      </c>
      <c r="B61" s="162" t="str">
        <f aca="false">IF('Calendario C'!$B19="","",'Calendario C'!$B19&amp;" vs "&amp;'Calendario C'!$D19)</f>
        <v>Albatri Astuti vs Zebre Zelanti</v>
      </c>
      <c r="C61" s="163" t="n">
        <f aca="false">IF($B61="","",DATE(YEAR('Calendario C'!$F19),MONTH('Calendario C'!$F19),DAY('Calendario C'!$F19)))</f>
        <v>46313</v>
      </c>
      <c r="D61" s="164" t="n">
        <f aca="false">IF($B61="","",TIME(HOUR('Calendario C'!$F19),MINUTE('Calendario C'!$F19),0))</f>
        <v>0.708333333333333</v>
      </c>
      <c r="E61" s="163" t="n">
        <f aca="false">IF($B61="","",DATE(YEAR('Calendario C'!$F19),MONTH('Calendario C'!$F19),DAY('Calendario C'!$F19)))</f>
        <v>46313</v>
      </c>
      <c r="F61" s="164" t="n">
        <f aca="false">IF($B61="","",TIME(HOUR('Calendario C'!$F19)+2,MINUTE('Calendario C'!$F19),0))</f>
        <v>0.791666666666667</v>
      </c>
      <c r="G61" s="162" t="str">
        <f aca="false">IF($B61="","",'Calendario C'!$B20)</f>
        <v>PalaTigri, Via dello Sport 17, Tigriopoli TI</v>
      </c>
      <c r="H61" s="162" t="str">
        <f aca="false">IF($B61="","",Campionato!$D$1&amp;" "&amp;Campionato!$D$5)</f>
        <v>Campionato Baskin Demo - ESEMPIO COMPILATO 64 Squadre 2026/2027</v>
      </c>
      <c r="I61" s="162"/>
    </row>
    <row r="62" customFormat="false" ht="95.5" hidden="false" customHeight="false" outlineLevel="0" collapsed="false">
      <c r="A62" s="162" t="str">
        <f aca="true">IF($B62="","","BEGIN:VEVENT
DTSTAMP:"&amp;TEXT(NOW(),"yyyymmdd")&amp;"T000001Z
UID:evt61@ClaudeCoworkBaskin
DTSTART;TZID=Europe/Rome:"&amp;TEXT($C62,"yyyymmdd")&amp;"T"&amp;TEXT($D62,"hhmmss")&amp;"
DTEND;TZID=Europe/Rome:"&amp;TEXT($E62,"yyyymmdd")&amp;"T"&amp;TEXT($F62,"hhmmss")&amp;"
SUMMARY:"&amp;$B62&amp;"
LOCATION:"&amp;$G62&amp;"
DESCRIPTION:"&amp;$H62&amp;"
END:VEVENT")</f>
        <v>BEGIN:VEVENT
DTSTAMP:20260907T000001Z
UID:evt61@ClaudeCoworkBaskin
DTSTART;TZID=Europe/Rome:20261108T093000
DTEND;TZID=Europe/Rome:20261108T113000
SUMMARY:Cinghiali Caparbi vs Tigri Tenaci
LOCATION:PalaUpupe, Via dello Sport 18, Upupeopoli UE
DESCRIPTION:Campionato Baskin Demo - ESEMPIO COMPILATO 64 Squadre 2026/2027
END:VEVENT</v>
      </c>
      <c r="B62" s="162" t="str">
        <f aca="false">IF('Calendario C'!$B24="","",'Calendario C'!$B24&amp;" vs "&amp;'Calendario C'!$D24)</f>
        <v>Cinghiali Caparbi vs Tigri Tenaci</v>
      </c>
      <c r="C62" s="163" t="n">
        <f aca="false">IF($B62="","",DATE(YEAR('Calendario C'!$F24),MONTH('Calendario C'!$F24),DAY('Calendario C'!$F24)))</f>
        <v>46334</v>
      </c>
      <c r="D62" s="164" t="n">
        <f aca="false">IF($B62="","",TIME(HOUR('Calendario C'!$F24),MINUTE('Calendario C'!$F24),0))</f>
        <v>0.395833333333333</v>
      </c>
      <c r="E62" s="163" t="n">
        <f aca="false">IF($B62="","",DATE(YEAR('Calendario C'!$F24),MONTH('Calendario C'!$F24),DAY('Calendario C'!$F24)))</f>
        <v>46334</v>
      </c>
      <c r="F62" s="164" t="n">
        <f aca="false">IF($B62="","",TIME(HOUR('Calendario C'!$F24)+2,MINUTE('Calendario C'!$F24),0))</f>
        <v>0.479166666666667</v>
      </c>
      <c r="G62" s="162" t="str">
        <f aca="false">IF($B62="","",'Calendario C'!$B25)</f>
        <v>PalaUpupe, Via dello Sport 18, Upupeopoli UE</v>
      </c>
      <c r="H62" s="162" t="str">
        <f aca="false">IF($B62="","",Campionato!$D$1&amp;" "&amp;Campionato!$D$5)</f>
        <v>Campionato Baskin Demo - ESEMPIO COMPILATO 64 Squadre 2026/2027</v>
      </c>
      <c r="I62" s="162"/>
    </row>
    <row r="63" customFormat="false" ht="95.5" hidden="false" customHeight="false" outlineLevel="0" collapsed="false">
      <c r="A63" s="162" t="str">
        <f aca="true">IF($B63="","","BEGIN:VEVENT
DTSTAMP:"&amp;TEXT(NOW(),"yyyymmdd")&amp;"T000001Z
UID:evt62@ClaudeCoworkBaskin
DTSTART;TZID=Europe/Rome:"&amp;TEXT($C63,"yyyymmdd")&amp;"T"&amp;TEXT($D63,"hhmmss")&amp;"
DTEND;TZID=Europe/Rome:"&amp;TEXT($E63,"yyyymmdd")&amp;"T"&amp;TEXT($F63,"hhmmss")&amp;"
SUMMARY:"&amp;$B63&amp;"
LOCATION:"&amp;$G63&amp;"
DESCRIPTION:"&amp;$H63&amp;"
END:VEVENT")</f>
        <v>BEGIN:VEVENT
DTSTAMP:20260907T000001Z
UID:evt62@ClaudeCoworkBaskin
DTSTART;TZID=Europe/Rome:20261108T113000
DTEND;TZID=Europe/Rome:20261108T133000
SUMMARY:Dromedari Danzanti vs Bisonti Baldanzosi
LOCATION:PalaUpupe, Via dello Sport 18, Upupeopoli UE
DESCRIPTION:Campionato Baskin Demo - ESEMPIO COMPILATO 64 Squadre 2026/2027
END:VEVENT</v>
      </c>
      <c r="B63" s="162" t="str">
        <f aca="false">IF('Calendario C'!$B27="","",'Calendario C'!$B27&amp;" vs "&amp;'Calendario C'!$D27)</f>
        <v>Dromedari Danzanti vs Bisonti Baldanzosi</v>
      </c>
      <c r="C63" s="163" t="n">
        <f aca="false">IF($B63="","",DATE(YEAR('Calendario C'!$F27),MONTH('Calendario C'!$F27),DAY('Calendario C'!$F27)))</f>
        <v>46334</v>
      </c>
      <c r="D63" s="164" t="n">
        <f aca="false">IF($B63="","",TIME(HOUR('Calendario C'!$F27),MINUTE('Calendario C'!$F27),0))</f>
        <v>0.479166666666667</v>
      </c>
      <c r="E63" s="163" t="n">
        <f aca="false">IF($B63="","",DATE(YEAR('Calendario C'!$F27),MONTH('Calendario C'!$F27),DAY('Calendario C'!$F27)))</f>
        <v>46334</v>
      </c>
      <c r="F63" s="164" t="n">
        <f aca="false">IF($B63="","",TIME(HOUR('Calendario C'!$F27)+2,MINUTE('Calendario C'!$F27),0))</f>
        <v>0.5625</v>
      </c>
      <c r="G63" s="162" t="str">
        <f aca="false">IF($B63="","",'Calendario C'!$B28)</f>
        <v>PalaUpupe, Via dello Sport 18, Upupeopoli UE</v>
      </c>
      <c r="H63" s="162" t="str">
        <f aca="false">IF($B63="","",Campionato!$D$1&amp;" "&amp;Campionato!$D$5)</f>
        <v>Campionato Baskin Demo - ESEMPIO COMPILATO 64 Squadre 2026/2027</v>
      </c>
      <c r="I63" s="162"/>
    </row>
    <row r="64" customFormat="false" ht="95.5" hidden="false" customHeight="false" outlineLevel="0" collapsed="false">
      <c r="A64" s="162" t="str">
        <f aca="true">IF($B64="","","BEGIN:VEVENT
DTSTAMP:"&amp;TEXT(NOW(),"yyyymmdd")&amp;"T000001Z
UID:evt63@ClaudeCoworkBaskin
DTSTART;TZID=Europe/Rome:"&amp;TEXT($C64,"yyyymmdd")&amp;"T"&amp;TEXT($D64,"hhmmss")&amp;"
DTEND;TZID=Europe/Rome:"&amp;TEXT($E64,"yyyymmdd")&amp;"T"&amp;TEXT($F64,"hhmmss")&amp;"
SUMMARY:"&amp;$B64&amp;"
LOCATION:"&amp;$G64&amp;"
DESCRIPTION:"&amp;$H64&amp;"
END:VEVENT")</f>
        <v>BEGIN:VEVENT
DTSTAMP:20260907T000001Z
UID:evt63@ClaudeCoworkBaskin
DTSTART;TZID=Europe/Rome:20261108T150000
DTEND;TZID=Europe/Rome:20261108T170000
SUMMARY:Albatri Astuti vs Upupe Umoristiche
LOCATION:PalaUpupe, Via dello Sport 18, Upupeopoli UE
DESCRIPTION:Campionato Baskin Demo - ESEMPIO COMPILATO 64 Squadre 2026/2027
END:VEVENT</v>
      </c>
      <c r="B64" s="162" t="str">
        <f aca="false">IF('Calendario C'!$B30="","",'Calendario C'!$B30&amp;" vs "&amp;'Calendario C'!$D30)</f>
        <v>Albatri Astuti vs Upupe Umoristiche</v>
      </c>
      <c r="C64" s="163" t="n">
        <f aca="false">IF($B64="","",DATE(YEAR('Calendario C'!$F30),MONTH('Calendario C'!$F30),DAY('Calendario C'!$F30)))</f>
        <v>46334</v>
      </c>
      <c r="D64" s="164" t="n">
        <f aca="false">IF($B64="","",TIME(HOUR('Calendario C'!$F30),MINUTE('Calendario C'!$F30),0))</f>
        <v>0.625</v>
      </c>
      <c r="E64" s="163" t="n">
        <f aca="false">IF($B64="","",DATE(YEAR('Calendario C'!$F30),MONTH('Calendario C'!$F30),DAY('Calendario C'!$F30)))</f>
        <v>46334</v>
      </c>
      <c r="F64" s="164" t="n">
        <f aca="false">IF($B64="","",TIME(HOUR('Calendario C'!$F30)+2,MINUTE('Calendario C'!$F30),0))</f>
        <v>0.708333333333333</v>
      </c>
      <c r="G64" s="162" t="str">
        <f aca="false">IF($B64="","",'Calendario C'!$B31)</f>
        <v>PalaUpupe, Via dello Sport 18, Upupeopoli UE</v>
      </c>
      <c r="H64" s="162" t="str">
        <f aca="false">IF($B64="","",Campionato!$D$1&amp;" "&amp;Campionato!$D$5)</f>
        <v>Campionato Baskin Demo - ESEMPIO COMPILATO 64 Squadre 2026/2027</v>
      </c>
      <c r="I64" s="162"/>
    </row>
    <row r="65" customFormat="false" ht="95.5" hidden="false" customHeight="false" outlineLevel="0" collapsed="false">
      <c r="A65" s="162" t="str">
        <f aca="true">IF($B65="","","BEGIN:VEVENT
DTSTAMP:"&amp;TEXT(NOW(),"yyyymmdd")&amp;"T000001Z
UID:evt64@ClaudeCoworkBaskin
DTSTART;TZID=Europe/Rome:"&amp;TEXT($C65,"yyyymmdd")&amp;"T"&amp;TEXT($D65,"hhmmss")&amp;"
DTEND;TZID=Europe/Rome:"&amp;TEXT($E65,"yyyymmdd")&amp;"T"&amp;TEXT($F65,"hhmmss")&amp;"
SUMMARY:"&amp;$B65&amp;"
LOCATION:"&amp;$G65&amp;"
DESCRIPTION:"&amp;$H65&amp;"
END:VEVENT")</f>
        <v>BEGIN:VEVENT
DTSTAMP:20260907T000001Z
UID:evt64@ClaudeCoworkBaskin
DTSTART;TZID=Europe/Rome:20261108T170000
DTEND;TZID=Europe/Rome:20261108T190000
SUMMARY:Vipere Vivaci vs Zebre Zelanti
LOCATION:PalaUpupe, Via dello Sport 18, Upupeopoli UE
DESCRIPTION:Campionato Baskin Demo - ESEMPIO COMPILATO 64 Squadre 2026/2027
END:VEVENT</v>
      </c>
      <c r="B65" s="162" t="str">
        <f aca="false">IF('Calendario C'!$B33="","",'Calendario C'!$B33&amp;" vs "&amp;'Calendario C'!$D33)</f>
        <v>Vipere Vivaci vs Zebre Zelanti</v>
      </c>
      <c r="C65" s="163" t="n">
        <f aca="false">IF($B65="","",DATE(YEAR('Calendario C'!$F33),MONTH('Calendario C'!$F33),DAY('Calendario C'!$F33)))</f>
        <v>46334</v>
      </c>
      <c r="D65" s="164" t="n">
        <f aca="false">IF($B65="","",TIME(HOUR('Calendario C'!$F33),MINUTE('Calendario C'!$F33),0))</f>
        <v>0.708333333333333</v>
      </c>
      <c r="E65" s="163" t="n">
        <f aca="false">IF($B65="","",DATE(YEAR('Calendario C'!$F33),MONTH('Calendario C'!$F33),DAY('Calendario C'!$F33)))</f>
        <v>46334</v>
      </c>
      <c r="F65" s="164" t="n">
        <f aca="false">IF($B65="","",TIME(HOUR('Calendario C'!$F33)+2,MINUTE('Calendario C'!$F33),0))</f>
        <v>0.791666666666667</v>
      </c>
      <c r="G65" s="162" t="str">
        <f aca="false">IF($B65="","",'Calendario C'!$B34)</f>
        <v>PalaUpupe, Via dello Sport 18, Upupeopoli UE</v>
      </c>
      <c r="H65" s="162" t="str">
        <f aca="false">IF($B65="","",Campionato!$D$1&amp;" "&amp;Campionato!$D$5)</f>
        <v>Campionato Baskin Demo - ESEMPIO COMPILATO 64 Squadre 2026/2027</v>
      </c>
      <c r="I65" s="162"/>
    </row>
    <row r="66" customFormat="false" ht="95.5" hidden="false" customHeight="false" outlineLevel="0" collapsed="false">
      <c r="A66" s="162" t="str">
        <f aca="true">IF($B66="","","BEGIN:VEVENT
DTSTAMP:"&amp;TEXT(NOW(),"yyyymmdd")&amp;"T000001Z
UID:evt65@ClaudeCoworkBaskin
DTSTART;TZID=Europe/Rome:"&amp;TEXT($C66,"yyyymmdd")&amp;"T"&amp;TEXT($D66,"hhmmss")&amp;"
DTEND;TZID=Europe/Rome:"&amp;TEXT($E66,"yyyymmdd")&amp;"T"&amp;TEXT($F66,"hhmmss")&amp;"
SUMMARY:"&amp;$B66&amp;"
LOCATION:"&amp;$G66&amp;"
DESCRIPTION:"&amp;$H66&amp;"
END:VEVENT")</f>
        <v>BEGIN:VEVENT
DTSTAMP:20260907T000001Z
UID:evt65@ClaudeCoworkBaskin
DTSTART;TZID=Europe/Rome:20261129T093000
DTEND;TZID=Europe/Rome:20261129T113000
SUMMARY:Tigri Tenaci vs Bisonti Baldanzosi
LOCATION:PalaVipere, Via dello Sport 19, Vipereopoli VE
DESCRIPTION:Campionato Baskin Demo - ESEMPIO COMPILATO 64 Squadre 2026/2027
END:VEVENT</v>
      </c>
      <c r="B66" s="162" t="str">
        <f aca="false">IF('Calendario C'!$B38="","",'Calendario C'!$B38&amp;" vs "&amp;'Calendario C'!$D38)</f>
        <v>Tigri Tenaci vs Bisonti Baldanzosi</v>
      </c>
      <c r="C66" s="163" t="n">
        <f aca="false">IF($B66="","",DATE(YEAR('Calendario C'!$F38),MONTH('Calendario C'!$F38),DAY('Calendario C'!$F38)))</f>
        <v>46355</v>
      </c>
      <c r="D66" s="164" t="n">
        <f aca="false">IF($B66="","",TIME(HOUR('Calendario C'!$F38),MINUTE('Calendario C'!$F38),0))</f>
        <v>0.395833333333333</v>
      </c>
      <c r="E66" s="163" t="n">
        <f aca="false">IF($B66="","",DATE(YEAR('Calendario C'!$F38),MONTH('Calendario C'!$F38),DAY('Calendario C'!$F38)))</f>
        <v>46355</v>
      </c>
      <c r="F66" s="164" t="n">
        <f aca="false">IF($B66="","",TIME(HOUR('Calendario C'!$F38)+2,MINUTE('Calendario C'!$F38),0))</f>
        <v>0.479166666666667</v>
      </c>
      <c r="G66" s="162" t="str">
        <f aca="false">IF($B66="","",'Calendario C'!$B39)</f>
        <v>PalaVipere, Via dello Sport 19, Vipereopoli VE</v>
      </c>
      <c r="H66" s="162" t="str">
        <f aca="false">IF($B66="","",Campionato!$D$1&amp;" "&amp;Campionato!$D$5)</f>
        <v>Campionato Baskin Demo - ESEMPIO COMPILATO 64 Squadre 2026/2027</v>
      </c>
      <c r="I66" s="162"/>
    </row>
    <row r="67" customFormat="false" ht="95.5" hidden="false" customHeight="false" outlineLevel="0" collapsed="false">
      <c r="A67" s="162" t="str">
        <f aca="true">IF($B67="","","BEGIN:VEVENT
DTSTAMP:"&amp;TEXT(NOW(),"yyyymmdd")&amp;"T000001Z
UID:evt66@ClaudeCoworkBaskin
DTSTART;TZID=Europe/Rome:"&amp;TEXT($C67,"yyyymmdd")&amp;"T"&amp;TEXT($D67,"hhmmss")&amp;"
DTEND;TZID=Europe/Rome:"&amp;TEXT($E67,"yyyymmdd")&amp;"T"&amp;TEXT($F67,"hhmmss")&amp;"
SUMMARY:"&amp;$B67&amp;"
LOCATION:"&amp;$G67&amp;"
DESCRIPTION:"&amp;$H67&amp;"
END:VEVENT")</f>
        <v>BEGIN:VEVENT
DTSTAMP:20260907T000001Z
UID:evt66@ClaudeCoworkBaskin
DTSTART;TZID=Europe/Rome:20261129T113000
DTEND;TZID=Europe/Rome:20261129T133000
SUMMARY:Albatri Astuti vs Cinghiali Caparbi
LOCATION:PalaVipere, Via dello Sport 19, Vipereopoli VE
DESCRIPTION:Campionato Baskin Demo - ESEMPIO COMPILATO 64 Squadre 2026/2027
END:VEVENT</v>
      </c>
      <c r="B67" s="162" t="str">
        <f aca="false">IF('Calendario C'!$B41="","",'Calendario C'!$B41&amp;" vs "&amp;'Calendario C'!$D41)</f>
        <v>Albatri Astuti vs Cinghiali Caparbi</v>
      </c>
      <c r="C67" s="163" t="n">
        <f aca="false">IF($B67="","",DATE(YEAR('Calendario C'!$F41),MONTH('Calendario C'!$F41),DAY('Calendario C'!$F41)))</f>
        <v>46355</v>
      </c>
      <c r="D67" s="164" t="n">
        <f aca="false">IF($B67="","",TIME(HOUR('Calendario C'!$F41),MINUTE('Calendario C'!$F41),0))</f>
        <v>0.479166666666667</v>
      </c>
      <c r="E67" s="163" t="n">
        <f aca="false">IF($B67="","",DATE(YEAR('Calendario C'!$F41),MONTH('Calendario C'!$F41),DAY('Calendario C'!$F41)))</f>
        <v>46355</v>
      </c>
      <c r="F67" s="164" t="n">
        <f aca="false">IF($B67="","",TIME(HOUR('Calendario C'!$F41)+2,MINUTE('Calendario C'!$F41),0))</f>
        <v>0.5625</v>
      </c>
      <c r="G67" s="162" t="str">
        <f aca="false">IF($B67="","",'Calendario C'!$B42)</f>
        <v>PalaVipere, Via dello Sport 19, Vipereopoli VE</v>
      </c>
      <c r="H67" s="162" t="str">
        <f aca="false">IF($B67="","",Campionato!$D$1&amp;" "&amp;Campionato!$D$5)</f>
        <v>Campionato Baskin Demo - ESEMPIO COMPILATO 64 Squadre 2026/2027</v>
      </c>
      <c r="I67" s="162"/>
    </row>
    <row r="68" customFormat="false" ht="95.5" hidden="false" customHeight="false" outlineLevel="0" collapsed="false">
      <c r="A68" s="162" t="str">
        <f aca="true">IF($B68="","","BEGIN:VEVENT
DTSTAMP:"&amp;TEXT(NOW(),"yyyymmdd")&amp;"T000001Z
UID:evt67@ClaudeCoworkBaskin
DTSTART;TZID=Europe/Rome:"&amp;TEXT($C68,"yyyymmdd")&amp;"T"&amp;TEXT($D68,"hhmmss")&amp;"
DTEND;TZID=Europe/Rome:"&amp;TEXT($E68,"yyyymmdd")&amp;"T"&amp;TEXT($F68,"hhmmss")&amp;"
SUMMARY:"&amp;$B68&amp;"
LOCATION:"&amp;$G68&amp;"
DESCRIPTION:"&amp;$H68&amp;"
END:VEVENT")</f>
        <v>BEGIN:VEVENT
DTSTAMP:20260907T000001Z
UID:evt67@ClaudeCoworkBaskin
DTSTART;TZID=Europe/Rome:20261129T150000
DTEND;TZID=Europe/Rome:20261129T170000
SUMMARY:Dromedari Danzanti vs Zebre Zelanti
LOCATION:PalaVipere, Via dello Sport 19, Vipereopoli VE
DESCRIPTION:Campionato Baskin Demo - ESEMPIO COMPILATO 64 Squadre 2026/2027
END:VEVENT</v>
      </c>
      <c r="B68" s="162" t="str">
        <f aca="false">IF('Calendario C'!$B44="","",'Calendario C'!$B44&amp;" vs "&amp;'Calendario C'!$D44)</f>
        <v>Dromedari Danzanti vs Zebre Zelanti</v>
      </c>
      <c r="C68" s="163" t="n">
        <f aca="false">IF($B68="","",DATE(YEAR('Calendario C'!$F44),MONTH('Calendario C'!$F44),DAY('Calendario C'!$F44)))</f>
        <v>46355</v>
      </c>
      <c r="D68" s="164" t="n">
        <f aca="false">IF($B68="","",TIME(HOUR('Calendario C'!$F44),MINUTE('Calendario C'!$F44),0))</f>
        <v>0.625</v>
      </c>
      <c r="E68" s="163" t="n">
        <f aca="false">IF($B68="","",DATE(YEAR('Calendario C'!$F44),MONTH('Calendario C'!$F44),DAY('Calendario C'!$F44)))</f>
        <v>46355</v>
      </c>
      <c r="F68" s="164" t="n">
        <f aca="false">IF($B68="","",TIME(HOUR('Calendario C'!$F44)+2,MINUTE('Calendario C'!$F44),0))</f>
        <v>0.708333333333333</v>
      </c>
      <c r="G68" s="162" t="str">
        <f aca="false">IF($B68="","",'Calendario C'!$B45)</f>
        <v>PalaVipere, Via dello Sport 19, Vipereopoli VE</v>
      </c>
      <c r="H68" s="162" t="str">
        <f aca="false">IF($B68="","",Campionato!$D$1&amp;" "&amp;Campionato!$D$5)</f>
        <v>Campionato Baskin Demo - ESEMPIO COMPILATO 64 Squadre 2026/2027</v>
      </c>
      <c r="I68" s="162"/>
    </row>
    <row r="69" customFormat="false" ht="95.5" hidden="false" customHeight="false" outlineLevel="0" collapsed="false">
      <c r="A69" s="162" t="str">
        <f aca="true">IF($B69="","","BEGIN:VEVENT
DTSTAMP:"&amp;TEXT(NOW(),"yyyymmdd")&amp;"T000001Z
UID:evt68@ClaudeCoworkBaskin
DTSTART;TZID=Europe/Rome:"&amp;TEXT($C69,"yyyymmdd")&amp;"T"&amp;TEXT($D69,"hhmmss")&amp;"
DTEND;TZID=Europe/Rome:"&amp;TEXT($E69,"yyyymmdd")&amp;"T"&amp;TEXT($F69,"hhmmss")&amp;"
SUMMARY:"&amp;$B69&amp;"
LOCATION:"&amp;$G69&amp;"
DESCRIPTION:"&amp;$H69&amp;"
END:VEVENT")</f>
        <v>BEGIN:VEVENT
DTSTAMP:20260907T000001Z
UID:evt68@ClaudeCoworkBaskin
DTSTART;TZID=Europe/Rome:20261129T170000
DTEND;TZID=Europe/Rome:20261129T190000
SUMMARY:Vipere Vivaci vs Upupe Umoristiche
LOCATION:PalaVipere, Via dello Sport 19, Vipereopoli VE
DESCRIPTION:Campionato Baskin Demo - ESEMPIO COMPILATO 64 Squadre 2026/2027
END:VEVENT</v>
      </c>
      <c r="B69" s="162" t="str">
        <f aca="false">IF('Calendario C'!$B47="","",'Calendario C'!$B47&amp;" vs "&amp;'Calendario C'!$D47)</f>
        <v>Vipere Vivaci vs Upupe Umoristiche</v>
      </c>
      <c r="C69" s="163" t="n">
        <f aca="false">IF($B69="","",DATE(YEAR('Calendario C'!$F47),MONTH('Calendario C'!$F47),DAY('Calendario C'!$F47)))</f>
        <v>46355</v>
      </c>
      <c r="D69" s="164" t="n">
        <f aca="false">IF($B69="","",TIME(HOUR('Calendario C'!$F47),MINUTE('Calendario C'!$F47),0))</f>
        <v>0.708333333333333</v>
      </c>
      <c r="E69" s="163" t="n">
        <f aca="false">IF($B69="","",DATE(YEAR('Calendario C'!$F47),MONTH('Calendario C'!$F47),DAY('Calendario C'!$F47)))</f>
        <v>46355</v>
      </c>
      <c r="F69" s="164" t="n">
        <f aca="false">IF($B69="","",TIME(HOUR('Calendario C'!$F47)+2,MINUTE('Calendario C'!$F47),0))</f>
        <v>0.791666666666667</v>
      </c>
      <c r="G69" s="162" t="str">
        <f aca="false">IF($B69="","",'Calendario C'!$B48)</f>
        <v>PalaVipere, Via dello Sport 19, Vipereopoli VE</v>
      </c>
      <c r="H69" s="162" t="str">
        <f aca="false">IF($B69="","",Campionato!$D$1&amp;" "&amp;Campionato!$D$5)</f>
        <v>Campionato Baskin Demo - ESEMPIO COMPILATO 64 Squadre 2026/2027</v>
      </c>
      <c r="I69" s="162"/>
    </row>
    <row r="70" customFormat="false" ht="95.5" hidden="false" customHeight="false" outlineLevel="0" collapsed="false">
      <c r="A70" s="162" t="str">
        <f aca="true">IF($B70="","","BEGIN:VEVENT
DTSTAMP:"&amp;TEXT(NOW(),"yyyymmdd")&amp;"T000001Z
UID:evt69@ClaudeCoworkBaskin
DTSTART;TZID=Europe/Rome:"&amp;TEXT($C70,"yyyymmdd")&amp;"T"&amp;TEXT($D70,"hhmmss")&amp;"
DTEND;TZID=Europe/Rome:"&amp;TEXT($E70,"yyyymmdd")&amp;"T"&amp;TEXT($F70,"hhmmss")&amp;"
SUMMARY:"&amp;$B70&amp;"
LOCATION:"&amp;$G70&amp;"
DESCRIPTION:"&amp;$H70&amp;"
END:VEVENT")</f>
        <v>BEGIN:VEVENT
DTSTAMP:20260907T000001Z
UID:evt69@ClaudeCoworkBaskin
DTSTART;TZID=Europe/Rome:20261213T093000
DTEND;TZID=Europe/Rome:20261213T113000
SUMMARY:Albatri Astuti vs Tigri Tenaci
LOCATION:PalaZebre, Via dello Sport 20, Zebreopoli ZE
DESCRIPTION:Campionato Baskin Demo - ESEMPIO COMPILATO 64 Squadre 2026/2027
END:VEVENT</v>
      </c>
      <c r="B70" s="162" t="str">
        <f aca="false">IF('Calendario C'!$B52="","",'Calendario C'!$B52&amp;" vs "&amp;'Calendario C'!$D52)</f>
        <v>Albatri Astuti vs Tigri Tenaci</v>
      </c>
      <c r="C70" s="163" t="n">
        <f aca="false">IF($B70="","",DATE(YEAR('Calendario C'!$F52),MONTH('Calendario C'!$F52),DAY('Calendario C'!$F52)))</f>
        <v>46369</v>
      </c>
      <c r="D70" s="164" t="n">
        <f aca="false">IF($B70="","",TIME(HOUR('Calendario C'!$F52),MINUTE('Calendario C'!$F52),0))</f>
        <v>0.395833333333333</v>
      </c>
      <c r="E70" s="163" t="n">
        <f aca="false">IF($B70="","",DATE(YEAR('Calendario C'!$F52),MONTH('Calendario C'!$F52),DAY('Calendario C'!$F52)))</f>
        <v>46369</v>
      </c>
      <c r="F70" s="164" t="n">
        <f aca="false">IF($B70="","",TIME(HOUR('Calendario C'!$F52)+2,MINUTE('Calendario C'!$F52),0))</f>
        <v>0.479166666666667</v>
      </c>
      <c r="G70" s="162" t="str">
        <f aca="false">IF($B70="","",'Calendario C'!$B53)</f>
        <v>PalaZebre, Via dello Sport 20, Zebreopoli ZE</v>
      </c>
      <c r="H70" s="162" t="str">
        <f aca="false">IF($B70="","",Campionato!$D$1&amp;" "&amp;Campionato!$D$5)</f>
        <v>Campionato Baskin Demo - ESEMPIO COMPILATO 64 Squadre 2026/2027</v>
      </c>
      <c r="I70" s="162"/>
    </row>
    <row r="71" customFormat="false" ht="95.5" hidden="false" customHeight="false" outlineLevel="0" collapsed="false">
      <c r="A71" s="162" t="str">
        <f aca="true">IF($B71="","","BEGIN:VEVENT
DTSTAMP:"&amp;TEXT(NOW(),"yyyymmdd")&amp;"T000001Z
UID:evt70@ClaudeCoworkBaskin
DTSTART;TZID=Europe/Rome:"&amp;TEXT($C71,"yyyymmdd")&amp;"T"&amp;TEXT($D71,"hhmmss")&amp;"
DTEND;TZID=Europe/Rome:"&amp;TEXT($E71,"yyyymmdd")&amp;"T"&amp;TEXT($F71,"hhmmss")&amp;"
SUMMARY:"&amp;$B71&amp;"
LOCATION:"&amp;$G71&amp;"
DESCRIPTION:"&amp;$H71&amp;"
END:VEVENT")</f>
        <v>BEGIN:VEVENT
DTSTAMP:20260907T000001Z
UID:evt70@ClaudeCoworkBaskin
DTSTART;TZID=Europe/Rome:20261213T113000
DTEND;TZID=Europe/Rome:20261213T133000
SUMMARY:Bisonti Baldanzosi vs Zebre Zelanti
LOCATION:PalaZebre, Via dello Sport 20, Zebreopoli ZE
DESCRIPTION:Campionato Baskin Demo - ESEMPIO COMPILATO 64 Squadre 2026/2027
END:VEVENT</v>
      </c>
      <c r="B71" s="162" t="str">
        <f aca="false">IF('Calendario C'!$B55="","",'Calendario C'!$B55&amp;" vs "&amp;'Calendario C'!$D55)</f>
        <v>Bisonti Baldanzosi vs Zebre Zelanti</v>
      </c>
      <c r="C71" s="163" t="n">
        <f aca="false">IF($B71="","",DATE(YEAR('Calendario C'!$F55),MONTH('Calendario C'!$F55),DAY('Calendario C'!$F55)))</f>
        <v>46369</v>
      </c>
      <c r="D71" s="164" t="n">
        <f aca="false">IF($B71="","",TIME(HOUR('Calendario C'!$F55),MINUTE('Calendario C'!$F55),0))</f>
        <v>0.479166666666667</v>
      </c>
      <c r="E71" s="163" t="n">
        <f aca="false">IF($B71="","",DATE(YEAR('Calendario C'!$F55),MONTH('Calendario C'!$F55),DAY('Calendario C'!$F55)))</f>
        <v>46369</v>
      </c>
      <c r="F71" s="164" t="n">
        <f aca="false">IF($B71="","",TIME(HOUR('Calendario C'!$F55)+2,MINUTE('Calendario C'!$F55),0))</f>
        <v>0.5625</v>
      </c>
      <c r="G71" s="162" t="str">
        <f aca="false">IF($B71="","",'Calendario C'!$B56)</f>
        <v>PalaZebre, Via dello Sport 20, Zebreopoli ZE</v>
      </c>
      <c r="H71" s="162" t="str">
        <f aca="false">IF($B71="","",Campionato!$D$1&amp;" "&amp;Campionato!$D$5)</f>
        <v>Campionato Baskin Demo - ESEMPIO COMPILATO 64 Squadre 2026/2027</v>
      </c>
      <c r="I71" s="162"/>
    </row>
    <row r="72" customFormat="false" ht="95.5" hidden="false" customHeight="false" outlineLevel="0" collapsed="false">
      <c r="A72" s="162" t="str">
        <f aca="true">IF($B72="","","BEGIN:VEVENT
DTSTAMP:"&amp;TEXT(NOW(),"yyyymmdd")&amp;"T000001Z
UID:evt71@ClaudeCoworkBaskin
DTSTART;TZID=Europe/Rome:"&amp;TEXT($C72,"yyyymmdd")&amp;"T"&amp;TEXT($D72,"hhmmss")&amp;"
DTEND;TZID=Europe/Rome:"&amp;TEXT($E72,"yyyymmdd")&amp;"T"&amp;TEXT($F72,"hhmmss")&amp;"
SUMMARY:"&amp;$B72&amp;"
LOCATION:"&amp;$G72&amp;"
DESCRIPTION:"&amp;$H72&amp;"
END:VEVENT")</f>
        <v>BEGIN:VEVENT
DTSTAMP:20260907T000001Z
UID:evt71@ClaudeCoworkBaskin
DTSTART;TZID=Europe/Rome:20261213T150000
DTEND;TZID=Europe/Rome:20261213T170000
SUMMARY:Vipere Vivaci vs Cinghiali Caparbi
LOCATION:PalaZebre, Via dello Sport 20, Zebreopoli ZE
DESCRIPTION:Campionato Baskin Demo - ESEMPIO COMPILATO 64 Squadre 2026/2027
END:VEVENT</v>
      </c>
      <c r="B72" s="162" t="str">
        <f aca="false">IF('Calendario C'!$B58="","",'Calendario C'!$B58&amp;" vs "&amp;'Calendario C'!$D58)</f>
        <v>Vipere Vivaci vs Cinghiali Caparbi</v>
      </c>
      <c r="C72" s="163" t="n">
        <f aca="false">IF($B72="","",DATE(YEAR('Calendario C'!$F58),MONTH('Calendario C'!$F58),DAY('Calendario C'!$F58)))</f>
        <v>46369</v>
      </c>
      <c r="D72" s="164" t="n">
        <f aca="false">IF($B72="","",TIME(HOUR('Calendario C'!$F58),MINUTE('Calendario C'!$F58),0))</f>
        <v>0.625</v>
      </c>
      <c r="E72" s="163" t="n">
        <f aca="false">IF($B72="","",DATE(YEAR('Calendario C'!$F58),MONTH('Calendario C'!$F58),DAY('Calendario C'!$F58)))</f>
        <v>46369</v>
      </c>
      <c r="F72" s="164" t="n">
        <f aca="false">IF($B72="","",TIME(HOUR('Calendario C'!$F58)+2,MINUTE('Calendario C'!$F58),0))</f>
        <v>0.708333333333333</v>
      </c>
      <c r="G72" s="162" t="str">
        <f aca="false">IF($B72="","",'Calendario C'!$B59)</f>
        <v>PalaZebre, Via dello Sport 20, Zebreopoli ZE</v>
      </c>
      <c r="H72" s="162" t="str">
        <f aca="false">IF($B72="","",Campionato!$D$1&amp;" "&amp;Campionato!$D$5)</f>
        <v>Campionato Baskin Demo - ESEMPIO COMPILATO 64 Squadre 2026/2027</v>
      </c>
      <c r="I72" s="162"/>
    </row>
    <row r="73" customFormat="false" ht="95.5" hidden="false" customHeight="false" outlineLevel="0" collapsed="false">
      <c r="A73" s="162" t="str">
        <f aca="true">IF($B73="","","BEGIN:VEVENT
DTSTAMP:"&amp;TEXT(NOW(),"yyyymmdd")&amp;"T000001Z
UID:evt72@ClaudeCoworkBaskin
DTSTART;TZID=Europe/Rome:"&amp;TEXT($C73,"yyyymmdd")&amp;"T"&amp;TEXT($D73,"hhmmss")&amp;"
DTEND;TZID=Europe/Rome:"&amp;TEXT($E73,"yyyymmdd")&amp;"T"&amp;TEXT($F73,"hhmmss")&amp;"
SUMMARY:"&amp;$B73&amp;"
LOCATION:"&amp;$G73&amp;"
DESCRIPTION:"&amp;$H73&amp;"
END:VEVENT")</f>
        <v>BEGIN:VEVENT
DTSTAMP:20260907T000001Z
UID:evt72@ClaudeCoworkBaskin
DTSTART;TZID=Europe/Rome:20261213T170000
DTEND;TZID=Europe/Rome:20261213T190000
SUMMARY:Dromedari Danzanti vs Upupe Umoristiche
LOCATION:PalaZebre, Via dello Sport 20, Zebreopoli ZE
DESCRIPTION:Campionato Baskin Demo - ESEMPIO COMPILATO 64 Squadre 2026/2027
END:VEVENT</v>
      </c>
      <c r="B73" s="162" t="str">
        <f aca="false">IF('Calendario C'!$B61="","",'Calendario C'!$B61&amp;" vs "&amp;'Calendario C'!$D61)</f>
        <v>Dromedari Danzanti vs Upupe Umoristiche</v>
      </c>
      <c r="C73" s="163" t="n">
        <f aca="false">IF($B73="","",DATE(YEAR('Calendario C'!$F61),MONTH('Calendario C'!$F61),DAY('Calendario C'!$F61)))</f>
        <v>46369</v>
      </c>
      <c r="D73" s="164" t="n">
        <f aca="false">IF($B73="","",TIME(HOUR('Calendario C'!$F61),MINUTE('Calendario C'!$F61),0))</f>
        <v>0.708333333333333</v>
      </c>
      <c r="E73" s="163" t="n">
        <f aca="false">IF($B73="","",DATE(YEAR('Calendario C'!$F61),MONTH('Calendario C'!$F61),DAY('Calendario C'!$F61)))</f>
        <v>46369</v>
      </c>
      <c r="F73" s="164" t="n">
        <f aca="false">IF($B73="","",TIME(HOUR('Calendario C'!$F61)+2,MINUTE('Calendario C'!$F61),0))</f>
        <v>0.791666666666667</v>
      </c>
      <c r="G73" s="162" t="str">
        <f aca="false">IF($B73="","",'Calendario C'!$B62)</f>
        <v>PalaZebre, Via dello Sport 20, Zebreopoli ZE</v>
      </c>
      <c r="H73" s="162" t="str">
        <f aca="false">IF($B73="","",Campionato!$D$1&amp;" "&amp;Campionato!$D$5)</f>
        <v>Campionato Baskin Demo - ESEMPIO COMPILATO 64 Squadre 2026/2027</v>
      </c>
      <c r="I73" s="162"/>
    </row>
    <row r="74" customFormat="false" ht="95.5" hidden="false" customHeight="false" outlineLevel="0" collapsed="false">
      <c r="A74" s="162" t="str">
        <f aca="true">IF($B74="","","BEGIN:VEVENT
DTSTAMP:"&amp;TEXT(NOW(),"yyyymmdd")&amp;"T000001Z
UID:evt73@ClaudeCoworkBaskin
DTSTART;TZID=Europe/Rome:"&amp;TEXT($C74,"yyyymmdd")&amp;"T"&amp;TEXT($D74,"hhmmss")&amp;"
DTEND;TZID=Europe/Rome:"&amp;TEXT($E74,"yyyymmdd")&amp;"T"&amp;TEXT($F74,"hhmmss")&amp;"
SUMMARY:"&amp;$B74&amp;"
LOCATION:"&amp;$G74&amp;"
DESCRIPTION:"&amp;$H74&amp;"
END:VEVENT")</f>
        <v>BEGIN:VEVENT
DTSTAMP:20260907T000001Z
UID:evt73@ClaudeCoworkBaskin
DTSTART;TZID=Europe/Rome:20270124T093000
DTEND;TZID=Europe/Rome:20270124T113000
SUMMARY:Tigri Tenaci vs Zebre Zelanti
LOCATION:PalaAlbatri, Via dello Sport 1, Albatriopoli AI
DESCRIPTION:Campionato Baskin Demo - ESEMPIO COMPILATO 64 Squadre 2026/2027
END:VEVENT</v>
      </c>
      <c r="B74" s="162" t="str">
        <f aca="false">IF('Calendario C'!$B66="","",'Calendario C'!$B66&amp;" vs "&amp;'Calendario C'!$D66)</f>
        <v>Tigri Tenaci vs Zebre Zelanti</v>
      </c>
      <c r="C74" s="163" t="n">
        <f aca="false">IF($B74="","",DATE(YEAR('Calendario C'!$F66),MONTH('Calendario C'!$F66),DAY('Calendario C'!$F66)))</f>
        <v>46411</v>
      </c>
      <c r="D74" s="164" t="n">
        <f aca="false">IF($B74="","",TIME(HOUR('Calendario C'!$F66),MINUTE('Calendario C'!$F66),0))</f>
        <v>0.395833333333333</v>
      </c>
      <c r="E74" s="163" t="n">
        <f aca="false">IF($B74="","",DATE(YEAR('Calendario C'!$F66),MONTH('Calendario C'!$F66),DAY('Calendario C'!$F66)))</f>
        <v>46411</v>
      </c>
      <c r="F74" s="164" t="n">
        <f aca="false">IF($B74="","",TIME(HOUR('Calendario C'!$F66)+2,MINUTE('Calendario C'!$F66),0))</f>
        <v>0.479166666666667</v>
      </c>
      <c r="G74" s="162" t="str">
        <f aca="false">IF($B74="","",'Calendario C'!$B67)</f>
        <v>PalaAlbatri, Via dello Sport 1, Albatriopoli AI</v>
      </c>
      <c r="H74" s="162" t="str">
        <f aca="false">IF($B74="","",Campionato!$D$1&amp;" "&amp;Campionato!$D$5)</f>
        <v>Campionato Baskin Demo - ESEMPIO COMPILATO 64 Squadre 2026/2027</v>
      </c>
      <c r="I74" s="162"/>
    </row>
    <row r="75" customFormat="false" ht="95.5" hidden="false" customHeight="false" outlineLevel="0" collapsed="false">
      <c r="A75" s="162" t="str">
        <f aca="true">IF($B75="","","BEGIN:VEVENT
DTSTAMP:"&amp;TEXT(NOW(),"yyyymmdd")&amp;"T000001Z
UID:evt74@ClaudeCoworkBaskin
DTSTART;TZID=Europe/Rome:"&amp;TEXT($C75,"yyyymmdd")&amp;"T"&amp;TEXT($D75,"hhmmss")&amp;"
DTEND;TZID=Europe/Rome:"&amp;TEXT($E75,"yyyymmdd")&amp;"T"&amp;TEXT($F75,"hhmmss")&amp;"
SUMMARY:"&amp;$B75&amp;"
LOCATION:"&amp;$G75&amp;"
DESCRIPTION:"&amp;$H75&amp;"
END:VEVENT")</f>
        <v>BEGIN:VEVENT
DTSTAMP:20260907T000001Z
UID:evt74@ClaudeCoworkBaskin
DTSTART;TZID=Europe/Rome:20270124T113000
DTEND;TZID=Europe/Rome:20270124T133000
SUMMARY:Vipere Vivaci vs Albatri Astuti
LOCATION:PalaAlbatri, Via dello Sport 1, Albatriopoli AI
DESCRIPTION:Campionato Baskin Demo - ESEMPIO COMPILATO 64 Squadre 2026/2027
END:VEVENT</v>
      </c>
      <c r="B75" s="162" t="str">
        <f aca="false">IF('Calendario C'!$B69="","",'Calendario C'!$B69&amp;" vs "&amp;'Calendario C'!$D69)</f>
        <v>Vipere Vivaci vs Albatri Astuti</v>
      </c>
      <c r="C75" s="163" t="n">
        <f aca="false">IF($B75="","",DATE(YEAR('Calendario C'!$F69),MONTH('Calendario C'!$F69),DAY('Calendario C'!$F69)))</f>
        <v>46411</v>
      </c>
      <c r="D75" s="164" t="n">
        <f aca="false">IF($B75="","",TIME(HOUR('Calendario C'!$F69),MINUTE('Calendario C'!$F69),0))</f>
        <v>0.479166666666667</v>
      </c>
      <c r="E75" s="163" t="n">
        <f aca="false">IF($B75="","",DATE(YEAR('Calendario C'!$F69),MONTH('Calendario C'!$F69),DAY('Calendario C'!$F69)))</f>
        <v>46411</v>
      </c>
      <c r="F75" s="164" t="n">
        <f aca="false">IF($B75="","",TIME(HOUR('Calendario C'!$F69)+2,MINUTE('Calendario C'!$F69),0))</f>
        <v>0.5625</v>
      </c>
      <c r="G75" s="162" t="str">
        <f aca="false">IF($B75="","",'Calendario C'!$B70)</f>
        <v>PalaAlbatri, Via dello Sport 1, Albatriopoli AI</v>
      </c>
      <c r="H75" s="162" t="str">
        <f aca="false">IF($B75="","",Campionato!$D$1&amp;" "&amp;Campionato!$D$5)</f>
        <v>Campionato Baskin Demo - ESEMPIO COMPILATO 64 Squadre 2026/2027</v>
      </c>
      <c r="I75" s="162"/>
    </row>
    <row r="76" customFormat="false" ht="95.5" hidden="false" customHeight="false" outlineLevel="0" collapsed="false">
      <c r="A76" s="162" t="str">
        <f aca="true">IF($B76="","","BEGIN:VEVENT
DTSTAMP:"&amp;TEXT(NOW(),"yyyymmdd")&amp;"T000001Z
UID:evt75@ClaudeCoworkBaskin
DTSTART;TZID=Europe/Rome:"&amp;TEXT($C76,"yyyymmdd")&amp;"T"&amp;TEXT($D76,"hhmmss")&amp;"
DTEND;TZID=Europe/Rome:"&amp;TEXT($E76,"yyyymmdd")&amp;"T"&amp;TEXT($F76,"hhmmss")&amp;"
SUMMARY:"&amp;$B76&amp;"
LOCATION:"&amp;$G76&amp;"
DESCRIPTION:"&amp;$H76&amp;"
END:VEVENT")</f>
        <v>BEGIN:VEVENT
DTSTAMP:20260907T000001Z
UID:evt75@ClaudeCoworkBaskin
DTSTART;TZID=Europe/Rome:20270124T150000
DTEND;TZID=Europe/Rome:20270124T170000
SUMMARY:Bisonti Baldanzosi vs Upupe Umoristiche
LOCATION:PalaAlbatri, Via dello Sport 1, Albatriopoli AI
DESCRIPTION:Campionato Baskin Demo - ESEMPIO COMPILATO 64 Squadre 2026/2027
END:VEVENT</v>
      </c>
      <c r="B76" s="162" t="str">
        <f aca="false">IF('Calendario C'!$B72="","",'Calendario C'!$B72&amp;" vs "&amp;'Calendario C'!$D72)</f>
        <v>Bisonti Baldanzosi vs Upupe Umoristiche</v>
      </c>
      <c r="C76" s="163" t="n">
        <f aca="false">IF($B76="","",DATE(YEAR('Calendario C'!$F72),MONTH('Calendario C'!$F72),DAY('Calendario C'!$F72)))</f>
        <v>46411</v>
      </c>
      <c r="D76" s="164" t="n">
        <f aca="false">IF($B76="","",TIME(HOUR('Calendario C'!$F72),MINUTE('Calendario C'!$F72),0))</f>
        <v>0.625</v>
      </c>
      <c r="E76" s="163" t="n">
        <f aca="false">IF($B76="","",DATE(YEAR('Calendario C'!$F72),MONTH('Calendario C'!$F72),DAY('Calendario C'!$F72)))</f>
        <v>46411</v>
      </c>
      <c r="F76" s="164" t="n">
        <f aca="false">IF($B76="","",TIME(HOUR('Calendario C'!$F72)+2,MINUTE('Calendario C'!$F72),0))</f>
        <v>0.708333333333333</v>
      </c>
      <c r="G76" s="162" t="str">
        <f aca="false">IF($B76="","",'Calendario C'!$B73)</f>
        <v>PalaAlbatri, Via dello Sport 1, Albatriopoli AI</v>
      </c>
      <c r="H76" s="162" t="str">
        <f aca="false">IF($B76="","",Campionato!$D$1&amp;" "&amp;Campionato!$D$5)</f>
        <v>Campionato Baskin Demo - ESEMPIO COMPILATO 64 Squadre 2026/2027</v>
      </c>
      <c r="I76" s="162"/>
    </row>
    <row r="77" customFormat="false" ht="95.5" hidden="false" customHeight="false" outlineLevel="0" collapsed="false">
      <c r="A77" s="162" t="str">
        <f aca="true">IF($B77="","","BEGIN:VEVENT
DTSTAMP:"&amp;TEXT(NOW(),"yyyymmdd")&amp;"T000001Z
UID:evt76@ClaudeCoworkBaskin
DTSTART;TZID=Europe/Rome:"&amp;TEXT($C77,"yyyymmdd")&amp;"T"&amp;TEXT($D77,"hhmmss")&amp;"
DTEND;TZID=Europe/Rome:"&amp;TEXT($E77,"yyyymmdd")&amp;"T"&amp;TEXT($F77,"hhmmss")&amp;"
SUMMARY:"&amp;$B77&amp;"
LOCATION:"&amp;$G77&amp;"
DESCRIPTION:"&amp;$H77&amp;"
END:VEVENT")</f>
        <v>BEGIN:VEVENT
DTSTAMP:20260907T000001Z
UID:evt76@ClaudeCoworkBaskin
DTSTART;TZID=Europe/Rome:20270124T170000
DTEND;TZID=Europe/Rome:20270124T190000
SUMMARY:Dromedari Danzanti vs Cinghiali Caparbi
LOCATION:PalaAlbatri, Via dello Sport 1, Albatriopoli AI
DESCRIPTION:Campionato Baskin Demo - ESEMPIO COMPILATO 64 Squadre 2026/2027
END:VEVENT</v>
      </c>
      <c r="B77" s="162" t="str">
        <f aca="false">IF('Calendario C'!$B75="","",'Calendario C'!$B75&amp;" vs "&amp;'Calendario C'!$D75)</f>
        <v>Dromedari Danzanti vs Cinghiali Caparbi</v>
      </c>
      <c r="C77" s="163" t="n">
        <f aca="false">IF($B77="","",DATE(YEAR('Calendario C'!$F75),MONTH('Calendario C'!$F75),DAY('Calendario C'!$F75)))</f>
        <v>46411</v>
      </c>
      <c r="D77" s="164" t="n">
        <f aca="false">IF($B77="","",TIME(HOUR('Calendario C'!$F75),MINUTE('Calendario C'!$F75),0))</f>
        <v>0.708333333333333</v>
      </c>
      <c r="E77" s="163" t="n">
        <f aca="false">IF($B77="","",DATE(YEAR('Calendario C'!$F75),MONTH('Calendario C'!$F75),DAY('Calendario C'!$F75)))</f>
        <v>46411</v>
      </c>
      <c r="F77" s="164" t="n">
        <f aca="false">IF($B77="","",TIME(HOUR('Calendario C'!$F75)+2,MINUTE('Calendario C'!$F75),0))</f>
        <v>0.791666666666667</v>
      </c>
      <c r="G77" s="162" t="str">
        <f aca="false">IF($B77="","",'Calendario C'!$B76)</f>
        <v>PalaAlbatri, Via dello Sport 1, Albatriopoli AI</v>
      </c>
      <c r="H77" s="162" t="str">
        <f aca="false">IF($B77="","",Campionato!$D$1&amp;" "&amp;Campionato!$D$5)</f>
        <v>Campionato Baskin Demo - ESEMPIO COMPILATO 64 Squadre 2026/2027</v>
      </c>
      <c r="I77" s="162"/>
    </row>
    <row r="78" customFormat="false" ht="95.5" hidden="false" customHeight="false" outlineLevel="0" collapsed="false">
      <c r="A78" s="162" t="str">
        <f aca="true">IF($B78="","","BEGIN:VEVENT
DTSTAMP:"&amp;TEXT(NOW(),"yyyymmdd")&amp;"T000001Z
UID:evt77@ClaudeCoworkBaskin
DTSTART;TZID=Europe/Rome:"&amp;TEXT($C78,"yyyymmdd")&amp;"T"&amp;TEXT($D78,"hhmmss")&amp;"
DTEND;TZID=Europe/Rome:"&amp;TEXT($E78,"yyyymmdd")&amp;"T"&amp;TEXT($F78,"hhmmss")&amp;"
SUMMARY:"&amp;$B78&amp;"
LOCATION:"&amp;$G78&amp;"
DESCRIPTION:"&amp;$H78&amp;"
END:VEVENT")</f>
        <v>BEGIN:VEVENT
DTSTAMP:20260907T000001Z
UID:evt77@ClaudeCoworkBaskin
DTSTART;TZID=Europe/Rome:20270214T093000
DTEND;TZID=Europe/Rome:20270214T113000
SUMMARY:Vipere Vivaci vs Tigri Tenaci
LOCATION:PalaBisonti, Via dello Sport 2, Bisontiopoli BI
DESCRIPTION:Campionato Baskin Demo - ESEMPIO COMPILATO 64 Squadre 2026/2027
END:VEVENT</v>
      </c>
      <c r="B78" s="162" t="str">
        <f aca="false">IF('Calendario C'!$B80="","",'Calendario C'!$B80&amp;" vs "&amp;'Calendario C'!$D80)</f>
        <v>Vipere Vivaci vs Tigri Tenaci</v>
      </c>
      <c r="C78" s="163" t="n">
        <f aca="false">IF($B78="","",DATE(YEAR('Calendario C'!$F80),MONTH('Calendario C'!$F80),DAY('Calendario C'!$F80)))</f>
        <v>46432</v>
      </c>
      <c r="D78" s="164" t="n">
        <f aca="false">IF($B78="","",TIME(HOUR('Calendario C'!$F80),MINUTE('Calendario C'!$F80),0))</f>
        <v>0.395833333333333</v>
      </c>
      <c r="E78" s="163" t="n">
        <f aca="false">IF($B78="","",DATE(YEAR('Calendario C'!$F80),MONTH('Calendario C'!$F80),DAY('Calendario C'!$F80)))</f>
        <v>46432</v>
      </c>
      <c r="F78" s="164" t="n">
        <f aca="false">IF($B78="","",TIME(HOUR('Calendario C'!$F80)+2,MINUTE('Calendario C'!$F80),0))</f>
        <v>0.479166666666667</v>
      </c>
      <c r="G78" s="162" t="str">
        <f aca="false">IF($B78="","",'Calendario C'!$B81)</f>
        <v>PalaBisonti, Via dello Sport 2, Bisontiopoli BI</v>
      </c>
      <c r="H78" s="162" t="str">
        <f aca="false">IF($B78="","",Campionato!$D$1&amp;" "&amp;Campionato!$D$5)</f>
        <v>Campionato Baskin Demo - ESEMPIO COMPILATO 64 Squadre 2026/2027</v>
      </c>
      <c r="I78" s="162"/>
    </row>
    <row r="79" customFormat="false" ht="95.5" hidden="false" customHeight="false" outlineLevel="0" collapsed="false">
      <c r="A79" s="162" t="str">
        <f aca="true">IF($B79="","","BEGIN:VEVENT
DTSTAMP:"&amp;TEXT(NOW(),"yyyymmdd")&amp;"T000001Z
UID:evt78@ClaudeCoworkBaskin
DTSTART;TZID=Europe/Rome:"&amp;TEXT($C79,"yyyymmdd")&amp;"T"&amp;TEXT($D79,"hhmmss")&amp;"
DTEND;TZID=Europe/Rome:"&amp;TEXT($E79,"yyyymmdd")&amp;"T"&amp;TEXT($F79,"hhmmss")&amp;"
SUMMARY:"&amp;$B79&amp;"
LOCATION:"&amp;$G79&amp;"
DESCRIPTION:"&amp;$H79&amp;"
END:VEVENT")</f>
        <v>BEGIN:VEVENT
DTSTAMP:20260907T000001Z
UID:evt78@ClaudeCoworkBaskin
DTSTART;TZID=Europe/Rome:20270214T113000
DTEND;TZID=Europe/Rome:20270214T133000
SUMMARY:Zebre Zelanti vs Upupe Umoristiche
LOCATION:PalaBisonti, Via dello Sport 2, Bisontiopoli BI
DESCRIPTION:Campionato Baskin Demo - ESEMPIO COMPILATO 64 Squadre 2026/2027
END:VEVENT</v>
      </c>
      <c r="B79" s="162" t="str">
        <f aca="false">IF('Calendario C'!$B83="","",'Calendario C'!$B83&amp;" vs "&amp;'Calendario C'!$D83)</f>
        <v>Zebre Zelanti vs Upupe Umoristiche</v>
      </c>
      <c r="C79" s="163" t="n">
        <f aca="false">IF($B79="","",DATE(YEAR('Calendario C'!$F83),MONTH('Calendario C'!$F83),DAY('Calendario C'!$F83)))</f>
        <v>46432</v>
      </c>
      <c r="D79" s="164" t="n">
        <f aca="false">IF($B79="","",TIME(HOUR('Calendario C'!$F83),MINUTE('Calendario C'!$F83),0))</f>
        <v>0.479166666666667</v>
      </c>
      <c r="E79" s="163" t="n">
        <f aca="false">IF($B79="","",DATE(YEAR('Calendario C'!$F83),MONTH('Calendario C'!$F83),DAY('Calendario C'!$F83)))</f>
        <v>46432</v>
      </c>
      <c r="F79" s="164" t="n">
        <f aca="false">IF($B79="","",TIME(HOUR('Calendario C'!$F83)+2,MINUTE('Calendario C'!$F83),0))</f>
        <v>0.5625</v>
      </c>
      <c r="G79" s="162" t="str">
        <f aca="false">IF($B79="","",'Calendario C'!$B84)</f>
        <v>PalaBisonti, Via dello Sport 2, Bisontiopoli BI</v>
      </c>
      <c r="H79" s="162" t="str">
        <f aca="false">IF($B79="","",Campionato!$D$1&amp;" "&amp;Campionato!$D$5)</f>
        <v>Campionato Baskin Demo - ESEMPIO COMPILATO 64 Squadre 2026/2027</v>
      </c>
      <c r="I79" s="162"/>
    </row>
    <row r="80" customFormat="false" ht="95.5" hidden="false" customHeight="false" outlineLevel="0" collapsed="false">
      <c r="A80" s="162" t="str">
        <f aca="true">IF($B80="","","BEGIN:VEVENT
DTSTAMP:"&amp;TEXT(NOW(),"yyyymmdd")&amp;"T000001Z
UID:evt79@ClaudeCoworkBaskin
DTSTART;TZID=Europe/Rome:"&amp;TEXT($C80,"yyyymmdd")&amp;"T"&amp;TEXT($D80,"hhmmss")&amp;"
DTEND;TZID=Europe/Rome:"&amp;TEXT($E80,"yyyymmdd")&amp;"T"&amp;TEXT($F80,"hhmmss")&amp;"
SUMMARY:"&amp;$B80&amp;"
LOCATION:"&amp;$G80&amp;"
DESCRIPTION:"&amp;$H80&amp;"
END:VEVENT")</f>
        <v>BEGIN:VEVENT
DTSTAMP:20260907T000001Z
UID:evt79@ClaudeCoworkBaskin
DTSTART;TZID=Europe/Rome:20270214T150000
DTEND;TZID=Europe/Rome:20270214T170000
SUMMARY:Dromedari Danzanti vs Albatri Astuti
LOCATION:PalaBisonti, Via dello Sport 2, Bisontiopoli BI
DESCRIPTION:Campionato Baskin Demo - ESEMPIO COMPILATO 64 Squadre 2026/2027
END:VEVENT</v>
      </c>
      <c r="B80" s="162" t="str">
        <f aca="false">IF('Calendario C'!$B86="","",'Calendario C'!$B86&amp;" vs "&amp;'Calendario C'!$D86)</f>
        <v>Dromedari Danzanti vs Albatri Astuti</v>
      </c>
      <c r="C80" s="163" t="n">
        <f aca="false">IF($B80="","",DATE(YEAR('Calendario C'!$F86),MONTH('Calendario C'!$F86),DAY('Calendario C'!$F86)))</f>
        <v>46432</v>
      </c>
      <c r="D80" s="164" t="n">
        <f aca="false">IF($B80="","",TIME(HOUR('Calendario C'!$F86),MINUTE('Calendario C'!$F86),0))</f>
        <v>0.625</v>
      </c>
      <c r="E80" s="163" t="n">
        <f aca="false">IF($B80="","",DATE(YEAR('Calendario C'!$F86),MONTH('Calendario C'!$F86),DAY('Calendario C'!$F86)))</f>
        <v>46432</v>
      </c>
      <c r="F80" s="164" t="n">
        <f aca="false">IF($B80="","",TIME(HOUR('Calendario C'!$F86)+2,MINUTE('Calendario C'!$F86),0))</f>
        <v>0.708333333333333</v>
      </c>
      <c r="G80" s="162" t="str">
        <f aca="false">IF($B80="","",'Calendario C'!$B87)</f>
        <v>PalaBisonti, Via dello Sport 2, Bisontiopoli BI</v>
      </c>
      <c r="H80" s="162" t="str">
        <f aca="false">IF($B80="","",Campionato!$D$1&amp;" "&amp;Campionato!$D$5)</f>
        <v>Campionato Baskin Demo - ESEMPIO COMPILATO 64 Squadre 2026/2027</v>
      </c>
      <c r="I80" s="162"/>
    </row>
    <row r="81" customFormat="false" ht="95.5" hidden="false" customHeight="false" outlineLevel="0" collapsed="false">
      <c r="A81" s="162" t="str">
        <f aca="true">IF($B81="","","BEGIN:VEVENT
DTSTAMP:"&amp;TEXT(NOW(),"yyyymmdd")&amp;"T000001Z
UID:evt80@ClaudeCoworkBaskin
DTSTART;TZID=Europe/Rome:"&amp;TEXT($C81,"yyyymmdd")&amp;"T"&amp;TEXT($D81,"hhmmss")&amp;"
DTEND;TZID=Europe/Rome:"&amp;TEXT($E81,"yyyymmdd")&amp;"T"&amp;TEXT($F81,"hhmmss")&amp;"
SUMMARY:"&amp;$B81&amp;"
LOCATION:"&amp;$G81&amp;"
DESCRIPTION:"&amp;$H81&amp;"
END:VEVENT")</f>
        <v>BEGIN:VEVENT
DTSTAMP:20260907T000001Z
UID:evt80@ClaudeCoworkBaskin
DTSTART;TZID=Europe/Rome:20270214T170000
DTEND;TZID=Europe/Rome:20270214T190000
SUMMARY:Bisonti Baldanzosi vs Cinghiali Caparbi
LOCATION:PalaBisonti, Via dello Sport 2, Bisontiopoli BI
DESCRIPTION:Campionato Baskin Demo - ESEMPIO COMPILATO 64 Squadre 2026/2027
END:VEVENT</v>
      </c>
      <c r="B81" s="162" t="str">
        <f aca="false">IF('Calendario C'!$B89="","",'Calendario C'!$B89&amp;" vs "&amp;'Calendario C'!$D89)</f>
        <v>Bisonti Baldanzosi vs Cinghiali Caparbi</v>
      </c>
      <c r="C81" s="163" t="n">
        <f aca="false">IF($B81="","",DATE(YEAR('Calendario C'!$F89),MONTH('Calendario C'!$F89),DAY('Calendario C'!$F89)))</f>
        <v>46432</v>
      </c>
      <c r="D81" s="164" t="n">
        <f aca="false">IF($B81="","",TIME(HOUR('Calendario C'!$F89),MINUTE('Calendario C'!$F89),0))</f>
        <v>0.708333333333333</v>
      </c>
      <c r="E81" s="163" t="n">
        <f aca="false">IF($B81="","",DATE(YEAR('Calendario C'!$F89),MONTH('Calendario C'!$F89),DAY('Calendario C'!$F89)))</f>
        <v>46432</v>
      </c>
      <c r="F81" s="164" t="n">
        <f aca="false">IF($B81="","",TIME(HOUR('Calendario C'!$F89)+2,MINUTE('Calendario C'!$F89),0))</f>
        <v>0.791666666666667</v>
      </c>
      <c r="G81" s="162" t="str">
        <f aca="false">IF($B81="","",'Calendario C'!$B90)</f>
        <v>PalaBisonti, Via dello Sport 2, Bisontiopoli BI</v>
      </c>
      <c r="H81" s="162" t="str">
        <f aca="false">IF($B81="","",Campionato!$D$1&amp;" "&amp;Campionato!$D$5)</f>
        <v>Campionato Baskin Demo - ESEMPIO COMPILATO 64 Squadre 2026/2027</v>
      </c>
      <c r="I81" s="162"/>
    </row>
    <row r="82" customFormat="false" ht="95.5" hidden="false" customHeight="false" outlineLevel="0" collapsed="false">
      <c r="A82" s="162" t="str">
        <f aca="true">IF($B82="","","BEGIN:VEVENT
DTSTAMP:"&amp;TEXT(NOW(),"yyyymmdd")&amp;"T000001Z
UID:evt81@ClaudeCoworkBaskin
DTSTART;TZID=Europe/Rome:"&amp;TEXT($C82,"yyyymmdd")&amp;"T"&amp;TEXT($D82,"hhmmss")&amp;"
DTEND;TZID=Europe/Rome:"&amp;TEXT($E82,"yyyymmdd")&amp;"T"&amp;TEXT($F82,"hhmmss")&amp;"
SUMMARY:"&amp;$B82&amp;"
LOCATION:"&amp;$G82&amp;"
DESCRIPTION:"&amp;$H82&amp;"
END:VEVENT")</f>
        <v>BEGIN:VEVENT
DTSTAMP:20260907T000001Z
UID:evt81@ClaudeCoworkBaskin
DTSTART;TZID=Europe/Rome:20270307T093000
DTEND;TZID=Europe/Rome:20270307T113000
SUMMARY:Tigri Tenaci vs Upupe Umoristiche
LOCATION:PalaCinghiali, Via dello Sport 3, Cinghialiopoli CI
DESCRIPTION:Campionato Baskin Demo - ESEMPIO COMPILATO 64 Squadre 2026/2027
END:VEVENT</v>
      </c>
      <c r="B82" s="162" t="str">
        <f aca="false">IF('Calendario C'!$B94="","",'Calendario C'!$B94&amp;" vs "&amp;'Calendario C'!$D94)</f>
        <v>Tigri Tenaci vs Upupe Umoristiche</v>
      </c>
      <c r="C82" s="163" t="n">
        <f aca="false">IF($B82="","",DATE(YEAR('Calendario C'!$F94),MONTH('Calendario C'!$F94),DAY('Calendario C'!$F94)))</f>
        <v>46453</v>
      </c>
      <c r="D82" s="164" t="n">
        <f aca="false">IF($B82="","",TIME(HOUR('Calendario C'!$F94),MINUTE('Calendario C'!$F94),0))</f>
        <v>0.395833333333333</v>
      </c>
      <c r="E82" s="163" t="n">
        <f aca="false">IF($B82="","",DATE(YEAR('Calendario C'!$F94),MONTH('Calendario C'!$F94),DAY('Calendario C'!$F94)))</f>
        <v>46453</v>
      </c>
      <c r="F82" s="164" t="n">
        <f aca="false">IF($B82="","",TIME(HOUR('Calendario C'!$F94)+2,MINUTE('Calendario C'!$F94),0))</f>
        <v>0.479166666666667</v>
      </c>
      <c r="G82" s="162" t="str">
        <f aca="false">IF($B82="","",'Calendario C'!$B95)</f>
        <v>PalaCinghiali, Via dello Sport 3, Cinghialiopoli CI</v>
      </c>
      <c r="H82" s="162" t="str">
        <f aca="false">IF($B82="","",Campionato!$D$1&amp;" "&amp;Campionato!$D$5)</f>
        <v>Campionato Baskin Demo - ESEMPIO COMPILATO 64 Squadre 2026/2027</v>
      </c>
      <c r="I82" s="162"/>
    </row>
    <row r="83" customFormat="false" ht="95.5" hidden="false" customHeight="false" outlineLevel="0" collapsed="false">
      <c r="A83" s="162" t="str">
        <f aca="true">IF($B83="","","BEGIN:VEVENT
DTSTAMP:"&amp;TEXT(NOW(),"yyyymmdd")&amp;"T000001Z
UID:evt82@ClaudeCoworkBaskin
DTSTART;TZID=Europe/Rome:"&amp;TEXT($C83,"yyyymmdd")&amp;"T"&amp;TEXT($D83,"hhmmss")&amp;"
DTEND;TZID=Europe/Rome:"&amp;TEXT($E83,"yyyymmdd")&amp;"T"&amp;TEXT($F83,"hhmmss")&amp;"
SUMMARY:"&amp;$B83&amp;"
LOCATION:"&amp;$G83&amp;"
DESCRIPTION:"&amp;$H83&amp;"
END:VEVENT")</f>
        <v>BEGIN:VEVENT
DTSTAMP:20260907T000001Z
UID:evt82@ClaudeCoworkBaskin
DTSTART;TZID=Europe/Rome:20270307T113000
DTEND;TZID=Europe/Rome:20270307T133000
SUMMARY:Dromedari Danzanti vs Vipere Vivaci
LOCATION:PalaCinghiali, Via dello Sport 3, Cinghialiopoli CI
DESCRIPTION:Campionato Baskin Demo - ESEMPIO COMPILATO 64 Squadre 2026/2027
END:VEVENT</v>
      </c>
      <c r="B83" s="162" t="str">
        <f aca="false">IF('Calendario C'!$B97="","",'Calendario C'!$B97&amp;" vs "&amp;'Calendario C'!$D97)</f>
        <v>Dromedari Danzanti vs Vipere Vivaci</v>
      </c>
      <c r="C83" s="163" t="n">
        <f aca="false">IF($B83="","",DATE(YEAR('Calendario C'!$F97),MONTH('Calendario C'!$F97),DAY('Calendario C'!$F97)))</f>
        <v>46453</v>
      </c>
      <c r="D83" s="164" t="n">
        <f aca="false">IF($B83="","",TIME(HOUR('Calendario C'!$F97),MINUTE('Calendario C'!$F97),0))</f>
        <v>0.479166666666667</v>
      </c>
      <c r="E83" s="163" t="n">
        <f aca="false">IF($B83="","",DATE(YEAR('Calendario C'!$F97),MONTH('Calendario C'!$F97),DAY('Calendario C'!$F97)))</f>
        <v>46453</v>
      </c>
      <c r="F83" s="164" t="n">
        <f aca="false">IF($B83="","",TIME(HOUR('Calendario C'!$F97)+2,MINUTE('Calendario C'!$F97),0))</f>
        <v>0.5625</v>
      </c>
      <c r="G83" s="162" t="str">
        <f aca="false">IF($B83="","",'Calendario C'!$B98)</f>
        <v>PalaCinghiali, Via dello Sport 3, Cinghialiopoli CI</v>
      </c>
      <c r="H83" s="162" t="str">
        <f aca="false">IF($B83="","",Campionato!$D$1&amp;" "&amp;Campionato!$D$5)</f>
        <v>Campionato Baskin Demo - ESEMPIO COMPILATO 64 Squadre 2026/2027</v>
      </c>
      <c r="I83" s="162"/>
    </row>
    <row r="84" customFormat="false" ht="95.5" hidden="false" customHeight="false" outlineLevel="0" collapsed="false">
      <c r="A84" s="162" t="str">
        <f aca="true">IF($B84="","","BEGIN:VEVENT
DTSTAMP:"&amp;TEXT(NOW(),"yyyymmdd")&amp;"T000001Z
UID:evt83@ClaudeCoworkBaskin
DTSTART;TZID=Europe/Rome:"&amp;TEXT($C84,"yyyymmdd")&amp;"T"&amp;TEXT($D84,"hhmmss")&amp;"
DTEND;TZID=Europe/Rome:"&amp;TEXT($E84,"yyyymmdd")&amp;"T"&amp;TEXT($F84,"hhmmss")&amp;"
SUMMARY:"&amp;$B84&amp;"
LOCATION:"&amp;$G84&amp;"
DESCRIPTION:"&amp;$H84&amp;"
END:VEVENT")</f>
        <v>BEGIN:VEVENT
DTSTAMP:20260907T000001Z
UID:evt83@ClaudeCoworkBaskin
DTSTART;TZID=Europe/Rome:20270307T150000
DTEND;TZID=Europe/Rome:20270307T170000
SUMMARY:Zebre Zelanti vs Cinghiali Caparbi
LOCATION:PalaCinghiali, Via dello Sport 3, Cinghialiopoli CI
DESCRIPTION:Campionato Baskin Demo - ESEMPIO COMPILATO 64 Squadre 2026/2027
END:VEVENT</v>
      </c>
      <c r="B84" s="162" t="str">
        <f aca="false">IF('Calendario C'!$B100="","",'Calendario C'!$B100&amp;" vs "&amp;'Calendario C'!$D100)</f>
        <v>Zebre Zelanti vs Cinghiali Caparbi</v>
      </c>
      <c r="C84" s="163" t="n">
        <f aca="false">IF($B84="","",DATE(YEAR('Calendario C'!$F100),MONTH('Calendario C'!$F100),DAY('Calendario C'!$F100)))</f>
        <v>46453</v>
      </c>
      <c r="D84" s="164" t="n">
        <f aca="false">IF($B84="","",TIME(HOUR('Calendario C'!$F100),MINUTE('Calendario C'!$F100),0))</f>
        <v>0.625</v>
      </c>
      <c r="E84" s="163" t="n">
        <f aca="false">IF($B84="","",DATE(YEAR('Calendario C'!$F100),MONTH('Calendario C'!$F100),DAY('Calendario C'!$F100)))</f>
        <v>46453</v>
      </c>
      <c r="F84" s="164" t="n">
        <f aca="false">IF($B84="","",TIME(HOUR('Calendario C'!$F100)+2,MINUTE('Calendario C'!$F100),0))</f>
        <v>0.708333333333333</v>
      </c>
      <c r="G84" s="162" t="str">
        <f aca="false">IF($B84="","",'Calendario C'!$B101)</f>
        <v>PalaCinghiali, Via dello Sport 3, Cinghialiopoli CI</v>
      </c>
      <c r="H84" s="162" t="str">
        <f aca="false">IF($B84="","",Campionato!$D$1&amp;" "&amp;Campionato!$D$5)</f>
        <v>Campionato Baskin Demo - ESEMPIO COMPILATO 64 Squadre 2026/2027</v>
      </c>
      <c r="I84" s="162"/>
    </row>
    <row r="85" customFormat="false" ht="95.5" hidden="false" customHeight="false" outlineLevel="0" collapsed="false">
      <c r="A85" s="162" t="str">
        <f aca="true">IF($B85="","","BEGIN:VEVENT
DTSTAMP:"&amp;TEXT(NOW(),"yyyymmdd")&amp;"T000001Z
UID:evt84@ClaudeCoworkBaskin
DTSTART;TZID=Europe/Rome:"&amp;TEXT($C85,"yyyymmdd")&amp;"T"&amp;TEXT($D85,"hhmmss")&amp;"
DTEND;TZID=Europe/Rome:"&amp;TEXT($E85,"yyyymmdd")&amp;"T"&amp;TEXT($F85,"hhmmss")&amp;"
SUMMARY:"&amp;$B85&amp;"
LOCATION:"&amp;$G85&amp;"
DESCRIPTION:"&amp;$H85&amp;"
END:VEVENT")</f>
        <v>BEGIN:VEVENT
DTSTAMP:20260907T000001Z
UID:evt84@ClaudeCoworkBaskin
DTSTART;TZID=Europe/Rome:20270307T170000
DTEND;TZID=Europe/Rome:20270307T190000
SUMMARY:Bisonti Baldanzosi vs Albatri Astuti
LOCATION:PalaCinghiali, Via dello Sport 3, Cinghialiopoli CI
DESCRIPTION:Campionato Baskin Demo - ESEMPIO COMPILATO 64 Squadre 2026/2027
END:VEVENT</v>
      </c>
      <c r="B85" s="162" t="str">
        <f aca="false">IF('Calendario C'!$B103="","",'Calendario C'!$B103&amp;" vs "&amp;'Calendario C'!$D103)</f>
        <v>Bisonti Baldanzosi vs Albatri Astuti</v>
      </c>
      <c r="C85" s="163" t="n">
        <f aca="false">IF($B85="","",DATE(YEAR('Calendario C'!$F103),MONTH('Calendario C'!$F103),DAY('Calendario C'!$F103)))</f>
        <v>46453</v>
      </c>
      <c r="D85" s="164" t="n">
        <f aca="false">IF($B85="","",TIME(HOUR('Calendario C'!$F103),MINUTE('Calendario C'!$F103),0))</f>
        <v>0.708333333333333</v>
      </c>
      <c r="E85" s="163" t="n">
        <f aca="false">IF($B85="","",DATE(YEAR('Calendario C'!$F103),MONTH('Calendario C'!$F103),DAY('Calendario C'!$F103)))</f>
        <v>46453</v>
      </c>
      <c r="F85" s="164" t="n">
        <f aca="false">IF($B85="","",TIME(HOUR('Calendario C'!$F103)+2,MINUTE('Calendario C'!$F103),0))</f>
        <v>0.791666666666667</v>
      </c>
      <c r="G85" s="162" t="str">
        <f aca="false">IF($B85="","",'Calendario C'!$B104)</f>
        <v>PalaCinghiali, Via dello Sport 3, Cinghialiopoli CI</v>
      </c>
      <c r="H85" s="162" t="str">
        <f aca="false">IF($B85="","",Campionato!$D$1&amp;" "&amp;Campionato!$D$5)</f>
        <v>Campionato Baskin Demo - ESEMPIO COMPILATO 64 Squadre 2026/2027</v>
      </c>
      <c r="I85" s="162"/>
    </row>
    <row r="86" customFormat="false" ht="95.5" hidden="false" customHeight="false" outlineLevel="0" collapsed="false">
      <c r="A86" s="162" t="str">
        <f aca="true">IF($B86="","","BEGIN:VEVENT
DTSTAMP:"&amp;TEXT(NOW(),"yyyymmdd")&amp;"T000001Z
UID:evt85@ClaudeCoworkBaskin
DTSTART;TZID=Europe/Rome:"&amp;TEXT($C86,"yyyymmdd")&amp;"T"&amp;TEXT($D86,"hhmmss")&amp;"
DTEND;TZID=Europe/Rome:"&amp;TEXT($E86,"yyyymmdd")&amp;"T"&amp;TEXT($F86,"hhmmss")&amp;"
SUMMARY:"&amp;$B86&amp;"
LOCATION:"&amp;$G86&amp;"
DESCRIPTION:"&amp;$H86&amp;"
END:VEVENT")</f>
        <v>BEGIN:VEVENT
DTSTAMP:20260907T000001Z
UID:evt85@ClaudeCoworkBaskin
DTSTART;TZID=Europe/Rome:20261018T093000
DTEND;TZID=Europe/Rome:20261018T113000
SUMMARY:Elefanti Esuberanti vs Otarie Ottimiste
LOCATION:PalaElefanti, Via dello Sport 5, Elefantiopoli EI
DESCRIPTION:Campionato Baskin Demo - ESEMPIO COMPILATO 64 Squadre 2026/2027
END:VEVENT</v>
      </c>
      <c r="B86" s="162" t="str">
        <f aca="false">IF('Calendario D'!$B10="","",'Calendario D'!$B10&amp;" vs "&amp;'Calendario D'!$D10)</f>
        <v>Elefanti Esuberanti vs Otarie Ottimiste</v>
      </c>
      <c r="C86" s="163" t="n">
        <f aca="false">IF($B86="","",DATE(YEAR('Calendario D'!$F10),MONTH('Calendario D'!$F10),DAY('Calendario D'!$F10)))</f>
        <v>46313</v>
      </c>
      <c r="D86" s="164" t="n">
        <f aca="false">IF($B86="","",TIME(HOUR('Calendario D'!$F10),MINUTE('Calendario D'!$F10),0))</f>
        <v>0.395833333333333</v>
      </c>
      <c r="E86" s="163" t="n">
        <f aca="false">IF($B86="","",DATE(YEAR('Calendario D'!$F10),MONTH('Calendario D'!$F10),DAY('Calendario D'!$F10)))</f>
        <v>46313</v>
      </c>
      <c r="F86" s="164" t="n">
        <f aca="false">IF($B86="","",TIME(HOUR('Calendario D'!$F10)+2,MINUTE('Calendario D'!$F10),0))</f>
        <v>0.479166666666667</v>
      </c>
      <c r="G86" s="162" t="str">
        <f aca="false">IF($B86="","",'Calendario D'!$B11)</f>
        <v>PalaElefanti, Via dello Sport 5, Elefantiopoli EI</v>
      </c>
      <c r="H86" s="162" t="str">
        <f aca="false">IF($B86="","",Campionato!$D$1&amp;" "&amp;Campionato!$D$5)</f>
        <v>Campionato Baskin Demo - ESEMPIO COMPILATO 64 Squadre 2026/2027</v>
      </c>
      <c r="I86" s="162"/>
    </row>
    <row r="87" customFormat="false" ht="95.5" hidden="false" customHeight="false" outlineLevel="0" collapsed="false">
      <c r="A87" s="162" t="str">
        <f aca="true">IF($B87="","","BEGIN:VEVENT
DTSTAMP:"&amp;TEXT(NOW(),"yyyymmdd")&amp;"T000001Z
UID:evt86@ClaudeCoworkBaskin
DTSTART;TZID=Europe/Rome:"&amp;TEXT($C87,"yyyymmdd")&amp;"T"&amp;TEXT($D87,"hhmmss")&amp;"
DTEND;TZID=Europe/Rome:"&amp;TEXT($E87,"yyyymmdd")&amp;"T"&amp;TEXT($F87,"hhmmss")&amp;"
SUMMARY:"&amp;$B87&amp;"
LOCATION:"&amp;$G87&amp;"
DESCRIPTION:"&amp;$H87&amp;"
END:VEVENT")</f>
        <v>BEGIN:VEVENT
DTSTAMP:20260907T000001Z
UID:evt86@ClaudeCoworkBaskin
DTSTART;TZID=Europe/Rome:20261018T113000
DTEND;TZID=Europe/Rome:20261018T133000
SUMMARY:Nutrie Nervose vs Fenicotteri Focosi
LOCATION:PalaElefanti, Via dello Sport 5, Elefantiopoli EI
DESCRIPTION:Campionato Baskin Demo - ESEMPIO COMPILATO 64 Squadre 2026/2027
END:VEVENT</v>
      </c>
      <c r="B87" s="162" t="str">
        <f aca="false">IF('Calendario D'!$B13="","",'Calendario D'!$B13&amp;" vs "&amp;'Calendario D'!$D13)</f>
        <v>Nutrie Nervose vs Fenicotteri Focosi</v>
      </c>
      <c r="C87" s="163" t="n">
        <f aca="false">IF($B87="","",DATE(YEAR('Calendario D'!$F13),MONTH('Calendario D'!$F13),DAY('Calendario D'!$F13)))</f>
        <v>46313</v>
      </c>
      <c r="D87" s="164" t="n">
        <f aca="false">IF($B87="","",TIME(HOUR('Calendario D'!$F13),MINUTE('Calendario D'!$F13),0))</f>
        <v>0.479166666666667</v>
      </c>
      <c r="E87" s="163" t="n">
        <f aca="false">IF($B87="","",DATE(YEAR('Calendario D'!$F13),MONTH('Calendario D'!$F13),DAY('Calendario D'!$F13)))</f>
        <v>46313</v>
      </c>
      <c r="F87" s="164" t="n">
        <f aca="false">IF($B87="","",TIME(HOUR('Calendario D'!$F13)+2,MINUTE('Calendario D'!$F13),0))</f>
        <v>0.5625</v>
      </c>
      <c r="G87" s="162" t="str">
        <f aca="false">IF($B87="","",'Calendario D'!$B14)</f>
        <v>PalaElefanti, Via dello Sport 5, Elefantiopoli EI</v>
      </c>
      <c r="H87" s="162" t="str">
        <f aca="false">IF($B87="","",Campionato!$D$1&amp;" "&amp;Campionato!$D$5)</f>
        <v>Campionato Baskin Demo - ESEMPIO COMPILATO 64 Squadre 2026/2027</v>
      </c>
      <c r="I87" s="162"/>
    </row>
    <row r="88" customFormat="false" ht="95.5" hidden="false" customHeight="false" outlineLevel="0" collapsed="false">
      <c r="A88" s="162" t="str">
        <f aca="true">IF($B88="","","BEGIN:VEVENT
DTSTAMP:"&amp;TEXT(NOW(),"yyyymmdd")&amp;"T000001Z
UID:evt87@ClaudeCoworkBaskin
DTSTART;TZID=Europe/Rome:"&amp;TEXT($C88,"yyyymmdd")&amp;"T"&amp;TEXT($D88,"hhmmss")&amp;"
DTEND;TZID=Europe/Rome:"&amp;TEXT($E88,"yyyymmdd")&amp;"T"&amp;TEXT($F88,"hhmmss")&amp;"
SUMMARY:"&amp;$B88&amp;"
LOCATION:"&amp;$G88&amp;"
DESCRIPTION:"&amp;$H88&amp;"
END:VEVENT")</f>
        <v>BEGIN:VEVENT
DTSTAMP:20260907T000001Z
UID:evt87@ClaudeCoworkBaskin
DTSTART;TZID=Europe/Rome:20261018T150000
DTEND;TZID=Europe/Rome:20261018T170000
SUMMARY:Ghepardi Guizzanti vs Manguste Mordaci
LOCATION:PalaElefanti, Via dello Sport 5, Elefantiopoli EI
DESCRIPTION:Campionato Baskin Demo - ESEMPIO COMPILATO 64 Squadre 2026/2027
END:VEVENT</v>
      </c>
      <c r="B88" s="162" t="str">
        <f aca="false">IF('Calendario D'!$B16="","",'Calendario D'!$B16&amp;" vs "&amp;'Calendario D'!$D16)</f>
        <v>Ghepardi Guizzanti vs Manguste Mordaci</v>
      </c>
      <c r="C88" s="163" t="n">
        <f aca="false">IF($B88="","",DATE(YEAR('Calendario D'!$F16),MONTH('Calendario D'!$F16),DAY('Calendario D'!$F16)))</f>
        <v>46313</v>
      </c>
      <c r="D88" s="164" t="n">
        <f aca="false">IF($B88="","",TIME(HOUR('Calendario D'!$F16),MINUTE('Calendario D'!$F16),0))</f>
        <v>0.625</v>
      </c>
      <c r="E88" s="163" t="n">
        <f aca="false">IF($B88="","",DATE(YEAR('Calendario D'!$F16),MONTH('Calendario D'!$F16),DAY('Calendario D'!$F16)))</f>
        <v>46313</v>
      </c>
      <c r="F88" s="164" t="n">
        <f aca="false">IF($B88="","",TIME(HOUR('Calendario D'!$F16)+2,MINUTE('Calendario D'!$F16),0))</f>
        <v>0.708333333333333</v>
      </c>
      <c r="G88" s="162" t="str">
        <f aca="false">IF($B88="","",'Calendario D'!$B17)</f>
        <v>PalaElefanti, Via dello Sport 5, Elefantiopoli EI</v>
      </c>
      <c r="H88" s="162" t="str">
        <f aca="false">IF($B88="","",Campionato!$D$1&amp;" "&amp;Campionato!$D$5)</f>
        <v>Campionato Baskin Demo - ESEMPIO COMPILATO 64 Squadre 2026/2027</v>
      </c>
      <c r="I88" s="162"/>
    </row>
    <row r="89" customFormat="false" ht="95.5" hidden="false" customHeight="false" outlineLevel="0" collapsed="false">
      <c r="A89" s="162" t="str">
        <f aca="true">IF($B89="","","BEGIN:VEVENT
DTSTAMP:"&amp;TEXT(NOW(),"yyyymmdd")&amp;"T000001Z
UID:evt88@ClaudeCoworkBaskin
DTSTART;TZID=Europe/Rome:"&amp;TEXT($C89,"yyyymmdd")&amp;"T"&amp;TEXT($D89,"hhmmss")&amp;"
DTEND;TZID=Europe/Rome:"&amp;TEXT($E89,"yyyymmdd")&amp;"T"&amp;TEXT($F89,"hhmmss")&amp;"
SUMMARY:"&amp;$B89&amp;"
LOCATION:"&amp;$G89&amp;"
DESCRIPTION:"&amp;$H89&amp;"
END:VEVENT")</f>
        <v>BEGIN:VEVENT
DTSTAMP:20260907T000001Z
UID:evt88@ClaudeCoworkBaskin
DTSTART;TZID=Europe/Rome:20261018T170000
DTEND;TZID=Europe/Rome:20261018T190000
SUMMARY:Lontre Loquaci vs Iguane Impavide
LOCATION:PalaElefanti, Via dello Sport 5, Elefantiopoli EI
DESCRIPTION:Campionato Baskin Demo - ESEMPIO COMPILATO 64 Squadre 2026/2027
END:VEVENT</v>
      </c>
      <c r="B89" s="162" t="str">
        <f aca="false">IF('Calendario D'!$B19="","",'Calendario D'!$B19&amp;" vs "&amp;'Calendario D'!$D19)</f>
        <v>Lontre Loquaci vs Iguane Impavide</v>
      </c>
      <c r="C89" s="163" t="n">
        <f aca="false">IF($B89="","",DATE(YEAR('Calendario D'!$F19),MONTH('Calendario D'!$F19),DAY('Calendario D'!$F19)))</f>
        <v>46313</v>
      </c>
      <c r="D89" s="164" t="n">
        <f aca="false">IF($B89="","",TIME(HOUR('Calendario D'!$F19),MINUTE('Calendario D'!$F19),0))</f>
        <v>0.708333333333333</v>
      </c>
      <c r="E89" s="163" t="n">
        <f aca="false">IF($B89="","",DATE(YEAR('Calendario D'!$F19),MONTH('Calendario D'!$F19),DAY('Calendario D'!$F19)))</f>
        <v>46313</v>
      </c>
      <c r="F89" s="164" t="n">
        <f aca="false">IF($B89="","",TIME(HOUR('Calendario D'!$F19)+2,MINUTE('Calendario D'!$F19),0))</f>
        <v>0.791666666666667</v>
      </c>
      <c r="G89" s="162" t="str">
        <f aca="false">IF($B89="","",'Calendario D'!$B20)</f>
        <v>PalaElefanti, Via dello Sport 5, Elefantiopoli EI</v>
      </c>
      <c r="H89" s="162" t="str">
        <f aca="false">IF($B89="","",Campionato!$D$1&amp;" "&amp;Campionato!$D$5)</f>
        <v>Campionato Baskin Demo - ESEMPIO COMPILATO 64 Squadre 2026/2027</v>
      </c>
      <c r="I89" s="162"/>
    </row>
    <row r="90" customFormat="false" ht="95.5" hidden="false" customHeight="false" outlineLevel="0" collapsed="false">
      <c r="A90" s="162" t="str">
        <f aca="true">IF($B90="","","BEGIN:VEVENT
DTSTAMP:"&amp;TEXT(NOW(),"yyyymmdd")&amp;"T000001Z
UID:evt89@ClaudeCoworkBaskin
DTSTART;TZID=Europe/Rome:"&amp;TEXT($C90,"yyyymmdd")&amp;"T"&amp;TEXT($D90,"hhmmss")&amp;"
DTEND;TZID=Europe/Rome:"&amp;TEXT($E90,"yyyymmdd")&amp;"T"&amp;TEXT($F90,"hhmmss")&amp;"
SUMMARY:"&amp;$B90&amp;"
LOCATION:"&amp;$G90&amp;"
DESCRIPTION:"&amp;$H90&amp;"
END:VEVENT")</f>
        <v>BEGIN:VEVENT
DTSTAMP:20260907T000001Z
UID:evt89@ClaudeCoworkBaskin
DTSTART;TZID=Europe/Rome:20261108T093000
DTEND;TZID=Europe/Rome:20261108T113000
SUMMARY:Nutrie Nervose vs Elefanti Esuberanti
LOCATION:PalaFenicotteri, Via dello Sport 6, Fenicotteriopoli FI
DESCRIPTION:Campionato Baskin Demo - ESEMPIO COMPILATO 64 Squadre 2026/2027
END:VEVENT</v>
      </c>
      <c r="B90" s="162" t="str">
        <f aca="false">IF('Calendario D'!$B24="","",'Calendario D'!$B24&amp;" vs "&amp;'Calendario D'!$D24)</f>
        <v>Nutrie Nervose vs Elefanti Esuberanti</v>
      </c>
      <c r="C90" s="163" t="n">
        <f aca="false">IF($B90="","",DATE(YEAR('Calendario D'!$F24),MONTH('Calendario D'!$F24),DAY('Calendario D'!$F24)))</f>
        <v>46334</v>
      </c>
      <c r="D90" s="164" t="n">
        <f aca="false">IF($B90="","",TIME(HOUR('Calendario D'!$F24),MINUTE('Calendario D'!$F24),0))</f>
        <v>0.395833333333333</v>
      </c>
      <c r="E90" s="163" t="n">
        <f aca="false">IF($B90="","",DATE(YEAR('Calendario D'!$F24),MONTH('Calendario D'!$F24),DAY('Calendario D'!$F24)))</f>
        <v>46334</v>
      </c>
      <c r="F90" s="164" t="n">
        <f aca="false">IF($B90="","",TIME(HOUR('Calendario D'!$F24)+2,MINUTE('Calendario D'!$F24),0))</f>
        <v>0.479166666666667</v>
      </c>
      <c r="G90" s="162" t="str">
        <f aca="false">IF($B90="","",'Calendario D'!$B25)</f>
        <v>PalaFenicotteri, Via dello Sport 6, Fenicotteriopoli FI</v>
      </c>
      <c r="H90" s="162" t="str">
        <f aca="false">IF($B90="","",Campionato!$D$1&amp;" "&amp;Campionato!$D$5)</f>
        <v>Campionato Baskin Demo - ESEMPIO COMPILATO 64 Squadre 2026/2027</v>
      </c>
      <c r="I90" s="162"/>
    </row>
    <row r="91" customFormat="false" ht="95.5" hidden="false" customHeight="false" outlineLevel="0" collapsed="false">
      <c r="A91" s="162" t="str">
        <f aca="true">IF($B91="","","BEGIN:VEVENT
DTSTAMP:"&amp;TEXT(NOW(),"yyyymmdd")&amp;"T000001Z
UID:evt90@ClaudeCoworkBaskin
DTSTART;TZID=Europe/Rome:"&amp;TEXT($C91,"yyyymmdd")&amp;"T"&amp;TEXT($D91,"hhmmss")&amp;"
DTEND;TZID=Europe/Rome:"&amp;TEXT($E91,"yyyymmdd")&amp;"T"&amp;TEXT($F91,"hhmmss")&amp;"
SUMMARY:"&amp;$B91&amp;"
LOCATION:"&amp;$G91&amp;"
DESCRIPTION:"&amp;$H91&amp;"
END:VEVENT")</f>
        <v>BEGIN:VEVENT
DTSTAMP:20260907T000001Z
UID:evt90@ClaudeCoworkBaskin
DTSTART;TZID=Europe/Rome:20261108T113000
DTEND;TZID=Europe/Rome:20261108T133000
SUMMARY:Otarie Ottimiste vs Manguste Mordaci
LOCATION:PalaFenicotteri, Via dello Sport 6, Fenicotteriopoli FI
DESCRIPTION:Campionato Baskin Demo - ESEMPIO COMPILATO 64 Squadre 2026/2027
END:VEVENT</v>
      </c>
      <c r="B91" s="162" t="str">
        <f aca="false">IF('Calendario D'!$B27="","",'Calendario D'!$B27&amp;" vs "&amp;'Calendario D'!$D27)</f>
        <v>Otarie Ottimiste vs Manguste Mordaci</v>
      </c>
      <c r="C91" s="163" t="n">
        <f aca="false">IF($B91="","",DATE(YEAR('Calendario D'!$F27),MONTH('Calendario D'!$F27),DAY('Calendario D'!$F27)))</f>
        <v>46334</v>
      </c>
      <c r="D91" s="164" t="n">
        <f aca="false">IF($B91="","",TIME(HOUR('Calendario D'!$F27),MINUTE('Calendario D'!$F27),0))</f>
        <v>0.479166666666667</v>
      </c>
      <c r="E91" s="163" t="n">
        <f aca="false">IF($B91="","",DATE(YEAR('Calendario D'!$F27),MONTH('Calendario D'!$F27),DAY('Calendario D'!$F27)))</f>
        <v>46334</v>
      </c>
      <c r="F91" s="164" t="n">
        <f aca="false">IF($B91="","",TIME(HOUR('Calendario D'!$F27)+2,MINUTE('Calendario D'!$F27),0))</f>
        <v>0.5625</v>
      </c>
      <c r="G91" s="162" t="str">
        <f aca="false">IF($B91="","",'Calendario D'!$B28)</f>
        <v>PalaFenicotteri, Via dello Sport 6, Fenicotteriopoli FI</v>
      </c>
      <c r="H91" s="162" t="str">
        <f aca="false">IF($B91="","",Campionato!$D$1&amp;" "&amp;Campionato!$D$5)</f>
        <v>Campionato Baskin Demo - ESEMPIO COMPILATO 64 Squadre 2026/2027</v>
      </c>
      <c r="I91" s="162"/>
    </row>
    <row r="92" customFormat="false" ht="95.5" hidden="false" customHeight="false" outlineLevel="0" collapsed="false">
      <c r="A92" s="162" t="str">
        <f aca="true">IF($B92="","","BEGIN:VEVENT
DTSTAMP:"&amp;TEXT(NOW(),"yyyymmdd")&amp;"T000001Z
UID:evt91@ClaudeCoworkBaskin
DTSTART;TZID=Europe/Rome:"&amp;TEXT($C92,"yyyymmdd")&amp;"T"&amp;TEXT($D92,"hhmmss")&amp;"
DTEND;TZID=Europe/Rome:"&amp;TEXT($E92,"yyyymmdd")&amp;"T"&amp;TEXT($F92,"hhmmss")&amp;"
SUMMARY:"&amp;$B92&amp;"
LOCATION:"&amp;$G92&amp;"
DESCRIPTION:"&amp;$H92&amp;"
END:VEVENT")</f>
        <v>BEGIN:VEVENT
DTSTAMP:20260907T000001Z
UID:evt91@ClaudeCoworkBaskin
DTSTART;TZID=Europe/Rome:20261108T150000
DTEND;TZID=Europe/Rome:20261108T170000
SUMMARY:Lontre Loquaci vs Fenicotteri Focosi
LOCATION:PalaFenicotteri, Via dello Sport 6, Fenicotteriopoli FI
DESCRIPTION:Campionato Baskin Demo - ESEMPIO COMPILATO 64 Squadre 2026/2027
END:VEVENT</v>
      </c>
      <c r="B92" s="162" t="str">
        <f aca="false">IF('Calendario D'!$B30="","",'Calendario D'!$B30&amp;" vs "&amp;'Calendario D'!$D30)</f>
        <v>Lontre Loquaci vs Fenicotteri Focosi</v>
      </c>
      <c r="C92" s="163" t="n">
        <f aca="false">IF($B92="","",DATE(YEAR('Calendario D'!$F30),MONTH('Calendario D'!$F30),DAY('Calendario D'!$F30)))</f>
        <v>46334</v>
      </c>
      <c r="D92" s="164" t="n">
        <f aca="false">IF($B92="","",TIME(HOUR('Calendario D'!$F30),MINUTE('Calendario D'!$F30),0))</f>
        <v>0.625</v>
      </c>
      <c r="E92" s="163" t="n">
        <f aca="false">IF($B92="","",DATE(YEAR('Calendario D'!$F30),MONTH('Calendario D'!$F30),DAY('Calendario D'!$F30)))</f>
        <v>46334</v>
      </c>
      <c r="F92" s="164" t="n">
        <f aca="false">IF($B92="","",TIME(HOUR('Calendario D'!$F30)+2,MINUTE('Calendario D'!$F30),0))</f>
        <v>0.708333333333333</v>
      </c>
      <c r="G92" s="162" t="str">
        <f aca="false">IF($B92="","",'Calendario D'!$B31)</f>
        <v>PalaFenicotteri, Via dello Sport 6, Fenicotteriopoli FI</v>
      </c>
      <c r="H92" s="162" t="str">
        <f aca="false">IF($B92="","",Campionato!$D$1&amp;" "&amp;Campionato!$D$5)</f>
        <v>Campionato Baskin Demo - ESEMPIO COMPILATO 64 Squadre 2026/2027</v>
      </c>
      <c r="I92" s="162"/>
    </row>
    <row r="93" customFormat="false" ht="95.5" hidden="false" customHeight="false" outlineLevel="0" collapsed="false">
      <c r="A93" s="162" t="str">
        <f aca="true">IF($B93="","","BEGIN:VEVENT
DTSTAMP:"&amp;TEXT(NOW(),"yyyymmdd")&amp;"T000001Z
UID:evt92@ClaudeCoworkBaskin
DTSTART;TZID=Europe/Rome:"&amp;TEXT($C93,"yyyymmdd")&amp;"T"&amp;TEXT($D93,"hhmmss")&amp;"
DTEND;TZID=Europe/Rome:"&amp;TEXT($E93,"yyyymmdd")&amp;"T"&amp;TEXT($F93,"hhmmss")&amp;"
SUMMARY:"&amp;$B93&amp;"
LOCATION:"&amp;$G93&amp;"
DESCRIPTION:"&amp;$H93&amp;"
END:VEVENT")</f>
        <v>BEGIN:VEVENT
DTSTAMP:20260907T000001Z
UID:evt92@ClaudeCoworkBaskin
DTSTART;TZID=Europe/Rome:20261108T170000
DTEND;TZID=Europe/Rome:20261108T190000
SUMMARY:Ghepardi Guizzanti vs Iguane Impavide
LOCATION:PalaFenicotteri, Via dello Sport 6, Fenicotteriopoli FI
DESCRIPTION:Campionato Baskin Demo - ESEMPIO COMPILATO 64 Squadre 2026/2027
END:VEVENT</v>
      </c>
      <c r="B93" s="162" t="str">
        <f aca="false">IF('Calendario D'!$B33="","",'Calendario D'!$B33&amp;" vs "&amp;'Calendario D'!$D33)</f>
        <v>Ghepardi Guizzanti vs Iguane Impavide</v>
      </c>
      <c r="C93" s="163" t="n">
        <f aca="false">IF($B93="","",DATE(YEAR('Calendario D'!$F33),MONTH('Calendario D'!$F33),DAY('Calendario D'!$F33)))</f>
        <v>46334</v>
      </c>
      <c r="D93" s="164" t="n">
        <f aca="false">IF($B93="","",TIME(HOUR('Calendario D'!$F33),MINUTE('Calendario D'!$F33),0))</f>
        <v>0.708333333333333</v>
      </c>
      <c r="E93" s="163" t="n">
        <f aca="false">IF($B93="","",DATE(YEAR('Calendario D'!$F33),MONTH('Calendario D'!$F33),DAY('Calendario D'!$F33)))</f>
        <v>46334</v>
      </c>
      <c r="F93" s="164" t="n">
        <f aca="false">IF($B93="","",TIME(HOUR('Calendario D'!$F33)+2,MINUTE('Calendario D'!$F33),0))</f>
        <v>0.791666666666667</v>
      </c>
      <c r="G93" s="162" t="str">
        <f aca="false">IF($B93="","",'Calendario D'!$B34)</f>
        <v>PalaFenicotteri, Via dello Sport 6, Fenicotteriopoli FI</v>
      </c>
      <c r="H93" s="162" t="str">
        <f aca="false">IF($B93="","",Campionato!$D$1&amp;" "&amp;Campionato!$D$5)</f>
        <v>Campionato Baskin Demo - ESEMPIO COMPILATO 64 Squadre 2026/2027</v>
      </c>
      <c r="I93" s="162"/>
    </row>
    <row r="94" customFormat="false" ht="95.5" hidden="false" customHeight="false" outlineLevel="0" collapsed="false">
      <c r="A94" s="162" t="str">
        <f aca="true">IF($B94="","","BEGIN:VEVENT
DTSTAMP:"&amp;TEXT(NOW(),"yyyymmdd")&amp;"T000001Z
UID:evt93@ClaudeCoworkBaskin
DTSTART;TZID=Europe/Rome:"&amp;TEXT($C94,"yyyymmdd")&amp;"T"&amp;TEXT($D94,"hhmmss")&amp;"
DTEND;TZID=Europe/Rome:"&amp;TEXT($E94,"yyyymmdd")&amp;"T"&amp;TEXT($F94,"hhmmss")&amp;"
SUMMARY:"&amp;$B94&amp;"
LOCATION:"&amp;$G94&amp;"
DESCRIPTION:"&amp;$H94&amp;"
END:VEVENT")</f>
        <v>BEGIN:VEVENT
DTSTAMP:20260907T000001Z
UID:evt93@ClaudeCoworkBaskin
DTSTART;TZID=Europe/Rome:20261129T093000
DTEND;TZID=Europe/Rome:20261129T113000
SUMMARY:Elefanti Esuberanti vs Manguste Mordaci
LOCATION:PalaGhepardi, Via dello Sport 7, Ghepardiopoli GI
DESCRIPTION:Campionato Baskin Demo - ESEMPIO COMPILATO 64 Squadre 2026/2027
END:VEVENT</v>
      </c>
      <c r="B94" s="162" t="str">
        <f aca="false">IF('Calendario D'!$B38="","",'Calendario D'!$B38&amp;" vs "&amp;'Calendario D'!$D38)</f>
        <v>Elefanti Esuberanti vs Manguste Mordaci</v>
      </c>
      <c r="C94" s="163" t="n">
        <f aca="false">IF($B94="","",DATE(YEAR('Calendario D'!$F38),MONTH('Calendario D'!$F38),DAY('Calendario D'!$F38)))</f>
        <v>46355</v>
      </c>
      <c r="D94" s="164" t="n">
        <f aca="false">IF($B94="","",TIME(HOUR('Calendario D'!$F38),MINUTE('Calendario D'!$F38),0))</f>
        <v>0.395833333333333</v>
      </c>
      <c r="E94" s="163" t="n">
        <f aca="false">IF($B94="","",DATE(YEAR('Calendario D'!$F38),MONTH('Calendario D'!$F38),DAY('Calendario D'!$F38)))</f>
        <v>46355</v>
      </c>
      <c r="F94" s="164" t="n">
        <f aca="false">IF($B94="","",TIME(HOUR('Calendario D'!$F38)+2,MINUTE('Calendario D'!$F38),0))</f>
        <v>0.479166666666667</v>
      </c>
      <c r="G94" s="162" t="str">
        <f aca="false">IF($B94="","",'Calendario D'!$B39)</f>
        <v>PalaGhepardi, Via dello Sport 7, Ghepardiopoli GI</v>
      </c>
      <c r="H94" s="162" t="str">
        <f aca="false">IF($B94="","",Campionato!$D$1&amp;" "&amp;Campionato!$D$5)</f>
        <v>Campionato Baskin Demo - ESEMPIO COMPILATO 64 Squadre 2026/2027</v>
      </c>
      <c r="I94" s="162"/>
    </row>
    <row r="95" customFormat="false" ht="95.5" hidden="false" customHeight="false" outlineLevel="0" collapsed="false">
      <c r="A95" s="162" t="str">
        <f aca="true">IF($B95="","","BEGIN:VEVENT
DTSTAMP:"&amp;TEXT(NOW(),"yyyymmdd")&amp;"T000001Z
UID:evt94@ClaudeCoworkBaskin
DTSTART;TZID=Europe/Rome:"&amp;TEXT($C95,"yyyymmdd")&amp;"T"&amp;TEXT($D95,"hhmmss")&amp;"
DTEND;TZID=Europe/Rome:"&amp;TEXT($E95,"yyyymmdd")&amp;"T"&amp;TEXT($F95,"hhmmss")&amp;"
SUMMARY:"&amp;$B95&amp;"
LOCATION:"&amp;$G95&amp;"
DESCRIPTION:"&amp;$H95&amp;"
END:VEVENT")</f>
        <v>BEGIN:VEVENT
DTSTAMP:20260907T000001Z
UID:evt94@ClaudeCoworkBaskin
DTSTART;TZID=Europe/Rome:20261129T113000
DTEND;TZID=Europe/Rome:20261129T133000
SUMMARY:Lontre Loquaci vs Nutrie Nervose
LOCATION:PalaGhepardi, Via dello Sport 7, Ghepardiopoli GI
DESCRIPTION:Campionato Baskin Demo - ESEMPIO COMPILATO 64 Squadre 2026/2027
END:VEVENT</v>
      </c>
      <c r="B95" s="162" t="str">
        <f aca="false">IF('Calendario D'!$B41="","",'Calendario D'!$B41&amp;" vs "&amp;'Calendario D'!$D41)</f>
        <v>Lontre Loquaci vs Nutrie Nervose</v>
      </c>
      <c r="C95" s="163" t="n">
        <f aca="false">IF($B95="","",DATE(YEAR('Calendario D'!$F41),MONTH('Calendario D'!$F41),DAY('Calendario D'!$F41)))</f>
        <v>46355</v>
      </c>
      <c r="D95" s="164" t="n">
        <f aca="false">IF($B95="","",TIME(HOUR('Calendario D'!$F41),MINUTE('Calendario D'!$F41),0))</f>
        <v>0.479166666666667</v>
      </c>
      <c r="E95" s="163" t="n">
        <f aca="false">IF($B95="","",DATE(YEAR('Calendario D'!$F41),MONTH('Calendario D'!$F41),DAY('Calendario D'!$F41)))</f>
        <v>46355</v>
      </c>
      <c r="F95" s="164" t="n">
        <f aca="false">IF($B95="","",TIME(HOUR('Calendario D'!$F41)+2,MINUTE('Calendario D'!$F41),0))</f>
        <v>0.5625</v>
      </c>
      <c r="G95" s="162" t="str">
        <f aca="false">IF($B95="","",'Calendario D'!$B42)</f>
        <v>PalaGhepardi, Via dello Sport 7, Ghepardiopoli GI</v>
      </c>
      <c r="H95" s="162" t="str">
        <f aca="false">IF($B95="","",Campionato!$D$1&amp;" "&amp;Campionato!$D$5)</f>
        <v>Campionato Baskin Demo - ESEMPIO COMPILATO 64 Squadre 2026/2027</v>
      </c>
      <c r="I95" s="162"/>
    </row>
    <row r="96" customFormat="false" ht="95.5" hidden="false" customHeight="false" outlineLevel="0" collapsed="false">
      <c r="A96" s="162" t="str">
        <f aca="true">IF($B96="","","BEGIN:VEVENT
DTSTAMP:"&amp;TEXT(NOW(),"yyyymmdd")&amp;"T000001Z
UID:evt95@ClaudeCoworkBaskin
DTSTART;TZID=Europe/Rome:"&amp;TEXT($C96,"yyyymmdd")&amp;"T"&amp;TEXT($D96,"hhmmss")&amp;"
DTEND;TZID=Europe/Rome:"&amp;TEXT($E96,"yyyymmdd")&amp;"T"&amp;TEXT($F96,"hhmmss")&amp;"
SUMMARY:"&amp;$B96&amp;"
LOCATION:"&amp;$G96&amp;"
DESCRIPTION:"&amp;$H96&amp;"
END:VEVENT")</f>
        <v>BEGIN:VEVENT
DTSTAMP:20260907T000001Z
UID:evt95@ClaudeCoworkBaskin
DTSTART;TZID=Europe/Rome:20261129T150000
DTEND;TZID=Europe/Rome:20261129T170000
SUMMARY:Otarie Ottimiste vs Iguane Impavide
LOCATION:PalaGhepardi, Via dello Sport 7, Ghepardiopoli GI
DESCRIPTION:Campionato Baskin Demo - ESEMPIO COMPILATO 64 Squadre 2026/2027
END:VEVENT</v>
      </c>
      <c r="B96" s="162" t="str">
        <f aca="false">IF('Calendario D'!$B44="","",'Calendario D'!$B44&amp;" vs "&amp;'Calendario D'!$D44)</f>
        <v>Otarie Ottimiste vs Iguane Impavide</v>
      </c>
      <c r="C96" s="163" t="n">
        <f aca="false">IF($B96="","",DATE(YEAR('Calendario D'!$F44),MONTH('Calendario D'!$F44),DAY('Calendario D'!$F44)))</f>
        <v>46355</v>
      </c>
      <c r="D96" s="164" t="n">
        <f aca="false">IF($B96="","",TIME(HOUR('Calendario D'!$F44),MINUTE('Calendario D'!$F44),0))</f>
        <v>0.625</v>
      </c>
      <c r="E96" s="163" t="n">
        <f aca="false">IF($B96="","",DATE(YEAR('Calendario D'!$F44),MONTH('Calendario D'!$F44),DAY('Calendario D'!$F44)))</f>
        <v>46355</v>
      </c>
      <c r="F96" s="164" t="n">
        <f aca="false">IF($B96="","",TIME(HOUR('Calendario D'!$F44)+2,MINUTE('Calendario D'!$F44),0))</f>
        <v>0.708333333333333</v>
      </c>
      <c r="G96" s="162" t="str">
        <f aca="false">IF($B96="","",'Calendario D'!$B45)</f>
        <v>PalaGhepardi, Via dello Sport 7, Ghepardiopoli GI</v>
      </c>
      <c r="H96" s="162" t="str">
        <f aca="false">IF($B96="","",Campionato!$D$1&amp;" "&amp;Campionato!$D$5)</f>
        <v>Campionato Baskin Demo - ESEMPIO COMPILATO 64 Squadre 2026/2027</v>
      </c>
      <c r="I96" s="162"/>
    </row>
    <row r="97" customFormat="false" ht="95.5" hidden="false" customHeight="false" outlineLevel="0" collapsed="false">
      <c r="A97" s="162" t="str">
        <f aca="true">IF($B97="","","BEGIN:VEVENT
DTSTAMP:"&amp;TEXT(NOW(),"yyyymmdd")&amp;"T000001Z
UID:evt96@ClaudeCoworkBaskin
DTSTART;TZID=Europe/Rome:"&amp;TEXT($C97,"yyyymmdd")&amp;"T"&amp;TEXT($D97,"hhmmss")&amp;"
DTEND;TZID=Europe/Rome:"&amp;TEXT($E97,"yyyymmdd")&amp;"T"&amp;TEXT($F97,"hhmmss")&amp;"
SUMMARY:"&amp;$B97&amp;"
LOCATION:"&amp;$G97&amp;"
DESCRIPTION:"&amp;$H97&amp;"
END:VEVENT")</f>
        <v>BEGIN:VEVENT
DTSTAMP:20260907T000001Z
UID:evt96@ClaudeCoworkBaskin
DTSTART;TZID=Europe/Rome:20261129T170000
DTEND;TZID=Europe/Rome:20261129T190000
SUMMARY:Ghepardi Guizzanti vs Fenicotteri Focosi
LOCATION:PalaGhepardi, Via dello Sport 7, Ghepardiopoli GI
DESCRIPTION:Campionato Baskin Demo - ESEMPIO COMPILATO 64 Squadre 2026/2027
END:VEVENT</v>
      </c>
      <c r="B97" s="162" t="str">
        <f aca="false">IF('Calendario D'!$B47="","",'Calendario D'!$B47&amp;" vs "&amp;'Calendario D'!$D47)</f>
        <v>Ghepardi Guizzanti vs Fenicotteri Focosi</v>
      </c>
      <c r="C97" s="163" t="n">
        <f aca="false">IF($B97="","",DATE(YEAR('Calendario D'!$F47),MONTH('Calendario D'!$F47),DAY('Calendario D'!$F47)))</f>
        <v>46355</v>
      </c>
      <c r="D97" s="164" t="n">
        <f aca="false">IF($B97="","",TIME(HOUR('Calendario D'!$F47),MINUTE('Calendario D'!$F47),0))</f>
        <v>0.708333333333333</v>
      </c>
      <c r="E97" s="163" t="n">
        <f aca="false">IF($B97="","",DATE(YEAR('Calendario D'!$F47),MONTH('Calendario D'!$F47),DAY('Calendario D'!$F47)))</f>
        <v>46355</v>
      </c>
      <c r="F97" s="164" t="n">
        <f aca="false">IF($B97="","",TIME(HOUR('Calendario D'!$F47)+2,MINUTE('Calendario D'!$F47),0))</f>
        <v>0.791666666666667</v>
      </c>
      <c r="G97" s="162" t="str">
        <f aca="false">IF($B97="","",'Calendario D'!$B48)</f>
        <v>PalaGhepardi, Via dello Sport 7, Ghepardiopoli GI</v>
      </c>
      <c r="H97" s="162" t="str">
        <f aca="false">IF($B97="","",Campionato!$D$1&amp;" "&amp;Campionato!$D$5)</f>
        <v>Campionato Baskin Demo - ESEMPIO COMPILATO 64 Squadre 2026/2027</v>
      </c>
      <c r="I97" s="162"/>
    </row>
    <row r="98" customFormat="false" ht="95.5" hidden="false" customHeight="false" outlineLevel="0" collapsed="false">
      <c r="A98" s="162" t="str">
        <f aca="true">IF($B98="","","BEGIN:VEVENT
DTSTAMP:"&amp;TEXT(NOW(),"yyyymmdd")&amp;"T000001Z
UID:evt97@ClaudeCoworkBaskin
DTSTART;TZID=Europe/Rome:"&amp;TEXT($C98,"yyyymmdd")&amp;"T"&amp;TEXT($D98,"hhmmss")&amp;"
DTEND;TZID=Europe/Rome:"&amp;TEXT($E98,"yyyymmdd")&amp;"T"&amp;TEXT($F98,"hhmmss")&amp;"
SUMMARY:"&amp;$B98&amp;"
LOCATION:"&amp;$G98&amp;"
DESCRIPTION:"&amp;$H98&amp;"
END:VEVENT")</f>
        <v>BEGIN:VEVENT
DTSTAMP:20260907T000001Z
UID:evt97@ClaudeCoworkBaskin
DTSTART;TZID=Europe/Rome:20261213T093000
DTEND;TZID=Europe/Rome:20261213T113000
SUMMARY:Lontre Loquaci vs Elefanti Esuberanti
LOCATION:PalaIguane, Via dello Sport 8, Iguaneopoli IE
DESCRIPTION:Campionato Baskin Demo - ESEMPIO COMPILATO 64 Squadre 2026/2027
END:VEVENT</v>
      </c>
      <c r="B98" s="162" t="str">
        <f aca="false">IF('Calendario D'!$B52="","",'Calendario D'!$B52&amp;" vs "&amp;'Calendario D'!$D52)</f>
        <v>Lontre Loquaci vs Elefanti Esuberanti</v>
      </c>
      <c r="C98" s="163" t="n">
        <f aca="false">IF($B98="","",DATE(YEAR('Calendario D'!$F52),MONTH('Calendario D'!$F52),DAY('Calendario D'!$F52)))</f>
        <v>46369</v>
      </c>
      <c r="D98" s="164" t="n">
        <f aca="false">IF($B98="","",TIME(HOUR('Calendario D'!$F52),MINUTE('Calendario D'!$F52),0))</f>
        <v>0.395833333333333</v>
      </c>
      <c r="E98" s="163" t="n">
        <f aca="false">IF($B98="","",DATE(YEAR('Calendario D'!$F52),MONTH('Calendario D'!$F52),DAY('Calendario D'!$F52)))</f>
        <v>46369</v>
      </c>
      <c r="F98" s="164" t="n">
        <f aca="false">IF($B98="","",TIME(HOUR('Calendario D'!$F52)+2,MINUTE('Calendario D'!$F52),0))</f>
        <v>0.479166666666667</v>
      </c>
      <c r="G98" s="162" t="str">
        <f aca="false">IF($B98="","",'Calendario D'!$B53)</f>
        <v>PalaIguane, Via dello Sport 8, Iguaneopoli IE</v>
      </c>
      <c r="H98" s="162" t="str">
        <f aca="false">IF($B98="","",Campionato!$D$1&amp;" "&amp;Campionato!$D$5)</f>
        <v>Campionato Baskin Demo - ESEMPIO COMPILATO 64 Squadre 2026/2027</v>
      </c>
      <c r="I98" s="162"/>
    </row>
    <row r="99" customFormat="false" ht="95.5" hidden="false" customHeight="false" outlineLevel="0" collapsed="false">
      <c r="A99" s="162" t="str">
        <f aca="true">IF($B99="","","BEGIN:VEVENT
DTSTAMP:"&amp;TEXT(NOW(),"yyyymmdd")&amp;"T000001Z
UID:evt98@ClaudeCoworkBaskin
DTSTART;TZID=Europe/Rome:"&amp;TEXT($C99,"yyyymmdd")&amp;"T"&amp;TEXT($D99,"hhmmss")&amp;"
DTEND;TZID=Europe/Rome:"&amp;TEXT($E99,"yyyymmdd")&amp;"T"&amp;TEXT($F99,"hhmmss")&amp;"
SUMMARY:"&amp;$B99&amp;"
LOCATION:"&amp;$G99&amp;"
DESCRIPTION:"&amp;$H99&amp;"
END:VEVENT")</f>
        <v>BEGIN:VEVENT
DTSTAMP:20260907T000001Z
UID:evt98@ClaudeCoworkBaskin
DTSTART;TZID=Europe/Rome:20261213T113000
DTEND;TZID=Europe/Rome:20261213T133000
SUMMARY:Manguste Mordaci vs Iguane Impavide
LOCATION:PalaIguane, Via dello Sport 8, Iguaneopoli IE
DESCRIPTION:Campionato Baskin Demo - ESEMPIO COMPILATO 64 Squadre 2026/2027
END:VEVENT</v>
      </c>
      <c r="B99" s="162" t="str">
        <f aca="false">IF('Calendario D'!$B55="","",'Calendario D'!$B55&amp;" vs "&amp;'Calendario D'!$D55)</f>
        <v>Manguste Mordaci vs Iguane Impavide</v>
      </c>
      <c r="C99" s="163" t="n">
        <f aca="false">IF($B99="","",DATE(YEAR('Calendario D'!$F55),MONTH('Calendario D'!$F55),DAY('Calendario D'!$F55)))</f>
        <v>46369</v>
      </c>
      <c r="D99" s="164" t="n">
        <f aca="false">IF($B99="","",TIME(HOUR('Calendario D'!$F55),MINUTE('Calendario D'!$F55),0))</f>
        <v>0.479166666666667</v>
      </c>
      <c r="E99" s="163" t="n">
        <f aca="false">IF($B99="","",DATE(YEAR('Calendario D'!$F55),MONTH('Calendario D'!$F55),DAY('Calendario D'!$F55)))</f>
        <v>46369</v>
      </c>
      <c r="F99" s="164" t="n">
        <f aca="false">IF($B99="","",TIME(HOUR('Calendario D'!$F55)+2,MINUTE('Calendario D'!$F55),0))</f>
        <v>0.5625</v>
      </c>
      <c r="G99" s="162" t="str">
        <f aca="false">IF($B99="","",'Calendario D'!$B56)</f>
        <v>PalaIguane, Via dello Sport 8, Iguaneopoli IE</v>
      </c>
      <c r="H99" s="162" t="str">
        <f aca="false">IF($B99="","",Campionato!$D$1&amp;" "&amp;Campionato!$D$5)</f>
        <v>Campionato Baskin Demo - ESEMPIO COMPILATO 64 Squadre 2026/2027</v>
      </c>
      <c r="I99" s="162"/>
    </row>
    <row r="100" customFormat="false" ht="95.5" hidden="false" customHeight="false" outlineLevel="0" collapsed="false">
      <c r="A100" s="162" t="str">
        <f aca="true">IF($B100="","","BEGIN:VEVENT
DTSTAMP:"&amp;TEXT(NOW(),"yyyymmdd")&amp;"T000001Z
UID:evt99@ClaudeCoworkBaskin
DTSTART;TZID=Europe/Rome:"&amp;TEXT($C100,"yyyymmdd")&amp;"T"&amp;TEXT($D100,"hhmmss")&amp;"
DTEND;TZID=Europe/Rome:"&amp;TEXT($E100,"yyyymmdd")&amp;"T"&amp;TEXT($F100,"hhmmss")&amp;"
SUMMARY:"&amp;$B100&amp;"
LOCATION:"&amp;$G100&amp;"
DESCRIPTION:"&amp;$H100&amp;"
END:VEVENT")</f>
        <v>BEGIN:VEVENT
DTSTAMP:20260907T000001Z
UID:evt99@ClaudeCoworkBaskin
DTSTART;TZID=Europe/Rome:20261213T150000
DTEND;TZID=Europe/Rome:20261213T170000
SUMMARY:Ghepardi Guizzanti vs Nutrie Nervose
LOCATION:PalaIguane, Via dello Sport 8, Iguaneopoli IE
DESCRIPTION:Campionato Baskin Demo - ESEMPIO COMPILATO 64 Squadre 2026/2027
END:VEVENT</v>
      </c>
      <c r="B100" s="162" t="str">
        <f aca="false">IF('Calendario D'!$B58="","",'Calendario D'!$B58&amp;" vs "&amp;'Calendario D'!$D58)</f>
        <v>Ghepardi Guizzanti vs Nutrie Nervose</v>
      </c>
      <c r="C100" s="163" t="n">
        <f aca="false">IF($B100="","",DATE(YEAR('Calendario D'!$F58),MONTH('Calendario D'!$F58),DAY('Calendario D'!$F58)))</f>
        <v>46369</v>
      </c>
      <c r="D100" s="164" t="n">
        <f aca="false">IF($B100="","",TIME(HOUR('Calendario D'!$F58),MINUTE('Calendario D'!$F58),0))</f>
        <v>0.625</v>
      </c>
      <c r="E100" s="163" t="n">
        <f aca="false">IF($B100="","",DATE(YEAR('Calendario D'!$F58),MONTH('Calendario D'!$F58),DAY('Calendario D'!$F58)))</f>
        <v>46369</v>
      </c>
      <c r="F100" s="164" t="n">
        <f aca="false">IF($B100="","",TIME(HOUR('Calendario D'!$F58)+2,MINUTE('Calendario D'!$F58),0))</f>
        <v>0.708333333333333</v>
      </c>
      <c r="G100" s="162" t="str">
        <f aca="false">IF($B100="","",'Calendario D'!$B59)</f>
        <v>PalaIguane, Via dello Sport 8, Iguaneopoli IE</v>
      </c>
      <c r="H100" s="162" t="str">
        <f aca="false">IF($B100="","",Campionato!$D$1&amp;" "&amp;Campionato!$D$5)</f>
        <v>Campionato Baskin Demo - ESEMPIO COMPILATO 64 Squadre 2026/2027</v>
      </c>
      <c r="I100" s="162"/>
    </row>
    <row r="101" customFormat="false" ht="95.5" hidden="false" customHeight="false" outlineLevel="0" collapsed="false">
      <c r="A101" s="162" t="str">
        <f aca="true">IF($B101="","","BEGIN:VEVENT
DTSTAMP:"&amp;TEXT(NOW(),"yyyymmdd")&amp;"T000001Z
UID:evt100@ClaudeCoworkBaskin
DTSTART;TZID=Europe/Rome:"&amp;TEXT($C101,"yyyymmdd")&amp;"T"&amp;TEXT($D101,"hhmmss")&amp;"
DTEND;TZID=Europe/Rome:"&amp;TEXT($E101,"yyyymmdd")&amp;"T"&amp;TEXT($F101,"hhmmss")&amp;"
SUMMARY:"&amp;$B101&amp;"
LOCATION:"&amp;$G101&amp;"
DESCRIPTION:"&amp;$H101&amp;"
END:VEVENT")</f>
        <v>BEGIN:VEVENT
DTSTAMP:20260907T000001Z
UID:evt100@ClaudeCoworkBaskin
DTSTART;TZID=Europe/Rome:20261213T170000
DTEND;TZID=Europe/Rome:20261213T190000
SUMMARY:Otarie Ottimiste vs Fenicotteri Focosi
LOCATION:PalaIguane, Via dello Sport 8, Iguaneopoli IE
DESCRIPTION:Campionato Baskin Demo - ESEMPIO COMPILATO 64 Squadre 2026/2027
END:VEVENT</v>
      </c>
      <c r="B101" s="162" t="str">
        <f aca="false">IF('Calendario D'!$B61="","",'Calendario D'!$B61&amp;" vs "&amp;'Calendario D'!$D61)</f>
        <v>Otarie Ottimiste vs Fenicotteri Focosi</v>
      </c>
      <c r="C101" s="163" t="n">
        <f aca="false">IF($B101="","",DATE(YEAR('Calendario D'!$F61),MONTH('Calendario D'!$F61),DAY('Calendario D'!$F61)))</f>
        <v>46369</v>
      </c>
      <c r="D101" s="164" t="n">
        <f aca="false">IF($B101="","",TIME(HOUR('Calendario D'!$F61),MINUTE('Calendario D'!$F61),0))</f>
        <v>0.708333333333333</v>
      </c>
      <c r="E101" s="163" t="n">
        <f aca="false">IF($B101="","",DATE(YEAR('Calendario D'!$F61),MONTH('Calendario D'!$F61),DAY('Calendario D'!$F61)))</f>
        <v>46369</v>
      </c>
      <c r="F101" s="164" t="n">
        <f aca="false">IF($B101="","",TIME(HOUR('Calendario D'!$F61)+2,MINUTE('Calendario D'!$F61),0))</f>
        <v>0.791666666666667</v>
      </c>
      <c r="G101" s="162" t="str">
        <f aca="false">IF($B101="","",'Calendario D'!$B62)</f>
        <v>PalaIguane, Via dello Sport 8, Iguaneopoli IE</v>
      </c>
      <c r="H101" s="162" t="str">
        <f aca="false">IF($B101="","",Campionato!$D$1&amp;" "&amp;Campionato!$D$5)</f>
        <v>Campionato Baskin Demo - ESEMPIO COMPILATO 64 Squadre 2026/2027</v>
      </c>
      <c r="I101" s="162"/>
    </row>
    <row r="102" customFormat="false" ht="95.5" hidden="false" customHeight="false" outlineLevel="0" collapsed="false">
      <c r="A102" s="162" t="str">
        <f aca="true">IF($B102="","","BEGIN:VEVENT
DTSTAMP:"&amp;TEXT(NOW(),"yyyymmdd")&amp;"T000001Z
UID:evt101@ClaudeCoworkBaskin
DTSTART;TZID=Europe/Rome:"&amp;TEXT($C102,"yyyymmdd")&amp;"T"&amp;TEXT($D102,"hhmmss")&amp;"
DTEND;TZID=Europe/Rome:"&amp;TEXT($E102,"yyyymmdd")&amp;"T"&amp;TEXT($F102,"hhmmss")&amp;"
SUMMARY:"&amp;$B102&amp;"
LOCATION:"&amp;$G102&amp;"
DESCRIPTION:"&amp;$H102&amp;"
END:VEVENT")</f>
        <v>BEGIN:VEVENT
DTSTAMP:20260907T000001Z
UID:evt101@ClaudeCoworkBaskin
DTSTART;TZID=Europe/Rome:20270124T093000
DTEND;TZID=Europe/Rome:20270124T113000
SUMMARY:Elefanti Esuberanti vs Iguane Impavide
LOCATION:PalaLontre, Via dello Sport 9, Lontreopoli LE
DESCRIPTION:Campionato Baskin Demo - ESEMPIO COMPILATO 64 Squadre 2026/2027
END:VEVENT</v>
      </c>
      <c r="B102" s="162" t="str">
        <f aca="false">IF('Calendario D'!$B66="","",'Calendario D'!$B66&amp;" vs "&amp;'Calendario D'!$D66)</f>
        <v>Elefanti Esuberanti vs Iguane Impavide</v>
      </c>
      <c r="C102" s="163" t="n">
        <f aca="false">IF($B102="","",DATE(YEAR('Calendario D'!$F66),MONTH('Calendario D'!$F66),DAY('Calendario D'!$F66)))</f>
        <v>46411</v>
      </c>
      <c r="D102" s="164" t="n">
        <f aca="false">IF($B102="","",TIME(HOUR('Calendario D'!$F66),MINUTE('Calendario D'!$F66),0))</f>
        <v>0.395833333333333</v>
      </c>
      <c r="E102" s="163" t="n">
        <f aca="false">IF($B102="","",DATE(YEAR('Calendario D'!$F66),MONTH('Calendario D'!$F66),DAY('Calendario D'!$F66)))</f>
        <v>46411</v>
      </c>
      <c r="F102" s="164" t="n">
        <f aca="false">IF($B102="","",TIME(HOUR('Calendario D'!$F66)+2,MINUTE('Calendario D'!$F66),0))</f>
        <v>0.479166666666667</v>
      </c>
      <c r="G102" s="162" t="str">
        <f aca="false">IF($B102="","",'Calendario D'!$B67)</f>
        <v>PalaLontre, Via dello Sport 9, Lontreopoli LE</v>
      </c>
      <c r="H102" s="162" t="str">
        <f aca="false">IF($B102="","",Campionato!$D$1&amp;" "&amp;Campionato!$D$5)</f>
        <v>Campionato Baskin Demo - ESEMPIO COMPILATO 64 Squadre 2026/2027</v>
      </c>
      <c r="I102" s="162"/>
    </row>
    <row r="103" customFormat="false" ht="95.5" hidden="false" customHeight="false" outlineLevel="0" collapsed="false">
      <c r="A103" s="162" t="str">
        <f aca="true">IF($B103="","","BEGIN:VEVENT
DTSTAMP:"&amp;TEXT(NOW(),"yyyymmdd")&amp;"T000001Z
UID:evt102@ClaudeCoworkBaskin
DTSTART;TZID=Europe/Rome:"&amp;TEXT($C103,"yyyymmdd")&amp;"T"&amp;TEXT($D103,"hhmmss")&amp;"
DTEND;TZID=Europe/Rome:"&amp;TEXT($E103,"yyyymmdd")&amp;"T"&amp;TEXT($F103,"hhmmss")&amp;"
SUMMARY:"&amp;$B103&amp;"
LOCATION:"&amp;$G103&amp;"
DESCRIPTION:"&amp;$H103&amp;"
END:VEVENT")</f>
        <v>BEGIN:VEVENT
DTSTAMP:20260907T000001Z
UID:evt102@ClaudeCoworkBaskin
DTSTART;TZID=Europe/Rome:20270124T113000
DTEND;TZID=Europe/Rome:20270124T133000
SUMMARY:Ghepardi Guizzanti vs Lontre Loquaci
LOCATION:PalaLontre, Via dello Sport 9, Lontreopoli LE
DESCRIPTION:Campionato Baskin Demo - ESEMPIO COMPILATO 64 Squadre 2026/2027
END:VEVENT</v>
      </c>
      <c r="B103" s="162" t="str">
        <f aca="false">IF('Calendario D'!$B69="","",'Calendario D'!$B69&amp;" vs "&amp;'Calendario D'!$D69)</f>
        <v>Ghepardi Guizzanti vs Lontre Loquaci</v>
      </c>
      <c r="C103" s="163" t="n">
        <f aca="false">IF($B103="","",DATE(YEAR('Calendario D'!$F69),MONTH('Calendario D'!$F69),DAY('Calendario D'!$F69)))</f>
        <v>46411</v>
      </c>
      <c r="D103" s="164" t="n">
        <f aca="false">IF($B103="","",TIME(HOUR('Calendario D'!$F69),MINUTE('Calendario D'!$F69),0))</f>
        <v>0.479166666666667</v>
      </c>
      <c r="E103" s="163" t="n">
        <f aca="false">IF($B103="","",DATE(YEAR('Calendario D'!$F69),MONTH('Calendario D'!$F69),DAY('Calendario D'!$F69)))</f>
        <v>46411</v>
      </c>
      <c r="F103" s="164" t="n">
        <f aca="false">IF($B103="","",TIME(HOUR('Calendario D'!$F69)+2,MINUTE('Calendario D'!$F69),0))</f>
        <v>0.5625</v>
      </c>
      <c r="G103" s="162" t="str">
        <f aca="false">IF($B103="","",'Calendario D'!$B70)</f>
        <v>PalaLontre, Via dello Sport 9, Lontreopoli LE</v>
      </c>
      <c r="H103" s="162" t="str">
        <f aca="false">IF($B103="","",Campionato!$D$1&amp;" "&amp;Campionato!$D$5)</f>
        <v>Campionato Baskin Demo - ESEMPIO COMPILATO 64 Squadre 2026/2027</v>
      </c>
      <c r="I103" s="162"/>
    </row>
    <row r="104" customFormat="false" ht="95.5" hidden="false" customHeight="false" outlineLevel="0" collapsed="false">
      <c r="A104" s="162" t="str">
        <f aca="true">IF($B104="","","BEGIN:VEVENT
DTSTAMP:"&amp;TEXT(NOW(),"yyyymmdd")&amp;"T000001Z
UID:evt103@ClaudeCoworkBaskin
DTSTART;TZID=Europe/Rome:"&amp;TEXT($C104,"yyyymmdd")&amp;"T"&amp;TEXT($D104,"hhmmss")&amp;"
DTEND;TZID=Europe/Rome:"&amp;TEXT($E104,"yyyymmdd")&amp;"T"&amp;TEXT($F104,"hhmmss")&amp;"
SUMMARY:"&amp;$B104&amp;"
LOCATION:"&amp;$G104&amp;"
DESCRIPTION:"&amp;$H104&amp;"
END:VEVENT")</f>
        <v>BEGIN:VEVENT
DTSTAMP:20260907T000001Z
UID:evt103@ClaudeCoworkBaskin
DTSTART;TZID=Europe/Rome:20270124T150000
DTEND;TZID=Europe/Rome:20270124T170000
SUMMARY:Manguste Mordaci vs Fenicotteri Focosi
LOCATION:PalaLontre, Via dello Sport 9, Lontreopoli LE
DESCRIPTION:Campionato Baskin Demo - ESEMPIO COMPILATO 64 Squadre 2026/2027
END:VEVENT</v>
      </c>
      <c r="B104" s="162" t="str">
        <f aca="false">IF('Calendario D'!$B72="","",'Calendario D'!$B72&amp;" vs "&amp;'Calendario D'!$D72)</f>
        <v>Manguste Mordaci vs Fenicotteri Focosi</v>
      </c>
      <c r="C104" s="163" t="n">
        <f aca="false">IF($B104="","",DATE(YEAR('Calendario D'!$F72),MONTH('Calendario D'!$F72),DAY('Calendario D'!$F72)))</f>
        <v>46411</v>
      </c>
      <c r="D104" s="164" t="n">
        <f aca="false">IF($B104="","",TIME(HOUR('Calendario D'!$F72),MINUTE('Calendario D'!$F72),0))</f>
        <v>0.625</v>
      </c>
      <c r="E104" s="163" t="n">
        <f aca="false">IF($B104="","",DATE(YEAR('Calendario D'!$F72),MONTH('Calendario D'!$F72),DAY('Calendario D'!$F72)))</f>
        <v>46411</v>
      </c>
      <c r="F104" s="164" t="n">
        <f aca="false">IF($B104="","",TIME(HOUR('Calendario D'!$F72)+2,MINUTE('Calendario D'!$F72),0))</f>
        <v>0.708333333333333</v>
      </c>
      <c r="G104" s="162" t="str">
        <f aca="false">IF($B104="","",'Calendario D'!$B73)</f>
        <v>PalaLontre, Via dello Sport 9, Lontreopoli LE</v>
      </c>
      <c r="H104" s="162" t="str">
        <f aca="false">IF($B104="","",Campionato!$D$1&amp;" "&amp;Campionato!$D$5)</f>
        <v>Campionato Baskin Demo - ESEMPIO COMPILATO 64 Squadre 2026/2027</v>
      </c>
      <c r="I104" s="162"/>
    </row>
    <row r="105" customFormat="false" ht="95.5" hidden="false" customHeight="false" outlineLevel="0" collapsed="false">
      <c r="A105" s="162" t="str">
        <f aca="true">IF($B105="","","BEGIN:VEVENT
DTSTAMP:"&amp;TEXT(NOW(),"yyyymmdd")&amp;"T000001Z
UID:evt104@ClaudeCoworkBaskin
DTSTART;TZID=Europe/Rome:"&amp;TEXT($C105,"yyyymmdd")&amp;"T"&amp;TEXT($D105,"hhmmss")&amp;"
DTEND;TZID=Europe/Rome:"&amp;TEXT($E105,"yyyymmdd")&amp;"T"&amp;TEXT($F105,"hhmmss")&amp;"
SUMMARY:"&amp;$B105&amp;"
LOCATION:"&amp;$G105&amp;"
DESCRIPTION:"&amp;$H105&amp;"
END:VEVENT")</f>
        <v>BEGIN:VEVENT
DTSTAMP:20260907T000001Z
UID:evt104@ClaudeCoworkBaskin
DTSTART;TZID=Europe/Rome:20270124T170000
DTEND;TZID=Europe/Rome:20270124T190000
SUMMARY:Otarie Ottimiste vs Nutrie Nervose
LOCATION:PalaLontre, Via dello Sport 9, Lontreopoli LE
DESCRIPTION:Campionato Baskin Demo - ESEMPIO COMPILATO 64 Squadre 2026/2027
END:VEVENT</v>
      </c>
      <c r="B105" s="162" t="str">
        <f aca="false">IF('Calendario D'!$B75="","",'Calendario D'!$B75&amp;" vs "&amp;'Calendario D'!$D75)</f>
        <v>Otarie Ottimiste vs Nutrie Nervose</v>
      </c>
      <c r="C105" s="163" t="n">
        <f aca="false">IF($B105="","",DATE(YEAR('Calendario D'!$F75),MONTH('Calendario D'!$F75),DAY('Calendario D'!$F75)))</f>
        <v>46411</v>
      </c>
      <c r="D105" s="164" t="n">
        <f aca="false">IF($B105="","",TIME(HOUR('Calendario D'!$F75),MINUTE('Calendario D'!$F75),0))</f>
        <v>0.708333333333333</v>
      </c>
      <c r="E105" s="163" t="n">
        <f aca="false">IF($B105="","",DATE(YEAR('Calendario D'!$F75),MONTH('Calendario D'!$F75),DAY('Calendario D'!$F75)))</f>
        <v>46411</v>
      </c>
      <c r="F105" s="164" t="n">
        <f aca="false">IF($B105="","",TIME(HOUR('Calendario D'!$F75)+2,MINUTE('Calendario D'!$F75),0))</f>
        <v>0.791666666666667</v>
      </c>
      <c r="G105" s="162" t="str">
        <f aca="false">IF($B105="","",'Calendario D'!$B76)</f>
        <v>PalaLontre, Via dello Sport 9, Lontreopoli LE</v>
      </c>
      <c r="H105" s="162" t="str">
        <f aca="false">IF($B105="","",Campionato!$D$1&amp;" "&amp;Campionato!$D$5)</f>
        <v>Campionato Baskin Demo - ESEMPIO COMPILATO 64 Squadre 2026/2027</v>
      </c>
      <c r="I105" s="162"/>
    </row>
    <row r="106" customFormat="false" ht="95.5" hidden="false" customHeight="false" outlineLevel="0" collapsed="false">
      <c r="A106" s="162" t="str">
        <f aca="true">IF($B106="","","BEGIN:VEVENT
DTSTAMP:"&amp;TEXT(NOW(),"yyyymmdd")&amp;"T000001Z
UID:evt105@ClaudeCoworkBaskin
DTSTART;TZID=Europe/Rome:"&amp;TEXT($C106,"yyyymmdd")&amp;"T"&amp;TEXT($D106,"hhmmss")&amp;"
DTEND;TZID=Europe/Rome:"&amp;TEXT($E106,"yyyymmdd")&amp;"T"&amp;TEXT($F106,"hhmmss")&amp;"
SUMMARY:"&amp;$B106&amp;"
LOCATION:"&amp;$G106&amp;"
DESCRIPTION:"&amp;$H106&amp;"
END:VEVENT")</f>
        <v>BEGIN:VEVENT
DTSTAMP:20260907T000001Z
UID:evt105@ClaudeCoworkBaskin
DTSTART;TZID=Europe/Rome:20270214T093000
DTEND;TZID=Europe/Rome:20270214T113000
SUMMARY:Ghepardi Guizzanti vs Elefanti Esuberanti
LOCATION:PalaManguste, Via dello Sport 10, Mangusteopoli ME
DESCRIPTION:Campionato Baskin Demo - ESEMPIO COMPILATO 64 Squadre 2026/2027
END:VEVENT</v>
      </c>
      <c r="B106" s="162" t="str">
        <f aca="false">IF('Calendario D'!$B80="","",'Calendario D'!$B80&amp;" vs "&amp;'Calendario D'!$D80)</f>
        <v>Ghepardi Guizzanti vs Elefanti Esuberanti</v>
      </c>
      <c r="C106" s="163" t="n">
        <f aca="false">IF($B106="","",DATE(YEAR('Calendario D'!$F80),MONTH('Calendario D'!$F80),DAY('Calendario D'!$F80)))</f>
        <v>46432</v>
      </c>
      <c r="D106" s="164" t="n">
        <f aca="false">IF($B106="","",TIME(HOUR('Calendario D'!$F80),MINUTE('Calendario D'!$F80),0))</f>
        <v>0.395833333333333</v>
      </c>
      <c r="E106" s="163" t="n">
        <f aca="false">IF($B106="","",DATE(YEAR('Calendario D'!$F80),MONTH('Calendario D'!$F80),DAY('Calendario D'!$F80)))</f>
        <v>46432</v>
      </c>
      <c r="F106" s="164" t="n">
        <f aca="false">IF($B106="","",TIME(HOUR('Calendario D'!$F80)+2,MINUTE('Calendario D'!$F80),0))</f>
        <v>0.479166666666667</v>
      </c>
      <c r="G106" s="162" t="str">
        <f aca="false">IF($B106="","",'Calendario D'!$B81)</f>
        <v>PalaManguste, Via dello Sport 10, Mangusteopoli ME</v>
      </c>
      <c r="H106" s="162" t="str">
        <f aca="false">IF($B106="","",Campionato!$D$1&amp;" "&amp;Campionato!$D$5)</f>
        <v>Campionato Baskin Demo - ESEMPIO COMPILATO 64 Squadre 2026/2027</v>
      </c>
      <c r="I106" s="162"/>
    </row>
    <row r="107" customFormat="false" ht="95.5" hidden="false" customHeight="false" outlineLevel="0" collapsed="false">
      <c r="A107" s="162" t="str">
        <f aca="true">IF($B107="","","BEGIN:VEVENT
DTSTAMP:"&amp;TEXT(NOW(),"yyyymmdd")&amp;"T000001Z
UID:evt106@ClaudeCoworkBaskin
DTSTART;TZID=Europe/Rome:"&amp;TEXT($C107,"yyyymmdd")&amp;"T"&amp;TEXT($D107,"hhmmss")&amp;"
DTEND;TZID=Europe/Rome:"&amp;TEXT($E107,"yyyymmdd")&amp;"T"&amp;TEXT($F107,"hhmmss")&amp;"
SUMMARY:"&amp;$B107&amp;"
LOCATION:"&amp;$G107&amp;"
DESCRIPTION:"&amp;$H107&amp;"
END:VEVENT")</f>
        <v>BEGIN:VEVENT
DTSTAMP:20260907T000001Z
UID:evt106@ClaudeCoworkBaskin
DTSTART;TZID=Europe/Rome:20270214T113000
DTEND;TZID=Europe/Rome:20270214T133000
SUMMARY:Iguane Impavide vs Fenicotteri Focosi
LOCATION:PalaManguste, Via dello Sport 10, Mangusteopoli ME
DESCRIPTION:Campionato Baskin Demo - ESEMPIO COMPILATO 64 Squadre 2026/2027
END:VEVENT</v>
      </c>
      <c r="B107" s="162" t="str">
        <f aca="false">IF('Calendario D'!$B83="","",'Calendario D'!$B83&amp;" vs "&amp;'Calendario D'!$D83)</f>
        <v>Iguane Impavide vs Fenicotteri Focosi</v>
      </c>
      <c r="C107" s="163" t="n">
        <f aca="false">IF($B107="","",DATE(YEAR('Calendario D'!$F83),MONTH('Calendario D'!$F83),DAY('Calendario D'!$F83)))</f>
        <v>46432</v>
      </c>
      <c r="D107" s="164" t="n">
        <f aca="false">IF($B107="","",TIME(HOUR('Calendario D'!$F83),MINUTE('Calendario D'!$F83),0))</f>
        <v>0.479166666666667</v>
      </c>
      <c r="E107" s="163" t="n">
        <f aca="false">IF($B107="","",DATE(YEAR('Calendario D'!$F83),MONTH('Calendario D'!$F83),DAY('Calendario D'!$F83)))</f>
        <v>46432</v>
      </c>
      <c r="F107" s="164" t="n">
        <f aca="false">IF($B107="","",TIME(HOUR('Calendario D'!$F83)+2,MINUTE('Calendario D'!$F83),0))</f>
        <v>0.5625</v>
      </c>
      <c r="G107" s="162" t="str">
        <f aca="false">IF($B107="","",'Calendario D'!$B84)</f>
        <v>PalaManguste, Via dello Sport 10, Mangusteopoli ME</v>
      </c>
      <c r="H107" s="162" t="str">
        <f aca="false">IF($B107="","",Campionato!$D$1&amp;" "&amp;Campionato!$D$5)</f>
        <v>Campionato Baskin Demo - ESEMPIO COMPILATO 64 Squadre 2026/2027</v>
      </c>
      <c r="I107" s="162"/>
    </row>
    <row r="108" customFormat="false" ht="95.5" hidden="false" customHeight="false" outlineLevel="0" collapsed="false">
      <c r="A108" s="162" t="str">
        <f aca="true">IF($B108="","","BEGIN:VEVENT
DTSTAMP:"&amp;TEXT(NOW(),"yyyymmdd")&amp;"T000001Z
UID:evt107@ClaudeCoworkBaskin
DTSTART;TZID=Europe/Rome:"&amp;TEXT($C108,"yyyymmdd")&amp;"T"&amp;TEXT($D108,"hhmmss")&amp;"
DTEND;TZID=Europe/Rome:"&amp;TEXT($E108,"yyyymmdd")&amp;"T"&amp;TEXT($F108,"hhmmss")&amp;"
SUMMARY:"&amp;$B108&amp;"
LOCATION:"&amp;$G108&amp;"
DESCRIPTION:"&amp;$H108&amp;"
END:VEVENT")</f>
        <v>BEGIN:VEVENT
DTSTAMP:20260907T000001Z
UID:evt107@ClaudeCoworkBaskin
DTSTART;TZID=Europe/Rome:20270214T150000
DTEND;TZID=Europe/Rome:20270214T170000
SUMMARY:Otarie Ottimiste vs Lontre Loquaci
LOCATION:PalaManguste, Via dello Sport 10, Mangusteopoli ME
DESCRIPTION:Campionato Baskin Demo - ESEMPIO COMPILATO 64 Squadre 2026/2027
END:VEVENT</v>
      </c>
      <c r="B108" s="162" t="str">
        <f aca="false">IF('Calendario D'!$B86="","",'Calendario D'!$B86&amp;" vs "&amp;'Calendario D'!$D86)</f>
        <v>Otarie Ottimiste vs Lontre Loquaci</v>
      </c>
      <c r="C108" s="163" t="n">
        <f aca="false">IF($B108="","",DATE(YEAR('Calendario D'!$F86),MONTH('Calendario D'!$F86),DAY('Calendario D'!$F86)))</f>
        <v>46432</v>
      </c>
      <c r="D108" s="164" t="n">
        <f aca="false">IF($B108="","",TIME(HOUR('Calendario D'!$F86),MINUTE('Calendario D'!$F86),0))</f>
        <v>0.625</v>
      </c>
      <c r="E108" s="163" t="n">
        <f aca="false">IF($B108="","",DATE(YEAR('Calendario D'!$F86),MONTH('Calendario D'!$F86),DAY('Calendario D'!$F86)))</f>
        <v>46432</v>
      </c>
      <c r="F108" s="164" t="n">
        <f aca="false">IF($B108="","",TIME(HOUR('Calendario D'!$F86)+2,MINUTE('Calendario D'!$F86),0))</f>
        <v>0.708333333333333</v>
      </c>
      <c r="G108" s="162" t="str">
        <f aca="false">IF($B108="","",'Calendario D'!$B87)</f>
        <v>PalaManguste, Via dello Sport 10, Mangusteopoli ME</v>
      </c>
      <c r="H108" s="162" t="str">
        <f aca="false">IF($B108="","",Campionato!$D$1&amp;" "&amp;Campionato!$D$5)</f>
        <v>Campionato Baskin Demo - ESEMPIO COMPILATO 64 Squadre 2026/2027</v>
      </c>
      <c r="I108" s="162"/>
    </row>
    <row r="109" customFormat="false" ht="95.5" hidden="false" customHeight="false" outlineLevel="0" collapsed="false">
      <c r="A109" s="162" t="str">
        <f aca="true">IF($B109="","","BEGIN:VEVENT
DTSTAMP:"&amp;TEXT(NOW(),"yyyymmdd")&amp;"T000001Z
UID:evt108@ClaudeCoworkBaskin
DTSTART;TZID=Europe/Rome:"&amp;TEXT($C109,"yyyymmdd")&amp;"T"&amp;TEXT($D109,"hhmmss")&amp;"
DTEND;TZID=Europe/Rome:"&amp;TEXT($E109,"yyyymmdd")&amp;"T"&amp;TEXT($F109,"hhmmss")&amp;"
SUMMARY:"&amp;$B109&amp;"
LOCATION:"&amp;$G109&amp;"
DESCRIPTION:"&amp;$H109&amp;"
END:VEVENT")</f>
        <v>BEGIN:VEVENT
DTSTAMP:20260907T000001Z
UID:evt108@ClaudeCoworkBaskin
DTSTART;TZID=Europe/Rome:20270214T170000
DTEND;TZID=Europe/Rome:20270214T190000
SUMMARY:Manguste Mordaci vs Nutrie Nervose
LOCATION:PalaManguste, Via dello Sport 10, Mangusteopoli ME
DESCRIPTION:Campionato Baskin Demo - ESEMPIO COMPILATO 64 Squadre 2026/2027
END:VEVENT</v>
      </c>
      <c r="B109" s="162" t="str">
        <f aca="false">IF('Calendario D'!$B89="","",'Calendario D'!$B89&amp;" vs "&amp;'Calendario D'!$D89)</f>
        <v>Manguste Mordaci vs Nutrie Nervose</v>
      </c>
      <c r="C109" s="163" t="n">
        <f aca="false">IF($B109="","",DATE(YEAR('Calendario D'!$F89),MONTH('Calendario D'!$F89),DAY('Calendario D'!$F89)))</f>
        <v>46432</v>
      </c>
      <c r="D109" s="164" t="n">
        <f aca="false">IF($B109="","",TIME(HOUR('Calendario D'!$F89),MINUTE('Calendario D'!$F89),0))</f>
        <v>0.708333333333333</v>
      </c>
      <c r="E109" s="163" t="n">
        <f aca="false">IF($B109="","",DATE(YEAR('Calendario D'!$F89),MONTH('Calendario D'!$F89),DAY('Calendario D'!$F89)))</f>
        <v>46432</v>
      </c>
      <c r="F109" s="164" t="n">
        <f aca="false">IF($B109="","",TIME(HOUR('Calendario D'!$F89)+2,MINUTE('Calendario D'!$F89),0))</f>
        <v>0.791666666666667</v>
      </c>
      <c r="G109" s="162" t="str">
        <f aca="false">IF($B109="","",'Calendario D'!$B90)</f>
        <v>PalaManguste, Via dello Sport 10, Mangusteopoli ME</v>
      </c>
      <c r="H109" s="162" t="str">
        <f aca="false">IF($B109="","",Campionato!$D$1&amp;" "&amp;Campionato!$D$5)</f>
        <v>Campionato Baskin Demo - ESEMPIO COMPILATO 64 Squadre 2026/2027</v>
      </c>
      <c r="I109" s="162"/>
    </row>
    <row r="110" customFormat="false" ht="95.5" hidden="false" customHeight="false" outlineLevel="0" collapsed="false">
      <c r="A110" s="162" t="str">
        <f aca="true">IF($B110="","","BEGIN:VEVENT
DTSTAMP:"&amp;TEXT(NOW(),"yyyymmdd")&amp;"T000001Z
UID:evt109@ClaudeCoworkBaskin
DTSTART;TZID=Europe/Rome:"&amp;TEXT($C110,"yyyymmdd")&amp;"T"&amp;TEXT($D110,"hhmmss")&amp;"
DTEND;TZID=Europe/Rome:"&amp;TEXT($E110,"yyyymmdd")&amp;"T"&amp;TEXT($F110,"hhmmss")&amp;"
SUMMARY:"&amp;$B110&amp;"
LOCATION:"&amp;$G110&amp;"
DESCRIPTION:"&amp;$H110&amp;"
END:VEVENT")</f>
        <v>BEGIN:VEVENT
DTSTAMP:20260907T000001Z
UID:evt109@ClaudeCoworkBaskin
DTSTART;TZID=Europe/Rome:20270307T093000
DTEND;TZID=Europe/Rome:20270307T113000
SUMMARY:Elefanti Esuberanti vs Fenicotteri Focosi
LOCATION:PalaNutrie, Via dello Sport 11, Nutrieopoli NE
DESCRIPTION:Campionato Baskin Demo - ESEMPIO COMPILATO 64 Squadre 2026/2027
END:VEVENT</v>
      </c>
      <c r="B110" s="162" t="str">
        <f aca="false">IF('Calendario D'!$B94="","",'Calendario D'!$B94&amp;" vs "&amp;'Calendario D'!$D94)</f>
        <v>Elefanti Esuberanti vs Fenicotteri Focosi</v>
      </c>
      <c r="C110" s="163" t="n">
        <f aca="false">IF($B110="","",DATE(YEAR('Calendario D'!$F94),MONTH('Calendario D'!$F94),DAY('Calendario D'!$F94)))</f>
        <v>46453</v>
      </c>
      <c r="D110" s="164" t="n">
        <f aca="false">IF($B110="","",TIME(HOUR('Calendario D'!$F94),MINUTE('Calendario D'!$F94),0))</f>
        <v>0.395833333333333</v>
      </c>
      <c r="E110" s="163" t="n">
        <f aca="false">IF($B110="","",DATE(YEAR('Calendario D'!$F94),MONTH('Calendario D'!$F94),DAY('Calendario D'!$F94)))</f>
        <v>46453</v>
      </c>
      <c r="F110" s="164" t="n">
        <f aca="false">IF($B110="","",TIME(HOUR('Calendario D'!$F94)+2,MINUTE('Calendario D'!$F94),0))</f>
        <v>0.479166666666667</v>
      </c>
      <c r="G110" s="162" t="str">
        <f aca="false">IF($B110="","",'Calendario D'!$B95)</f>
        <v>PalaNutrie, Via dello Sport 11, Nutrieopoli NE</v>
      </c>
      <c r="H110" s="162" t="str">
        <f aca="false">IF($B110="","",Campionato!$D$1&amp;" "&amp;Campionato!$D$5)</f>
        <v>Campionato Baskin Demo - ESEMPIO COMPILATO 64 Squadre 2026/2027</v>
      </c>
      <c r="I110" s="162"/>
    </row>
    <row r="111" customFormat="false" ht="95.5" hidden="false" customHeight="false" outlineLevel="0" collapsed="false">
      <c r="A111" s="162" t="str">
        <f aca="true">IF($B111="","","BEGIN:VEVENT
DTSTAMP:"&amp;TEXT(NOW(),"yyyymmdd")&amp;"T000001Z
UID:evt110@ClaudeCoworkBaskin
DTSTART;TZID=Europe/Rome:"&amp;TEXT($C111,"yyyymmdd")&amp;"T"&amp;TEXT($D111,"hhmmss")&amp;"
DTEND;TZID=Europe/Rome:"&amp;TEXT($E111,"yyyymmdd")&amp;"T"&amp;TEXT($F111,"hhmmss")&amp;"
SUMMARY:"&amp;$B111&amp;"
LOCATION:"&amp;$G111&amp;"
DESCRIPTION:"&amp;$H111&amp;"
END:VEVENT")</f>
        <v>BEGIN:VEVENT
DTSTAMP:20260907T000001Z
UID:evt110@ClaudeCoworkBaskin
DTSTART;TZID=Europe/Rome:20270307T113000
DTEND;TZID=Europe/Rome:20270307T133000
SUMMARY:Otarie Ottimiste vs Ghepardi Guizzanti
LOCATION:PalaNutrie, Via dello Sport 11, Nutrieopoli NE
DESCRIPTION:Campionato Baskin Demo - ESEMPIO COMPILATO 64 Squadre 2026/2027
END:VEVENT</v>
      </c>
      <c r="B111" s="162" t="str">
        <f aca="false">IF('Calendario D'!$B97="","",'Calendario D'!$B97&amp;" vs "&amp;'Calendario D'!$D97)</f>
        <v>Otarie Ottimiste vs Ghepardi Guizzanti</v>
      </c>
      <c r="C111" s="163" t="n">
        <f aca="false">IF($B111="","",DATE(YEAR('Calendario D'!$F97),MONTH('Calendario D'!$F97),DAY('Calendario D'!$F97)))</f>
        <v>46453</v>
      </c>
      <c r="D111" s="164" t="n">
        <f aca="false">IF($B111="","",TIME(HOUR('Calendario D'!$F97),MINUTE('Calendario D'!$F97),0))</f>
        <v>0.479166666666667</v>
      </c>
      <c r="E111" s="163" t="n">
        <f aca="false">IF($B111="","",DATE(YEAR('Calendario D'!$F97),MONTH('Calendario D'!$F97),DAY('Calendario D'!$F97)))</f>
        <v>46453</v>
      </c>
      <c r="F111" s="164" t="n">
        <f aca="false">IF($B111="","",TIME(HOUR('Calendario D'!$F97)+2,MINUTE('Calendario D'!$F97),0))</f>
        <v>0.5625</v>
      </c>
      <c r="G111" s="162" t="str">
        <f aca="false">IF($B111="","",'Calendario D'!$B98)</f>
        <v>PalaNutrie, Via dello Sport 11, Nutrieopoli NE</v>
      </c>
      <c r="H111" s="162" t="str">
        <f aca="false">IF($B111="","",Campionato!$D$1&amp;" "&amp;Campionato!$D$5)</f>
        <v>Campionato Baskin Demo - ESEMPIO COMPILATO 64 Squadre 2026/2027</v>
      </c>
      <c r="I111" s="162"/>
    </row>
    <row r="112" customFormat="false" ht="95.5" hidden="false" customHeight="false" outlineLevel="0" collapsed="false">
      <c r="A112" s="162" t="str">
        <f aca="true">IF($B112="","","BEGIN:VEVENT
DTSTAMP:"&amp;TEXT(NOW(),"yyyymmdd")&amp;"T000001Z
UID:evt111@ClaudeCoworkBaskin
DTSTART;TZID=Europe/Rome:"&amp;TEXT($C112,"yyyymmdd")&amp;"T"&amp;TEXT($D112,"hhmmss")&amp;"
DTEND;TZID=Europe/Rome:"&amp;TEXT($E112,"yyyymmdd")&amp;"T"&amp;TEXT($F112,"hhmmss")&amp;"
SUMMARY:"&amp;$B112&amp;"
LOCATION:"&amp;$G112&amp;"
DESCRIPTION:"&amp;$H112&amp;"
END:VEVENT")</f>
        <v>BEGIN:VEVENT
DTSTAMP:20260907T000001Z
UID:evt111@ClaudeCoworkBaskin
DTSTART;TZID=Europe/Rome:20270307T150000
DTEND;TZID=Europe/Rome:20270307T170000
SUMMARY:Iguane Impavide vs Nutrie Nervose
LOCATION:PalaNutrie, Via dello Sport 11, Nutrieopoli NE
DESCRIPTION:Campionato Baskin Demo - ESEMPIO COMPILATO 64 Squadre 2026/2027
END:VEVENT</v>
      </c>
      <c r="B112" s="162" t="str">
        <f aca="false">IF('Calendario D'!$B100="","",'Calendario D'!$B100&amp;" vs "&amp;'Calendario D'!$D100)</f>
        <v>Iguane Impavide vs Nutrie Nervose</v>
      </c>
      <c r="C112" s="163" t="n">
        <f aca="false">IF($B112="","",DATE(YEAR('Calendario D'!$F100),MONTH('Calendario D'!$F100),DAY('Calendario D'!$F100)))</f>
        <v>46453</v>
      </c>
      <c r="D112" s="164" t="n">
        <f aca="false">IF($B112="","",TIME(HOUR('Calendario D'!$F100),MINUTE('Calendario D'!$F100),0))</f>
        <v>0.625</v>
      </c>
      <c r="E112" s="163" t="n">
        <f aca="false">IF($B112="","",DATE(YEAR('Calendario D'!$F100),MONTH('Calendario D'!$F100),DAY('Calendario D'!$F100)))</f>
        <v>46453</v>
      </c>
      <c r="F112" s="164" t="n">
        <f aca="false">IF($B112="","",TIME(HOUR('Calendario D'!$F100)+2,MINUTE('Calendario D'!$F100),0))</f>
        <v>0.708333333333333</v>
      </c>
      <c r="G112" s="162" t="str">
        <f aca="false">IF($B112="","",'Calendario D'!$B101)</f>
        <v>PalaNutrie, Via dello Sport 11, Nutrieopoli NE</v>
      </c>
      <c r="H112" s="162" t="str">
        <f aca="false">IF($B112="","",Campionato!$D$1&amp;" "&amp;Campionato!$D$5)</f>
        <v>Campionato Baskin Demo - ESEMPIO COMPILATO 64 Squadre 2026/2027</v>
      </c>
      <c r="I112" s="162"/>
    </row>
    <row r="113" customFormat="false" ht="95.5" hidden="false" customHeight="false" outlineLevel="0" collapsed="false">
      <c r="A113" s="162" t="str">
        <f aca="true">IF($B113="","","BEGIN:VEVENT
DTSTAMP:"&amp;TEXT(NOW(),"yyyymmdd")&amp;"T000001Z
UID:evt112@ClaudeCoworkBaskin
DTSTART;TZID=Europe/Rome:"&amp;TEXT($C113,"yyyymmdd")&amp;"T"&amp;TEXT($D113,"hhmmss")&amp;"
DTEND;TZID=Europe/Rome:"&amp;TEXT($E113,"yyyymmdd")&amp;"T"&amp;TEXT($F113,"hhmmss")&amp;"
SUMMARY:"&amp;$B113&amp;"
LOCATION:"&amp;$G113&amp;"
DESCRIPTION:"&amp;$H113&amp;"
END:VEVENT")</f>
        <v>BEGIN:VEVENT
DTSTAMP:20260907T000001Z
UID:evt112@ClaudeCoworkBaskin
DTSTART;TZID=Europe/Rome:20270307T170000
DTEND;TZID=Europe/Rome:20270307T190000
SUMMARY:Manguste Mordaci vs Lontre Loquaci
LOCATION:PalaNutrie, Via dello Sport 11, Nutrieopoli NE
DESCRIPTION:Campionato Baskin Demo - ESEMPIO COMPILATO 64 Squadre 2026/2027
END:VEVENT</v>
      </c>
      <c r="B113" s="162" t="str">
        <f aca="false">IF('Calendario D'!$B103="","",'Calendario D'!$B103&amp;" vs "&amp;'Calendario D'!$D103)</f>
        <v>Manguste Mordaci vs Lontre Loquaci</v>
      </c>
      <c r="C113" s="163" t="n">
        <f aca="false">IF($B113="","",DATE(YEAR('Calendario D'!$F103),MONTH('Calendario D'!$F103),DAY('Calendario D'!$F103)))</f>
        <v>46453</v>
      </c>
      <c r="D113" s="164" t="n">
        <f aca="false">IF($B113="","",TIME(HOUR('Calendario D'!$F103),MINUTE('Calendario D'!$F103),0))</f>
        <v>0.708333333333333</v>
      </c>
      <c r="E113" s="163" t="n">
        <f aca="false">IF($B113="","",DATE(YEAR('Calendario D'!$F103),MONTH('Calendario D'!$F103),DAY('Calendario D'!$F103)))</f>
        <v>46453</v>
      </c>
      <c r="F113" s="164" t="n">
        <f aca="false">IF($B113="","",TIME(HOUR('Calendario D'!$F103)+2,MINUTE('Calendario D'!$F103),0))</f>
        <v>0.791666666666667</v>
      </c>
      <c r="G113" s="162" t="str">
        <f aca="false">IF($B113="","",'Calendario D'!$B104)</f>
        <v>PalaNutrie, Via dello Sport 11, Nutrieopoli NE</v>
      </c>
      <c r="H113" s="162" t="str">
        <f aca="false">IF($B113="","",Campionato!$D$1&amp;" "&amp;Campionato!$D$5)</f>
        <v>Campionato Baskin Demo - ESEMPIO COMPILATO 64 Squadre 2026/2027</v>
      </c>
      <c r="I113" s="162"/>
    </row>
    <row r="114" customFormat="false" ht="95.5" hidden="false" customHeight="false" outlineLevel="0" collapsed="false">
      <c r="A114" s="162" t="str">
        <f aca="true">IF($B114="","","BEGIN:VEVENT
DTSTAMP:"&amp;TEXT(NOW(),"yyyymmdd")&amp;"T000001Z
UID:evt113@ClaudeCoworkBaskin
DTSTART;TZID=Europe/Rome:"&amp;TEXT($C114,"yyyymmdd")&amp;"T"&amp;TEXT($D114,"hhmmss")&amp;"
DTEND;TZID=Europe/Rome:"&amp;TEXT($E114,"yyyymmdd")&amp;"T"&amp;TEXT($F114,"hhmmss")&amp;"
SUMMARY:"&amp;$B114&amp;"
LOCATION:"&amp;$G114&amp;"
DESCRIPTION:"&amp;$H114&amp;"
END:VEVENT")</f>
        <v>BEGIN:VEVENT
DTSTAMP:20260907T000001Z
UID:evt113@ClaudeCoworkBaskin
DTSTART;TZID=Europe/Rome:20261018T093000
DTEND;TZID=Europe/Rome:20261018T113000
SUMMARY:Pipistrelli Pensierosi vs Zibetti Zuccherini
LOCATION:PalaPipistrelli, Via dello Sport 13, Pipistrelliopoli PI
DESCRIPTION:Campionato Baskin Demo - ESEMPIO COMPILATO 64 Squadre 2026/2027
END:VEVENT</v>
      </c>
      <c r="B114" s="162" t="str">
        <f aca="false">IF('Calendario E'!$B10="","",'Calendario E'!$B10&amp;" vs "&amp;'Calendario E'!$D10)</f>
        <v>Pipistrelli Pensierosi vs Zibetti Zuccherini</v>
      </c>
      <c r="C114" s="163" t="n">
        <f aca="false">IF($B114="","",DATE(YEAR('Calendario E'!$F10),MONTH('Calendario E'!$F10),DAY('Calendario E'!$F10)))</f>
        <v>46313</v>
      </c>
      <c r="D114" s="164" t="n">
        <f aca="false">IF($B114="","",TIME(HOUR('Calendario E'!$F10),MINUTE('Calendario E'!$F10),0))</f>
        <v>0.395833333333333</v>
      </c>
      <c r="E114" s="163" t="n">
        <f aca="false">IF($B114="","",DATE(YEAR('Calendario E'!$F10),MONTH('Calendario E'!$F10),DAY('Calendario E'!$F10)))</f>
        <v>46313</v>
      </c>
      <c r="F114" s="164" t="n">
        <f aca="false">IF($B114="","",TIME(HOUR('Calendario E'!$F10)+2,MINUTE('Calendario E'!$F10),0))</f>
        <v>0.479166666666667</v>
      </c>
      <c r="G114" s="162" t="str">
        <f aca="false">IF($B114="","",'Calendario E'!$B11)</f>
        <v>PalaPipistrelli, Via dello Sport 13, Pipistrelliopoli PI</v>
      </c>
      <c r="H114" s="162" t="str">
        <f aca="false">IF($B114="","",Campionato!$D$1&amp;" "&amp;Campionato!$D$5)</f>
        <v>Campionato Baskin Demo - ESEMPIO COMPILATO 64 Squadre 2026/2027</v>
      </c>
      <c r="I114" s="162"/>
    </row>
    <row r="115" customFormat="false" ht="95.5" hidden="false" customHeight="false" outlineLevel="0" collapsed="false">
      <c r="A115" s="162" t="str">
        <f aca="true">IF($B115="","","BEGIN:VEVENT
DTSTAMP:"&amp;TEXT(NOW(),"yyyymmdd")&amp;"T000001Z
UID:evt114@ClaudeCoworkBaskin
DTSTART;TZID=Europe/Rome:"&amp;TEXT($C115,"yyyymmdd")&amp;"T"&amp;TEXT($D115,"hhmmss")&amp;"
DTEND;TZID=Europe/Rome:"&amp;TEXT($E115,"yyyymmdd")&amp;"T"&amp;TEXT($F115,"hhmmss")&amp;"
SUMMARY:"&amp;$B115&amp;"
LOCATION:"&amp;$G115&amp;"
DESCRIPTION:"&amp;$H115&amp;"
END:VEVENT")</f>
        <v>BEGIN:VEVENT
DTSTAMP:20260907T000001Z
UID:evt114@ClaudeCoworkBaskin
DTSTART;TZID=Europe/Rome:20261018T113000
DTEND;TZID=Europe/Rome:20261018T133000
SUMMARY:Volpi Vorticose vs Quetzal Quotidiani
LOCATION:PalaPipistrelli, Via dello Sport 13, Pipistrelliopoli PI
DESCRIPTION:Campionato Baskin Demo - ESEMPIO COMPILATO 64 Squadre 2026/2027
END:VEVENT</v>
      </c>
      <c r="B115" s="162" t="str">
        <f aca="false">IF('Calendario E'!$B13="","",'Calendario E'!$B13&amp;" vs "&amp;'Calendario E'!$D13)</f>
        <v>Volpi Vorticose vs Quetzal Quotidiani</v>
      </c>
      <c r="C115" s="163" t="n">
        <f aca="false">IF($B115="","",DATE(YEAR('Calendario E'!$F13),MONTH('Calendario E'!$F13),DAY('Calendario E'!$F13)))</f>
        <v>46313</v>
      </c>
      <c r="D115" s="164" t="n">
        <f aca="false">IF($B115="","",TIME(HOUR('Calendario E'!$F13),MINUTE('Calendario E'!$F13),0))</f>
        <v>0.479166666666667</v>
      </c>
      <c r="E115" s="163" t="n">
        <f aca="false">IF($B115="","",DATE(YEAR('Calendario E'!$F13),MONTH('Calendario E'!$F13),DAY('Calendario E'!$F13)))</f>
        <v>46313</v>
      </c>
      <c r="F115" s="164" t="n">
        <f aca="false">IF($B115="","",TIME(HOUR('Calendario E'!$F13)+2,MINUTE('Calendario E'!$F13),0))</f>
        <v>0.5625</v>
      </c>
      <c r="G115" s="162" t="str">
        <f aca="false">IF($B115="","",'Calendario E'!$B14)</f>
        <v>PalaPipistrelli, Via dello Sport 13, Pipistrelliopoli PI</v>
      </c>
      <c r="H115" s="162" t="str">
        <f aca="false">IF($B115="","",Campionato!$D$1&amp;" "&amp;Campionato!$D$5)</f>
        <v>Campionato Baskin Demo - ESEMPIO COMPILATO 64 Squadre 2026/2027</v>
      </c>
      <c r="I115" s="162"/>
    </row>
    <row r="116" customFormat="false" ht="95.5" hidden="false" customHeight="false" outlineLevel="0" collapsed="false">
      <c r="A116" s="162" t="str">
        <f aca="true">IF($B116="","","BEGIN:VEVENT
DTSTAMP:"&amp;TEXT(NOW(),"yyyymmdd")&amp;"T000001Z
UID:evt115@ClaudeCoworkBaskin
DTSTART;TZID=Europe/Rome:"&amp;TEXT($C116,"yyyymmdd")&amp;"T"&amp;TEXT($D116,"hhmmss")&amp;"
DTEND;TZID=Europe/Rome:"&amp;TEXT($E116,"yyyymmdd")&amp;"T"&amp;TEXT($F116,"hhmmss")&amp;"
SUMMARY:"&amp;$B116&amp;"
LOCATION:"&amp;$G116&amp;"
DESCRIPTION:"&amp;$H116&amp;"
END:VEVENT")</f>
        <v>BEGIN:VEVENT
DTSTAMP:20260907T000001Z
UID:evt115@ClaudeCoworkBaskin
DTSTART;TZID=Europe/Rome:20261018T150000
DTEND;TZID=Europe/Rome:20261018T170000
SUMMARY:Ricci Rissosi vs Uistiti Ubiqui
LOCATION:PalaPipistrelli, Via dello Sport 13, Pipistrelliopoli PI
DESCRIPTION:Campionato Baskin Demo - ESEMPIO COMPILATO 64 Squadre 2026/2027
END:VEVENT</v>
      </c>
      <c r="B116" s="162" t="str">
        <f aca="false">IF('Calendario E'!$B16="","",'Calendario E'!$B16&amp;" vs "&amp;'Calendario E'!$D16)</f>
        <v>Ricci Rissosi vs Uistiti Ubiqui</v>
      </c>
      <c r="C116" s="163" t="n">
        <f aca="false">IF($B116="","",DATE(YEAR('Calendario E'!$F16),MONTH('Calendario E'!$F16),DAY('Calendario E'!$F16)))</f>
        <v>46313</v>
      </c>
      <c r="D116" s="164" t="n">
        <f aca="false">IF($B116="","",TIME(HOUR('Calendario E'!$F16),MINUTE('Calendario E'!$F16),0))</f>
        <v>0.625</v>
      </c>
      <c r="E116" s="163" t="n">
        <f aca="false">IF($B116="","",DATE(YEAR('Calendario E'!$F16),MONTH('Calendario E'!$F16),DAY('Calendario E'!$F16)))</f>
        <v>46313</v>
      </c>
      <c r="F116" s="164" t="n">
        <f aca="false">IF($B116="","",TIME(HOUR('Calendario E'!$F16)+2,MINUTE('Calendario E'!$F16),0))</f>
        <v>0.708333333333333</v>
      </c>
      <c r="G116" s="162" t="str">
        <f aca="false">IF($B116="","",'Calendario E'!$B17)</f>
        <v>PalaPipistrelli, Via dello Sport 13, Pipistrelliopoli PI</v>
      </c>
      <c r="H116" s="162" t="str">
        <f aca="false">IF($B116="","",Campionato!$D$1&amp;" "&amp;Campionato!$D$5)</f>
        <v>Campionato Baskin Demo - ESEMPIO COMPILATO 64 Squadre 2026/2027</v>
      </c>
      <c r="I116" s="162"/>
    </row>
    <row r="117" customFormat="false" ht="95.5" hidden="false" customHeight="false" outlineLevel="0" collapsed="false">
      <c r="A117" s="162" t="str">
        <f aca="true">IF($B117="","","BEGIN:VEVENT
DTSTAMP:"&amp;TEXT(NOW(),"yyyymmdd")&amp;"T000001Z
UID:evt116@ClaudeCoworkBaskin
DTSTART;TZID=Europe/Rome:"&amp;TEXT($C117,"yyyymmdd")&amp;"T"&amp;TEXT($D117,"hhmmss")&amp;"
DTEND;TZID=Europe/Rome:"&amp;TEXT($E117,"yyyymmdd")&amp;"T"&amp;TEXT($F117,"hhmmss")&amp;"
SUMMARY:"&amp;$B117&amp;"
LOCATION:"&amp;$G117&amp;"
DESCRIPTION:"&amp;$H117&amp;"
END:VEVENT")</f>
        <v>BEGIN:VEVENT
DTSTAMP:20260907T000001Z
UID:evt116@ClaudeCoworkBaskin
DTSTART;TZID=Europe/Rome:20261018T170000
DTEND;TZID=Europe/Rome:20261018T190000
SUMMARY:Tassi Turbolenti vs Scoiattoli Scattanti
LOCATION:PalaPipistrelli, Via dello Sport 13, Pipistrelliopoli PI
DESCRIPTION:Campionato Baskin Demo - ESEMPIO COMPILATO 64 Squadre 2026/2027
END:VEVENT</v>
      </c>
      <c r="B117" s="162" t="str">
        <f aca="false">IF('Calendario E'!$B19="","",'Calendario E'!$B19&amp;" vs "&amp;'Calendario E'!$D19)</f>
        <v>Tassi Turbolenti vs Scoiattoli Scattanti</v>
      </c>
      <c r="C117" s="163" t="n">
        <f aca="false">IF($B117="","",DATE(YEAR('Calendario E'!$F19),MONTH('Calendario E'!$F19),DAY('Calendario E'!$F19)))</f>
        <v>46313</v>
      </c>
      <c r="D117" s="164" t="n">
        <f aca="false">IF($B117="","",TIME(HOUR('Calendario E'!$F19),MINUTE('Calendario E'!$F19),0))</f>
        <v>0.708333333333333</v>
      </c>
      <c r="E117" s="163" t="n">
        <f aca="false">IF($B117="","",DATE(YEAR('Calendario E'!$F19),MONTH('Calendario E'!$F19),DAY('Calendario E'!$F19)))</f>
        <v>46313</v>
      </c>
      <c r="F117" s="164" t="n">
        <f aca="false">IF($B117="","",TIME(HOUR('Calendario E'!$F19)+2,MINUTE('Calendario E'!$F19),0))</f>
        <v>0.791666666666667</v>
      </c>
      <c r="G117" s="162" t="str">
        <f aca="false">IF($B117="","",'Calendario E'!$B20)</f>
        <v>PalaPipistrelli, Via dello Sport 13, Pipistrelliopoli PI</v>
      </c>
      <c r="H117" s="162" t="str">
        <f aca="false">IF($B117="","",Campionato!$D$1&amp;" "&amp;Campionato!$D$5)</f>
        <v>Campionato Baskin Demo - ESEMPIO COMPILATO 64 Squadre 2026/2027</v>
      </c>
      <c r="I117" s="162"/>
    </row>
    <row r="118" customFormat="false" ht="95.5" hidden="false" customHeight="false" outlineLevel="0" collapsed="false">
      <c r="A118" s="162" t="str">
        <f aca="true">IF($B118="","","BEGIN:VEVENT
DTSTAMP:"&amp;TEXT(NOW(),"yyyymmdd")&amp;"T000001Z
UID:evt117@ClaudeCoworkBaskin
DTSTART;TZID=Europe/Rome:"&amp;TEXT($C118,"yyyymmdd")&amp;"T"&amp;TEXT($D118,"hhmmss")&amp;"
DTEND;TZID=Europe/Rome:"&amp;TEXT($E118,"yyyymmdd")&amp;"T"&amp;TEXT($F118,"hhmmss")&amp;"
SUMMARY:"&amp;$B118&amp;"
LOCATION:"&amp;$G118&amp;"
DESCRIPTION:"&amp;$H118&amp;"
END:VEVENT")</f>
        <v>BEGIN:VEVENT
DTSTAMP:20260907T000001Z
UID:evt117@ClaudeCoworkBaskin
DTSTART;TZID=Europe/Rome:20261108T093000
DTEND;TZID=Europe/Rome:20261108T113000
SUMMARY:Volpi Vorticose vs Pipistrelli Pensierosi
LOCATION:PalaQuetzal, Via dello Sport 14, Quetzalopoli QL
DESCRIPTION:Campionato Baskin Demo - ESEMPIO COMPILATO 64 Squadre 2026/2027
END:VEVENT</v>
      </c>
      <c r="B118" s="162" t="str">
        <f aca="false">IF('Calendario E'!$B24="","",'Calendario E'!$B24&amp;" vs "&amp;'Calendario E'!$D24)</f>
        <v>Volpi Vorticose vs Pipistrelli Pensierosi</v>
      </c>
      <c r="C118" s="163" t="n">
        <f aca="false">IF($B118="","",DATE(YEAR('Calendario E'!$F24),MONTH('Calendario E'!$F24),DAY('Calendario E'!$F24)))</f>
        <v>46334</v>
      </c>
      <c r="D118" s="164" t="n">
        <f aca="false">IF($B118="","",TIME(HOUR('Calendario E'!$F24),MINUTE('Calendario E'!$F24),0))</f>
        <v>0.395833333333333</v>
      </c>
      <c r="E118" s="163" t="n">
        <f aca="false">IF($B118="","",DATE(YEAR('Calendario E'!$F24),MONTH('Calendario E'!$F24),DAY('Calendario E'!$F24)))</f>
        <v>46334</v>
      </c>
      <c r="F118" s="164" t="n">
        <f aca="false">IF($B118="","",TIME(HOUR('Calendario E'!$F24)+2,MINUTE('Calendario E'!$F24),0))</f>
        <v>0.479166666666667</v>
      </c>
      <c r="G118" s="162" t="str">
        <f aca="false">IF($B118="","",'Calendario E'!$B25)</f>
        <v>PalaQuetzal, Via dello Sport 14, Quetzalopoli QL</v>
      </c>
      <c r="H118" s="162" t="str">
        <f aca="false">IF($B118="","",Campionato!$D$1&amp;" "&amp;Campionato!$D$5)</f>
        <v>Campionato Baskin Demo - ESEMPIO COMPILATO 64 Squadre 2026/2027</v>
      </c>
      <c r="I118" s="162"/>
    </row>
    <row r="119" customFormat="false" ht="95.5" hidden="false" customHeight="false" outlineLevel="0" collapsed="false">
      <c r="A119" s="162" t="str">
        <f aca="true">IF($B119="","","BEGIN:VEVENT
DTSTAMP:"&amp;TEXT(NOW(),"yyyymmdd")&amp;"T000001Z
UID:evt118@ClaudeCoworkBaskin
DTSTART;TZID=Europe/Rome:"&amp;TEXT($C119,"yyyymmdd")&amp;"T"&amp;TEXT($D119,"hhmmss")&amp;"
DTEND;TZID=Europe/Rome:"&amp;TEXT($E119,"yyyymmdd")&amp;"T"&amp;TEXT($F119,"hhmmss")&amp;"
SUMMARY:"&amp;$B119&amp;"
LOCATION:"&amp;$G119&amp;"
DESCRIPTION:"&amp;$H119&amp;"
END:VEVENT")</f>
        <v>BEGIN:VEVENT
DTSTAMP:20260907T000001Z
UID:evt118@ClaudeCoworkBaskin
DTSTART;TZID=Europe/Rome:20261108T113000
DTEND;TZID=Europe/Rome:20261108T133000
SUMMARY:Zibetti Zuccherini vs Uistiti Ubiqui
LOCATION:PalaQuetzal, Via dello Sport 14, Quetzalopoli QL
DESCRIPTION:Campionato Baskin Demo - ESEMPIO COMPILATO 64 Squadre 2026/2027
END:VEVENT</v>
      </c>
      <c r="B119" s="162" t="str">
        <f aca="false">IF('Calendario E'!$B27="","",'Calendario E'!$B27&amp;" vs "&amp;'Calendario E'!$D27)</f>
        <v>Zibetti Zuccherini vs Uistiti Ubiqui</v>
      </c>
      <c r="C119" s="163" t="n">
        <f aca="false">IF($B119="","",DATE(YEAR('Calendario E'!$F27),MONTH('Calendario E'!$F27),DAY('Calendario E'!$F27)))</f>
        <v>46334</v>
      </c>
      <c r="D119" s="164" t="n">
        <f aca="false">IF($B119="","",TIME(HOUR('Calendario E'!$F27),MINUTE('Calendario E'!$F27),0))</f>
        <v>0.479166666666667</v>
      </c>
      <c r="E119" s="163" t="n">
        <f aca="false">IF($B119="","",DATE(YEAR('Calendario E'!$F27),MONTH('Calendario E'!$F27),DAY('Calendario E'!$F27)))</f>
        <v>46334</v>
      </c>
      <c r="F119" s="164" t="n">
        <f aca="false">IF($B119="","",TIME(HOUR('Calendario E'!$F27)+2,MINUTE('Calendario E'!$F27),0))</f>
        <v>0.5625</v>
      </c>
      <c r="G119" s="162" t="str">
        <f aca="false">IF($B119="","",'Calendario E'!$B28)</f>
        <v>PalaQuetzal, Via dello Sport 14, Quetzalopoli QL</v>
      </c>
      <c r="H119" s="162" t="str">
        <f aca="false">IF($B119="","",Campionato!$D$1&amp;" "&amp;Campionato!$D$5)</f>
        <v>Campionato Baskin Demo - ESEMPIO COMPILATO 64 Squadre 2026/2027</v>
      </c>
      <c r="I119" s="162"/>
    </row>
    <row r="120" customFormat="false" ht="95.5" hidden="false" customHeight="false" outlineLevel="0" collapsed="false">
      <c r="A120" s="162" t="str">
        <f aca="true">IF($B120="","","BEGIN:VEVENT
DTSTAMP:"&amp;TEXT(NOW(),"yyyymmdd")&amp;"T000001Z
UID:evt119@ClaudeCoworkBaskin
DTSTART;TZID=Europe/Rome:"&amp;TEXT($C120,"yyyymmdd")&amp;"T"&amp;TEXT($D120,"hhmmss")&amp;"
DTEND;TZID=Europe/Rome:"&amp;TEXT($E120,"yyyymmdd")&amp;"T"&amp;TEXT($F120,"hhmmss")&amp;"
SUMMARY:"&amp;$B120&amp;"
LOCATION:"&amp;$G120&amp;"
DESCRIPTION:"&amp;$H120&amp;"
END:VEVENT")</f>
        <v>BEGIN:VEVENT
DTSTAMP:20260907T000001Z
UID:evt119@ClaudeCoworkBaskin
DTSTART;TZID=Europe/Rome:20261108T150000
DTEND;TZID=Europe/Rome:20261108T170000
SUMMARY:Tassi Turbolenti vs Quetzal Quotidiani
LOCATION:PalaQuetzal, Via dello Sport 14, Quetzalopoli QL
DESCRIPTION:Campionato Baskin Demo - ESEMPIO COMPILATO 64 Squadre 2026/2027
END:VEVENT</v>
      </c>
      <c r="B120" s="162" t="str">
        <f aca="false">IF('Calendario E'!$B30="","",'Calendario E'!$B30&amp;" vs "&amp;'Calendario E'!$D30)</f>
        <v>Tassi Turbolenti vs Quetzal Quotidiani</v>
      </c>
      <c r="C120" s="163" t="n">
        <f aca="false">IF($B120="","",DATE(YEAR('Calendario E'!$F30),MONTH('Calendario E'!$F30),DAY('Calendario E'!$F30)))</f>
        <v>46334</v>
      </c>
      <c r="D120" s="164" t="n">
        <f aca="false">IF($B120="","",TIME(HOUR('Calendario E'!$F30),MINUTE('Calendario E'!$F30),0))</f>
        <v>0.625</v>
      </c>
      <c r="E120" s="163" t="n">
        <f aca="false">IF($B120="","",DATE(YEAR('Calendario E'!$F30),MONTH('Calendario E'!$F30),DAY('Calendario E'!$F30)))</f>
        <v>46334</v>
      </c>
      <c r="F120" s="164" t="n">
        <f aca="false">IF($B120="","",TIME(HOUR('Calendario E'!$F30)+2,MINUTE('Calendario E'!$F30),0))</f>
        <v>0.708333333333333</v>
      </c>
      <c r="G120" s="162" t="str">
        <f aca="false">IF($B120="","",'Calendario E'!$B31)</f>
        <v>PalaQuetzal, Via dello Sport 14, Quetzalopoli QL</v>
      </c>
      <c r="H120" s="162" t="str">
        <f aca="false">IF($B120="","",Campionato!$D$1&amp;" "&amp;Campionato!$D$5)</f>
        <v>Campionato Baskin Demo - ESEMPIO COMPILATO 64 Squadre 2026/2027</v>
      </c>
      <c r="I120" s="162"/>
    </row>
    <row r="121" customFormat="false" ht="95.5" hidden="false" customHeight="false" outlineLevel="0" collapsed="false">
      <c r="A121" s="162" t="str">
        <f aca="true">IF($B121="","","BEGIN:VEVENT
DTSTAMP:"&amp;TEXT(NOW(),"yyyymmdd")&amp;"T000001Z
UID:evt120@ClaudeCoworkBaskin
DTSTART;TZID=Europe/Rome:"&amp;TEXT($C121,"yyyymmdd")&amp;"T"&amp;TEXT($D121,"hhmmss")&amp;"
DTEND;TZID=Europe/Rome:"&amp;TEXT($E121,"yyyymmdd")&amp;"T"&amp;TEXT($F121,"hhmmss")&amp;"
SUMMARY:"&amp;$B121&amp;"
LOCATION:"&amp;$G121&amp;"
DESCRIPTION:"&amp;$H121&amp;"
END:VEVENT")</f>
        <v>BEGIN:VEVENT
DTSTAMP:20260907T000001Z
UID:evt120@ClaudeCoworkBaskin
DTSTART;TZID=Europe/Rome:20261108T170000
DTEND;TZID=Europe/Rome:20261108T190000
SUMMARY:Ricci Rissosi vs Scoiattoli Scattanti
LOCATION:PalaQuetzal, Via dello Sport 14, Quetzalopoli QL
DESCRIPTION:Campionato Baskin Demo - ESEMPIO COMPILATO 64 Squadre 2026/2027
END:VEVENT</v>
      </c>
      <c r="B121" s="162" t="str">
        <f aca="false">IF('Calendario E'!$B33="","",'Calendario E'!$B33&amp;" vs "&amp;'Calendario E'!$D33)</f>
        <v>Ricci Rissosi vs Scoiattoli Scattanti</v>
      </c>
      <c r="C121" s="163" t="n">
        <f aca="false">IF($B121="","",DATE(YEAR('Calendario E'!$F33),MONTH('Calendario E'!$F33),DAY('Calendario E'!$F33)))</f>
        <v>46334</v>
      </c>
      <c r="D121" s="164" t="n">
        <f aca="false">IF($B121="","",TIME(HOUR('Calendario E'!$F33),MINUTE('Calendario E'!$F33),0))</f>
        <v>0.708333333333333</v>
      </c>
      <c r="E121" s="163" t="n">
        <f aca="false">IF($B121="","",DATE(YEAR('Calendario E'!$F33),MONTH('Calendario E'!$F33),DAY('Calendario E'!$F33)))</f>
        <v>46334</v>
      </c>
      <c r="F121" s="164" t="n">
        <f aca="false">IF($B121="","",TIME(HOUR('Calendario E'!$F33)+2,MINUTE('Calendario E'!$F33),0))</f>
        <v>0.791666666666667</v>
      </c>
      <c r="G121" s="162" t="str">
        <f aca="false">IF($B121="","",'Calendario E'!$B34)</f>
        <v>PalaQuetzal, Via dello Sport 14, Quetzalopoli QL</v>
      </c>
      <c r="H121" s="162" t="str">
        <f aca="false">IF($B121="","",Campionato!$D$1&amp;" "&amp;Campionato!$D$5)</f>
        <v>Campionato Baskin Demo - ESEMPIO COMPILATO 64 Squadre 2026/2027</v>
      </c>
      <c r="I121" s="162"/>
    </row>
    <row r="122" customFormat="false" ht="95.5" hidden="false" customHeight="false" outlineLevel="0" collapsed="false">
      <c r="A122" s="162" t="str">
        <f aca="true">IF($B122="","","BEGIN:VEVENT
DTSTAMP:"&amp;TEXT(NOW(),"yyyymmdd")&amp;"T000001Z
UID:evt121@ClaudeCoworkBaskin
DTSTART;TZID=Europe/Rome:"&amp;TEXT($C122,"yyyymmdd")&amp;"T"&amp;TEXT($D122,"hhmmss")&amp;"
DTEND;TZID=Europe/Rome:"&amp;TEXT($E122,"yyyymmdd")&amp;"T"&amp;TEXT($F122,"hhmmss")&amp;"
SUMMARY:"&amp;$B122&amp;"
LOCATION:"&amp;$G122&amp;"
DESCRIPTION:"&amp;$H122&amp;"
END:VEVENT")</f>
        <v>BEGIN:VEVENT
DTSTAMP:20260907T000001Z
UID:evt121@ClaudeCoworkBaskin
DTSTART;TZID=Europe/Rome:20261129T093000
DTEND;TZID=Europe/Rome:20261129T113000
SUMMARY:Pipistrelli Pensierosi vs Uistiti Ubiqui
LOCATION:PalaRicci, Via dello Sport 15, Ricciopoli RI
DESCRIPTION:Campionato Baskin Demo - ESEMPIO COMPILATO 64 Squadre 2026/2027
END:VEVENT</v>
      </c>
      <c r="B122" s="162" t="str">
        <f aca="false">IF('Calendario E'!$B38="","",'Calendario E'!$B38&amp;" vs "&amp;'Calendario E'!$D38)</f>
        <v>Pipistrelli Pensierosi vs Uistiti Ubiqui</v>
      </c>
      <c r="C122" s="163" t="n">
        <f aca="false">IF($B122="","",DATE(YEAR('Calendario E'!$F38),MONTH('Calendario E'!$F38),DAY('Calendario E'!$F38)))</f>
        <v>46355</v>
      </c>
      <c r="D122" s="164" t="n">
        <f aca="false">IF($B122="","",TIME(HOUR('Calendario E'!$F38),MINUTE('Calendario E'!$F38),0))</f>
        <v>0.395833333333333</v>
      </c>
      <c r="E122" s="163" t="n">
        <f aca="false">IF($B122="","",DATE(YEAR('Calendario E'!$F38),MONTH('Calendario E'!$F38),DAY('Calendario E'!$F38)))</f>
        <v>46355</v>
      </c>
      <c r="F122" s="164" t="n">
        <f aca="false">IF($B122="","",TIME(HOUR('Calendario E'!$F38)+2,MINUTE('Calendario E'!$F38),0))</f>
        <v>0.479166666666667</v>
      </c>
      <c r="G122" s="162" t="str">
        <f aca="false">IF($B122="","",'Calendario E'!$B39)</f>
        <v>PalaRicci, Via dello Sport 15, Ricciopoli RI</v>
      </c>
      <c r="H122" s="162" t="str">
        <f aca="false">IF($B122="","",Campionato!$D$1&amp;" "&amp;Campionato!$D$5)</f>
        <v>Campionato Baskin Demo - ESEMPIO COMPILATO 64 Squadre 2026/2027</v>
      </c>
      <c r="I122" s="162"/>
    </row>
    <row r="123" customFormat="false" ht="95.5" hidden="false" customHeight="false" outlineLevel="0" collapsed="false">
      <c r="A123" s="162" t="str">
        <f aca="true">IF($B123="","","BEGIN:VEVENT
DTSTAMP:"&amp;TEXT(NOW(),"yyyymmdd")&amp;"T000001Z
UID:evt122@ClaudeCoworkBaskin
DTSTART;TZID=Europe/Rome:"&amp;TEXT($C123,"yyyymmdd")&amp;"T"&amp;TEXT($D123,"hhmmss")&amp;"
DTEND;TZID=Europe/Rome:"&amp;TEXT($E123,"yyyymmdd")&amp;"T"&amp;TEXT($F123,"hhmmss")&amp;"
SUMMARY:"&amp;$B123&amp;"
LOCATION:"&amp;$G123&amp;"
DESCRIPTION:"&amp;$H123&amp;"
END:VEVENT")</f>
        <v>BEGIN:VEVENT
DTSTAMP:20260907T000001Z
UID:evt122@ClaudeCoworkBaskin
DTSTART;TZID=Europe/Rome:20261129T113000
DTEND;TZID=Europe/Rome:20261129T133000
SUMMARY:Tassi Turbolenti vs Volpi Vorticose
LOCATION:PalaRicci, Via dello Sport 15, Ricciopoli RI
DESCRIPTION:Campionato Baskin Demo - ESEMPIO COMPILATO 64 Squadre 2026/2027
END:VEVENT</v>
      </c>
      <c r="B123" s="162" t="str">
        <f aca="false">IF('Calendario E'!$B41="","",'Calendario E'!$B41&amp;" vs "&amp;'Calendario E'!$D41)</f>
        <v>Tassi Turbolenti vs Volpi Vorticose</v>
      </c>
      <c r="C123" s="163" t="n">
        <f aca="false">IF($B123="","",DATE(YEAR('Calendario E'!$F41),MONTH('Calendario E'!$F41),DAY('Calendario E'!$F41)))</f>
        <v>46355</v>
      </c>
      <c r="D123" s="164" t="n">
        <f aca="false">IF($B123="","",TIME(HOUR('Calendario E'!$F41),MINUTE('Calendario E'!$F41),0))</f>
        <v>0.479166666666667</v>
      </c>
      <c r="E123" s="163" t="n">
        <f aca="false">IF($B123="","",DATE(YEAR('Calendario E'!$F41),MONTH('Calendario E'!$F41),DAY('Calendario E'!$F41)))</f>
        <v>46355</v>
      </c>
      <c r="F123" s="164" t="n">
        <f aca="false">IF($B123="","",TIME(HOUR('Calendario E'!$F41)+2,MINUTE('Calendario E'!$F41),0))</f>
        <v>0.5625</v>
      </c>
      <c r="G123" s="162" t="str">
        <f aca="false">IF($B123="","",'Calendario E'!$B42)</f>
        <v>PalaRicci, Via dello Sport 15, Ricciopoli RI</v>
      </c>
      <c r="H123" s="162" t="str">
        <f aca="false">IF($B123="","",Campionato!$D$1&amp;" "&amp;Campionato!$D$5)</f>
        <v>Campionato Baskin Demo - ESEMPIO COMPILATO 64 Squadre 2026/2027</v>
      </c>
      <c r="I123" s="162"/>
    </row>
    <row r="124" customFormat="false" ht="95.5" hidden="false" customHeight="false" outlineLevel="0" collapsed="false">
      <c r="A124" s="162" t="str">
        <f aca="true">IF($B124="","","BEGIN:VEVENT
DTSTAMP:"&amp;TEXT(NOW(),"yyyymmdd")&amp;"T000001Z
UID:evt123@ClaudeCoworkBaskin
DTSTART;TZID=Europe/Rome:"&amp;TEXT($C124,"yyyymmdd")&amp;"T"&amp;TEXT($D124,"hhmmss")&amp;"
DTEND;TZID=Europe/Rome:"&amp;TEXT($E124,"yyyymmdd")&amp;"T"&amp;TEXT($F124,"hhmmss")&amp;"
SUMMARY:"&amp;$B124&amp;"
LOCATION:"&amp;$G124&amp;"
DESCRIPTION:"&amp;$H124&amp;"
END:VEVENT")</f>
        <v>BEGIN:VEVENT
DTSTAMP:20260907T000001Z
UID:evt123@ClaudeCoworkBaskin
DTSTART;TZID=Europe/Rome:20261129T150000
DTEND;TZID=Europe/Rome:20261129T170000
SUMMARY:Zibetti Zuccherini vs Scoiattoli Scattanti
LOCATION:PalaRicci, Via dello Sport 15, Ricciopoli RI
DESCRIPTION:Campionato Baskin Demo - ESEMPIO COMPILATO 64 Squadre 2026/2027
END:VEVENT</v>
      </c>
      <c r="B124" s="162" t="str">
        <f aca="false">IF('Calendario E'!$B44="","",'Calendario E'!$B44&amp;" vs "&amp;'Calendario E'!$D44)</f>
        <v>Zibetti Zuccherini vs Scoiattoli Scattanti</v>
      </c>
      <c r="C124" s="163" t="n">
        <f aca="false">IF($B124="","",DATE(YEAR('Calendario E'!$F44),MONTH('Calendario E'!$F44),DAY('Calendario E'!$F44)))</f>
        <v>46355</v>
      </c>
      <c r="D124" s="164" t="n">
        <f aca="false">IF($B124="","",TIME(HOUR('Calendario E'!$F44),MINUTE('Calendario E'!$F44),0))</f>
        <v>0.625</v>
      </c>
      <c r="E124" s="163" t="n">
        <f aca="false">IF($B124="","",DATE(YEAR('Calendario E'!$F44),MONTH('Calendario E'!$F44),DAY('Calendario E'!$F44)))</f>
        <v>46355</v>
      </c>
      <c r="F124" s="164" t="n">
        <f aca="false">IF($B124="","",TIME(HOUR('Calendario E'!$F44)+2,MINUTE('Calendario E'!$F44),0))</f>
        <v>0.708333333333333</v>
      </c>
      <c r="G124" s="162" t="str">
        <f aca="false">IF($B124="","",'Calendario E'!$B45)</f>
        <v>PalaRicci, Via dello Sport 15, Ricciopoli RI</v>
      </c>
      <c r="H124" s="162" t="str">
        <f aca="false">IF($B124="","",Campionato!$D$1&amp;" "&amp;Campionato!$D$5)</f>
        <v>Campionato Baskin Demo - ESEMPIO COMPILATO 64 Squadre 2026/2027</v>
      </c>
      <c r="I124" s="162"/>
    </row>
    <row r="125" customFormat="false" ht="95.5" hidden="false" customHeight="false" outlineLevel="0" collapsed="false">
      <c r="A125" s="162" t="str">
        <f aca="true">IF($B125="","","BEGIN:VEVENT
DTSTAMP:"&amp;TEXT(NOW(),"yyyymmdd")&amp;"T000001Z
UID:evt124@ClaudeCoworkBaskin
DTSTART;TZID=Europe/Rome:"&amp;TEXT($C125,"yyyymmdd")&amp;"T"&amp;TEXT($D125,"hhmmss")&amp;"
DTEND;TZID=Europe/Rome:"&amp;TEXT($E125,"yyyymmdd")&amp;"T"&amp;TEXT($F125,"hhmmss")&amp;"
SUMMARY:"&amp;$B125&amp;"
LOCATION:"&amp;$G125&amp;"
DESCRIPTION:"&amp;$H125&amp;"
END:VEVENT")</f>
        <v>BEGIN:VEVENT
DTSTAMP:20260907T000001Z
UID:evt124@ClaudeCoworkBaskin
DTSTART;TZID=Europe/Rome:20261129T170000
DTEND;TZID=Europe/Rome:20261129T190000
SUMMARY:Ricci Rissosi vs Quetzal Quotidiani
LOCATION:PalaRicci, Via dello Sport 15, Ricciopoli RI
DESCRIPTION:Campionato Baskin Demo - ESEMPIO COMPILATO 64 Squadre 2026/2027
END:VEVENT</v>
      </c>
      <c r="B125" s="162" t="str">
        <f aca="false">IF('Calendario E'!$B47="","",'Calendario E'!$B47&amp;" vs "&amp;'Calendario E'!$D47)</f>
        <v>Ricci Rissosi vs Quetzal Quotidiani</v>
      </c>
      <c r="C125" s="163" t="n">
        <f aca="false">IF($B125="","",DATE(YEAR('Calendario E'!$F47),MONTH('Calendario E'!$F47),DAY('Calendario E'!$F47)))</f>
        <v>46355</v>
      </c>
      <c r="D125" s="164" t="n">
        <f aca="false">IF($B125="","",TIME(HOUR('Calendario E'!$F47),MINUTE('Calendario E'!$F47),0))</f>
        <v>0.708333333333333</v>
      </c>
      <c r="E125" s="163" t="n">
        <f aca="false">IF($B125="","",DATE(YEAR('Calendario E'!$F47),MONTH('Calendario E'!$F47),DAY('Calendario E'!$F47)))</f>
        <v>46355</v>
      </c>
      <c r="F125" s="164" t="n">
        <f aca="false">IF($B125="","",TIME(HOUR('Calendario E'!$F47)+2,MINUTE('Calendario E'!$F47),0))</f>
        <v>0.791666666666667</v>
      </c>
      <c r="G125" s="162" t="str">
        <f aca="false">IF($B125="","",'Calendario E'!$B48)</f>
        <v>PalaRicci, Via dello Sport 15, Ricciopoli RI</v>
      </c>
      <c r="H125" s="162" t="str">
        <f aca="false">IF($B125="","",Campionato!$D$1&amp;" "&amp;Campionato!$D$5)</f>
        <v>Campionato Baskin Demo - ESEMPIO COMPILATO 64 Squadre 2026/2027</v>
      </c>
      <c r="I125" s="162"/>
    </row>
    <row r="126" customFormat="false" ht="95.5" hidden="false" customHeight="false" outlineLevel="0" collapsed="false">
      <c r="A126" s="162" t="str">
        <f aca="true">IF($B126="","","BEGIN:VEVENT
DTSTAMP:"&amp;TEXT(NOW(),"yyyymmdd")&amp;"T000001Z
UID:evt125@ClaudeCoworkBaskin
DTSTART;TZID=Europe/Rome:"&amp;TEXT($C126,"yyyymmdd")&amp;"T"&amp;TEXT($D126,"hhmmss")&amp;"
DTEND;TZID=Europe/Rome:"&amp;TEXT($E126,"yyyymmdd")&amp;"T"&amp;TEXT($F126,"hhmmss")&amp;"
SUMMARY:"&amp;$B126&amp;"
LOCATION:"&amp;$G126&amp;"
DESCRIPTION:"&amp;$H126&amp;"
END:VEVENT")</f>
        <v>BEGIN:VEVENT
DTSTAMP:20260907T000001Z
UID:evt125@ClaudeCoworkBaskin
DTSTART;TZID=Europe/Rome:20261213T093000
DTEND;TZID=Europe/Rome:20261213T113000
SUMMARY:Tassi Turbolenti vs Pipistrelli Pensierosi
LOCATION:PalaScoiattoli, Via dello Sport 16, Scoiattoliopoli SI
DESCRIPTION:Campionato Baskin Demo - ESEMPIO COMPILATO 64 Squadre 2026/2027
END:VEVENT</v>
      </c>
      <c r="B126" s="162" t="str">
        <f aca="false">IF('Calendario E'!$B52="","",'Calendario E'!$B52&amp;" vs "&amp;'Calendario E'!$D52)</f>
        <v>Tassi Turbolenti vs Pipistrelli Pensierosi</v>
      </c>
      <c r="C126" s="163" t="n">
        <f aca="false">IF($B126="","",DATE(YEAR('Calendario E'!$F52),MONTH('Calendario E'!$F52),DAY('Calendario E'!$F52)))</f>
        <v>46369</v>
      </c>
      <c r="D126" s="164" t="n">
        <f aca="false">IF($B126="","",TIME(HOUR('Calendario E'!$F52),MINUTE('Calendario E'!$F52),0))</f>
        <v>0.395833333333333</v>
      </c>
      <c r="E126" s="163" t="n">
        <f aca="false">IF($B126="","",DATE(YEAR('Calendario E'!$F52),MONTH('Calendario E'!$F52),DAY('Calendario E'!$F52)))</f>
        <v>46369</v>
      </c>
      <c r="F126" s="164" t="n">
        <f aca="false">IF($B126="","",TIME(HOUR('Calendario E'!$F52)+2,MINUTE('Calendario E'!$F52),0))</f>
        <v>0.479166666666667</v>
      </c>
      <c r="G126" s="162" t="str">
        <f aca="false">IF($B126="","",'Calendario E'!$B53)</f>
        <v>PalaScoiattoli, Via dello Sport 16, Scoiattoliopoli SI</v>
      </c>
      <c r="H126" s="162" t="str">
        <f aca="false">IF($B126="","",Campionato!$D$1&amp;" "&amp;Campionato!$D$5)</f>
        <v>Campionato Baskin Demo - ESEMPIO COMPILATO 64 Squadre 2026/2027</v>
      </c>
      <c r="I126" s="162"/>
    </row>
    <row r="127" customFormat="false" ht="95.5" hidden="false" customHeight="false" outlineLevel="0" collapsed="false">
      <c r="A127" s="162" t="str">
        <f aca="true">IF($B127="","","BEGIN:VEVENT
DTSTAMP:"&amp;TEXT(NOW(),"yyyymmdd")&amp;"T000001Z
UID:evt126@ClaudeCoworkBaskin
DTSTART;TZID=Europe/Rome:"&amp;TEXT($C127,"yyyymmdd")&amp;"T"&amp;TEXT($D127,"hhmmss")&amp;"
DTEND;TZID=Europe/Rome:"&amp;TEXT($E127,"yyyymmdd")&amp;"T"&amp;TEXT($F127,"hhmmss")&amp;"
SUMMARY:"&amp;$B127&amp;"
LOCATION:"&amp;$G127&amp;"
DESCRIPTION:"&amp;$H127&amp;"
END:VEVENT")</f>
        <v>BEGIN:VEVENT
DTSTAMP:20260907T000001Z
UID:evt126@ClaudeCoworkBaskin
DTSTART;TZID=Europe/Rome:20261213T113000
DTEND;TZID=Europe/Rome:20261213T133000
SUMMARY:Uistiti Ubiqui vs Scoiattoli Scattanti
LOCATION:PalaScoiattoli, Via dello Sport 16, Scoiattoliopoli SI
DESCRIPTION:Campionato Baskin Demo - ESEMPIO COMPILATO 64 Squadre 2026/2027
END:VEVENT</v>
      </c>
      <c r="B127" s="162" t="str">
        <f aca="false">IF('Calendario E'!$B55="","",'Calendario E'!$B55&amp;" vs "&amp;'Calendario E'!$D55)</f>
        <v>Uistiti Ubiqui vs Scoiattoli Scattanti</v>
      </c>
      <c r="C127" s="163" t="n">
        <f aca="false">IF($B127="","",DATE(YEAR('Calendario E'!$F55),MONTH('Calendario E'!$F55),DAY('Calendario E'!$F55)))</f>
        <v>46369</v>
      </c>
      <c r="D127" s="164" t="n">
        <f aca="false">IF($B127="","",TIME(HOUR('Calendario E'!$F55),MINUTE('Calendario E'!$F55),0))</f>
        <v>0.479166666666667</v>
      </c>
      <c r="E127" s="163" t="n">
        <f aca="false">IF($B127="","",DATE(YEAR('Calendario E'!$F55),MONTH('Calendario E'!$F55),DAY('Calendario E'!$F55)))</f>
        <v>46369</v>
      </c>
      <c r="F127" s="164" t="n">
        <f aca="false">IF($B127="","",TIME(HOUR('Calendario E'!$F55)+2,MINUTE('Calendario E'!$F55),0))</f>
        <v>0.5625</v>
      </c>
      <c r="G127" s="162" t="str">
        <f aca="false">IF($B127="","",'Calendario E'!$B56)</f>
        <v>PalaScoiattoli, Via dello Sport 16, Scoiattoliopoli SI</v>
      </c>
      <c r="H127" s="162" t="str">
        <f aca="false">IF($B127="","",Campionato!$D$1&amp;" "&amp;Campionato!$D$5)</f>
        <v>Campionato Baskin Demo - ESEMPIO COMPILATO 64 Squadre 2026/2027</v>
      </c>
      <c r="I127" s="162"/>
    </row>
    <row r="128" customFormat="false" ht="95.5" hidden="false" customHeight="false" outlineLevel="0" collapsed="false">
      <c r="A128" s="162" t="str">
        <f aca="true">IF($B128="","","BEGIN:VEVENT
DTSTAMP:"&amp;TEXT(NOW(),"yyyymmdd")&amp;"T000001Z
UID:evt127@ClaudeCoworkBaskin
DTSTART;TZID=Europe/Rome:"&amp;TEXT($C128,"yyyymmdd")&amp;"T"&amp;TEXT($D128,"hhmmss")&amp;"
DTEND;TZID=Europe/Rome:"&amp;TEXT($E128,"yyyymmdd")&amp;"T"&amp;TEXT($F128,"hhmmss")&amp;"
SUMMARY:"&amp;$B128&amp;"
LOCATION:"&amp;$G128&amp;"
DESCRIPTION:"&amp;$H128&amp;"
END:VEVENT")</f>
        <v>BEGIN:VEVENT
DTSTAMP:20260907T000001Z
UID:evt127@ClaudeCoworkBaskin
DTSTART;TZID=Europe/Rome:20261213T150000
DTEND;TZID=Europe/Rome:20261213T170000
SUMMARY:Ricci Rissosi vs Volpi Vorticose
LOCATION:PalaScoiattoli, Via dello Sport 16, Scoiattoliopoli SI
DESCRIPTION:Campionato Baskin Demo - ESEMPIO COMPILATO 64 Squadre 2026/2027
END:VEVENT</v>
      </c>
      <c r="B128" s="162" t="str">
        <f aca="false">IF('Calendario E'!$B58="","",'Calendario E'!$B58&amp;" vs "&amp;'Calendario E'!$D58)</f>
        <v>Ricci Rissosi vs Volpi Vorticose</v>
      </c>
      <c r="C128" s="163" t="n">
        <f aca="false">IF($B128="","",DATE(YEAR('Calendario E'!$F58),MONTH('Calendario E'!$F58),DAY('Calendario E'!$F58)))</f>
        <v>46369</v>
      </c>
      <c r="D128" s="164" t="n">
        <f aca="false">IF($B128="","",TIME(HOUR('Calendario E'!$F58),MINUTE('Calendario E'!$F58),0))</f>
        <v>0.625</v>
      </c>
      <c r="E128" s="163" t="n">
        <f aca="false">IF($B128="","",DATE(YEAR('Calendario E'!$F58),MONTH('Calendario E'!$F58),DAY('Calendario E'!$F58)))</f>
        <v>46369</v>
      </c>
      <c r="F128" s="164" t="n">
        <f aca="false">IF($B128="","",TIME(HOUR('Calendario E'!$F58)+2,MINUTE('Calendario E'!$F58),0))</f>
        <v>0.708333333333333</v>
      </c>
      <c r="G128" s="162" t="str">
        <f aca="false">IF($B128="","",'Calendario E'!$B59)</f>
        <v>PalaScoiattoli, Via dello Sport 16, Scoiattoliopoli SI</v>
      </c>
      <c r="H128" s="162" t="str">
        <f aca="false">IF($B128="","",Campionato!$D$1&amp;" "&amp;Campionato!$D$5)</f>
        <v>Campionato Baskin Demo - ESEMPIO COMPILATO 64 Squadre 2026/2027</v>
      </c>
      <c r="I128" s="162"/>
    </row>
    <row r="129" customFormat="false" ht="95.5" hidden="false" customHeight="false" outlineLevel="0" collapsed="false">
      <c r="A129" s="162" t="str">
        <f aca="true">IF($B129="","","BEGIN:VEVENT
DTSTAMP:"&amp;TEXT(NOW(),"yyyymmdd")&amp;"T000001Z
UID:evt128@ClaudeCoworkBaskin
DTSTART;TZID=Europe/Rome:"&amp;TEXT($C129,"yyyymmdd")&amp;"T"&amp;TEXT($D129,"hhmmss")&amp;"
DTEND;TZID=Europe/Rome:"&amp;TEXT($E129,"yyyymmdd")&amp;"T"&amp;TEXT($F129,"hhmmss")&amp;"
SUMMARY:"&amp;$B129&amp;"
LOCATION:"&amp;$G129&amp;"
DESCRIPTION:"&amp;$H129&amp;"
END:VEVENT")</f>
        <v>BEGIN:VEVENT
DTSTAMP:20260907T000001Z
UID:evt128@ClaudeCoworkBaskin
DTSTART;TZID=Europe/Rome:20261213T170000
DTEND;TZID=Europe/Rome:20261213T190000
SUMMARY:Zibetti Zuccherini vs Quetzal Quotidiani
LOCATION:PalaScoiattoli, Via dello Sport 16, Scoiattoliopoli SI
DESCRIPTION:Campionato Baskin Demo - ESEMPIO COMPILATO 64 Squadre 2026/2027
END:VEVENT</v>
      </c>
      <c r="B129" s="162" t="str">
        <f aca="false">IF('Calendario E'!$B61="","",'Calendario E'!$B61&amp;" vs "&amp;'Calendario E'!$D61)</f>
        <v>Zibetti Zuccherini vs Quetzal Quotidiani</v>
      </c>
      <c r="C129" s="163" t="n">
        <f aca="false">IF($B129="","",DATE(YEAR('Calendario E'!$F61),MONTH('Calendario E'!$F61),DAY('Calendario E'!$F61)))</f>
        <v>46369</v>
      </c>
      <c r="D129" s="164" t="n">
        <f aca="false">IF($B129="","",TIME(HOUR('Calendario E'!$F61),MINUTE('Calendario E'!$F61),0))</f>
        <v>0.708333333333333</v>
      </c>
      <c r="E129" s="163" t="n">
        <f aca="false">IF($B129="","",DATE(YEAR('Calendario E'!$F61),MONTH('Calendario E'!$F61),DAY('Calendario E'!$F61)))</f>
        <v>46369</v>
      </c>
      <c r="F129" s="164" t="n">
        <f aca="false">IF($B129="","",TIME(HOUR('Calendario E'!$F61)+2,MINUTE('Calendario E'!$F61),0))</f>
        <v>0.791666666666667</v>
      </c>
      <c r="G129" s="162" t="str">
        <f aca="false">IF($B129="","",'Calendario E'!$B62)</f>
        <v>PalaScoiattoli, Via dello Sport 16, Scoiattoliopoli SI</v>
      </c>
      <c r="H129" s="162" t="str">
        <f aca="false">IF($B129="","",Campionato!$D$1&amp;" "&amp;Campionato!$D$5)</f>
        <v>Campionato Baskin Demo - ESEMPIO COMPILATO 64 Squadre 2026/2027</v>
      </c>
      <c r="I129" s="162"/>
    </row>
    <row r="130" customFormat="false" ht="95.5" hidden="false" customHeight="false" outlineLevel="0" collapsed="false">
      <c r="A130" s="162" t="str">
        <f aca="true">IF($B130="","","BEGIN:VEVENT
DTSTAMP:"&amp;TEXT(NOW(),"yyyymmdd")&amp;"T000001Z
UID:evt129@ClaudeCoworkBaskin
DTSTART;TZID=Europe/Rome:"&amp;TEXT($C130,"yyyymmdd")&amp;"T"&amp;TEXT($D130,"hhmmss")&amp;"
DTEND;TZID=Europe/Rome:"&amp;TEXT($E130,"yyyymmdd")&amp;"T"&amp;TEXT($F130,"hhmmss")&amp;"
SUMMARY:"&amp;$B130&amp;"
LOCATION:"&amp;$G130&amp;"
DESCRIPTION:"&amp;$H130&amp;"
END:VEVENT")</f>
        <v>BEGIN:VEVENT
DTSTAMP:20260907T000001Z
UID:evt129@ClaudeCoworkBaskin
DTSTART;TZID=Europe/Rome:20270124T093000
DTEND;TZID=Europe/Rome:20270124T113000
SUMMARY:Pipistrelli Pensierosi vs Scoiattoli Scattanti
LOCATION:PalaTassi, Via dello Sport 17, Tassiopoli TI
DESCRIPTION:Campionato Baskin Demo - ESEMPIO COMPILATO 64 Squadre 2026/2027
END:VEVENT</v>
      </c>
      <c r="B130" s="162" t="str">
        <f aca="false">IF('Calendario E'!$B66="","",'Calendario E'!$B66&amp;" vs "&amp;'Calendario E'!$D66)</f>
        <v>Pipistrelli Pensierosi vs Scoiattoli Scattanti</v>
      </c>
      <c r="C130" s="163" t="n">
        <f aca="false">IF($B130="","",DATE(YEAR('Calendario E'!$F66),MONTH('Calendario E'!$F66),DAY('Calendario E'!$F66)))</f>
        <v>46411</v>
      </c>
      <c r="D130" s="164" t="n">
        <f aca="false">IF($B130="","",TIME(HOUR('Calendario E'!$F66),MINUTE('Calendario E'!$F66),0))</f>
        <v>0.395833333333333</v>
      </c>
      <c r="E130" s="163" t="n">
        <f aca="false">IF($B130="","",DATE(YEAR('Calendario E'!$F66),MONTH('Calendario E'!$F66),DAY('Calendario E'!$F66)))</f>
        <v>46411</v>
      </c>
      <c r="F130" s="164" t="n">
        <f aca="false">IF($B130="","",TIME(HOUR('Calendario E'!$F66)+2,MINUTE('Calendario E'!$F66),0))</f>
        <v>0.479166666666667</v>
      </c>
      <c r="G130" s="162" t="str">
        <f aca="false">IF($B130="","",'Calendario E'!$B67)</f>
        <v>PalaTassi, Via dello Sport 17, Tassiopoli TI</v>
      </c>
      <c r="H130" s="162" t="str">
        <f aca="false">IF($B130="","",Campionato!$D$1&amp;" "&amp;Campionato!$D$5)</f>
        <v>Campionato Baskin Demo - ESEMPIO COMPILATO 64 Squadre 2026/2027</v>
      </c>
      <c r="I130" s="162"/>
    </row>
    <row r="131" customFormat="false" ht="95.5" hidden="false" customHeight="false" outlineLevel="0" collapsed="false">
      <c r="A131" s="162" t="str">
        <f aca="true">IF($B131="","","BEGIN:VEVENT
DTSTAMP:"&amp;TEXT(NOW(),"yyyymmdd")&amp;"T000001Z
UID:evt130@ClaudeCoworkBaskin
DTSTART;TZID=Europe/Rome:"&amp;TEXT($C131,"yyyymmdd")&amp;"T"&amp;TEXT($D131,"hhmmss")&amp;"
DTEND;TZID=Europe/Rome:"&amp;TEXT($E131,"yyyymmdd")&amp;"T"&amp;TEXT($F131,"hhmmss")&amp;"
SUMMARY:"&amp;$B131&amp;"
LOCATION:"&amp;$G131&amp;"
DESCRIPTION:"&amp;$H131&amp;"
END:VEVENT")</f>
        <v>BEGIN:VEVENT
DTSTAMP:20260907T000001Z
UID:evt130@ClaudeCoworkBaskin
DTSTART;TZID=Europe/Rome:20270124T113000
DTEND;TZID=Europe/Rome:20270124T133000
SUMMARY:Ricci Rissosi vs Tassi Turbolenti
LOCATION:PalaTassi, Via dello Sport 17, Tassiopoli TI
DESCRIPTION:Campionato Baskin Demo - ESEMPIO COMPILATO 64 Squadre 2026/2027
END:VEVENT</v>
      </c>
      <c r="B131" s="162" t="str">
        <f aca="false">IF('Calendario E'!$B69="","",'Calendario E'!$B69&amp;" vs "&amp;'Calendario E'!$D69)</f>
        <v>Ricci Rissosi vs Tassi Turbolenti</v>
      </c>
      <c r="C131" s="163" t="n">
        <f aca="false">IF($B131="","",DATE(YEAR('Calendario E'!$F69),MONTH('Calendario E'!$F69),DAY('Calendario E'!$F69)))</f>
        <v>46411</v>
      </c>
      <c r="D131" s="164" t="n">
        <f aca="false">IF($B131="","",TIME(HOUR('Calendario E'!$F69),MINUTE('Calendario E'!$F69),0))</f>
        <v>0.479166666666667</v>
      </c>
      <c r="E131" s="163" t="n">
        <f aca="false">IF($B131="","",DATE(YEAR('Calendario E'!$F69),MONTH('Calendario E'!$F69),DAY('Calendario E'!$F69)))</f>
        <v>46411</v>
      </c>
      <c r="F131" s="164" t="n">
        <f aca="false">IF($B131="","",TIME(HOUR('Calendario E'!$F69)+2,MINUTE('Calendario E'!$F69),0))</f>
        <v>0.5625</v>
      </c>
      <c r="G131" s="162" t="str">
        <f aca="false">IF($B131="","",'Calendario E'!$B70)</f>
        <v>PalaTassi, Via dello Sport 17, Tassiopoli TI</v>
      </c>
      <c r="H131" s="162" t="str">
        <f aca="false">IF($B131="","",Campionato!$D$1&amp;" "&amp;Campionato!$D$5)</f>
        <v>Campionato Baskin Demo - ESEMPIO COMPILATO 64 Squadre 2026/2027</v>
      </c>
      <c r="I131" s="162"/>
    </row>
    <row r="132" customFormat="false" ht="95.5" hidden="false" customHeight="false" outlineLevel="0" collapsed="false">
      <c r="A132" s="162" t="str">
        <f aca="true">IF($B132="","","BEGIN:VEVENT
DTSTAMP:"&amp;TEXT(NOW(),"yyyymmdd")&amp;"T000001Z
UID:evt131@ClaudeCoworkBaskin
DTSTART;TZID=Europe/Rome:"&amp;TEXT($C132,"yyyymmdd")&amp;"T"&amp;TEXT($D132,"hhmmss")&amp;"
DTEND;TZID=Europe/Rome:"&amp;TEXT($E132,"yyyymmdd")&amp;"T"&amp;TEXT($F132,"hhmmss")&amp;"
SUMMARY:"&amp;$B132&amp;"
LOCATION:"&amp;$G132&amp;"
DESCRIPTION:"&amp;$H132&amp;"
END:VEVENT")</f>
        <v>BEGIN:VEVENT
DTSTAMP:20260907T000001Z
UID:evt131@ClaudeCoworkBaskin
DTSTART;TZID=Europe/Rome:20270124T150000
DTEND;TZID=Europe/Rome:20270124T170000
SUMMARY:Uistiti Ubiqui vs Quetzal Quotidiani
LOCATION:PalaTassi, Via dello Sport 17, Tassiopoli TI
DESCRIPTION:Campionato Baskin Demo - ESEMPIO COMPILATO 64 Squadre 2026/2027
END:VEVENT</v>
      </c>
      <c r="B132" s="162" t="str">
        <f aca="false">IF('Calendario E'!$B72="","",'Calendario E'!$B72&amp;" vs "&amp;'Calendario E'!$D72)</f>
        <v>Uistiti Ubiqui vs Quetzal Quotidiani</v>
      </c>
      <c r="C132" s="163" t="n">
        <f aca="false">IF($B132="","",DATE(YEAR('Calendario E'!$F72),MONTH('Calendario E'!$F72),DAY('Calendario E'!$F72)))</f>
        <v>46411</v>
      </c>
      <c r="D132" s="164" t="n">
        <f aca="false">IF($B132="","",TIME(HOUR('Calendario E'!$F72),MINUTE('Calendario E'!$F72),0))</f>
        <v>0.625</v>
      </c>
      <c r="E132" s="163" t="n">
        <f aca="false">IF($B132="","",DATE(YEAR('Calendario E'!$F72),MONTH('Calendario E'!$F72),DAY('Calendario E'!$F72)))</f>
        <v>46411</v>
      </c>
      <c r="F132" s="164" t="n">
        <f aca="false">IF($B132="","",TIME(HOUR('Calendario E'!$F72)+2,MINUTE('Calendario E'!$F72),0))</f>
        <v>0.708333333333333</v>
      </c>
      <c r="G132" s="162" t="str">
        <f aca="false">IF($B132="","",'Calendario E'!$B73)</f>
        <v>PalaTassi, Via dello Sport 17, Tassiopoli TI</v>
      </c>
      <c r="H132" s="162" t="str">
        <f aca="false">IF($B132="","",Campionato!$D$1&amp;" "&amp;Campionato!$D$5)</f>
        <v>Campionato Baskin Demo - ESEMPIO COMPILATO 64 Squadre 2026/2027</v>
      </c>
      <c r="I132" s="162"/>
    </row>
    <row r="133" customFormat="false" ht="95.5" hidden="false" customHeight="false" outlineLevel="0" collapsed="false">
      <c r="A133" s="162" t="str">
        <f aca="true">IF($B133="","","BEGIN:VEVENT
DTSTAMP:"&amp;TEXT(NOW(),"yyyymmdd")&amp;"T000001Z
UID:evt132@ClaudeCoworkBaskin
DTSTART;TZID=Europe/Rome:"&amp;TEXT($C133,"yyyymmdd")&amp;"T"&amp;TEXT($D133,"hhmmss")&amp;"
DTEND;TZID=Europe/Rome:"&amp;TEXT($E133,"yyyymmdd")&amp;"T"&amp;TEXT($F133,"hhmmss")&amp;"
SUMMARY:"&amp;$B133&amp;"
LOCATION:"&amp;$G133&amp;"
DESCRIPTION:"&amp;$H133&amp;"
END:VEVENT")</f>
        <v>BEGIN:VEVENT
DTSTAMP:20260907T000001Z
UID:evt132@ClaudeCoworkBaskin
DTSTART;TZID=Europe/Rome:20270124T170000
DTEND;TZID=Europe/Rome:20270124T190000
SUMMARY:Zibetti Zuccherini vs Volpi Vorticose
LOCATION:PalaTassi, Via dello Sport 17, Tassiopoli TI
DESCRIPTION:Campionato Baskin Demo - ESEMPIO COMPILATO 64 Squadre 2026/2027
END:VEVENT</v>
      </c>
      <c r="B133" s="162" t="str">
        <f aca="false">IF('Calendario E'!$B75="","",'Calendario E'!$B75&amp;" vs "&amp;'Calendario E'!$D75)</f>
        <v>Zibetti Zuccherini vs Volpi Vorticose</v>
      </c>
      <c r="C133" s="163" t="n">
        <f aca="false">IF($B133="","",DATE(YEAR('Calendario E'!$F75),MONTH('Calendario E'!$F75),DAY('Calendario E'!$F75)))</f>
        <v>46411</v>
      </c>
      <c r="D133" s="164" t="n">
        <f aca="false">IF($B133="","",TIME(HOUR('Calendario E'!$F75),MINUTE('Calendario E'!$F75),0))</f>
        <v>0.708333333333333</v>
      </c>
      <c r="E133" s="163" t="n">
        <f aca="false">IF($B133="","",DATE(YEAR('Calendario E'!$F75),MONTH('Calendario E'!$F75),DAY('Calendario E'!$F75)))</f>
        <v>46411</v>
      </c>
      <c r="F133" s="164" t="n">
        <f aca="false">IF($B133="","",TIME(HOUR('Calendario E'!$F75)+2,MINUTE('Calendario E'!$F75),0))</f>
        <v>0.791666666666667</v>
      </c>
      <c r="G133" s="162" t="str">
        <f aca="false">IF($B133="","",'Calendario E'!$B76)</f>
        <v>PalaTassi, Via dello Sport 17, Tassiopoli TI</v>
      </c>
      <c r="H133" s="162" t="str">
        <f aca="false">IF($B133="","",Campionato!$D$1&amp;" "&amp;Campionato!$D$5)</f>
        <v>Campionato Baskin Demo - ESEMPIO COMPILATO 64 Squadre 2026/2027</v>
      </c>
      <c r="I133" s="162"/>
    </row>
    <row r="134" customFormat="false" ht="95.5" hidden="false" customHeight="false" outlineLevel="0" collapsed="false">
      <c r="A134" s="162" t="str">
        <f aca="true">IF($B134="","","BEGIN:VEVENT
DTSTAMP:"&amp;TEXT(NOW(),"yyyymmdd")&amp;"T000001Z
UID:evt133@ClaudeCoworkBaskin
DTSTART;TZID=Europe/Rome:"&amp;TEXT($C134,"yyyymmdd")&amp;"T"&amp;TEXT($D134,"hhmmss")&amp;"
DTEND;TZID=Europe/Rome:"&amp;TEXT($E134,"yyyymmdd")&amp;"T"&amp;TEXT($F134,"hhmmss")&amp;"
SUMMARY:"&amp;$B134&amp;"
LOCATION:"&amp;$G134&amp;"
DESCRIPTION:"&amp;$H134&amp;"
END:VEVENT")</f>
        <v>BEGIN:VEVENT
DTSTAMP:20260907T000001Z
UID:evt133@ClaudeCoworkBaskin
DTSTART;TZID=Europe/Rome:20270214T093000
DTEND;TZID=Europe/Rome:20270214T113000
SUMMARY:Ricci Rissosi vs Pipistrelli Pensierosi
LOCATION:PalaUistiti, Via dello Sport 18, Uistitiopoli UI
DESCRIPTION:Campionato Baskin Demo - ESEMPIO COMPILATO 64 Squadre 2026/2027
END:VEVENT</v>
      </c>
      <c r="B134" s="162" t="str">
        <f aca="false">IF('Calendario E'!$B80="","",'Calendario E'!$B80&amp;" vs "&amp;'Calendario E'!$D80)</f>
        <v>Ricci Rissosi vs Pipistrelli Pensierosi</v>
      </c>
      <c r="C134" s="163" t="n">
        <f aca="false">IF($B134="","",DATE(YEAR('Calendario E'!$F80),MONTH('Calendario E'!$F80),DAY('Calendario E'!$F80)))</f>
        <v>46432</v>
      </c>
      <c r="D134" s="164" t="n">
        <f aca="false">IF($B134="","",TIME(HOUR('Calendario E'!$F80),MINUTE('Calendario E'!$F80),0))</f>
        <v>0.395833333333333</v>
      </c>
      <c r="E134" s="163" t="n">
        <f aca="false">IF($B134="","",DATE(YEAR('Calendario E'!$F80),MONTH('Calendario E'!$F80),DAY('Calendario E'!$F80)))</f>
        <v>46432</v>
      </c>
      <c r="F134" s="164" t="n">
        <f aca="false">IF($B134="","",TIME(HOUR('Calendario E'!$F80)+2,MINUTE('Calendario E'!$F80),0))</f>
        <v>0.479166666666667</v>
      </c>
      <c r="G134" s="162" t="str">
        <f aca="false">IF($B134="","",'Calendario E'!$B81)</f>
        <v>PalaUistiti, Via dello Sport 18, Uistitiopoli UI</v>
      </c>
      <c r="H134" s="162" t="str">
        <f aca="false">IF($B134="","",Campionato!$D$1&amp;" "&amp;Campionato!$D$5)</f>
        <v>Campionato Baskin Demo - ESEMPIO COMPILATO 64 Squadre 2026/2027</v>
      </c>
      <c r="I134" s="162"/>
    </row>
    <row r="135" customFormat="false" ht="95.5" hidden="false" customHeight="false" outlineLevel="0" collapsed="false">
      <c r="A135" s="162" t="str">
        <f aca="true">IF($B135="","","BEGIN:VEVENT
DTSTAMP:"&amp;TEXT(NOW(),"yyyymmdd")&amp;"T000001Z
UID:evt134@ClaudeCoworkBaskin
DTSTART;TZID=Europe/Rome:"&amp;TEXT($C135,"yyyymmdd")&amp;"T"&amp;TEXT($D135,"hhmmss")&amp;"
DTEND;TZID=Europe/Rome:"&amp;TEXT($E135,"yyyymmdd")&amp;"T"&amp;TEXT($F135,"hhmmss")&amp;"
SUMMARY:"&amp;$B135&amp;"
LOCATION:"&amp;$G135&amp;"
DESCRIPTION:"&amp;$H135&amp;"
END:VEVENT")</f>
        <v>BEGIN:VEVENT
DTSTAMP:20260907T000001Z
UID:evt134@ClaudeCoworkBaskin
DTSTART;TZID=Europe/Rome:20270214T113000
DTEND;TZID=Europe/Rome:20270214T133000
SUMMARY:Scoiattoli Scattanti vs Quetzal Quotidiani
LOCATION:PalaUistiti, Via dello Sport 18, Uistitiopoli UI
DESCRIPTION:Campionato Baskin Demo - ESEMPIO COMPILATO 64 Squadre 2026/2027
END:VEVENT</v>
      </c>
      <c r="B135" s="162" t="str">
        <f aca="false">IF('Calendario E'!$B83="","",'Calendario E'!$B83&amp;" vs "&amp;'Calendario E'!$D83)</f>
        <v>Scoiattoli Scattanti vs Quetzal Quotidiani</v>
      </c>
      <c r="C135" s="163" t="n">
        <f aca="false">IF($B135="","",DATE(YEAR('Calendario E'!$F83),MONTH('Calendario E'!$F83),DAY('Calendario E'!$F83)))</f>
        <v>46432</v>
      </c>
      <c r="D135" s="164" t="n">
        <f aca="false">IF($B135="","",TIME(HOUR('Calendario E'!$F83),MINUTE('Calendario E'!$F83),0))</f>
        <v>0.479166666666667</v>
      </c>
      <c r="E135" s="163" t="n">
        <f aca="false">IF($B135="","",DATE(YEAR('Calendario E'!$F83),MONTH('Calendario E'!$F83),DAY('Calendario E'!$F83)))</f>
        <v>46432</v>
      </c>
      <c r="F135" s="164" t="n">
        <f aca="false">IF($B135="","",TIME(HOUR('Calendario E'!$F83)+2,MINUTE('Calendario E'!$F83),0))</f>
        <v>0.5625</v>
      </c>
      <c r="G135" s="162" t="str">
        <f aca="false">IF($B135="","",'Calendario E'!$B84)</f>
        <v>PalaUistiti, Via dello Sport 18, Uistitiopoli UI</v>
      </c>
      <c r="H135" s="162" t="str">
        <f aca="false">IF($B135="","",Campionato!$D$1&amp;" "&amp;Campionato!$D$5)</f>
        <v>Campionato Baskin Demo - ESEMPIO COMPILATO 64 Squadre 2026/2027</v>
      </c>
      <c r="I135" s="162"/>
    </row>
    <row r="136" customFormat="false" ht="95.5" hidden="false" customHeight="false" outlineLevel="0" collapsed="false">
      <c r="A136" s="162" t="str">
        <f aca="true">IF($B136="","","BEGIN:VEVENT
DTSTAMP:"&amp;TEXT(NOW(),"yyyymmdd")&amp;"T000001Z
UID:evt135@ClaudeCoworkBaskin
DTSTART;TZID=Europe/Rome:"&amp;TEXT($C136,"yyyymmdd")&amp;"T"&amp;TEXT($D136,"hhmmss")&amp;"
DTEND;TZID=Europe/Rome:"&amp;TEXT($E136,"yyyymmdd")&amp;"T"&amp;TEXT($F136,"hhmmss")&amp;"
SUMMARY:"&amp;$B136&amp;"
LOCATION:"&amp;$G136&amp;"
DESCRIPTION:"&amp;$H136&amp;"
END:VEVENT")</f>
        <v>BEGIN:VEVENT
DTSTAMP:20260907T000001Z
UID:evt135@ClaudeCoworkBaskin
DTSTART;TZID=Europe/Rome:20270214T150000
DTEND;TZID=Europe/Rome:20270214T170000
SUMMARY:Zibetti Zuccherini vs Tassi Turbolenti
LOCATION:PalaUistiti, Via dello Sport 18, Uistitiopoli UI
DESCRIPTION:Campionato Baskin Demo - ESEMPIO COMPILATO 64 Squadre 2026/2027
END:VEVENT</v>
      </c>
      <c r="B136" s="162" t="str">
        <f aca="false">IF('Calendario E'!$B86="","",'Calendario E'!$B86&amp;" vs "&amp;'Calendario E'!$D86)</f>
        <v>Zibetti Zuccherini vs Tassi Turbolenti</v>
      </c>
      <c r="C136" s="163" t="n">
        <f aca="false">IF($B136="","",DATE(YEAR('Calendario E'!$F86),MONTH('Calendario E'!$F86),DAY('Calendario E'!$F86)))</f>
        <v>46432</v>
      </c>
      <c r="D136" s="164" t="n">
        <f aca="false">IF($B136="","",TIME(HOUR('Calendario E'!$F86),MINUTE('Calendario E'!$F86),0))</f>
        <v>0.625</v>
      </c>
      <c r="E136" s="163" t="n">
        <f aca="false">IF($B136="","",DATE(YEAR('Calendario E'!$F86),MONTH('Calendario E'!$F86),DAY('Calendario E'!$F86)))</f>
        <v>46432</v>
      </c>
      <c r="F136" s="164" t="n">
        <f aca="false">IF($B136="","",TIME(HOUR('Calendario E'!$F86)+2,MINUTE('Calendario E'!$F86),0))</f>
        <v>0.708333333333333</v>
      </c>
      <c r="G136" s="162" t="str">
        <f aca="false">IF($B136="","",'Calendario E'!$B87)</f>
        <v>PalaUistiti, Via dello Sport 18, Uistitiopoli UI</v>
      </c>
      <c r="H136" s="162" t="str">
        <f aca="false">IF($B136="","",Campionato!$D$1&amp;" "&amp;Campionato!$D$5)</f>
        <v>Campionato Baskin Demo - ESEMPIO COMPILATO 64 Squadre 2026/2027</v>
      </c>
      <c r="I136" s="162"/>
    </row>
    <row r="137" customFormat="false" ht="95.5" hidden="false" customHeight="false" outlineLevel="0" collapsed="false">
      <c r="A137" s="162" t="str">
        <f aca="true">IF($B137="","","BEGIN:VEVENT
DTSTAMP:"&amp;TEXT(NOW(),"yyyymmdd")&amp;"T000001Z
UID:evt136@ClaudeCoworkBaskin
DTSTART;TZID=Europe/Rome:"&amp;TEXT($C137,"yyyymmdd")&amp;"T"&amp;TEXT($D137,"hhmmss")&amp;"
DTEND;TZID=Europe/Rome:"&amp;TEXT($E137,"yyyymmdd")&amp;"T"&amp;TEXT($F137,"hhmmss")&amp;"
SUMMARY:"&amp;$B137&amp;"
LOCATION:"&amp;$G137&amp;"
DESCRIPTION:"&amp;$H137&amp;"
END:VEVENT")</f>
        <v>BEGIN:VEVENT
DTSTAMP:20260907T000001Z
UID:evt136@ClaudeCoworkBaskin
DTSTART;TZID=Europe/Rome:20270214T170000
DTEND;TZID=Europe/Rome:20270214T190000
SUMMARY:Uistiti Ubiqui vs Volpi Vorticose
LOCATION:PalaUistiti, Via dello Sport 18, Uistitiopoli UI
DESCRIPTION:Campionato Baskin Demo - ESEMPIO COMPILATO 64 Squadre 2026/2027
END:VEVENT</v>
      </c>
      <c r="B137" s="162" t="str">
        <f aca="false">IF('Calendario E'!$B89="","",'Calendario E'!$B89&amp;" vs "&amp;'Calendario E'!$D89)</f>
        <v>Uistiti Ubiqui vs Volpi Vorticose</v>
      </c>
      <c r="C137" s="163" t="n">
        <f aca="false">IF($B137="","",DATE(YEAR('Calendario E'!$F89),MONTH('Calendario E'!$F89),DAY('Calendario E'!$F89)))</f>
        <v>46432</v>
      </c>
      <c r="D137" s="164" t="n">
        <f aca="false">IF($B137="","",TIME(HOUR('Calendario E'!$F89),MINUTE('Calendario E'!$F89),0))</f>
        <v>0.708333333333333</v>
      </c>
      <c r="E137" s="163" t="n">
        <f aca="false">IF($B137="","",DATE(YEAR('Calendario E'!$F89),MONTH('Calendario E'!$F89),DAY('Calendario E'!$F89)))</f>
        <v>46432</v>
      </c>
      <c r="F137" s="164" t="n">
        <f aca="false">IF($B137="","",TIME(HOUR('Calendario E'!$F89)+2,MINUTE('Calendario E'!$F89),0))</f>
        <v>0.791666666666667</v>
      </c>
      <c r="G137" s="162" t="str">
        <f aca="false">IF($B137="","",'Calendario E'!$B90)</f>
        <v>PalaUistiti, Via dello Sport 18, Uistitiopoli UI</v>
      </c>
      <c r="H137" s="162" t="str">
        <f aca="false">IF($B137="","",Campionato!$D$1&amp;" "&amp;Campionato!$D$5)</f>
        <v>Campionato Baskin Demo - ESEMPIO COMPILATO 64 Squadre 2026/2027</v>
      </c>
      <c r="I137" s="162"/>
    </row>
    <row r="138" customFormat="false" ht="95.5" hidden="false" customHeight="false" outlineLevel="0" collapsed="false">
      <c r="A138" s="162" t="str">
        <f aca="true">IF($B138="","","BEGIN:VEVENT
DTSTAMP:"&amp;TEXT(NOW(),"yyyymmdd")&amp;"T000001Z
UID:evt137@ClaudeCoworkBaskin
DTSTART;TZID=Europe/Rome:"&amp;TEXT($C138,"yyyymmdd")&amp;"T"&amp;TEXT($D138,"hhmmss")&amp;"
DTEND;TZID=Europe/Rome:"&amp;TEXT($E138,"yyyymmdd")&amp;"T"&amp;TEXT($F138,"hhmmss")&amp;"
SUMMARY:"&amp;$B138&amp;"
LOCATION:"&amp;$G138&amp;"
DESCRIPTION:"&amp;$H138&amp;"
END:VEVENT")</f>
        <v>BEGIN:VEVENT
DTSTAMP:20260907T000001Z
UID:evt137@ClaudeCoworkBaskin
DTSTART;TZID=Europe/Rome:20270307T093000
DTEND;TZID=Europe/Rome:20270307T113000
SUMMARY:Pipistrelli Pensierosi vs Quetzal Quotidiani
LOCATION:PalaVolpi, Via dello Sport 19, Volpiopoli VI
DESCRIPTION:Campionato Baskin Demo - ESEMPIO COMPILATO 64 Squadre 2026/2027
END:VEVENT</v>
      </c>
      <c r="B138" s="162" t="str">
        <f aca="false">IF('Calendario E'!$B94="","",'Calendario E'!$B94&amp;" vs "&amp;'Calendario E'!$D94)</f>
        <v>Pipistrelli Pensierosi vs Quetzal Quotidiani</v>
      </c>
      <c r="C138" s="163" t="n">
        <f aca="false">IF($B138="","",DATE(YEAR('Calendario E'!$F94),MONTH('Calendario E'!$F94),DAY('Calendario E'!$F94)))</f>
        <v>46453</v>
      </c>
      <c r="D138" s="164" t="n">
        <f aca="false">IF($B138="","",TIME(HOUR('Calendario E'!$F94),MINUTE('Calendario E'!$F94),0))</f>
        <v>0.395833333333333</v>
      </c>
      <c r="E138" s="163" t="n">
        <f aca="false">IF($B138="","",DATE(YEAR('Calendario E'!$F94),MONTH('Calendario E'!$F94),DAY('Calendario E'!$F94)))</f>
        <v>46453</v>
      </c>
      <c r="F138" s="164" t="n">
        <f aca="false">IF($B138="","",TIME(HOUR('Calendario E'!$F94)+2,MINUTE('Calendario E'!$F94),0))</f>
        <v>0.479166666666667</v>
      </c>
      <c r="G138" s="162" t="str">
        <f aca="false">IF($B138="","",'Calendario E'!$B95)</f>
        <v>PalaVolpi, Via dello Sport 19, Volpiopoli VI</v>
      </c>
      <c r="H138" s="162" t="str">
        <f aca="false">IF($B138="","",Campionato!$D$1&amp;" "&amp;Campionato!$D$5)</f>
        <v>Campionato Baskin Demo - ESEMPIO COMPILATO 64 Squadre 2026/2027</v>
      </c>
      <c r="I138" s="162"/>
    </row>
    <row r="139" customFormat="false" ht="95.5" hidden="false" customHeight="false" outlineLevel="0" collapsed="false">
      <c r="A139" s="162" t="str">
        <f aca="true">IF($B139="","","BEGIN:VEVENT
DTSTAMP:"&amp;TEXT(NOW(),"yyyymmdd")&amp;"T000001Z
UID:evt138@ClaudeCoworkBaskin
DTSTART;TZID=Europe/Rome:"&amp;TEXT($C139,"yyyymmdd")&amp;"T"&amp;TEXT($D139,"hhmmss")&amp;"
DTEND;TZID=Europe/Rome:"&amp;TEXT($E139,"yyyymmdd")&amp;"T"&amp;TEXT($F139,"hhmmss")&amp;"
SUMMARY:"&amp;$B139&amp;"
LOCATION:"&amp;$G139&amp;"
DESCRIPTION:"&amp;$H139&amp;"
END:VEVENT")</f>
        <v>BEGIN:VEVENT
DTSTAMP:20260907T000001Z
UID:evt138@ClaudeCoworkBaskin
DTSTART;TZID=Europe/Rome:20270307T113000
DTEND;TZID=Europe/Rome:20270307T133000
SUMMARY:Zibetti Zuccherini vs Ricci Rissosi
LOCATION:PalaVolpi, Via dello Sport 19, Volpiopoli VI
DESCRIPTION:Campionato Baskin Demo - ESEMPIO COMPILATO 64 Squadre 2026/2027
END:VEVENT</v>
      </c>
      <c r="B139" s="162" t="str">
        <f aca="false">IF('Calendario E'!$B97="","",'Calendario E'!$B97&amp;" vs "&amp;'Calendario E'!$D97)</f>
        <v>Zibetti Zuccherini vs Ricci Rissosi</v>
      </c>
      <c r="C139" s="163" t="n">
        <f aca="false">IF($B139="","",DATE(YEAR('Calendario E'!$F97),MONTH('Calendario E'!$F97),DAY('Calendario E'!$F97)))</f>
        <v>46453</v>
      </c>
      <c r="D139" s="164" t="n">
        <f aca="false">IF($B139="","",TIME(HOUR('Calendario E'!$F97),MINUTE('Calendario E'!$F97),0))</f>
        <v>0.479166666666667</v>
      </c>
      <c r="E139" s="163" t="n">
        <f aca="false">IF($B139="","",DATE(YEAR('Calendario E'!$F97),MONTH('Calendario E'!$F97),DAY('Calendario E'!$F97)))</f>
        <v>46453</v>
      </c>
      <c r="F139" s="164" t="n">
        <f aca="false">IF($B139="","",TIME(HOUR('Calendario E'!$F97)+2,MINUTE('Calendario E'!$F97),0))</f>
        <v>0.5625</v>
      </c>
      <c r="G139" s="162" t="str">
        <f aca="false">IF($B139="","",'Calendario E'!$B98)</f>
        <v>PalaVolpi, Via dello Sport 19, Volpiopoli VI</v>
      </c>
      <c r="H139" s="162" t="str">
        <f aca="false">IF($B139="","",Campionato!$D$1&amp;" "&amp;Campionato!$D$5)</f>
        <v>Campionato Baskin Demo - ESEMPIO COMPILATO 64 Squadre 2026/2027</v>
      </c>
      <c r="I139" s="162"/>
    </row>
    <row r="140" customFormat="false" ht="95.5" hidden="false" customHeight="false" outlineLevel="0" collapsed="false">
      <c r="A140" s="162" t="str">
        <f aca="true">IF($B140="","","BEGIN:VEVENT
DTSTAMP:"&amp;TEXT(NOW(),"yyyymmdd")&amp;"T000001Z
UID:evt139@ClaudeCoworkBaskin
DTSTART;TZID=Europe/Rome:"&amp;TEXT($C140,"yyyymmdd")&amp;"T"&amp;TEXT($D140,"hhmmss")&amp;"
DTEND;TZID=Europe/Rome:"&amp;TEXT($E140,"yyyymmdd")&amp;"T"&amp;TEXT($F140,"hhmmss")&amp;"
SUMMARY:"&amp;$B140&amp;"
LOCATION:"&amp;$G140&amp;"
DESCRIPTION:"&amp;$H140&amp;"
END:VEVENT")</f>
        <v>BEGIN:VEVENT
DTSTAMP:20260907T000001Z
UID:evt139@ClaudeCoworkBaskin
DTSTART;TZID=Europe/Rome:20270307T150000
DTEND;TZID=Europe/Rome:20270307T170000
SUMMARY:Scoiattoli Scattanti vs Volpi Vorticose
LOCATION:PalaVolpi, Via dello Sport 19, Volpiopoli VI
DESCRIPTION:Campionato Baskin Demo - ESEMPIO COMPILATO 64 Squadre 2026/2027
END:VEVENT</v>
      </c>
      <c r="B140" s="162" t="str">
        <f aca="false">IF('Calendario E'!$B100="","",'Calendario E'!$B100&amp;" vs "&amp;'Calendario E'!$D100)</f>
        <v>Scoiattoli Scattanti vs Volpi Vorticose</v>
      </c>
      <c r="C140" s="163" t="n">
        <f aca="false">IF($B140="","",DATE(YEAR('Calendario E'!$F100),MONTH('Calendario E'!$F100),DAY('Calendario E'!$F100)))</f>
        <v>46453</v>
      </c>
      <c r="D140" s="164" t="n">
        <f aca="false">IF($B140="","",TIME(HOUR('Calendario E'!$F100),MINUTE('Calendario E'!$F100),0))</f>
        <v>0.625</v>
      </c>
      <c r="E140" s="163" t="n">
        <f aca="false">IF($B140="","",DATE(YEAR('Calendario E'!$F100),MONTH('Calendario E'!$F100),DAY('Calendario E'!$F100)))</f>
        <v>46453</v>
      </c>
      <c r="F140" s="164" t="n">
        <f aca="false">IF($B140="","",TIME(HOUR('Calendario E'!$F100)+2,MINUTE('Calendario E'!$F100),0))</f>
        <v>0.708333333333333</v>
      </c>
      <c r="G140" s="162" t="str">
        <f aca="false">IF($B140="","",'Calendario E'!$B101)</f>
        <v>PalaVolpi, Via dello Sport 19, Volpiopoli VI</v>
      </c>
      <c r="H140" s="162" t="str">
        <f aca="false">IF($B140="","",Campionato!$D$1&amp;" "&amp;Campionato!$D$5)</f>
        <v>Campionato Baskin Demo - ESEMPIO COMPILATO 64 Squadre 2026/2027</v>
      </c>
      <c r="I140" s="162"/>
    </row>
    <row r="141" customFormat="false" ht="95.5" hidden="false" customHeight="false" outlineLevel="0" collapsed="false">
      <c r="A141" s="162" t="str">
        <f aca="true">IF($B141="","","BEGIN:VEVENT
DTSTAMP:"&amp;TEXT(NOW(),"yyyymmdd")&amp;"T000001Z
UID:evt140@ClaudeCoworkBaskin
DTSTART;TZID=Europe/Rome:"&amp;TEXT($C141,"yyyymmdd")&amp;"T"&amp;TEXT($D141,"hhmmss")&amp;"
DTEND;TZID=Europe/Rome:"&amp;TEXT($E141,"yyyymmdd")&amp;"T"&amp;TEXT($F141,"hhmmss")&amp;"
SUMMARY:"&amp;$B141&amp;"
LOCATION:"&amp;$G141&amp;"
DESCRIPTION:"&amp;$H141&amp;"
END:VEVENT")</f>
        <v>BEGIN:VEVENT
DTSTAMP:20260907T000001Z
UID:evt140@ClaudeCoworkBaskin
DTSTART;TZID=Europe/Rome:20270307T170000
DTEND;TZID=Europe/Rome:20270307T190000
SUMMARY:Uistiti Ubiqui vs Tassi Turbolenti
LOCATION:PalaVolpi, Via dello Sport 19, Volpiopoli VI
DESCRIPTION:Campionato Baskin Demo - ESEMPIO COMPILATO 64 Squadre 2026/2027
END:VEVENT</v>
      </c>
      <c r="B141" s="162" t="str">
        <f aca="false">IF('Calendario E'!$B103="","",'Calendario E'!$B103&amp;" vs "&amp;'Calendario E'!$D103)</f>
        <v>Uistiti Ubiqui vs Tassi Turbolenti</v>
      </c>
      <c r="C141" s="163" t="n">
        <f aca="false">IF($B141="","",DATE(YEAR('Calendario E'!$F103),MONTH('Calendario E'!$F103),DAY('Calendario E'!$F103)))</f>
        <v>46453</v>
      </c>
      <c r="D141" s="164" t="n">
        <f aca="false">IF($B141="","",TIME(HOUR('Calendario E'!$F103),MINUTE('Calendario E'!$F103),0))</f>
        <v>0.708333333333333</v>
      </c>
      <c r="E141" s="163" t="n">
        <f aca="false">IF($B141="","",DATE(YEAR('Calendario E'!$F103),MONTH('Calendario E'!$F103),DAY('Calendario E'!$F103)))</f>
        <v>46453</v>
      </c>
      <c r="F141" s="164" t="n">
        <f aca="false">IF($B141="","",TIME(HOUR('Calendario E'!$F103)+2,MINUTE('Calendario E'!$F103),0))</f>
        <v>0.791666666666667</v>
      </c>
      <c r="G141" s="162" t="str">
        <f aca="false">IF($B141="","",'Calendario E'!$B104)</f>
        <v>PalaVolpi, Via dello Sport 19, Volpiopoli VI</v>
      </c>
      <c r="H141" s="162" t="str">
        <f aca="false">IF($B141="","",Campionato!$D$1&amp;" "&amp;Campionato!$D$5)</f>
        <v>Campionato Baskin Demo - ESEMPIO COMPILATO 64 Squadre 2026/2027</v>
      </c>
      <c r="I141" s="162"/>
    </row>
    <row r="142" customFormat="false" ht="95.5" hidden="false" customHeight="false" outlineLevel="0" collapsed="false">
      <c r="A142" s="162" t="str">
        <f aca="true">IF($B142="","","BEGIN:VEVENT
DTSTAMP:"&amp;TEXT(NOW(),"yyyymmdd")&amp;"T000001Z
UID:evt141@ClaudeCoworkBaskin
DTSTART;TZID=Europe/Rome:"&amp;TEXT($C142,"yyyymmdd")&amp;"T"&amp;TEXT($D142,"hhmmss")&amp;"
DTEND;TZID=Europe/Rome:"&amp;TEXT($E142,"yyyymmdd")&amp;"T"&amp;TEXT($F142,"hhmmss")&amp;"
SUMMARY:"&amp;$B142&amp;"
LOCATION:"&amp;$G142&amp;"
DESCRIPTION:"&amp;$H142&amp;"
END:VEVENT")</f>
        <v>BEGIN:VEVENT
DTSTAMP:20260907T000001Z
UID:evt141@ClaudeCoworkBaskin
DTSTART;TZID=Europe/Rome:20261018T093000
DTEND;TZID=Europe/Rome:20261018T113000
SUMMARY:Antilopi Ardite vs Iene Ilari
LOCATION:PalaAntilopi, Via dello Sport 1, Antilopiopoli AI
DESCRIPTION:Campionato Baskin Demo - ESEMPIO COMPILATO 64 Squadre 2026/2027
END:VEVENT</v>
      </c>
      <c r="B142" s="162" t="str">
        <f aca="false">IF('Calendario F'!$B10="","",'Calendario F'!$B10&amp;" vs "&amp;'Calendario F'!$D10)</f>
        <v>Antilopi Ardite vs Iene Ilari</v>
      </c>
      <c r="C142" s="163" t="n">
        <f aca="false">IF($B142="","",DATE(YEAR('Calendario F'!$F10),MONTH('Calendario F'!$F10),DAY('Calendario F'!$F10)))</f>
        <v>46313</v>
      </c>
      <c r="D142" s="164" t="n">
        <f aca="false">IF($B142="","",TIME(HOUR('Calendario F'!$F10),MINUTE('Calendario F'!$F10),0))</f>
        <v>0.395833333333333</v>
      </c>
      <c r="E142" s="163" t="n">
        <f aca="false">IF($B142="","",DATE(YEAR('Calendario F'!$F10),MONTH('Calendario F'!$F10),DAY('Calendario F'!$F10)))</f>
        <v>46313</v>
      </c>
      <c r="F142" s="164" t="n">
        <f aca="false">IF($B142="","",TIME(HOUR('Calendario F'!$F10)+2,MINUTE('Calendario F'!$F10),0))</f>
        <v>0.479166666666667</v>
      </c>
      <c r="G142" s="162" t="str">
        <f aca="false">IF($B142="","",'Calendario F'!$B11)</f>
        <v>PalaAntilopi, Via dello Sport 1, Antilopiopoli AI</v>
      </c>
      <c r="H142" s="162" t="str">
        <f aca="false">IF($B142="","",Campionato!$D$1&amp;" "&amp;Campionato!$D$5)</f>
        <v>Campionato Baskin Demo - ESEMPIO COMPILATO 64 Squadre 2026/2027</v>
      </c>
      <c r="I142" s="162"/>
    </row>
    <row r="143" customFormat="false" ht="95.5" hidden="false" customHeight="false" outlineLevel="0" collapsed="false">
      <c r="A143" s="162" t="str">
        <f aca="true">IF($B143="","","BEGIN:VEVENT
DTSTAMP:"&amp;TEXT(NOW(),"yyyymmdd")&amp;"T000001Z
UID:evt142@ClaudeCoworkBaskin
DTSTART;TZID=Europe/Rome:"&amp;TEXT($C143,"yyyymmdd")&amp;"T"&amp;TEXT($D143,"hhmmss")&amp;"
DTEND;TZID=Europe/Rome:"&amp;TEXT($E143,"yyyymmdd")&amp;"T"&amp;TEXT($F143,"hhmmss")&amp;"
SUMMARY:"&amp;$B143&amp;"
LOCATION:"&amp;$G143&amp;"
DESCRIPTION:"&amp;$H143&amp;"
END:VEVENT")</f>
        <v>BEGIN:VEVENT
DTSTAMP:20260907T000001Z
UID:evt142@ClaudeCoworkBaskin
DTSTART;TZID=Europe/Rome:20261018T113000
DTEND;TZID=Europe/Rome:20261018T133000
SUMMARY:Gufi Golosi vs Balene Bizzarre
LOCATION:PalaAntilopi, Via dello Sport 1, Antilopiopoli AI
DESCRIPTION:Campionato Baskin Demo - ESEMPIO COMPILATO 64 Squadre 2026/2027
END:VEVENT</v>
      </c>
      <c r="B143" s="162" t="str">
        <f aca="false">IF('Calendario F'!$B13="","",'Calendario F'!$B13&amp;" vs "&amp;'Calendario F'!$D13)</f>
        <v>Gufi Golosi vs Balene Bizzarre</v>
      </c>
      <c r="C143" s="163" t="n">
        <f aca="false">IF($B143="","",DATE(YEAR('Calendario F'!$F13),MONTH('Calendario F'!$F13),DAY('Calendario F'!$F13)))</f>
        <v>46313</v>
      </c>
      <c r="D143" s="164" t="n">
        <f aca="false">IF($B143="","",TIME(HOUR('Calendario F'!$F13),MINUTE('Calendario F'!$F13),0))</f>
        <v>0.479166666666667</v>
      </c>
      <c r="E143" s="163" t="n">
        <f aca="false">IF($B143="","",DATE(YEAR('Calendario F'!$F13),MONTH('Calendario F'!$F13),DAY('Calendario F'!$F13)))</f>
        <v>46313</v>
      </c>
      <c r="F143" s="164" t="n">
        <f aca="false">IF($B143="","",TIME(HOUR('Calendario F'!$F13)+2,MINUTE('Calendario F'!$F13),0))</f>
        <v>0.5625</v>
      </c>
      <c r="G143" s="162" t="str">
        <f aca="false">IF($B143="","",'Calendario F'!$B14)</f>
        <v>PalaAntilopi, Via dello Sport 1, Antilopiopoli AI</v>
      </c>
      <c r="H143" s="162" t="str">
        <f aca="false">IF($B143="","",Campionato!$D$1&amp;" "&amp;Campionato!$D$5)</f>
        <v>Campionato Baskin Demo - ESEMPIO COMPILATO 64 Squadre 2026/2027</v>
      </c>
      <c r="I143" s="162"/>
    </row>
    <row r="144" customFormat="false" ht="95.5" hidden="false" customHeight="false" outlineLevel="0" collapsed="false">
      <c r="A144" s="162" t="str">
        <f aca="true">IF($B144="","","BEGIN:VEVENT
DTSTAMP:"&amp;TEXT(NOW(),"yyyymmdd")&amp;"T000001Z
UID:evt143@ClaudeCoworkBaskin
DTSTART;TZID=Europe/Rome:"&amp;TEXT($C144,"yyyymmdd")&amp;"T"&amp;TEXT($D144,"hhmmss")&amp;"
DTEND;TZID=Europe/Rome:"&amp;TEXT($E144,"yyyymmdd")&amp;"T"&amp;TEXT($F144,"hhmmss")&amp;"
SUMMARY:"&amp;$B144&amp;"
LOCATION:"&amp;$G144&amp;"
DESCRIPTION:"&amp;$H144&amp;"
END:VEVENT")</f>
        <v>BEGIN:VEVENT
DTSTAMP:20260907T000001Z
UID:evt143@ClaudeCoworkBaskin
DTSTART;TZID=Europe/Rome:20261018T150000
DTEND;TZID=Europe/Rome:20261018T170000
SUMMARY:Camaleonti Caotici vs Foche Frenetiche
LOCATION:PalaAntilopi, Via dello Sport 1, Antilopiopoli AI
DESCRIPTION:Campionato Baskin Demo - ESEMPIO COMPILATO 64 Squadre 2026/2027
END:VEVENT</v>
      </c>
      <c r="B144" s="162" t="str">
        <f aca="false">IF('Calendario F'!$B16="","",'Calendario F'!$B16&amp;" vs "&amp;'Calendario F'!$D16)</f>
        <v>Camaleonti Caotici vs Foche Frenetiche</v>
      </c>
      <c r="C144" s="163" t="n">
        <f aca="false">IF($B144="","",DATE(YEAR('Calendario F'!$F16),MONTH('Calendario F'!$F16),DAY('Calendario F'!$F16)))</f>
        <v>46313</v>
      </c>
      <c r="D144" s="164" t="n">
        <f aca="false">IF($B144="","",TIME(HOUR('Calendario F'!$F16),MINUTE('Calendario F'!$F16),0))</f>
        <v>0.625</v>
      </c>
      <c r="E144" s="163" t="n">
        <f aca="false">IF($B144="","",DATE(YEAR('Calendario F'!$F16),MONTH('Calendario F'!$F16),DAY('Calendario F'!$F16)))</f>
        <v>46313</v>
      </c>
      <c r="F144" s="164" t="n">
        <f aca="false">IF($B144="","",TIME(HOUR('Calendario F'!$F16)+2,MINUTE('Calendario F'!$F16),0))</f>
        <v>0.708333333333333</v>
      </c>
      <c r="G144" s="162" t="str">
        <f aca="false">IF($B144="","",'Calendario F'!$B17)</f>
        <v>PalaAntilopi, Via dello Sport 1, Antilopiopoli AI</v>
      </c>
      <c r="H144" s="162" t="str">
        <f aca="false">IF($B144="","",Campionato!$D$1&amp;" "&amp;Campionato!$D$5)</f>
        <v>Campionato Baskin Demo - ESEMPIO COMPILATO 64 Squadre 2026/2027</v>
      </c>
      <c r="I144" s="162"/>
    </row>
    <row r="145" customFormat="false" ht="95.5" hidden="false" customHeight="false" outlineLevel="0" collapsed="false">
      <c r="A145" s="162" t="str">
        <f aca="true">IF($B145="","","BEGIN:VEVENT
DTSTAMP:"&amp;TEXT(NOW(),"yyyymmdd")&amp;"T000001Z
UID:evt144@ClaudeCoworkBaskin
DTSTART;TZID=Europe/Rome:"&amp;TEXT($C145,"yyyymmdd")&amp;"T"&amp;TEXT($D145,"hhmmss")&amp;"
DTEND;TZID=Europe/Rome:"&amp;TEXT($E145,"yyyymmdd")&amp;"T"&amp;TEXT($F145,"hhmmss")&amp;"
SUMMARY:"&amp;$B145&amp;"
LOCATION:"&amp;$G145&amp;"
DESCRIPTION:"&amp;$H145&amp;"
END:VEVENT")</f>
        <v>BEGIN:VEVENT
DTSTAMP:20260907T000001Z
UID:evt144@ClaudeCoworkBaskin
DTSTART;TZID=Europe/Rome:20261018T170000
DTEND;TZID=Europe/Rome:20261018T190000
SUMMARY:Emu Energici vs Donnole Determinate
LOCATION:PalaAntilopi, Via dello Sport 1, Antilopiopoli AI
DESCRIPTION:Campionato Baskin Demo - ESEMPIO COMPILATO 64 Squadre 2026/2027
END:VEVENT</v>
      </c>
      <c r="B145" s="162" t="str">
        <f aca="false">IF('Calendario F'!$B19="","",'Calendario F'!$B19&amp;" vs "&amp;'Calendario F'!$D19)</f>
        <v>Emu Energici vs Donnole Determinate</v>
      </c>
      <c r="C145" s="163" t="n">
        <f aca="false">IF($B145="","",DATE(YEAR('Calendario F'!$F19),MONTH('Calendario F'!$F19),DAY('Calendario F'!$F19)))</f>
        <v>46313</v>
      </c>
      <c r="D145" s="164" t="n">
        <f aca="false">IF($B145="","",TIME(HOUR('Calendario F'!$F19),MINUTE('Calendario F'!$F19),0))</f>
        <v>0.708333333333333</v>
      </c>
      <c r="E145" s="163" t="n">
        <f aca="false">IF($B145="","",DATE(YEAR('Calendario F'!$F19),MONTH('Calendario F'!$F19),DAY('Calendario F'!$F19)))</f>
        <v>46313</v>
      </c>
      <c r="F145" s="164" t="n">
        <f aca="false">IF($B145="","",TIME(HOUR('Calendario F'!$F19)+2,MINUTE('Calendario F'!$F19),0))</f>
        <v>0.791666666666667</v>
      </c>
      <c r="G145" s="162" t="str">
        <f aca="false">IF($B145="","",'Calendario F'!$B20)</f>
        <v>PalaAntilopi, Via dello Sport 1, Antilopiopoli AI</v>
      </c>
      <c r="H145" s="162" t="str">
        <f aca="false">IF($B145="","",Campionato!$D$1&amp;" "&amp;Campionato!$D$5)</f>
        <v>Campionato Baskin Demo - ESEMPIO COMPILATO 64 Squadre 2026/2027</v>
      </c>
      <c r="I145" s="162"/>
    </row>
    <row r="146" customFormat="false" ht="95.5" hidden="false" customHeight="false" outlineLevel="0" collapsed="false">
      <c r="A146" s="162" t="str">
        <f aca="true">IF($B146="","","BEGIN:VEVENT
DTSTAMP:"&amp;TEXT(NOW(),"yyyymmdd")&amp;"T000001Z
UID:evt145@ClaudeCoworkBaskin
DTSTART;TZID=Europe/Rome:"&amp;TEXT($C146,"yyyymmdd")&amp;"T"&amp;TEXT($D146,"hhmmss")&amp;"
DTEND;TZID=Europe/Rome:"&amp;TEXT($E146,"yyyymmdd")&amp;"T"&amp;TEXT($F146,"hhmmss")&amp;"
SUMMARY:"&amp;$B146&amp;"
LOCATION:"&amp;$G146&amp;"
DESCRIPTION:"&amp;$H146&amp;"
END:VEVENT")</f>
        <v>BEGIN:VEVENT
DTSTAMP:20260907T000001Z
UID:evt145@ClaudeCoworkBaskin
DTSTART;TZID=Europe/Rome:20261108T093000
DTEND;TZID=Europe/Rome:20261108T113000
SUMMARY:Gufi Golosi vs Antilopi Ardite
LOCATION:PalaBalene, Via dello Sport 2, Baleneopoli BE
DESCRIPTION:Campionato Baskin Demo - ESEMPIO COMPILATO 64 Squadre 2026/2027
END:VEVENT</v>
      </c>
      <c r="B146" s="162" t="str">
        <f aca="false">IF('Calendario F'!$B24="","",'Calendario F'!$B24&amp;" vs "&amp;'Calendario F'!$D24)</f>
        <v>Gufi Golosi vs Antilopi Ardite</v>
      </c>
      <c r="C146" s="163" t="n">
        <f aca="false">IF($B146="","",DATE(YEAR('Calendario F'!$F24),MONTH('Calendario F'!$F24),DAY('Calendario F'!$F24)))</f>
        <v>46334</v>
      </c>
      <c r="D146" s="164" t="n">
        <f aca="false">IF($B146="","",TIME(HOUR('Calendario F'!$F24),MINUTE('Calendario F'!$F24),0))</f>
        <v>0.395833333333333</v>
      </c>
      <c r="E146" s="163" t="n">
        <f aca="false">IF($B146="","",DATE(YEAR('Calendario F'!$F24),MONTH('Calendario F'!$F24),DAY('Calendario F'!$F24)))</f>
        <v>46334</v>
      </c>
      <c r="F146" s="164" t="n">
        <f aca="false">IF($B146="","",TIME(HOUR('Calendario F'!$F24)+2,MINUTE('Calendario F'!$F24),0))</f>
        <v>0.479166666666667</v>
      </c>
      <c r="G146" s="162" t="str">
        <f aca="false">IF($B146="","",'Calendario F'!$B25)</f>
        <v>PalaBalene, Via dello Sport 2, Baleneopoli BE</v>
      </c>
      <c r="H146" s="162" t="str">
        <f aca="false">IF($B146="","",Campionato!$D$1&amp;" "&amp;Campionato!$D$5)</f>
        <v>Campionato Baskin Demo - ESEMPIO COMPILATO 64 Squadre 2026/2027</v>
      </c>
      <c r="I146" s="162"/>
    </row>
    <row r="147" customFormat="false" ht="95.5" hidden="false" customHeight="false" outlineLevel="0" collapsed="false">
      <c r="A147" s="162" t="str">
        <f aca="true">IF($B147="","","BEGIN:VEVENT
DTSTAMP:"&amp;TEXT(NOW(),"yyyymmdd")&amp;"T000001Z
UID:evt146@ClaudeCoworkBaskin
DTSTART;TZID=Europe/Rome:"&amp;TEXT($C147,"yyyymmdd")&amp;"T"&amp;TEXT($D147,"hhmmss")&amp;"
DTEND;TZID=Europe/Rome:"&amp;TEXT($E147,"yyyymmdd")&amp;"T"&amp;TEXT($F147,"hhmmss")&amp;"
SUMMARY:"&amp;$B147&amp;"
LOCATION:"&amp;$G147&amp;"
DESCRIPTION:"&amp;$H147&amp;"
END:VEVENT")</f>
        <v>BEGIN:VEVENT
DTSTAMP:20260907T000001Z
UID:evt146@ClaudeCoworkBaskin
DTSTART;TZID=Europe/Rome:20261108T113000
DTEND;TZID=Europe/Rome:20261108T133000
SUMMARY:Iene Ilari vs Foche Frenetiche
LOCATION:PalaBalene, Via dello Sport 2, Baleneopoli BE
DESCRIPTION:Campionato Baskin Demo - ESEMPIO COMPILATO 64 Squadre 2026/2027
END:VEVENT</v>
      </c>
      <c r="B147" s="162" t="str">
        <f aca="false">IF('Calendario F'!$B27="","",'Calendario F'!$B27&amp;" vs "&amp;'Calendario F'!$D27)</f>
        <v>Iene Ilari vs Foche Frenetiche</v>
      </c>
      <c r="C147" s="163" t="n">
        <f aca="false">IF($B147="","",DATE(YEAR('Calendario F'!$F27),MONTH('Calendario F'!$F27),DAY('Calendario F'!$F27)))</f>
        <v>46334</v>
      </c>
      <c r="D147" s="164" t="n">
        <f aca="false">IF($B147="","",TIME(HOUR('Calendario F'!$F27),MINUTE('Calendario F'!$F27),0))</f>
        <v>0.479166666666667</v>
      </c>
      <c r="E147" s="163" t="n">
        <f aca="false">IF($B147="","",DATE(YEAR('Calendario F'!$F27),MONTH('Calendario F'!$F27),DAY('Calendario F'!$F27)))</f>
        <v>46334</v>
      </c>
      <c r="F147" s="164" t="n">
        <f aca="false">IF($B147="","",TIME(HOUR('Calendario F'!$F27)+2,MINUTE('Calendario F'!$F27),0))</f>
        <v>0.5625</v>
      </c>
      <c r="G147" s="162" t="str">
        <f aca="false">IF($B147="","",'Calendario F'!$B28)</f>
        <v>PalaBalene, Via dello Sport 2, Baleneopoli BE</v>
      </c>
      <c r="H147" s="162" t="str">
        <f aca="false">IF($B147="","",Campionato!$D$1&amp;" "&amp;Campionato!$D$5)</f>
        <v>Campionato Baskin Demo - ESEMPIO COMPILATO 64 Squadre 2026/2027</v>
      </c>
      <c r="I147" s="162"/>
    </row>
    <row r="148" customFormat="false" ht="95.5" hidden="false" customHeight="false" outlineLevel="0" collapsed="false">
      <c r="A148" s="162" t="str">
        <f aca="true">IF($B148="","","BEGIN:VEVENT
DTSTAMP:"&amp;TEXT(NOW(),"yyyymmdd")&amp;"T000001Z
UID:evt147@ClaudeCoworkBaskin
DTSTART;TZID=Europe/Rome:"&amp;TEXT($C148,"yyyymmdd")&amp;"T"&amp;TEXT($D148,"hhmmss")&amp;"
DTEND;TZID=Europe/Rome:"&amp;TEXT($E148,"yyyymmdd")&amp;"T"&amp;TEXT($F148,"hhmmss")&amp;"
SUMMARY:"&amp;$B148&amp;"
LOCATION:"&amp;$G148&amp;"
DESCRIPTION:"&amp;$H148&amp;"
END:VEVENT")</f>
        <v>BEGIN:VEVENT
DTSTAMP:20260907T000001Z
UID:evt147@ClaudeCoworkBaskin
DTSTART;TZID=Europe/Rome:20261108T150000
DTEND;TZID=Europe/Rome:20261108T170000
SUMMARY:Emu Energici vs Balene Bizzarre
LOCATION:PalaBalene, Via dello Sport 2, Baleneopoli BE
DESCRIPTION:Campionato Baskin Demo - ESEMPIO COMPILATO 64 Squadre 2026/2027
END:VEVENT</v>
      </c>
      <c r="B148" s="162" t="str">
        <f aca="false">IF('Calendario F'!$B30="","",'Calendario F'!$B30&amp;" vs "&amp;'Calendario F'!$D30)</f>
        <v>Emu Energici vs Balene Bizzarre</v>
      </c>
      <c r="C148" s="163" t="n">
        <f aca="false">IF($B148="","",DATE(YEAR('Calendario F'!$F30),MONTH('Calendario F'!$F30),DAY('Calendario F'!$F30)))</f>
        <v>46334</v>
      </c>
      <c r="D148" s="164" t="n">
        <f aca="false">IF($B148="","",TIME(HOUR('Calendario F'!$F30),MINUTE('Calendario F'!$F30),0))</f>
        <v>0.625</v>
      </c>
      <c r="E148" s="163" t="n">
        <f aca="false">IF($B148="","",DATE(YEAR('Calendario F'!$F30),MONTH('Calendario F'!$F30),DAY('Calendario F'!$F30)))</f>
        <v>46334</v>
      </c>
      <c r="F148" s="164" t="n">
        <f aca="false">IF($B148="","",TIME(HOUR('Calendario F'!$F30)+2,MINUTE('Calendario F'!$F30),0))</f>
        <v>0.708333333333333</v>
      </c>
      <c r="G148" s="162" t="str">
        <f aca="false">IF($B148="","",'Calendario F'!$B31)</f>
        <v>PalaBalene, Via dello Sport 2, Baleneopoli BE</v>
      </c>
      <c r="H148" s="162" t="str">
        <f aca="false">IF($B148="","",Campionato!$D$1&amp;" "&amp;Campionato!$D$5)</f>
        <v>Campionato Baskin Demo - ESEMPIO COMPILATO 64 Squadre 2026/2027</v>
      </c>
      <c r="I148" s="162"/>
    </row>
    <row r="149" customFormat="false" ht="95.5" hidden="false" customHeight="false" outlineLevel="0" collapsed="false">
      <c r="A149" s="162" t="str">
        <f aca="true">IF($B149="","","BEGIN:VEVENT
DTSTAMP:"&amp;TEXT(NOW(),"yyyymmdd")&amp;"T000001Z
UID:evt148@ClaudeCoworkBaskin
DTSTART;TZID=Europe/Rome:"&amp;TEXT($C149,"yyyymmdd")&amp;"T"&amp;TEXT($D149,"hhmmss")&amp;"
DTEND;TZID=Europe/Rome:"&amp;TEXT($E149,"yyyymmdd")&amp;"T"&amp;TEXT($F149,"hhmmss")&amp;"
SUMMARY:"&amp;$B149&amp;"
LOCATION:"&amp;$G149&amp;"
DESCRIPTION:"&amp;$H149&amp;"
END:VEVENT")</f>
        <v>BEGIN:VEVENT
DTSTAMP:20260907T000001Z
UID:evt148@ClaudeCoworkBaskin
DTSTART;TZID=Europe/Rome:20261108T170000
DTEND;TZID=Europe/Rome:20261108T190000
SUMMARY:Camaleonti Caotici vs Donnole Determinate
LOCATION:PalaBalene, Via dello Sport 2, Baleneopoli BE
DESCRIPTION:Campionato Baskin Demo - ESEMPIO COMPILATO 64 Squadre 2026/2027
END:VEVENT</v>
      </c>
      <c r="B149" s="162" t="str">
        <f aca="false">IF('Calendario F'!$B33="","",'Calendario F'!$B33&amp;" vs "&amp;'Calendario F'!$D33)</f>
        <v>Camaleonti Caotici vs Donnole Determinate</v>
      </c>
      <c r="C149" s="163" t="n">
        <f aca="false">IF($B149="","",DATE(YEAR('Calendario F'!$F33),MONTH('Calendario F'!$F33),DAY('Calendario F'!$F33)))</f>
        <v>46334</v>
      </c>
      <c r="D149" s="164" t="n">
        <f aca="false">IF($B149="","",TIME(HOUR('Calendario F'!$F33),MINUTE('Calendario F'!$F33),0))</f>
        <v>0.708333333333333</v>
      </c>
      <c r="E149" s="163" t="n">
        <f aca="false">IF($B149="","",DATE(YEAR('Calendario F'!$F33),MONTH('Calendario F'!$F33),DAY('Calendario F'!$F33)))</f>
        <v>46334</v>
      </c>
      <c r="F149" s="164" t="n">
        <f aca="false">IF($B149="","",TIME(HOUR('Calendario F'!$F33)+2,MINUTE('Calendario F'!$F33),0))</f>
        <v>0.791666666666667</v>
      </c>
      <c r="G149" s="162" t="str">
        <f aca="false">IF($B149="","",'Calendario F'!$B34)</f>
        <v>PalaBalene, Via dello Sport 2, Baleneopoli BE</v>
      </c>
      <c r="H149" s="162" t="str">
        <f aca="false">IF($B149="","",Campionato!$D$1&amp;" "&amp;Campionato!$D$5)</f>
        <v>Campionato Baskin Demo - ESEMPIO COMPILATO 64 Squadre 2026/2027</v>
      </c>
      <c r="I149" s="162"/>
    </row>
    <row r="150" customFormat="false" ht="95.5" hidden="false" customHeight="false" outlineLevel="0" collapsed="false">
      <c r="A150" s="162" t="str">
        <f aca="true">IF($B150="","","BEGIN:VEVENT
DTSTAMP:"&amp;TEXT(NOW(),"yyyymmdd")&amp;"T000001Z
UID:evt149@ClaudeCoworkBaskin
DTSTART;TZID=Europe/Rome:"&amp;TEXT($C150,"yyyymmdd")&amp;"T"&amp;TEXT($D150,"hhmmss")&amp;"
DTEND;TZID=Europe/Rome:"&amp;TEXT($E150,"yyyymmdd")&amp;"T"&amp;TEXT($F150,"hhmmss")&amp;"
SUMMARY:"&amp;$B150&amp;"
LOCATION:"&amp;$G150&amp;"
DESCRIPTION:"&amp;$H150&amp;"
END:VEVENT")</f>
        <v>BEGIN:VEVENT
DTSTAMP:20260907T000001Z
UID:evt149@ClaudeCoworkBaskin
DTSTART;TZID=Europe/Rome:20261129T093000
DTEND;TZID=Europe/Rome:20261129T113000
SUMMARY:Antilopi Ardite vs Foche Frenetiche
LOCATION:PalaCamaleonti, Via dello Sport 3, Camaleontiopoli CI
DESCRIPTION:Campionato Baskin Demo - ESEMPIO COMPILATO 64 Squadre 2026/2027
END:VEVENT</v>
      </c>
      <c r="B150" s="162" t="str">
        <f aca="false">IF('Calendario F'!$B38="","",'Calendario F'!$B38&amp;" vs "&amp;'Calendario F'!$D38)</f>
        <v>Antilopi Ardite vs Foche Frenetiche</v>
      </c>
      <c r="C150" s="163" t="n">
        <f aca="false">IF($B150="","",DATE(YEAR('Calendario F'!$F38),MONTH('Calendario F'!$F38),DAY('Calendario F'!$F38)))</f>
        <v>46355</v>
      </c>
      <c r="D150" s="164" t="n">
        <f aca="false">IF($B150="","",TIME(HOUR('Calendario F'!$F38),MINUTE('Calendario F'!$F38),0))</f>
        <v>0.395833333333333</v>
      </c>
      <c r="E150" s="163" t="n">
        <f aca="false">IF($B150="","",DATE(YEAR('Calendario F'!$F38),MONTH('Calendario F'!$F38),DAY('Calendario F'!$F38)))</f>
        <v>46355</v>
      </c>
      <c r="F150" s="164" t="n">
        <f aca="false">IF($B150="","",TIME(HOUR('Calendario F'!$F38)+2,MINUTE('Calendario F'!$F38),0))</f>
        <v>0.479166666666667</v>
      </c>
      <c r="G150" s="162" t="str">
        <f aca="false">IF($B150="","",'Calendario F'!$B39)</f>
        <v>PalaCamaleonti, Via dello Sport 3, Camaleontiopoli CI</v>
      </c>
      <c r="H150" s="162" t="str">
        <f aca="false">IF($B150="","",Campionato!$D$1&amp;" "&amp;Campionato!$D$5)</f>
        <v>Campionato Baskin Demo - ESEMPIO COMPILATO 64 Squadre 2026/2027</v>
      </c>
      <c r="I150" s="162"/>
    </row>
    <row r="151" customFormat="false" ht="95.5" hidden="false" customHeight="false" outlineLevel="0" collapsed="false">
      <c r="A151" s="162" t="str">
        <f aca="true">IF($B151="","","BEGIN:VEVENT
DTSTAMP:"&amp;TEXT(NOW(),"yyyymmdd")&amp;"T000001Z
UID:evt150@ClaudeCoworkBaskin
DTSTART;TZID=Europe/Rome:"&amp;TEXT($C151,"yyyymmdd")&amp;"T"&amp;TEXT($D151,"hhmmss")&amp;"
DTEND;TZID=Europe/Rome:"&amp;TEXT($E151,"yyyymmdd")&amp;"T"&amp;TEXT($F151,"hhmmss")&amp;"
SUMMARY:"&amp;$B151&amp;"
LOCATION:"&amp;$G151&amp;"
DESCRIPTION:"&amp;$H151&amp;"
END:VEVENT")</f>
        <v>BEGIN:VEVENT
DTSTAMP:20260907T000001Z
UID:evt150@ClaudeCoworkBaskin
DTSTART;TZID=Europe/Rome:20261129T113000
DTEND;TZID=Europe/Rome:20261129T133000
SUMMARY:Emu Energici vs Gufi Golosi
LOCATION:PalaCamaleonti, Via dello Sport 3, Camaleontiopoli CI
DESCRIPTION:Campionato Baskin Demo - ESEMPIO COMPILATO 64 Squadre 2026/2027
END:VEVENT</v>
      </c>
      <c r="B151" s="162" t="str">
        <f aca="false">IF('Calendario F'!$B41="","",'Calendario F'!$B41&amp;" vs "&amp;'Calendario F'!$D41)</f>
        <v>Emu Energici vs Gufi Golosi</v>
      </c>
      <c r="C151" s="163" t="n">
        <f aca="false">IF($B151="","",DATE(YEAR('Calendario F'!$F41),MONTH('Calendario F'!$F41),DAY('Calendario F'!$F41)))</f>
        <v>46355</v>
      </c>
      <c r="D151" s="164" t="n">
        <f aca="false">IF($B151="","",TIME(HOUR('Calendario F'!$F41),MINUTE('Calendario F'!$F41),0))</f>
        <v>0.479166666666667</v>
      </c>
      <c r="E151" s="163" t="n">
        <f aca="false">IF($B151="","",DATE(YEAR('Calendario F'!$F41),MONTH('Calendario F'!$F41),DAY('Calendario F'!$F41)))</f>
        <v>46355</v>
      </c>
      <c r="F151" s="164" t="n">
        <f aca="false">IF($B151="","",TIME(HOUR('Calendario F'!$F41)+2,MINUTE('Calendario F'!$F41),0))</f>
        <v>0.5625</v>
      </c>
      <c r="G151" s="162" t="str">
        <f aca="false">IF($B151="","",'Calendario F'!$B42)</f>
        <v>PalaCamaleonti, Via dello Sport 3, Camaleontiopoli CI</v>
      </c>
      <c r="H151" s="162" t="str">
        <f aca="false">IF($B151="","",Campionato!$D$1&amp;" "&amp;Campionato!$D$5)</f>
        <v>Campionato Baskin Demo - ESEMPIO COMPILATO 64 Squadre 2026/2027</v>
      </c>
      <c r="I151" s="162"/>
    </row>
    <row r="152" customFormat="false" ht="95.5" hidden="false" customHeight="false" outlineLevel="0" collapsed="false">
      <c r="A152" s="162" t="str">
        <f aca="true">IF($B152="","","BEGIN:VEVENT
DTSTAMP:"&amp;TEXT(NOW(),"yyyymmdd")&amp;"T000001Z
UID:evt151@ClaudeCoworkBaskin
DTSTART;TZID=Europe/Rome:"&amp;TEXT($C152,"yyyymmdd")&amp;"T"&amp;TEXT($D152,"hhmmss")&amp;"
DTEND;TZID=Europe/Rome:"&amp;TEXT($E152,"yyyymmdd")&amp;"T"&amp;TEXT($F152,"hhmmss")&amp;"
SUMMARY:"&amp;$B152&amp;"
LOCATION:"&amp;$G152&amp;"
DESCRIPTION:"&amp;$H152&amp;"
END:VEVENT")</f>
        <v>BEGIN:VEVENT
DTSTAMP:20260907T000001Z
UID:evt151@ClaudeCoworkBaskin
DTSTART;TZID=Europe/Rome:20261129T150000
DTEND;TZID=Europe/Rome:20261129T170000
SUMMARY:Iene Ilari vs Donnole Determinate
LOCATION:PalaCamaleonti, Via dello Sport 3, Camaleontiopoli CI
DESCRIPTION:Campionato Baskin Demo - ESEMPIO COMPILATO 64 Squadre 2026/2027
END:VEVENT</v>
      </c>
      <c r="B152" s="162" t="str">
        <f aca="false">IF('Calendario F'!$B44="","",'Calendario F'!$B44&amp;" vs "&amp;'Calendario F'!$D44)</f>
        <v>Iene Ilari vs Donnole Determinate</v>
      </c>
      <c r="C152" s="163" t="n">
        <f aca="false">IF($B152="","",DATE(YEAR('Calendario F'!$F44),MONTH('Calendario F'!$F44),DAY('Calendario F'!$F44)))</f>
        <v>46355</v>
      </c>
      <c r="D152" s="164" t="n">
        <f aca="false">IF($B152="","",TIME(HOUR('Calendario F'!$F44),MINUTE('Calendario F'!$F44),0))</f>
        <v>0.625</v>
      </c>
      <c r="E152" s="163" t="n">
        <f aca="false">IF($B152="","",DATE(YEAR('Calendario F'!$F44),MONTH('Calendario F'!$F44),DAY('Calendario F'!$F44)))</f>
        <v>46355</v>
      </c>
      <c r="F152" s="164" t="n">
        <f aca="false">IF($B152="","",TIME(HOUR('Calendario F'!$F44)+2,MINUTE('Calendario F'!$F44),0))</f>
        <v>0.708333333333333</v>
      </c>
      <c r="G152" s="162" t="str">
        <f aca="false">IF($B152="","",'Calendario F'!$B45)</f>
        <v>PalaCamaleonti, Via dello Sport 3, Camaleontiopoli CI</v>
      </c>
      <c r="H152" s="162" t="str">
        <f aca="false">IF($B152="","",Campionato!$D$1&amp;" "&amp;Campionato!$D$5)</f>
        <v>Campionato Baskin Demo - ESEMPIO COMPILATO 64 Squadre 2026/2027</v>
      </c>
      <c r="I152" s="162"/>
    </row>
    <row r="153" customFormat="false" ht="95.5" hidden="false" customHeight="false" outlineLevel="0" collapsed="false">
      <c r="A153" s="162" t="str">
        <f aca="true">IF($B153="","","BEGIN:VEVENT
DTSTAMP:"&amp;TEXT(NOW(),"yyyymmdd")&amp;"T000001Z
UID:evt152@ClaudeCoworkBaskin
DTSTART;TZID=Europe/Rome:"&amp;TEXT($C153,"yyyymmdd")&amp;"T"&amp;TEXT($D153,"hhmmss")&amp;"
DTEND;TZID=Europe/Rome:"&amp;TEXT($E153,"yyyymmdd")&amp;"T"&amp;TEXT($F153,"hhmmss")&amp;"
SUMMARY:"&amp;$B153&amp;"
LOCATION:"&amp;$G153&amp;"
DESCRIPTION:"&amp;$H153&amp;"
END:VEVENT")</f>
        <v>BEGIN:VEVENT
DTSTAMP:20260907T000001Z
UID:evt152@ClaudeCoworkBaskin
DTSTART;TZID=Europe/Rome:20261129T170000
DTEND;TZID=Europe/Rome:20261129T190000
SUMMARY:Camaleonti Caotici vs Balene Bizzarre
LOCATION:PalaCamaleonti, Via dello Sport 3, Camaleontiopoli CI
DESCRIPTION:Campionato Baskin Demo - ESEMPIO COMPILATO 64 Squadre 2026/2027
END:VEVENT</v>
      </c>
      <c r="B153" s="162" t="str">
        <f aca="false">IF('Calendario F'!$B47="","",'Calendario F'!$B47&amp;" vs "&amp;'Calendario F'!$D47)</f>
        <v>Camaleonti Caotici vs Balene Bizzarre</v>
      </c>
      <c r="C153" s="163" t="n">
        <f aca="false">IF($B153="","",DATE(YEAR('Calendario F'!$F47),MONTH('Calendario F'!$F47),DAY('Calendario F'!$F47)))</f>
        <v>46355</v>
      </c>
      <c r="D153" s="164" t="n">
        <f aca="false">IF($B153="","",TIME(HOUR('Calendario F'!$F47),MINUTE('Calendario F'!$F47),0))</f>
        <v>0.708333333333333</v>
      </c>
      <c r="E153" s="163" t="n">
        <f aca="false">IF($B153="","",DATE(YEAR('Calendario F'!$F47),MONTH('Calendario F'!$F47),DAY('Calendario F'!$F47)))</f>
        <v>46355</v>
      </c>
      <c r="F153" s="164" t="n">
        <f aca="false">IF($B153="","",TIME(HOUR('Calendario F'!$F47)+2,MINUTE('Calendario F'!$F47),0))</f>
        <v>0.791666666666667</v>
      </c>
      <c r="G153" s="162" t="str">
        <f aca="false">IF($B153="","",'Calendario F'!$B48)</f>
        <v>PalaCamaleonti, Via dello Sport 3, Camaleontiopoli CI</v>
      </c>
      <c r="H153" s="162" t="str">
        <f aca="false">IF($B153="","",Campionato!$D$1&amp;" "&amp;Campionato!$D$5)</f>
        <v>Campionato Baskin Demo - ESEMPIO COMPILATO 64 Squadre 2026/2027</v>
      </c>
      <c r="I153" s="162"/>
    </row>
    <row r="154" customFormat="false" ht="95.5" hidden="false" customHeight="false" outlineLevel="0" collapsed="false">
      <c r="A154" s="162" t="str">
        <f aca="true">IF($B154="","","BEGIN:VEVENT
DTSTAMP:"&amp;TEXT(NOW(),"yyyymmdd")&amp;"T000001Z
UID:evt153@ClaudeCoworkBaskin
DTSTART;TZID=Europe/Rome:"&amp;TEXT($C154,"yyyymmdd")&amp;"T"&amp;TEXT($D154,"hhmmss")&amp;"
DTEND;TZID=Europe/Rome:"&amp;TEXT($E154,"yyyymmdd")&amp;"T"&amp;TEXT($F154,"hhmmss")&amp;"
SUMMARY:"&amp;$B154&amp;"
LOCATION:"&amp;$G154&amp;"
DESCRIPTION:"&amp;$H154&amp;"
END:VEVENT")</f>
        <v>BEGIN:VEVENT
DTSTAMP:20260907T000001Z
UID:evt153@ClaudeCoworkBaskin
DTSTART;TZID=Europe/Rome:20261213T093000
DTEND;TZID=Europe/Rome:20261213T113000
SUMMARY:Emu Energici vs Antilopi Ardite
LOCATION:PalaDonnole, Via dello Sport 4, Donnoleopoli DE
DESCRIPTION:Campionato Baskin Demo - ESEMPIO COMPILATO 64 Squadre 2026/2027
END:VEVENT</v>
      </c>
      <c r="B154" s="162" t="str">
        <f aca="false">IF('Calendario F'!$B52="","",'Calendario F'!$B52&amp;" vs "&amp;'Calendario F'!$D52)</f>
        <v>Emu Energici vs Antilopi Ardite</v>
      </c>
      <c r="C154" s="163" t="n">
        <f aca="false">IF($B154="","",DATE(YEAR('Calendario F'!$F52),MONTH('Calendario F'!$F52),DAY('Calendario F'!$F52)))</f>
        <v>46369</v>
      </c>
      <c r="D154" s="164" t="n">
        <f aca="false">IF($B154="","",TIME(HOUR('Calendario F'!$F52),MINUTE('Calendario F'!$F52),0))</f>
        <v>0.395833333333333</v>
      </c>
      <c r="E154" s="163" t="n">
        <f aca="false">IF($B154="","",DATE(YEAR('Calendario F'!$F52),MONTH('Calendario F'!$F52),DAY('Calendario F'!$F52)))</f>
        <v>46369</v>
      </c>
      <c r="F154" s="164" t="n">
        <f aca="false">IF($B154="","",TIME(HOUR('Calendario F'!$F52)+2,MINUTE('Calendario F'!$F52),0))</f>
        <v>0.479166666666667</v>
      </c>
      <c r="G154" s="162" t="str">
        <f aca="false">IF($B154="","",'Calendario F'!$B53)</f>
        <v>PalaDonnole, Via dello Sport 4, Donnoleopoli DE</v>
      </c>
      <c r="H154" s="162" t="str">
        <f aca="false">IF($B154="","",Campionato!$D$1&amp;" "&amp;Campionato!$D$5)</f>
        <v>Campionato Baskin Demo - ESEMPIO COMPILATO 64 Squadre 2026/2027</v>
      </c>
      <c r="I154" s="162"/>
    </row>
    <row r="155" customFormat="false" ht="95.5" hidden="false" customHeight="false" outlineLevel="0" collapsed="false">
      <c r="A155" s="162" t="str">
        <f aca="true">IF($B155="","","BEGIN:VEVENT
DTSTAMP:"&amp;TEXT(NOW(),"yyyymmdd")&amp;"T000001Z
UID:evt154@ClaudeCoworkBaskin
DTSTART;TZID=Europe/Rome:"&amp;TEXT($C155,"yyyymmdd")&amp;"T"&amp;TEXT($D155,"hhmmss")&amp;"
DTEND;TZID=Europe/Rome:"&amp;TEXT($E155,"yyyymmdd")&amp;"T"&amp;TEXT($F155,"hhmmss")&amp;"
SUMMARY:"&amp;$B155&amp;"
LOCATION:"&amp;$G155&amp;"
DESCRIPTION:"&amp;$H155&amp;"
END:VEVENT")</f>
        <v>BEGIN:VEVENT
DTSTAMP:20260907T000001Z
UID:evt154@ClaudeCoworkBaskin
DTSTART;TZID=Europe/Rome:20261213T113000
DTEND;TZID=Europe/Rome:20261213T133000
SUMMARY:Foche Frenetiche vs Donnole Determinate
LOCATION:PalaDonnole, Via dello Sport 4, Donnoleopoli DE
DESCRIPTION:Campionato Baskin Demo - ESEMPIO COMPILATO 64 Squadre 2026/2027
END:VEVENT</v>
      </c>
      <c r="B155" s="162" t="str">
        <f aca="false">IF('Calendario F'!$B55="","",'Calendario F'!$B55&amp;" vs "&amp;'Calendario F'!$D55)</f>
        <v>Foche Frenetiche vs Donnole Determinate</v>
      </c>
      <c r="C155" s="163" t="n">
        <f aca="false">IF($B155="","",DATE(YEAR('Calendario F'!$F55),MONTH('Calendario F'!$F55),DAY('Calendario F'!$F55)))</f>
        <v>46369</v>
      </c>
      <c r="D155" s="164" t="n">
        <f aca="false">IF($B155="","",TIME(HOUR('Calendario F'!$F55),MINUTE('Calendario F'!$F55),0))</f>
        <v>0.479166666666667</v>
      </c>
      <c r="E155" s="163" t="n">
        <f aca="false">IF($B155="","",DATE(YEAR('Calendario F'!$F55),MONTH('Calendario F'!$F55),DAY('Calendario F'!$F55)))</f>
        <v>46369</v>
      </c>
      <c r="F155" s="164" t="n">
        <f aca="false">IF($B155="","",TIME(HOUR('Calendario F'!$F55)+2,MINUTE('Calendario F'!$F55),0))</f>
        <v>0.5625</v>
      </c>
      <c r="G155" s="162" t="str">
        <f aca="false">IF($B155="","",'Calendario F'!$B56)</f>
        <v>PalaDonnole, Via dello Sport 4, Donnoleopoli DE</v>
      </c>
      <c r="H155" s="162" t="str">
        <f aca="false">IF($B155="","",Campionato!$D$1&amp;" "&amp;Campionato!$D$5)</f>
        <v>Campionato Baskin Demo - ESEMPIO COMPILATO 64 Squadre 2026/2027</v>
      </c>
      <c r="I155" s="162"/>
    </row>
    <row r="156" customFormat="false" ht="95.5" hidden="false" customHeight="false" outlineLevel="0" collapsed="false">
      <c r="A156" s="162" t="str">
        <f aca="true">IF($B156="","","BEGIN:VEVENT
DTSTAMP:"&amp;TEXT(NOW(),"yyyymmdd")&amp;"T000001Z
UID:evt155@ClaudeCoworkBaskin
DTSTART;TZID=Europe/Rome:"&amp;TEXT($C156,"yyyymmdd")&amp;"T"&amp;TEXT($D156,"hhmmss")&amp;"
DTEND;TZID=Europe/Rome:"&amp;TEXT($E156,"yyyymmdd")&amp;"T"&amp;TEXT($F156,"hhmmss")&amp;"
SUMMARY:"&amp;$B156&amp;"
LOCATION:"&amp;$G156&amp;"
DESCRIPTION:"&amp;$H156&amp;"
END:VEVENT")</f>
        <v>BEGIN:VEVENT
DTSTAMP:20260907T000001Z
UID:evt155@ClaudeCoworkBaskin
DTSTART;TZID=Europe/Rome:20261213T150000
DTEND;TZID=Europe/Rome:20261213T170000
SUMMARY:Camaleonti Caotici vs Gufi Golosi
LOCATION:PalaDonnole, Via dello Sport 4, Donnoleopoli DE
DESCRIPTION:Campionato Baskin Demo - ESEMPIO COMPILATO 64 Squadre 2026/2027
END:VEVENT</v>
      </c>
      <c r="B156" s="162" t="str">
        <f aca="false">IF('Calendario F'!$B58="","",'Calendario F'!$B58&amp;" vs "&amp;'Calendario F'!$D58)</f>
        <v>Camaleonti Caotici vs Gufi Golosi</v>
      </c>
      <c r="C156" s="163" t="n">
        <f aca="false">IF($B156="","",DATE(YEAR('Calendario F'!$F58),MONTH('Calendario F'!$F58),DAY('Calendario F'!$F58)))</f>
        <v>46369</v>
      </c>
      <c r="D156" s="164" t="n">
        <f aca="false">IF($B156="","",TIME(HOUR('Calendario F'!$F58),MINUTE('Calendario F'!$F58),0))</f>
        <v>0.625</v>
      </c>
      <c r="E156" s="163" t="n">
        <f aca="false">IF($B156="","",DATE(YEAR('Calendario F'!$F58),MONTH('Calendario F'!$F58),DAY('Calendario F'!$F58)))</f>
        <v>46369</v>
      </c>
      <c r="F156" s="164" t="n">
        <f aca="false">IF($B156="","",TIME(HOUR('Calendario F'!$F58)+2,MINUTE('Calendario F'!$F58),0))</f>
        <v>0.708333333333333</v>
      </c>
      <c r="G156" s="162" t="str">
        <f aca="false">IF($B156="","",'Calendario F'!$B59)</f>
        <v>PalaDonnole, Via dello Sport 4, Donnoleopoli DE</v>
      </c>
      <c r="H156" s="162" t="str">
        <f aca="false">IF($B156="","",Campionato!$D$1&amp;" "&amp;Campionato!$D$5)</f>
        <v>Campionato Baskin Demo - ESEMPIO COMPILATO 64 Squadre 2026/2027</v>
      </c>
      <c r="I156" s="162"/>
    </row>
    <row r="157" customFormat="false" ht="95.5" hidden="false" customHeight="false" outlineLevel="0" collapsed="false">
      <c r="A157" s="162" t="str">
        <f aca="true">IF($B157="","","BEGIN:VEVENT
DTSTAMP:"&amp;TEXT(NOW(),"yyyymmdd")&amp;"T000001Z
UID:evt156@ClaudeCoworkBaskin
DTSTART;TZID=Europe/Rome:"&amp;TEXT($C157,"yyyymmdd")&amp;"T"&amp;TEXT($D157,"hhmmss")&amp;"
DTEND;TZID=Europe/Rome:"&amp;TEXT($E157,"yyyymmdd")&amp;"T"&amp;TEXT($F157,"hhmmss")&amp;"
SUMMARY:"&amp;$B157&amp;"
LOCATION:"&amp;$G157&amp;"
DESCRIPTION:"&amp;$H157&amp;"
END:VEVENT")</f>
        <v>BEGIN:VEVENT
DTSTAMP:20260907T000001Z
UID:evt156@ClaudeCoworkBaskin
DTSTART;TZID=Europe/Rome:20261213T170000
DTEND;TZID=Europe/Rome:20261213T190000
SUMMARY:Iene Ilari vs Balene Bizzarre
LOCATION:PalaDonnole, Via dello Sport 4, Donnoleopoli DE
DESCRIPTION:Campionato Baskin Demo - ESEMPIO COMPILATO 64 Squadre 2026/2027
END:VEVENT</v>
      </c>
      <c r="B157" s="162" t="str">
        <f aca="false">IF('Calendario F'!$B61="","",'Calendario F'!$B61&amp;" vs "&amp;'Calendario F'!$D61)</f>
        <v>Iene Ilari vs Balene Bizzarre</v>
      </c>
      <c r="C157" s="163" t="n">
        <f aca="false">IF($B157="","",DATE(YEAR('Calendario F'!$F61),MONTH('Calendario F'!$F61),DAY('Calendario F'!$F61)))</f>
        <v>46369</v>
      </c>
      <c r="D157" s="164" t="n">
        <f aca="false">IF($B157="","",TIME(HOUR('Calendario F'!$F61),MINUTE('Calendario F'!$F61),0))</f>
        <v>0.708333333333333</v>
      </c>
      <c r="E157" s="163" t="n">
        <f aca="false">IF($B157="","",DATE(YEAR('Calendario F'!$F61),MONTH('Calendario F'!$F61),DAY('Calendario F'!$F61)))</f>
        <v>46369</v>
      </c>
      <c r="F157" s="164" t="n">
        <f aca="false">IF($B157="","",TIME(HOUR('Calendario F'!$F61)+2,MINUTE('Calendario F'!$F61),0))</f>
        <v>0.791666666666667</v>
      </c>
      <c r="G157" s="162" t="str">
        <f aca="false">IF($B157="","",'Calendario F'!$B62)</f>
        <v>PalaDonnole, Via dello Sport 4, Donnoleopoli DE</v>
      </c>
      <c r="H157" s="162" t="str">
        <f aca="false">IF($B157="","",Campionato!$D$1&amp;" "&amp;Campionato!$D$5)</f>
        <v>Campionato Baskin Demo - ESEMPIO COMPILATO 64 Squadre 2026/2027</v>
      </c>
      <c r="I157" s="162"/>
    </row>
    <row r="158" customFormat="false" ht="95.5" hidden="false" customHeight="false" outlineLevel="0" collapsed="false">
      <c r="A158" s="162" t="str">
        <f aca="true">IF($B158="","","BEGIN:VEVENT
DTSTAMP:"&amp;TEXT(NOW(),"yyyymmdd")&amp;"T000001Z
UID:evt157@ClaudeCoworkBaskin
DTSTART;TZID=Europe/Rome:"&amp;TEXT($C158,"yyyymmdd")&amp;"T"&amp;TEXT($D158,"hhmmss")&amp;"
DTEND;TZID=Europe/Rome:"&amp;TEXT($E158,"yyyymmdd")&amp;"T"&amp;TEXT($F158,"hhmmss")&amp;"
SUMMARY:"&amp;$B158&amp;"
LOCATION:"&amp;$G158&amp;"
DESCRIPTION:"&amp;$H158&amp;"
END:VEVENT")</f>
        <v>BEGIN:VEVENT
DTSTAMP:20260907T000001Z
UID:evt157@ClaudeCoworkBaskin
DTSTART;TZID=Europe/Rome:20270124T093000
DTEND;TZID=Europe/Rome:20270124T113000
SUMMARY:Antilopi Ardite vs Donnole Determinate
LOCATION:PalaEmu, Via dello Sport 5, Emuopoli EU
DESCRIPTION:Campionato Baskin Demo - ESEMPIO COMPILATO 64 Squadre 2026/2027
END:VEVENT</v>
      </c>
      <c r="B158" s="162" t="str">
        <f aca="false">IF('Calendario F'!$B66="","",'Calendario F'!$B66&amp;" vs "&amp;'Calendario F'!$D66)</f>
        <v>Antilopi Ardite vs Donnole Determinate</v>
      </c>
      <c r="C158" s="163" t="n">
        <f aca="false">IF($B158="","",DATE(YEAR('Calendario F'!$F66),MONTH('Calendario F'!$F66),DAY('Calendario F'!$F66)))</f>
        <v>46411</v>
      </c>
      <c r="D158" s="164" t="n">
        <f aca="false">IF($B158="","",TIME(HOUR('Calendario F'!$F66),MINUTE('Calendario F'!$F66),0))</f>
        <v>0.395833333333333</v>
      </c>
      <c r="E158" s="163" t="n">
        <f aca="false">IF($B158="","",DATE(YEAR('Calendario F'!$F66),MONTH('Calendario F'!$F66),DAY('Calendario F'!$F66)))</f>
        <v>46411</v>
      </c>
      <c r="F158" s="164" t="n">
        <f aca="false">IF($B158="","",TIME(HOUR('Calendario F'!$F66)+2,MINUTE('Calendario F'!$F66),0))</f>
        <v>0.479166666666667</v>
      </c>
      <c r="G158" s="162" t="str">
        <f aca="false">IF($B158="","",'Calendario F'!$B67)</f>
        <v>PalaEmu, Via dello Sport 5, Emuopoli EU</v>
      </c>
      <c r="H158" s="162" t="str">
        <f aca="false">IF($B158="","",Campionato!$D$1&amp;" "&amp;Campionato!$D$5)</f>
        <v>Campionato Baskin Demo - ESEMPIO COMPILATO 64 Squadre 2026/2027</v>
      </c>
      <c r="I158" s="162"/>
    </row>
    <row r="159" customFormat="false" ht="95.5" hidden="false" customHeight="false" outlineLevel="0" collapsed="false">
      <c r="A159" s="162" t="str">
        <f aca="true">IF($B159="","","BEGIN:VEVENT
DTSTAMP:"&amp;TEXT(NOW(),"yyyymmdd")&amp;"T000001Z
UID:evt158@ClaudeCoworkBaskin
DTSTART;TZID=Europe/Rome:"&amp;TEXT($C159,"yyyymmdd")&amp;"T"&amp;TEXT($D159,"hhmmss")&amp;"
DTEND;TZID=Europe/Rome:"&amp;TEXT($E159,"yyyymmdd")&amp;"T"&amp;TEXT($F159,"hhmmss")&amp;"
SUMMARY:"&amp;$B159&amp;"
LOCATION:"&amp;$G159&amp;"
DESCRIPTION:"&amp;$H159&amp;"
END:VEVENT")</f>
        <v>BEGIN:VEVENT
DTSTAMP:20260907T000001Z
UID:evt158@ClaudeCoworkBaskin
DTSTART;TZID=Europe/Rome:20270124T113000
DTEND;TZID=Europe/Rome:20270124T133000
SUMMARY:Camaleonti Caotici vs Emu Energici
LOCATION:PalaEmu, Via dello Sport 5, Emuopoli EU
DESCRIPTION:Campionato Baskin Demo - ESEMPIO COMPILATO 64 Squadre 2026/2027
END:VEVENT</v>
      </c>
      <c r="B159" s="162" t="str">
        <f aca="false">IF('Calendario F'!$B69="","",'Calendario F'!$B69&amp;" vs "&amp;'Calendario F'!$D69)</f>
        <v>Camaleonti Caotici vs Emu Energici</v>
      </c>
      <c r="C159" s="163" t="n">
        <f aca="false">IF($B159="","",DATE(YEAR('Calendario F'!$F69),MONTH('Calendario F'!$F69),DAY('Calendario F'!$F69)))</f>
        <v>46411</v>
      </c>
      <c r="D159" s="164" t="n">
        <f aca="false">IF($B159="","",TIME(HOUR('Calendario F'!$F69),MINUTE('Calendario F'!$F69),0))</f>
        <v>0.479166666666667</v>
      </c>
      <c r="E159" s="163" t="n">
        <f aca="false">IF($B159="","",DATE(YEAR('Calendario F'!$F69),MONTH('Calendario F'!$F69),DAY('Calendario F'!$F69)))</f>
        <v>46411</v>
      </c>
      <c r="F159" s="164" t="n">
        <f aca="false">IF($B159="","",TIME(HOUR('Calendario F'!$F69)+2,MINUTE('Calendario F'!$F69),0))</f>
        <v>0.5625</v>
      </c>
      <c r="G159" s="162" t="str">
        <f aca="false">IF($B159="","",'Calendario F'!$B70)</f>
        <v>PalaEmu, Via dello Sport 5, Emuopoli EU</v>
      </c>
      <c r="H159" s="162" t="str">
        <f aca="false">IF($B159="","",Campionato!$D$1&amp;" "&amp;Campionato!$D$5)</f>
        <v>Campionato Baskin Demo - ESEMPIO COMPILATO 64 Squadre 2026/2027</v>
      </c>
      <c r="I159" s="162"/>
    </row>
    <row r="160" customFormat="false" ht="95.5" hidden="false" customHeight="false" outlineLevel="0" collapsed="false">
      <c r="A160" s="162" t="str">
        <f aca="true">IF($B160="","","BEGIN:VEVENT
DTSTAMP:"&amp;TEXT(NOW(),"yyyymmdd")&amp;"T000001Z
UID:evt159@ClaudeCoworkBaskin
DTSTART;TZID=Europe/Rome:"&amp;TEXT($C160,"yyyymmdd")&amp;"T"&amp;TEXT($D160,"hhmmss")&amp;"
DTEND;TZID=Europe/Rome:"&amp;TEXT($E160,"yyyymmdd")&amp;"T"&amp;TEXT($F160,"hhmmss")&amp;"
SUMMARY:"&amp;$B160&amp;"
LOCATION:"&amp;$G160&amp;"
DESCRIPTION:"&amp;$H160&amp;"
END:VEVENT")</f>
        <v>BEGIN:VEVENT
DTSTAMP:20260907T000001Z
UID:evt159@ClaudeCoworkBaskin
DTSTART;TZID=Europe/Rome:20270124T150000
DTEND;TZID=Europe/Rome:20270124T170000
SUMMARY:Foche Frenetiche vs Balene Bizzarre
LOCATION:PalaEmu, Via dello Sport 5, Emuopoli EU
DESCRIPTION:Campionato Baskin Demo - ESEMPIO COMPILATO 64 Squadre 2026/2027
END:VEVENT</v>
      </c>
      <c r="B160" s="162" t="str">
        <f aca="false">IF('Calendario F'!$B72="","",'Calendario F'!$B72&amp;" vs "&amp;'Calendario F'!$D72)</f>
        <v>Foche Frenetiche vs Balene Bizzarre</v>
      </c>
      <c r="C160" s="163" t="n">
        <f aca="false">IF($B160="","",DATE(YEAR('Calendario F'!$F72),MONTH('Calendario F'!$F72),DAY('Calendario F'!$F72)))</f>
        <v>46411</v>
      </c>
      <c r="D160" s="164" t="n">
        <f aca="false">IF($B160="","",TIME(HOUR('Calendario F'!$F72),MINUTE('Calendario F'!$F72),0))</f>
        <v>0.625</v>
      </c>
      <c r="E160" s="163" t="n">
        <f aca="false">IF($B160="","",DATE(YEAR('Calendario F'!$F72),MONTH('Calendario F'!$F72),DAY('Calendario F'!$F72)))</f>
        <v>46411</v>
      </c>
      <c r="F160" s="164" t="n">
        <f aca="false">IF($B160="","",TIME(HOUR('Calendario F'!$F72)+2,MINUTE('Calendario F'!$F72),0))</f>
        <v>0.708333333333333</v>
      </c>
      <c r="G160" s="162" t="str">
        <f aca="false">IF($B160="","",'Calendario F'!$B73)</f>
        <v>PalaEmu, Via dello Sport 5, Emuopoli EU</v>
      </c>
      <c r="H160" s="162" t="str">
        <f aca="false">IF($B160="","",Campionato!$D$1&amp;" "&amp;Campionato!$D$5)</f>
        <v>Campionato Baskin Demo - ESEMPIO COMPILATO 64 Squadre 2026/2027</v>
      </c>
      <c r="I160" s="162"/>
    </row>
    <row r="161" customFormat="false" ht="95.5" hidden="false" customHeight="false" outlineLevel="0" collapsed="false">
      <c r="A161" s="162" t="str">
        <f aca="true">IF($B161="","","BEGIN:VEVENT
DTSTAMP:"&amp;TEXT(NOW(),"yyyymmdd")&amp;"T000001Z
UID:evt160@ClaudeCoworkBaskin
DTSTART;TZID=Europe/Rome:"&amp;TEXT($C161,"yyyymmdd")&amp;"T"&amp;TEXT($D161,"hhmmss")&amp;"
DTEND;TZID=Europe/Rome:"&amp;TEXT($E161,"yyyymmdd")&amp;"T"&amp;TEXT($F161,"hhmmss")&amp;"
SUMMARY:"&amp;$B161&amp;"
LOCATION:"&amp;$G161&amp;"
DESCRIPTION:"&amp;$H161&amp;"
END:VEVENT")</f>
        <v>BEGIN:VEVENT
DTSTAMP:20260907T000001Z
UID:evt160@ClaudeCoworkBaskin
DTSTART;TZID=Europe/Rome:20270124T170000
DTEND;TZID=Europe/Rome:20270124T190000
SUMMARY:Iene Ilari vs Gufi Golosi
LOCATION:PalaEmu, Via dello Sport 5, Emuopoli EU
DESCRIPTION:Campionato Baskin Demo - ESEMPIO COMPILATO 64 Squadre 2026/2027
END:VEVENT</v>
      </c>
      <c r="B161" s="162" t="str">
        <f aca="false">IF('Calendario F'!$B75="","",'Calendario F'!$B75&amp;" vs "&amp;'Calendario F'!$D75)</f>
        <v>Iene Ilari vs Gufi Golosi</v>
      </c>
      <c r="C161" s="163" t="n">
        <f aca="false">IF($B161="","",DATE(YEAR('Calendario F'!$F75),MONTH('Calendario F'!$F75),DAY('Calendario F'!$F75)))</f>
        <v>46411</v>
      </c>
      <c r="D161" s="164" t="n">
        <f aca="false">IF($B161="","",TIME(HOUR('Calendario F'!$F75),MINUTE('Calendario F'!$F75),0))</f>
        <v>0.708333333333333</v>
      </c>
      <c r="E161" s="163" t="n">
        <f aca="false">IF($B161="","",DATE(YEAR('Calendario F'!$F75),MONTH('Calendario F'!$F75),DAY('Calendario F'!$F75)))</f>
        <v>46411</v>
      </c>
      <c r="F161" s="164" t="n">
        <f aca="false">IF($B161="","",TIME(HOUR('Calendario F'!$F75)+2,MINUTE('Calendario F'!$F75),0))</f>
        <v>0.791666666666667</v>
      </c>
      <c r="G161" s="162" t="str">
        <f aca="false">IF($B161="","",'Calendario F'!$B76)</f>
        <v>PalaEmu, Via dello Sport 5, Emuopoli EU</v>
      </c>
      <c r="H161" s="162" t="str">
        <f aca="false">IF($B161="","",Campionato!$D$1&amp;" "&amp;Campionato!$D$5)</f>
        <v>Campionato Baskin Demo - ESEMPIO COMPILATO 64 Squadre 2026/2027</v>
      </c>
      <c r="I161" s="162"/>
    </row>
    <row r="162" customFormat="false" ht="95.5" hidden="false" customHeight="false" outlineLevel="0" collapsed="false">
      <c r="A162" s="162" t="str">
        <f aca="true">IF($B162="","","BEGIN:VEVENT
DTSTAMP:"&amp;TEXT(NOW(),"yyyymmdd")&amp;"T000001Z
UID:evt161@ClaudeCoworkBaskin
DTSTART;TZID=Europe/Rome:"&amp;TEXT($C162,"yyyymmdd")&amp;"T"&amp;TEXT($D162,"hhmmss")&amp;"
DTEND;TZID=Europe/Rome:"&amp;TEXT($E162,"yyyymmdd")&amp;"T"&amp;TEXT($F162,"hhmmss")&amp;"
SUMMARY:"&amp;$B162&amp;"
LOCATION:"&amp;$G162&amp;"
DESCRIPTION:"&amp;$H162&amp;"
END:VEVENT")</f>
        <v>BEGIN:VEVENT
DTSTAMP:20260907T000001Z
UID:evt161@ClaudeCoworkBaskin
DTSTART;TZID=Europe/Rome:20270214T093000
DTEND;TZID=Europe/Rome:20270214T113000
SUMMARY:Camaleonti Caotici vs Antilopi Ardite
LOCATION:PalaFoche, Via dello Sport 6, Focheopoli FE
DESCRIPTION:Campionato Baskin Demo - ESEMPIO COMPILATO 64 Squadre 2026/2027
END:VEVENT</v>
      </c>
      <c r="B162" s="162" t="str">
        <f aca="false">IF('Calendario F'!$B80="","",'Calendario F'!$B80&amp;" vs "&amp;'Calendario F'!$D80)</f>
        <v>Camaleonti Caotici vs Antilopi Ardite</v>
      </c>
      <c r="C162" s="163" t="n">
        <f aca="false">IF($B162="","",DATE(YEAR('Calendario F'!$F80),MONTH('Calendario F'!$F80),DAY('Calendario F'!$F80)))</f>
        <v>46432</v>
      </c>
      <c r="D162" s="164" t="n">
        <f aca="false">IF($B162="","",TIME(HOUR('Calendario F'!$F80),MINUTE('Calendario F'!$F80),0))</f>
        <v>0.395833333333333</v>
      </c>
      <c r="E162" s="163" t="n">
        <f aca="false">IF($B162="","",DATE(YEAR('Calendario F'!$F80),MONTH('Calendario F'!$F80),DAY('Calendario F'!$F80)))</f>
        <v>46432</v>
      </c>
      <c r="F162" s="164" t="n">
        <f aca="false">IF($B162="","",TIME(HOUR('Calendario F'!$F80)+2,MINUTE('Calendario F'!$F80),0))</f>
        <v>0.479166666666667</v>
      </c>
      <c r="G162" s="162" t="str">
        <f aca="false">IF($B162="","",'Calendario F'!$B81)</f>
        <v>PalaFoche, Via dello Sport 6, Focheopoli FE</v>
      </c>
      <c r="H162" s="162" t="str">
        <f aca="false">IF($B162="","",Campionato!$D$1&amp;" "&amp;Campionato!$D$5)</f>
        <v>Campionato Baskin Demo - ESEMPIO COMPILATO 64 Squadre 2026/2027</v>
      </c>
      <c r="I162" s="162"/>
    </row>
    <row r="163" customFormat="false" ht="95.5" hidden="false" customHeight="false" outlineLevel="0" collapsed="false">
      <c r="A163" s="162" t="str">
        <f aca="true">IF($B163="","","BEGIN:VEVENT
DTSTAMP:"&amp;TEXT(NOW(),"yyyymmdd")&amp;"T000001Z
UID:evt162@ClaudeCoworkBaskin
DTSTART;TZID=Europe/Rome:"&amp;TEXT($C163,"yyyymmdd")&amp;"T"&amp;TEXT($D163,"hhmmss")&amp;"
DTEND;TZID=Europe/Rome:"&amp;TEXT($E163,"yyyymmdd")&amp;"T"&amp;TEXT($F163,"hhmmss")&amp;"
SUMMARY:"&amp;$B163&amp;"
LOCATION:"&amp;$G163&amp;"
DESCRIPTION:"&amp;$H163&amp;"
END:VEVENT")</f>
        <v>BEGIN:VEVENT
DTSTAMP:20260907T000001Z
UID:evt162@ClaudeCoworkBaskin
DTSTART;TZID=Europe/Rome:20270214T113000
DTEND;TZID=Europe/Rome:20270214T133000
SUMMARY:Donnole Determinate vs Balene Bizzarre
LOCATION:PalaFoche, Via dello Sport 6, Focheopoli FE
DESCRIPTION:Campionato Baskin Demo - ESEMPIO COMPILATO 64 Squadre 2026/2027
END:VEVENT</v>
      </c>
      <c r="B163" s="162" t="str">
        <f aca="false">IF('Calendario F'!$B83="","",'Calendario F'!$B83&amp;" vs "&amp;'Calendario F'!$D83)</f>
        <v>Donnole Determinate vs Balene Bizzarre</v>
      </c>
      <c r="C163" s="163" t="n">
        <f aca="false">IF($B163="","",DATE(YEAR('Calendario F'!$F83),MONTH('Calendario F'!$F83),DAY('Calendario F'!$F83)))</f>
        <v>46432</v>
      </c>
      <c r="D163" s="164" t="n">
        <f aca="false">IF($B163="","",TIME(HOUR('Calendario F'!$F83),MINUTE('Calendario F'!$F83),0))</f>
        <v>0.479166666666667</v>
      </c>
      <c r="E163" s="163" t="n">
        <f aca="false">IF($B163="","",DATE(YEAR('Calendario F'!$F83),MONTH('Calendario F'!$F83),DAY('Calendario F'!$F83)))</f>
        <v>46432</v>
      </c>
      <c r="F163" s="164" t="n">
        <f aca="false">IF($B163="","",TIME(HOUR('Calendario F'!$F83)+2,MINUTE('Calendario F'!$F83),0))</f>
        <v>0.5625</v>
      </c>
      <c r="G163" s="162" t="str">
        <f aca="false">IF($B163="","",'Calendario F'!$B84)</f>
        <v>PalaFoche, Via dello Sport 6, Focheopoli FE</v>
      </c>
      <c r="H163" s="162" t="str">
        <f aca="false">IF($B163="","",Campionato!$D$1&amp;" "&amp;Campionato!$D$5)</f>
        <v>Campionato Baskin Demo - ESEMPIO COMPILATO 64 Squadre 2026/2027</v>
      </c>
      <c r="I163" s="162"/>
    </row>
    <row r="164" customFormat="false" ht="95.5" hidden="false" customHeight="false" outlineLevel="0" collapsed="false">
      <c r="A164" s="162" t="str">
        <f aca="true">IF($B164="","","BEGIN:VEVENT
DTSTAMP:"&amp;TEXT(NOW(),"yyyymmdd")&amp;"T000001Z
UID:evt163@ClaudeCoworkBaskin
DTSTART;TZID=Europe/Rome:"&amp;TEXT($C164,"yyyymmdd")&amp;"T"&amp;TEXT($D164,"hhmmss")&amp;"
DTEND;TZID=Europe/Rome:"&amp;TEXT($E164,"yyyymmdd")&amp;"T"&amp;TEXT($F164,"hhmmss")&amp;"
SUMMARY:"&amp;$B164&amp;"
LOCATION:"&amp;$G164&amp;"
DESCRIPTION:"&amp;$H164&amp;"
END:VEVENT")</f>
        <v>BEGIN:VEVENT
DTSTAMP:20260907T000001Z
UID:evt163@ClaudeCoworkBaskin
DTSTART;TZID=Europe/Rome:20270214T150000
DTEND;TZID=Europe/Rome:20270214T170000
SUMMARY:Iene Ilari vs Emu Energici
LOCATION:PalaFoche, Via dello Sport 6, Focheopoli FE
DESCRIPTION:Campionato Baskin Demo - ESEMPIO COMPILATO 64 Squadre 2026/2027
END:VEVENT</v>
      </c>
      <c r="B164" s="162" t="str">
        <f aca="false">IF('Calendario F'!$B86="","",'Calendario F'!$B86&amp;" vs "&amp;'Calendario F'!$D86)</f>
        <v>Iene Ilari vs Emu Energici</v>
      </c>
      <c r="C164" s="163" t="n">
        <f aca="false">IF($B164="","",DATE(YEAR('Calendario F'!$F86),MONTH('Calendario F'!$F86),DAY('Calendario F'!$F86)))</f>
        <v>46432</v>
      </c>
      <c r="D164" s="164" t="n">
        <f aca="false">IF($B164="","",TIME(HOUR('Calendario F'!$F86),MINUTE('Calendario F'!$F86),0))</f>
        <v>0.625</v>
      </c>
      <c r="E164" s="163" t="n">
        <f aca="false">IF($B164="","",DATE(YEAR('Calendario F'!$F86),MONTH('Calendario F'!$F86),DAY('Calendario F'!$F86)))</f>
        <v>46432</v>
      </c>
      <c r="F164" s="164" t="n">
        <f aca="false">IF($B164="","",TIME(HOUR('Calendario F'!$F86)+2,MINUTE('Calendario F'!$F86),0))</f>
        <v>0.708333333333333</v>
      </c>
      <c r="G164" s="162" t="str">
        <f aca="false">IF($B164="","",'Calendario F'!$B87)</f>
        <v>PalaFoche, Via dello Sport 6, Focheopoli FE</v>
      </c>
      <c r="H164" s="162" t="str">
        <f aca="false">IF($B164="","",Campionato!$D$1&amp;" "&amp;Campionato!$D$5)</f>
        <v>Campionato Baskin Demo - ESEMPIO COMPILATO 64 Squadre 2026/2027</v>
      </c>
      <c r="I164" s="162"/>
    </row>
    <row r="165" customFormat="false" ht="95.5" hidden="false" customHeight="false" outlineLevel="0" collapsed="false">
      <c r="A165" s="162" t="str">
        <f aca="true">IF($B165="","","BEGIN:VEVENT
DTSTAMP:"&amp;TEXT(NOW(),"yyyymmdd")&amp;"T000001Z
UID:evt164@ClaudeCoworkBaskin
DTSTART;TZID=Europe/Rome:"&amp;TEXT($C165,"yyyymmdd")&amp;"T"&amp;TEXT($D165,"hhmmss")&amp;"
DTEND;TZID=Europe/Rome:"&amp;TEXT($E165,"yyyymmdd")&amp;"T"&amp;TEXT($F165,"hhmmss")&amp;"
SUMMARY:"&amp;$B165&amp;"
LOCATION:"&amp;$G165&amp;"
DESCRIPTION:"&amp;$H165&amp;"
END:VEVENT")</f>
        <v>BEGIN:VEVENT
DTSTAMP:20260907T000001Z
UID:evt164@ClaudeCoworkBaskin
DTSTART;TZID=Europe/Rome:20270214T170000
DTEND;TZID=Europe/Rome:20270214T190000
SUMMARY:Foche Frenetiche vs Gufi Golosi
LOCATION:PalaFoche, Via dello Sport 6, Focheopoli FE
DESCRIPTION:Campionato Baskin Demo - ESEMPIO COMPILATO 64 Squadre 2026/2027
END:VEVENT</v>
      </c>
      <c r="B165" s="162" t="str">
        <f aca="false">IF('Calendario F'!$B89="","",'Calendario F'!$B89&amp;" vs "&amp;'Calendario F'!$D89)</f>
        <v>Foche Frenetiche vs Gufi Golosi</v>
      </c>
      <c r="C165" s="163" t="n">
        <f aca="false">IF($B165="","",DATE(YEAR('Calendario F'!$F89),MONTH('Calendario F'!$F89),DAY('Calendario F'!$F89)))</f>
        <v>46432</v>
      </c>
      <c r="D165" s="164" t="n">
        <f aca="false">IF($B165="","",TIME(HOUR('Calendario F'!$F89),MINUTE('Calendario F'!$F89),0))</f>
        <v>0.708333333333333</v>
      </c>
      <c r="E165" s="163" t="n">
        <f aca="false">IF($B165="","",DATE(YEAR('Calendario F'!$F89),MONTH('Calendario F'!$F89),DAY('Calendario F'!$F89)))</f>
        <v>46432</v>
      </c>
      <c r="F165" s="164" t="n">
        <f aca="false">IF($B165="","",TIME(HOUR('Calendario F'!$F89)+2,MINUTE('Calendario F'!$F89),0))</f>
        <v>0.791666666666667</v>
      </c>
      <c r="G165" s="162" t="str">
        <f aca="false">IF($B165="","",'Calendario F'!$B90)</f>
        <v>PalaFoche, Via dello Sport 6, Focheopoli FE</v>
      </c>
      <c r="H165" s="162" t="str">
        <f aca="false">IF($B165="","",Campionato!$D$1&amp;" "&amp;Campionato!$D$5)</f>
        <v>Campionato Baskin Demo - ESEMPIO COMPILATO 64 Squadre 2026/2027</v>
      </c>
      <c r="I165" s="162"/>
    </row>
    <row r="166" customFormat="false" ht="95.5" hidden="false" customHeight="false" outlineLevel="0" collapsed="false">
      <c r="A166" s="162" t="str">
        <f aca="true">IF($B166="","","BEGIN:VEVENT
DTSTAMP:"&amp;TEXT(NOW(),"yyyymmdd")&amp;"T000001Z
UID:evt165@ClaudeCoworkBaskin
DTSTART;TZID=Europe/Rome:"&amp;TEXT($C166,"yyyymmdd")&amp;"T"&amp;TEXT($D166,"hhmmss")&amp;"
DTEND;TZID=Europe/Rome:"&amp;TEXT($E166,"yyyymmdd")&amp;"T"&amp;TEXT($F166,"hhmmss")&amp;"
SUMMARY:"&amp;$B166&amp;"
LOCATION:"&amp;$G166&amp;"
DESCRIPTION:"&amp;$H166&amp;"
END:VEVENT")</f>
        <v>BEGIN:VEVENT
DTSTAMP:20260907T000001Z
UID:evt165@ClaudeCoworkBaskin
DTSTART;TZID=Europe/Rome:20270307T093000
DTEND;TZID=Europe/Rome:20270307T113000
SUMMARY:Antilopi Ardite vs Balene Bizzarre
LOCATION:PalaGufi, Via dello Sport 7, Gufiopoli GI
DESCRIPTION:Campionato Baskin Demo - ESEMPIO COMPILATO 64 Squadre 2026/2027
END:VEVENT</v>
      </c>
      <c r="B166" s="162" t="str">
        <f aca="false">IF('Calendario F'!$B94="","",'Calendario F'!$B94&amp;" vs "&amp;'Calendario F'!$D94)</f>
        <v>Antilopi Ardite vs Balene Bizzarre</v>
      </c>
      <c r="C166" s="163" t="n">
        <f aca="false">IF($B166="","",DATE(YEAR('Calendario F'!$F94),MONTH('Calendario F'!$F94),DAY('Calendario F'!$F94)))</f>
        <v>46453</v>
      </c>
      <c r="D166" s="164" t="n">
        <f aca="false">IF($B166="","",TIME(HOUR('Calendario F'!$F94),MINUTE('Calendario F'!$F94),0))</f>
        <v>0.395833333333333</v>
      </c>
      <c r="E166" s="163" t="n">
        <f aca="false">IF($B166="","",DATE(YEAR('Calendario F'!$F94),MONTH('Calendario F'!$F94),DAY('Calendario F'!$F94)))</f>
        <v>46453</v>
      </c>
      <c r="F166" s="164" t="n">
        <f aca="false">IF($B166="","",TIME(HOUR('Calendario F'!$F94)+2,MINUTE('Calendario F'!$F94),0))</f>
        <v>0.479166666666667</v>
      </c>
      <c r="G166" s="162" t="str">
        <f aca="false">IF($B166="","",'Calendario F'!$B95)</f>
        <v>PalaGufi, Via dello Sport 7, Gufiopoli GI</v>
      </c>
      <c r="H166" s="162" t="str">
        <f aca="false">IF($B166="","",Campionato!$D$1&amp;" "&amp;Campionato!$D$5)</f>
        <v>Campionato Baskin Demo - ESEMPIO COMPILATO 64 Squadre 2026/2027</v>
      </c>
      <c r="I166" s="162"/>
    </row>
    <row r="167" customFormat="false" ht="95.5" hidden="false" customHeight="false" outlineLevel="0" collapsed="false">
      <c r="A167" s="162" t="str">
        <f aca="true">IF($B167="","","BEGIN:VEVENT
DTSTAMP:"&amp;TEXT(NOW(),"yyyymmdd")&amp;"T000001Z
UID:evt166@ClaudeCoworkBaskin
DTSTART;TZID=Europe/Rome:"&amp;TEXT($C167,"yyyymmdd")&amp;"T"&amp;TEXT($D167,"hhmmss")&amp;"
DTEND;TZID=Europe/Rome:"&amp;TEXT($E167,"yyyymmdd")&amp;"T"&amp;TEXT($F167,"hhmmss")&amp;"
SUMMARY:"&amp;$B167&amp;"
LOCATION:"&amp;$G167&amp;"
DESCRIPTION:"&amp;$H167&amp;"
END:VEVENT")</f>
        <v>BEGIN:VEVENT
DTSTAMP:20260907T000001Z
UID:evt166@ClaudeCoworkBaskin
DTSTART;TZID=Europe/Rome:20270307T113000
DTEND;TZID=Europe/Rome:20270307T133000
SUMMARY:Iene Ilari vs Camaleonti Caotici
LOCATION:PalaGufi, Via dello Sport 7, Gufiopoli GI
DESCRIPTION:Campionato Baskin Demo - ESEMPIO COMPILATO 64 Squadre 2026/2027
END:VEVENT</v>
      </c>
      <c r="B167" s="162" t="str">
        <f aca="false">IF('Calendario F'!$B97="","",'Calendario F'!$B97&amp;" vs "&amp;'Calendario F'!$D97)</f>
        <v>Iene Ilari vs Camaleonti Caotici</v>
      </c>
      <c r="C167" s="163" t="n">
        <f aca="false">IF($B167="","",DATE(YEAR('Calendario F'!$F97),MONTH('Calendario F'!$F97),DAY('Calendario F'!$F97)))</f>
        <v>46453</v>
      </c>
      <c r="D167" s="164" t="n">
        <f aca="false">IF($B167="","",TIME(HOUR('Calendario F'!$F97),MINUTE('Calendario F'!$F97),0))</f>
        <v>0.479166666666667</v>
      </c>
      <c r="E167" s="163" t="n">
        <f aca="false">IF($B167="","",DATE(YEAR('Calendario F'!$F97),MONTH('Calendario F'!$F97),DAY('Calendario F'!$F97)))</f>
        <v>46453</v>
      </c>
      <c r="F167" s="164" t="n">
        <f aca="false">IF($B167="","",TIME(HOUR('Calendario F'!$F97)+2,MINUTE('Calendario F'!$F97),0))</f>
        <v>0.5625</v>
      </c>
      <c r="G167" s="162" t="str">
        <f aca="false">IF($B167="","",'Calendario F'!$B98)</f>
        <v>PalaGufi, Via dello Sport 7, Gufiopoli GI</v>
      </c>
      <c r="H167" s="162" t="str">
        <f aca="false">IF($B167="","",Campionato!$D$1&amp;" "&amp;Campionato!$D$5)</f>
        <v>Campionato Baskin Demo - ESEMPIO COMPILATO 64 Squadre 2026/2027</v>
      </c>
      <c r="I167" s="162"/>
    </row>
    <row r="168" customFormat="false" ht="95.5" hidden="false" customHeight="false" outlineLevel="0" collapsed="false">
      <c r="A168" s="162" t="str">
        <f aca="true">IF($B168="","","BEGIN:VEVENT
DTSTAMP:"&amp;TEXT(NOW(),"yyyymmdd")&amp;"T000001Z
UID:evt167@ClaudeCoworkBaskin
DTSTART;TZID=Europe/Rome:"&amp;TEXT($C168,"yyyymmdd")&amp;"T"&amp;TEXT($D168,"hhmmss")&amp;"
DTEND;TZID=Europe/Rome:"&amp;TEXT($E168,"yyyymmdd")&amp;"T"&amp;TEXT($F168,"hhmmss")&amp;"
SUMMARY:"&amp;$B168&amp;"
LOCATION:"&amp;$G168&amp;"
DESCRIPTION:"&amp;$H168&amp;"
END:VEVENT")</f>
        <v>BEGIN:VEVENT
DTSTAMP:20260907T000001Z
UID:evt167@ClaudeCoworkBaskin
DTSTART;TZID=Europe/Rome:20270307T150000
DTEND;TZID=Europe/Rome:20270307T170000
SUMMARY:Donnole Determinate vs Gufi Golosi
LOCATION:PalaGufi, Via dello Sport 7, Gufiopoli GI
DESCRIPTION:Campionato Baskin Demo - ESEMPIO COMPILATO 64 Squadre 2026/2027
END:VEVENT</v>
      </c>
      <c r="B168" s="162" t="str">
        <f aca="false">IF('Calendario F'!$B100="","",'Calendario F'!$B100&amp;" vs "&amp;'Calendario F'!$D100)</f>
        <v>Donnole Determinate vs Gufi Golosi</v>
      </c>
      <c r="C168" s="163" t="n">
        <f aca="false">IF($B168="","",DATE(YEAR('Calendario F'!$F100),MONTH('Calendario F'!$F100),DAY('Calendario F'!$F100)))</f>
        <v>46453</v>
      </c>
      <c r="D168" s="164" t="n">
        <f aca="false">IF($B168="","",TIME(HOUR('Calendario F'!$F100),MINUTE('Calendario F'!$F100),0))</f>
        <v>0.625</v>
      </c>
      <c r="E168" s="163" t="n">
        <f aca="false">IF($B168="","",DATE(YEAR('Calendario F'!$F100),MONTH('Calendario F'!$F100),DAY('Calendario F'!$F100)))</f>
        <v>46453</v>
      </c>
      <c r="F168" s="164" t="n">
        <f aca="false">IF($B168="","",TIME(HOUR('Calendario F'!$F100)+2,MINUTE('Calendario F'!$F100),0))</f>
        <v>0.708333333333333</v>
      </c>
      <c r="G168" s="162" t="str">
        <f aca="false">IF($B168="","",'Calendario F'!$B101)</f>
        <v>PalaGufi, Via dello Sport 7, Gufiopoli GI</v>
      </c>
      <c r="H168" s="162" t="str">
        <f aca="false">IF($B168="","",Campionato!$D$1&amp;" "&amp;Campionato!$D$5)</f>
        <v>Campionato Baskin Demo - ESEMPIO COMPILATO 64 Squadre 2026/2027</v>
      </c>
      <c r="I168" s="162"/>
    </row>
    <row r="169" customFormat="false" ht="95.5" hidden="false" customHeight="false" outlineLevel="0" collapsed="false">
      <c r="A169" s="162" t="str">
        <f aca="true">IF($B169="","","BEGIN:VEVENT
DTSTAMP:"&amp;TEXT(NOW(),"yyyymmdd")&amp;"T000001Z
UID:evt168@ClaudeCoworkBaskin
DTSTART;TZID=Europe/Rome:"&amp;TEXT($C169,"yyyymmdd")&amp;"T"&amp;TEXT($D169,"hhmmss")&amp;"
DTEND;TZID=Europe/Rome:"&amp;TEXT($E169,"yyyymmdd")&amp;"T"&amp;TEXT($F169,"hhmmss")&amp;"
SUMMARY:"&amp;$B169&amp;"
LOCATION:"&amp;$G169&amp;"
DESCRIPTION:"&amp;$H169&amp;"
END:VEVENT")</f>
        <v>BEGIN:VEVENT
DTSTAMP:20260907T000001Z
UID:evt168@ClaudeCoworkBaskin
DTSTART;TZID=Europe/Rome:20270307T170000
DTEND;TZID=Europe/Rome:20270307T190000
SUMMARY:Foche Frenetiche vs Emu Energici
LOCATION:PalaGufi, Via dello Sport 7, Gufiopoli GI
DESCRIPTION:Campionato Baskin Demo - ESEMPIO COMPILATO 64 Squadre 2026/2027
END:VEVENT</v>
      </c>
      <c r="B169" s="162" t="str">
        <f aca="false">IF('Calendario F'!$B103="","",'Calendario F'!$B103&amp;" vs "&amp;'Calendario F'!$D103)</f>
        <v>Foche Frenetiche vs Emu Energici</v>
      </c>
      <c r="C169" s="163" t="n">
        <f aca="false">IF($B169="","",DATE(YEAR('Calendario F'!$F103),MONTH('Calendario F'!$F103),DAY('Calendario F'!$F103)))</f>
        <v>46453</v>
      </c>
      <c r="D169" s="164" t="n">
        <f aca="false">IF($B169="","",TIME(HOUR('Calendario F'!$F103),MINUTE('Calendario F'!$F103),0))</f>
        <v>0.708333333333333</v>
      </c>
      <c r="E169" s="163" t="n">
        <f aca="false">IF($B169="","",DATE(YEAR('Calendario F'!$F103),MONTH('Calendario F'!$F103),DAY('Calendario F'!$F103)))</f>
        <v>46453</v>
      </c>
      <c r="F169" s="164" t="n">
        <f aca="false">IF($B169="","",TIME(HOUR('Calendario F'!$F103)+2,MINUTE('Calendario F'!$F103),0))</f>
        <v>0.791666666666667</v>
      </c>
      <c r="G169" s="162" t="str">
        <f aca="false">IF($B169="","",'Calendario F'!$B104)</f>
        <v>PalaGufi, Via dello Sport 7, Gufiopoli GI</v>
      </c>
      <c r="H169" s="162" t="str">
        <f aca="false">IF($B169="","",Campionato!$D$1&amp;" "&amp;Campionato!$D$5)</f>
        <v>Campionato Baskin Demo - ESEMPIO COMPILATO 64 Squadre 2026/2027</v>
      </c>
      <c r="I169" s="162"/>
    </row>
    <row r="170" customFormat="false" ht="95.5" hidden="false" customHeight="false" outlineLevel="0" collapsed="false">
      <c r="A170" s="162" t="str">
        <f aca="true">IF($B170="","","BEGIN:VEVENT
DTSTAMP:"&amp;TEXT(NOW(),"yyyymmdd")&amp;"T000001Z
UID:evt169@ClaudeCoworkBaskin
DTSTART;TZID=Europe/Rome:"&amp;TEXT($C170,"yyyymmdd")&amp;"T"&amp;TEXT($D170,"hhmmss")&amp;"
DTEND;TZID=Europe/Rome:"&amp;TEXT($E170,"yyyymmdd")&amp;"T"&amp;TEXT($F170,"hhmmss")&amp;"
SUMMARY:"&amp;$B170&amp;"
LOCATION:"&amp;$G170&amp;"
DESCRIPTION:"&amp;$H170&amp;"
END:VEVENT")</f>
        <v>BEGIN:VEVENT
DTSTAMP:20260907T000001Z
UID:evt169@ClaudeCoworkBaskin
DTSTART;TZID=Europe/Rome:20261018T093000
DTEND;TZID=Europe/Rome:20261018T113000
SUMMARY:Koala Kolossali vs Struzzi Strepitosi
LOCATION:PalaKoala, Via dello Sport 9, Koalaopoli KA
DESCRIPTION:Campionato Baskin Demo - ESEMPIO COMPILATO 64 Squadre 2026/2027
END:VEVENT</v>
      </c>
      <c r="B170" s="162" t="str">
        <f aca="false">IF('Calendario G'!$B10="","",'Calendario G'!$B10&amp;" vs "&amp;'Calendario G'!$D10)</f>
        <v>Koala Kolossali vs Struzzi Strepitosi</v>
      </c>
      <c r="C170" s="163" t="n">
        <f aca="false">IF($B170="","",DATE(YEAR('Calendario G'!$F10),MONTH('Calendario G'!$F10),DAY('Calendario G'!$F10)))</f>
        <v>46313</v>
      </c>
      <c r="D170" s="164" t="n">
        <f aca="false">IF($B170="","",TIME(HOUR('Calendario G'!$F10),MINUTE('Calendario G'!$F10),0))</f>
        <v>0.395833333333333</v>
      </c>
      <c r="E170" s="163" t="n">
        <f aca="false">IF($B170="","",DATE(YEAR('Calendario G'!$F10),MONTH('Calendario G'!$F10),DAY('Calendario G'!$F10)))</f>
        <v>46313</v>
      </c>
      <c r="F170" s="164" t="n">
        <f aca="false">IF($B170="","",TIME(HOUR('Calendario G'!$F10)+2,MINUTE('Calendario G'!$F10),0))</f>
        <v>0.479166666666667</v>
      </c>
      <c r="G170" s="162" t="str">
        <f aca="false">IF($B170="","",'Calendario G'!$B11)</f>
        <v>PalaKoala, Via dello Sport 9, Koalaopoli KA</v>
      </c>
      <c r="H170" s="162" t="str">
        <f aca="false">IF($B170="","",Campionato!$D$1&amp;" "&amp;Campionato!$D$5)</f>
        <v>Campionato Baskin Demo - ESEMPIO COMPILATO 64 Squadre 2026/2027</v>
      </c>
      <c r="I170" s="162"/>
    </row>
    <row r="171" customFormat="false" ht="95.5" hidden="false" customHeight="false" outlineLevel="0" collapsed="false">
      <c r="A171" s="162" t="str">
        <f aca="true">IF($B171="","","BEGIN:VEVENT
DTSTAMP:"&amp;TEXT(NOW(),"yyyymmdd")&amp;"T000001Z
UID:evt170@ClaudeCoworkBaskin
DTSTART;TZID=Europe/Rome:"&amp;TEXT($C171,"yyyymmdd")&amp;"T"&amp;TEXT($D171,"hhmmss")&amp;"
DTEND;TZID=Europe/Rome:"&amp;TEXT($E171,"yyyymmdd")&amp;"T"&amp;TEXT($F171,"hhmmss")&amp;"
SUMMARY:"&amp;$B171&amp;"
LOCATION:"&amp;$G171&amp;"
DESCRIPTION:"&amp;$H171&amp;"
END:VEVENT")</f>
        <v>BEGIN:VEVENT
DTSTAMP:20260907T000001Z
UID:evt170@ClaudeCoworkBaskin
DTSTART;TZID=Europe/Rome:20261018T113000
DTEND;TZID=Europe/Rome:20261018T133000
SUMMARY:Renne Rocambolesche vs Leopardi Leggiadri
LOCATION:PalaKoala, Via dello Sport 9, Koalaopoli KA
DESCRIPTION:Campionato Baskin Demo - ESEMPIO COMPILATO 64 Squadre 2026/2027
END:VEVENT</v>
      </c>
      <c r="B171" s="162" t="str">
        <f aca="false">IF('Calendario G'!$B13="","",'Calendario G'!$B13&amp;" vs "&amp;'Calendario G'!$D13)</f>
        <v>Renne Rocambolesche vs Leopardi Leggiadri</v>
      </c>
      <c r="C171" s="163" t="n">
        <f aca="false">IF($B171="","",DATE(YEAR('Calendario G'!$F13),MONTH('Calendario G'!$F13),DAY('Calendario G'!$F13)))</f>
        <v>46313</v>
      </c>
      <c r="D171" s="164" t="n">
        <f aca="false">IF($B171="","",TIME(HOUR('Calendario G'!$F13),MINUTE('Calendario G'!$F13),0))</f>
        <v>0.479166666666667</v>
      </c>
      <c r="E171" s="163" t="n">
        <f aca="false">IF($B171="","",DATE(YEAR('Calendario G'!$F13),MONTH('Calendario G'!$F13),DAY('Calendario G'!$F13)))</f>
        <v>46313</v>
      </c>
      <c r="F171" s="164" t="n">
        <f aca="false">IF($B171="","",TIME(HOUR('Calendario G'!$F13)+2,MINUTE('Calendario G'!$F13),0))</f>
        <v>0.5625</v>
      </c>
      <c r="G171" s="162" t="str">
        <f aca="false">IF($B171="","",'Calendario G'!$B14)</f>
        <v>PalaKoala, Via dello Sport 9, Koalaopoli KA</v>
      </c>
      <c r="H171" s="162" t="str">
        <f aca="false">IF($B171="","",Campionato!$D$1&amp;" "&amp;Campionato!$D$5)</f>
        <v>Campionato Baskin Demo - ESEMPIO COMPILATO 64 Squadre 2026/2027</v>
      </c>
      <c r="I171" s="162"/>
    </row>
    <row r="172" customFormat="false" ht="95.5" hidden="false" customHeight="false" outlineLevel="0" collapsed="false">
      <c r="A172" s="162" t="str">
        <f aca="true">IF($B172="","","BEGIN:VEVENT
DTSTAMP:"&amp;TEXT(NOW(),"yyyymmdd")&amp;"T000001Z
UID:evt171@ClaudeCoworkBaskin
DTSTART;TZID=Europe/Rome:"&amp;TEXT($C172,"yyyymmdd")&amp;"T"&amp;TEXT($D172,"hhmmss")&amp;"
DTEND;TZID=Europe/Rome:"&amp;TEXT($E172,"yyyymmdd")&amp;"T"&amp;TEXT($F172,"hhmmss")&amp;"
SUMMARY:"&amp;$B172&amp;"
LOCATION:"&amp;$G172&amp;"
DESCRIPTION:"&amp;$H172&amp;"
END:VEVENT")</f>
        <v>BEGIN:VEVENT
DTSTAMP:20260907T000001Z
UID:evt171@ClaudeCoworkBaskin
DTSTART;TZID=Europe/Rome:20261018T150000
DTEND;TZID=Europe/Rome:20261018T170000
SUMMARY:Meduse Malandrine vs Pinguini Prodigiosi
LOCATION:PalaKoala, Via dello Sport 9, Koalaopoli KA
DESCRIPTION:Campionato Baskin Demo - ESEMPIO COMPILATO 64 Squadre 2026/2027
END:VEVENT</v>
      </c>
      <c r="B172" s="162" t="str">
        <f aca="false">IF('Calendario G'!$B16="","",'Calendario G'!$B16&amp;" vs "&amp;'Calendario G'!$D16)</f>
        <v>Meduse Malandrine vs Pinguini Prodigiosi</v>
      </c>
      <c r="C172" s="163" t="n">
        <f aca="false">IF($B172="","",DATE(YEAR('Calendario G'!$F16),MONTH('Calendario G'!$F16),DAY('Calendario G'!$F16)))</f>
        <v>46313</v>
      </c>
      <c r="D172" s="164" t="n">
        <f aca="false">IF($B172="","",TIME(HOUR('Calendario G'!$F16),MINUTE('Calendario G'!$F16),0))</f>
        <v>0.625</v>
      </c>
      <c r="E172" s="163" t="n">
        <f aca="false">IF($B172="","",DATE(YEAR('Calendario G'!$F16),MONTH('Calendario G'!$F16),DAY('Calendario G'!$F16)))</f>
        <v>46313</v>
      </c>
      <c r="F172" s="164" t="n">
        <f aca="false">IF($B172="","",TIME(HOUR('Calendario G'!$F16)+2,MINUTE('Calendario G'!$F16),0))</f>
        <v>0.708333333333333</v>
      </c>
      <c r="G172" s="162" t="str">
        <f aca="false">IF($B172="","",'Calendario G'!$B17)</f>
        <v>PalaKoala, Via dello Sport 9, Koalaopoli KA</v>
      </c>
      <c r="H172" s="162" t="str">
        <f aca="false">IF($B172="","",Campionato!$D$1&amp;" "&amp;Campionato!$D$5)</f>
        <v>Campionato Baskin Demo - ESEMPIO COMPILATO 64 Squadre 2026/2027</v>
      </c>
      <c r="I172" s="162"/>
    </row>
    <row r="173" customFormat="false" ht="95.5" hidden="false" customHeight="false" outlineLevel="0" collapsed="false">
      <c r="A173" s="162" t="str">
        <f aca="true">IF($B173="","","BEGIN:VEVENT
DTSTAMP:"&amp;TEXT(NOW(),"yyyymmdd")&amp;"T000001Z
UID:evt172@ClaudeCoworkBaskin
DTSTART;TZID=Europe/Rome:"&amp;TEXT($C173,"yyyymmdd")&amp;"T"&amp;TEXT($D173,"hhmmss")&amp;"
DTEND;TZID=Europe/Rome:"&amp;TEXT($E173,"yyyymmdd")&amp;"T"&amp;TEXT($F173,"hhmmss")&amp;"
SUMMARY:"&amp;$B173&amp;"
LOCATION:"&amp;$G173&amp;"
DESCRIPTION:"&amp;$H173&amp;"
END:VEVENT")</f>
        <v>BEGIN:VEVENT
DTSTAMP:20260907T000001Z
UID:evt172@ClaudeCoworkBaskin
DTSTART;TZID=Europe/Rome:20261018T170000
DTEND;TZID=Europe/Rome:20261018T190000
SUMMARY:Orangotanghi Operosi vs Nandu Nottambuli
LOCATION:PalaKoala, Via dello Sport 9, Koalaopoli KA
DESCRIPTION:Campionato Baskin Demo - ESEMPIO COMPILATO 64 Squadre 2026/2027
END:VEVENT</v>
      </c>
      <c r="B173" s="162" t="str">
        <f aca="false">IF('Calendario G'!$B19="","",'Calendario G'!$B19&amp;" vs "&amp;'Calendario G'!$D19)</f>
        <v>Orangotanghi Operosi vs Nandu Nottambuli</v>
      </c>
      <c r="C173" s="163" t="n">
        <f aca="false">IF($B173="","",DATE(YEAR('Calendario G'!$F19),MONTH('Calendario G'!$F19),DAY('Calendario G'!$F19)))</f>
        <v>46313</v>
      </c>
      <c r="D173" s="164" t="n">
        <f aca="false">IF($B173="","",TIME(HOUR('Calendario G'!$F19),MINUTE('Calendario G'!$F19),0))</f>
        <v>0.708333333333333</v>
      </c>
      <c r="E173" s="163" t="n">
        <f aca="false">IF($B173="","",DATE(YEAR('Calendario G'!$F19),MONTH('Calendario G'!$F19),DAY('Calendario G'!$F19)))</f>
        <v>46313</v>
      </c>
      <c r="F173" s="164" t="n">
        <f aca="false">IF($B173="","",TIME(HOUR('Calendario G'!$F19)+2,MINUTE('Calendario G'!$F19),0))</f>
        <v>0.791666666666667</v>
      </c>
      <c r="G173" s="162" t="str">
        <f aca="false">IF($B173="","",'Calendario G'!$B20)</f>
        <v>PalaKoala, Via dello Sport 9, Koalaopoli KA</v>
      </c>
      <c r="H173" s="162" t="str">
        <f aca="false">IF($B173="","",Campionato!$D$1&amp;" "&amp;Campionato!$D$5)</f>
        <v>Campionato Baskin Demo - ESEMPIO COMPILATO 64 Squadre 2026/2027</v>
      </c>
      <c r="I173" s="162"/>
    </row>
    <row r="174" customFormat="false" ht="95.5" hidden="false" customHeight="false" outlineLevel="0" collapsed="false">
      <c r="A174" s="162" t="str">
        <f aca="true">IF($B174="","","BEGIN:VEVENT
DTSTAMP:"&amp;TEXT(NOW(),"yyyymmdd")&amp;"T000001Z
UID:evt173@ClaudeCoworkBaskin
DTSTART;TZID=Europe/Rome:"&amp;TEXT($C174,"yyyymmdd")&amp;"T"&amp;TEXT($D174,"hhmmss")&amp;"
DTEND;TZID=Europe/Rome:"&amp;TEXT($E174,"yyyymmdd")&amp;"T"&amp;TEXT($F174,"hhmmss")&amp;"
SUMMARY:"&amp;$B174&amp;"
LOCATION:"&amp;$G174&amp;"
DESCRIPTION:"&amp;$H174&amp;"
END:VEVENT")</f>
        <v>BEGIN:VEVENT
DTSTAMP:20260907T000001Z
UID:evt173@ClaudeCoworkBaskin
DTSTART;TZID=Europe/Rome:20261108T093000
DTEND;TZID=Europe/Rome:20261108T113000
SUMMARY:Renne Rocambolesche vs Koala Kolossali
LOCATION:PalaLeopardi, Via dello Sport 10, Leopardiopoli LI
DESCRIPTION:Campionato Baskin Demo - ESEMPIO COMPILATO 64 Squadre 2026/2027
END:VEVENT</v>
      </c>
      <c r="B174" s="162" t="str">
        <f aca="false">IF('Calendario G'!$B24="","",'Calendario G'!$B24&amp;" vs "&amp;'Calendario G'!$D24)</f>
        <v>Renne Rocambolesche vs Koala Kolossali</v>
      </c>
      <c r="C174" s="163" t="n">
        <f aca="false">IF($B174="","",DATE(YEAR('Calendario G'!$F24),MONTH('Calendario G'!$F24),DAY('Calendario G'!$F24)))</f>
        <v>46334</v>
      </c>
      <c r="D174" s="164" t="n">
        <f aca="false">IF($B174="","",TIME(HOUR('Calendario G'!$F24),MINUTE('Calendario G'!$F24),0))</f>
        <v>0.395833333333333</v>
      </c>
      <c r="E174" s="163" t="n">
        <f aca="false">IF($B174="","",DATE(YEAR('Calendario G'!$F24),MONTH('Calendario G'!$F24),DAY('Calendario G'!$F24)))</f>
        <v>46334</v>
      </c>
      <c r="F174" s="164" t="n">
        <f aca="false">IF($B174="","",TIME(HOUR('Calendario G'!$F24)+2,MINUTE('Calendario G'!$F24),0))</f>
        <v>0.479166666666667</v>
      </c>
      <c r="G174" s="162" t="str">
        <f aca="false">IF($B174="","",'Calendario G'!$B25)</f>
        <v>PalaLeopardi, Via dello Sport 10, Leopardiopoli LI</v>
      </c>
      <c r="H174" s="162" t="str">
        <f aca="false">IF($B174="","",Campionato!$D$1&amp;" "&amp;Campionato!$D$5)</f>
        <v>Campionato Baskin Demo - ESEMPIO COMPILATO 64 Squadre 2026/2027</v>
      </c>
      <c r="I174" s="162"/>
    </row>
    <row r="175" customFormat="false" ht="95.5" hidden="false" customHeight="false" outlineLevel="0" collapsed="false">
      <c r="A175" s="162" t="str">
        <f aca="true">IF($B175="","","BEGIN:VEVENT
DTSTAMP:"&amp;TEXT(NOW(),"yyyymmdd")&amp;"T000001Z
UID:evt174@ClaudeCoworkBaskin
DTSTART;TZID=Europe/Rome:"&amp;TEXT($C175,"yyyymmdd")&amp;"T"&amp;TEXT($D175,"hhmmss")&amp;"
DTEND;TZID=Europe/Rome:"&amp;TEXT($E175,"yyyymmdd")&amp;"T"&amp;TEXT($F175,"hhmmss")&amp;"
SUMMARY:"&amp;$B175&amp;"
LOCATION:"&amp;$G175&amp;"
DESCRIPTION:"&amp;$H175&amp;"
END:VEVENT")</f>
        <v>BEGIN:VEVENT
DTSTAMP:20260907T000001Z
UID:evt174@ClaudeCoworkBaskin
DTSTART;TZID=Europe/Rome:20261108T113000
DTEND;TZID=Europe/Rome:20261108T133000
SUMMARY:Struzzi Strepitosi vs Pinguini Prodigiosi
LOCATION:PalaLeopardi, Via dello Sport 10, Leopardiopoli LI
DESCRIPTION:Campionato Baskin Demo - ESEMPIO COMPILATO 64 Squadre 2026/2027
END:VEVENT</v>
      </c>
      <c r="B175" s="162" t="str">
        <f aca="false">IF('Calendario G'!$B27="","",'Calendario G'!$B27&amp;" vs "&amp;'Calendario G'!$D27)</f>
        <v>Struzzi Strepitosi vs Pinguini Prodigiosi</v>
      </c>
      <c r="C175" s="163" t="n">
        <f aca="false">IF($B175="","",DATE(YEAR('Calendario G'!$F27),MONTH('Calendario G'!$F27),DAY('Calendario G'!$F27)))</f>
        <v>46334</v>
      </c>
      <c r="D175" s="164" t="n">
        <f aca="false">IF($B175="","",TIME(HOUR('Calendario G'!$F27),MINUTE('Calendario G'!$F27),0))</f>
        <v>0.479166666666667</v>
      </c>
      <c r="E175" s="163" t="n">
        <f aca="false">IF($B175="","",DATE(YEAR('Calendario G'!$F27),MONTH('Calendario G'!$F27),DAY('Calendario G'!$F27)))</f>
        <v>46334</v>
      </c>
      <c r="F175" s="164" t="n">
        <f aca="false">IF($B175="","",TIME(HOUR('Calendario G'!$F27)+2,MINUTE('Calendario G'!$F27),0))</f>
        <v>0.5625</v>
      </c>
      <c r="G175" s="162" t="str">
        <f aca="false">IF($B175="","",'Calendario G'!$B28)</f>
        <v>PalaLeopardi, Via dello Sport 10, Leopardiopoli LI</v>
      </c>
      <c r="H175" s="162" t="str">
        <f aca="false">IF($B175="","",Campionato!$D$1&amp;" "&amp;Campionato!$D$5)</f>
        <v>Campionato Baskin Demo - ESEMPIO COMPILATO 64 Squadre 2026/2027</v>
      </c>
      <c r="I175" s="162"/>
    </row>
    <row r="176" customFormat="false" ht="95.5" hidden="false" customHeight="false" outlineLevel="0" collapsed="false">
      <c r="A176" s="162" t="str">
        <f aca="true">IF($B176="","","BEGIN:VEVENT
DTSTAMP:"&amp;TEXT(NOW(),"yyyymmdd")&amp;"T000001Z
UID:evt175@ClaudeCoworkBaskin
DTSTART;TZID=Europe/Rome:"&amp;TEXT($C176,"yyyymmdd")&amp;"T"&amp;TEXT($D176,"hhmmss")&amp;"
DTEND;TZID=Europe/Rome:"&amp;TEXT($E176,"yyyymmdd")&amp;"T"&amp;TEXT($F176,"hhmmss")&amp;"
SUMMARY:"&amp;$B176&amp;"
LOCATION:"&amp;$G176&amp;"
DESCRIPTION:"&amp;$H176&amp;"
END:VEVENT")</f>
        <v>BEGIN:VEVENT
DTSTAMP:20260907T000001Z
UID:evt175@ClaudeCoworkBaskin
DTSTART;TZID=Europe/Rome:20261108T150000
DTEND;TZID=Europe/Rome:20261108T170000
SUMMARY:Orangotanghi Operosi vs Leopardi Leggiadri
LOCATION:PalaLeopardi, Via dello Sport 10, Leopardiopoli LI
DESCRIPTION:Campionato Baskin Demo - ESEMPIO COMPILATO 64 Squadre 2026/2027
END:VEVENT</v>
      </c>
      <c r="B176" s="162" t="str">
        <f aca="false">IF('Calendario G'!$B30="","",'Calendario G'!$B30&amp;" vs "&amp;'Calendario G'!$D30)</f>
        <v>Orangotanghi Operosi vs Leopardi Leggiadri</v>
      </c>
      <c r="C176" s="163" t="n">
        <f aca="false">IF($B176="","",DATE(YEAR('Calendario G'!$F30),MONTH('Calendario G'!$F30),DAY('Calendario G'!$F30)))</f>
        <v>46334</v>
      </c>
      <c r="D176" s="164" t="n">
        <f aca="false">IF($B176="","",TIME(HOUR('Calendario G'!$F30),MINUTE('Calendario G'!$F30),0))</f>
        <v>0.625</v>
      </c>
      <c r="E176" s="163" t="n">
        <f aca="false">IF($B176="","",DATE(YEAR('Calendario G'!$F30),MONTH('Calendario G'!$F30),DAY('Calendario G'!$F30)))</f>
        <v>46334</v>
      </c>
      <c r="F176" s="164" t="n">
        <f aca="false">IF($B176="","",TIME(HOUR('Calendario G'!$F30)+2,MINUTE('Calendario G'!$F30),0))</f>
        <v>0.708333333333333</v>
      </c>
      <c r="G176" s="162" t="str">
        <f aca="false">IF($B176="","",'Calendario G'!$B31)</f>
        <v>PalaLeopardi, Via dello Sport 10, Leopardiopoli LI</v>
      </c>
      <c r="H176" s="162" t="str">
        <f aca="false">IF($B176="","",Campionato!$D$1&amp;" "&amp;Campionato!$D$5)</f>
        <v>Campionato Baskin Demo - ESEMPIO COMPILATO 64 Squadre 2026/2027</v>
      </c>
      <c r="I176" s="162"/>
    </row>
    <row r="177" customFormat="false" ht="95.5" hidden="false" customHeight="false" outlineLevel="0" collapsed="false">
      <c r="A177" s="162" t="str">
        <f aca="true">IF($B177="","","BEGIN:VEVENT
DTSTAMP:"&amp;TEXT(NOW(),"yyyymmdd")&amp;"T000001Z
UID:evt176@ClaudeCoworkBaskin
DTSTART;TZID=Europe/Rome:"&amp;TEXT($C177,"yyyymmdd")&amp;"T"&amp;TEXT($D177,"hhmmss")&amp;"
DTEND;TZID=Europe/Rome:"&amp;TEXT($E177,"yyyymmdd")&amp;"T"&amp;TEXT($F177,"hhmmss")&amp;"
SUMMARY:"&amp;$B177&amp;"
LOCATION:"&amp;$G177&amp;"
DESCRIPTION:"&amp;$H177&amp;"
END:VEVENT")</f>
        <v>BEGIN:VEVENT
DTSTAMP:20260907T000001Z
UID:evt176@ClaudeCoworkBaskin
DTSTART;TZID=Europe/Rome:20261108T170000
DTEND;TZID=Europe/Rome:20261108T190000
SUMMARY:Meduse Malandrine vs Nandu Nottambuli
LOCATION:PalaLeopardi, Via dello Sport 10, Leopardiopoli LI
DESCRIPTION:Campionato Baskin Demo - ESEMPIO COMPILATO 64 Squadre 2026/2027
END:VEVENT</v>
      </c>
      <c r="B177" s="162" t="str">
        <f aca="false">IF('Calendario G'!$B33="","",'Calendario G'!$B33&amp;" vs "&amp;'Calendario G'!$D33)</f>
        <v>Meduse Malandrine vs Nandu Nottambuli</v>
      </c>
      <c r="C177" s="163" t="n">
        <f aca="false">IF($B177="","",DATE(YEAR('Calendario G'!$F33),MONTH('Calendario G'!$F33),DAY('Calendario G'!$F33)))</f>
        <v>46334</v>
      </c>
      <c r="D177" s="164" t="n">
        <f aca="false">IF($B177="","",TIME(HOUR('Calendario G'!$F33),MINUTE('Calendario G'!$F33),0))</f>
        <v>0.708333333333333</v>
      </c>
      <c r="E177" s="163" t="n">
        <f aca="false">IF($B177="","",DATE(YEAR('Calendario G'!$F33),MONTH('Calendario G'!$F33),DAY('Calendario G'!$F33)))</f>
        <v>46334</v>
      </c>
      <c r="F177" s="164" t="n">
        <f aca="false">IF($B177="","",TIME(HOUR('Calendario G'!$F33)+2,MINUTE('Calendario G'!$F33),0))</f>
        <v>0.791666666666667</v>
      </c>
      <c r="G177" s="162" t="str">
        <f aca="false">IF($B177="","",'Calendario G'!$B34)</f>
        <v>PalaLeopardi, Via dello Sport 10, Leopardiopoli LI</v>
      </c>
      <c r="H177" s="162" t="str">
        <f aca="false">IF($B177="","",Campionato!$D$1&amp;" "&amp;Campionato!$D$5)</f>
        <v>Campionato Baskin Demo - ESEMPIO COMPILATO 64 Squadre 2026/2027</v>
      </c>
      <c r="I177" s="162"/>
    </row>
    <row r="178" customFormat="false" ht="95.5" hidden="false" customHeight="false" outlineLevel="0" collapsed="false">
      <c r="A178" s="162" t="str">
        <f aca="true">IF($B178="","","BEGIN:VEVENT
DTSTAMP:"&amp;TEXT(NOW(),"yyyymmdd")&amp;"T000001Z
UID:evt177@ClaudeCoworkBaskin
DTSTART;TZID=Europe/Rome:"&amp;TEXT($C178,"yyyymmdd")&amp;"T"&amp;TEXT($D178,"hhmmss")&amp;"
DTEND;TZID=Europe/Rome:"&amp;TEXT($E178,"yyyymmdd")&amp;"T"&amp;TEXT($F178,"hhmmss")&amp;"
SUMMARY:"&amp;$B178&amp;"
LOCATION:"&amp;$G178&amp;"
DESCRIPTION:"&amp;$H178&amp;"
END:VEVENT")</f>
        <v>BEGIN:VEVENT
DTSTAMP:20260907T000001Z
UID:evt177@ClaudeCoworkBaskin
DTSTART;TZID=Europe/Rome:20261129T093000
DTEND;TZID=Europe/Rome:20261129T113000
SUMMARY:Koala Kolossali vs Pinguini Prodigiosi
LOCATION:PalaMeduse, Via dello Sport 11, Meduseopoli ME
DESCRIPTION:Campionato Baskin Demo - ESEMPIO COMPILATO 64 Squadre 2026/2027
END:VEVENT</v>
      </c>
      <c r="B178" s="162" t="str">
        <f aca="false">IF('Calendario G'!$B38="","",'Calendario G'!$B38&amp;" vs "&amp;'Calendario G'!$D38)</f>
        <v>Koala Kolossali vs Pinguini Prodigiosi</v>
      </c>
      <c r="C178" s="163" t="n">
        <f aca="false">IF($B178="","",DATE(YEAR('Calendario G'!$F38),MONTH('Calendario G'!$F38),DAY('Calendario G'!$F38)))</f>
        <v>46355</v>
      </c>
      <c r="D178" s="164" t="n">
        <f aca="false">IF($B178="","",TIME(HOUR('Calendario G'!$F38),MINUTE('Calendario G'!$F38),0))</f>
        <v>0.395833333333333</v>
      </c>
      <c r="E178" s="163" t="n">
        <f aca="false">IF($B178="","",DATE(YEAR('Calendario G'!$F38),MONTH('Calendario G'!$F38),DAY('Calendario G'!$F38)))</f>
        <v>46355</v>
      </c>
      <c r="F178" s="164" t="n">
        <f aca="false">IF($B178="","",TIME(HOUR('Calendario G'!$F38)+2,MINUTE('Calendario G'!$F38),0))</f>
        <v>0.479166666666667</v>
      </c>
      <c r="G178" s="162" t="str">
        <f aca="false">IF($B178="","",'Calendario G'!$B39)</f>
        <v>PalaMeduse, Via dello Sport 11, Meduseopoli ME</v>
      </c>
      <c r="H178" s="162" t="str">
        <f aca="false">IF($B178="","",Campionato!$D$1&amp;" "&amp;Campionato!$D$5)</f>
        <v>Campionato Baskin Demo - ESEMPIO COMPILATO 64 Squadre 2026/2027</v>
      </c>
      <c r="I178" s="162"/>
    </row>
    <row r="179" customFormat="false" ht="95.5" hidden="false" customHeight="false" outlineLevel="0" collapsed="false">
      <c r="A179" s="162" t="str">
        <f aca="true">IF($B179="","","BEGIN:VEVENT
DTSTAMP:"&amp;TEXT(NOW(),"yyyymmdd")&amp;"T000001Z
UID:evt178@ClaudeCoworkBaskin
DTSTART;TZID=Europe/Rome:"&amp;TEXT($C179,"yyyymmdd")&amp;"T"&amp;TEXT($D179,"hhmmss")&amp;"
DTEND;TZID=Europe/Rome:"&amp;TEXT($E179,"yyyymmdd")&amp;"T"&amp;TEXT($F179,"hhmmss")&amp;"
SUMMARY:"&amp;$B179&amp;"
LOCATION:"&amp;$G179&amp;"
DESCRIPTION:"&amp;$H179&amp;"
END:VEVENT")</f>
        <v>BEGIN:VEVENT
DTSTAMP:20260907T000001Z
UID:evt178@ClaudeCoworkBaskin
DTSTART;TZID=Europe/Rome:20261129T113000
DTEND;TZID=Europe/Rome:20261129T133000
SUMMARY:Orangotanghi Operosi vs Renne Rocambolesche
LOCATION:PalaMeduse, Via dello Sport 11, Meduseopoli ME
DESCRIPTION:Campionato Baskin Demo - ESEMPIO COMPILATO 64 Squadre 2026/2027
END:VEVENT</v>
      </c>
      <c r="B179" s="162" t="str">
        <f aca="false">IF('Calendario G'!$B41="","",'Calendario G'!$B41&amp;" vs "&amp;'Calendario G'!$D41)</f>
        <v>Orangotanghi Operosi vs Renne Rocambolesche</v>
      </c>
      <c r="C179" s="163" t="n">
        <f aca="false">IF($B179="","",DATE(YEAR('Calendario G'!$F41),MONTH('Calendario G'!$F41),DAY('Calendario G'!$F41)))</f>
        <v>46355</v>
      </c>
      <c r="D179" s="164" t="n">
        <f aca="false">IF($B179="","",TIME(HOUR('Calendario G'!$F41),MINUTE('Calendario G'!$F41),0))</f>
        <v>0.479166666666667</v>
      </c>
      <c r="E179" s="163" t="n">
        <f aca="false">IF($B179="","",DATE(YEAR('Calendario G'!$F41),MONTH('Calendario G'!$F41),DAY('Calendario G'!$F41)))</f>
        <v>46355</v>
      </c>
      <c r="F179" s="164" t="n">
        <f aca="false">IF($B179="","",TIME(HOUR('Calendario G'!$F41)+2,MINUTE('Calendario G'!$F41),0))</f>
        <v>0.5625</v>
      </c>
      <c r="G179" s="162" t="str">
        <f aca="false">IF($B179="","",'Calendario G'!$B42)</f>
        <v>PalaMeduse, Via dello Sport 11, Meduseopoli ME</v>
      </c>
      <c r="H179" s="162" t="str">
        <f aca="false">IF($B179="","",Campionato!$D$1&amp;" "&amp;Campionato!$D$5)</f>
        <v>Campionato Baskin Demo - ESEMPIO COMPILATO 64 Squadre 2026/2027</v>
      </c>
      <c r="I179" s="162"/>
    </row>
    <row r="180" customFormat="false" ht="95.5" hidden="false" customHeight="false" outlineLevel="0" collapsed="false">
      <c r="A180" s="162" t="str">
        <f aca="true">IF($B180="","","BEGIN:VEVENT
DTSTAMP:"&amp;TEXT(NOW(),"yyyymmdd")&amp;"T000001Z
UID:evt179@ClaudeCoworkBaskin
DTSTART;TZID=Europe/Rome:"&amp;TEXT($C180,"yyyymmdd")&amp;"T"&amp;TEXT($D180,"hhmmss")&amp;"
DTEND;TZID=Europe/Rome:"&amp;TEXT($E180,"yyyymmdd")&amp;"T"&amp;TEXT($F180,"hhmmss")&amp;"
SUMMARY:"&amp;$B180&amp;"
LOCATION:"&amp;$G180&amp;"
DESCRIPTION:"&amp;$H180&amp;"
END:VEVENT")</f>
        <v>BEGIN:VEVENT
DTSTAMP:20260907T000001Z
UID:evt179@ClaudeCoworkBaskin
DTSTART;TZID=Europe/Rome:20261129T150000
DTEND;TZID=Europe/Rome:20261129T170000
SUMMARY:Struzzi Strepitosi vs Nandu Nottambuli
LOCATION:PalaMeduse, Via dello Sport 11, Meduseopoli ME
DESCRIPTION:Campionato Baskin Demo - ESEMPIO COMPILATO 64 Squadre 2026/2027
END:VEVENT</v>
      </c>
      <c r="B180" s="162" t="str">
        <f aca="false">IF('Calendario G'!$B44="","",'Calendario G'!$B44&amp;" vs "&amp;'Calendario G'!$D44)</f>
        <v>Struzzi Strepitosi vs Nandu Nottambuli</v>
      </c>
      <c r="C180" s="163" t="n">
        <f aca="false">IF($B180="","",DATE(YEAR('Calendario G'!$F44),MONTH('Calendario G'!$F44),DAY('Calendario G'!$F44)))</f>
        <v>46355</v>
      </c>
      <c r="D180" s="164" t="n">
        <f aca="false">IF($B180="","",TIME(HOUR('Calendario G'!$F44),MINUTE('Calendario G'!$F44),0))</f>
        <v>0.625</v>
      </c>
      <c r="E180" s="163" t="n">
        <f aca="false">IF($B180="","",DATE(YEAR('Calendario G'!$F44),MONTH('Calendario G'!$F44),DAY('Calendario G'!$F44)))</f>
        <v>46355</v>
      </c>
      <c r="F180" s="164" t="n">
        <f aca="false">IF($B180="","",TIME(HOUR('Calendario G'!$F44)+2,MINUTE('Calendario G'!$F44),0))</f>
        <v>0.708333333333333</v>
      </c>
      <c r="G180" s="162" t="str">
        <f aca="false">IF($B180="","",'Calendario G'!$B45)</f>
        <v>PalaMeduse, Via dello Sport 11, Meduseopoli ME</v>
      </c>
      <c r="H180" s="162" t="str">
        <f aca="false">IF($B180="","",Campionato!$D$1&amp;" "&amp;Campionato!$D$5)</f>
        <v>Campionato Baskin Demo - ESEMPIO COMPILATO 64 Squadre 2026/2027</v>
      </c>
      <c r="I180" s="162"/>
    </row>
    <row r="181" customFormat="false" ht="95.5" hidden="false" customHeight="false" outlineLevel="0" collapsed="false">
      <c r="A181" s="162" t="str">
        <f aca="true">IF($B181="","","BEGIN:VEVENT
DTSTAMP:"&amp;TEXT(NOW(),"yyyymmdd")&amp;"T000001Z
UID:evt180@ClaudeCoworkBaskin
DTSTART;TZID=Europe/Rome:"&amp;TEXT($C181,"yyyymmdd")&amp;"T"&amp;TEXT($D181,"hhmmss")&amp;"
DTEND;TZID=Europe/Rome:"&amp;TEXT($E181,"yyyymmdd")&amp;"T"&amp;TEXT($F181,"hhmmss")&amp;"
SUMMARY:"&amp;$B181&amp;"
LOCATION:"&amp;$G181&amp;"
DESCRIPTION:"&amp;$H181&amp;"
END:VEVENT")</f>
        <v>BEGIN:VEVENT
DTSTAMP:20260907T000001Z
UID:evt180@ClaudeCoworkBaskin
DTSTART;TZID=Europe/Rome:20261129T170000
DTEND;TZID=Europe/Rome:20261129T190000
SUMMARY:Meduse Malandrine vs Leopardi Leggiadri
LOCATION:PalaMeduse, Via dello Sport 11, Meduseopoli ME
DESCRIPTION:Campionato Baskin Demo - ESEMPIO COMPILATO 64 Squadre 2026/2027
END:VEVENT</v>
      </c>
      <c r="B181" s="162" t="str">
        <f aca="false">IF('Calendario G'!$B47="","",'Calendario G'!$B47&amp;" vs "&amp;'Calendario G'!$D47)</f>
        <v>Meduse Malandrine vs Leopardi Leggiadri</v>
      </c>
      <c r="C181" s="163" t="n">
        <f aca="false">IF($B181="","",DATE(YEAR('Calendario G'!$F47),MONTH('Calendario G'!$F47),DAY('Calendario G'!$F47)))</f>
        <v>46355</v>
      </c>
      <c r="D181" s="164" t="n">
        <f aca="false">IF($B181="","",TIME(HOUR('Calendario G'!$F47),MINUTE('Calendario G'!$F47),0))</f>
        <v>0.708333333333333</v>
      </c>
      <c r="E181" s="163" t="n">
        <f aca="false">IF($B181="","",DATE(YEAR('Calendario G'!$F47),MONTH('Calendario G'!$F47),DAY('Calendario G'!$F47)))</f>
        <v>46355</v>
      </c>
      <c r="F181" s="164" t="n">
        <f aca="false">IF($B181="","",TIME(HOUR('Calendario G'!$F47)+2,MINUTE('Calendario G'!$F47),0))</f>
        <v>0.791666666666667</v>
      </c>
      <c r="G181" s="162" t="str">
        <f aca="false">IF($B181="","",'Calendario G'!$B48)</f>
        <v>PalaMeduse, Via dello Sport 11, Meduseopoli ME</v>
      </c>
      <c r="H181" s="162" t="str">
        <f aca="false">IF($B181="","",Campionato!$D$1&amp;" "&amp;Campionato!$D$5)</f>
        <v>Campionato Baskin Demo - ESEMPIO COMPILATO 64 Squadre 2026/2027</v>
      </c>
      <c r="I181" s="162"/>
    </row>
    <row r="182" customFormat="false" ht="95.5" hidden="false" customHeight="false" outlineLevel="0" collapsed="false">
      <c r="A182" s="162" t="str">
        <f aca="true">IF($B182="","","BEGIN:VEVENT
DTSTAMP:"&amp;TEXT(NOW(),"yyyymmdd")&amp;"T000001Z
UID:evt181@ClaudeCoworkBaskin
DTSTART;TZID=Europe/Rome:"&amp;TEXT($C182,"yyyymmdd")&amp;"T"&amp;TEXT($D182,"hhmmss")&amp;"
DTEND;TZID=Europe/Rome:"&amp;TEXT($E182,"yyyymmdd")&amp;"T"&amp;TEXT($F182,"hhmmss")&amp;"
SUMMARY:"&amp;$B182&amp;"
LOCATION:"&amp;$G182&amp;"
DESCRIPTION:"&amp;$H182&amp;"
END:VEVENT")</f>
        <v>BEGIN:VEVENT
DTSTAMP:20260907T000001Z
UID:evt181@ClaudeCoworkBaskin
DTSTART;TZID=Europe/Rome:20261213T093000
DTEND;TZID=Europe/Rome:20261213T113000
SUMMARY:Orangotanghi Operosi vs Koala Kolossali
LOCATION:PalaNandu, Via dello Sport 12, Nanduopoli NU
DESCRIPTION:Campionato Baskin Demo - ESEMPIO COMPILATO 64 Squadre 2026/2027
END:VEVENT</v>
      </c>
      <c r="B182" s="162" t="str">
        <f aca="false">IF('Calendario G'!$B52="","",'Calendario G'!$B52&amp;" vs "&amp;'Calendario G'!$D52)</f>
        <v>Orangotanghi Operosi vs Koala Kolossali</v>
      </c>
      <c r="C182" s="163" t="n">
        <f aca="false">IF($B182="","",DATE(YEAR('Calendario G'!$F52),MONTH('Calendario G'!$F52),DAY('Calendario G'!$F52)))</f>
        <v>46369</v>
      </c>
      <c r="D182" s="164" t="n">
        <f aca="false">IF($B182="","",TIME(HOUR('Calendario G'!$F52),MINUTE('Calendario G'!$F52),0))</f>
        <v>0.395833333333333</v>
      </c>
      <c r="E182" s="163" t="n">
        <f aca="false">IF($B182="","",DATE(YEAR('Calendario G'!$F52),MONTH('Calendario G'!$F52),DAY('Calendario G'!$F52)))</f>
        <v>46369</v>
      </c>
      <c r="F182" s="164" t="n">
        <f aca="false">IF($B182="","",TIME(HOUR('Calendario G'!$F52)+2,MINUTE('Calendario G'!$F52),0))</f>
        <v>0.479166666666667</v>
      </c>
      <c r="G182" s="162" t="str">
        <f aca="false">IF($B182="","",'Calendario G'!$B53)</f>
        <v>PalaNandu, Via dello Sport 12, Nanduopoli NU</v>
      </c>
      <c r="H182" s="162" t="str">
        <f aca="false">IF($B182="","",Campionato!$D$1&amp;" "&amp;Campionato!$D$5)</f>
        <v>Campionato Baskin Demo - ESEMPIO COMPILATO 64 Squadre 2026/2027</v>
      </c>
      <c r="I182" s="162"/>
    </row>
    <row r="183" customFormat="false" ht="95.5" hidden="false" customHeight="false" outlineLevel="0" collapsed="false">
      <c r="A183" s="162" t="str">
        <f aca="true">IF($B183="","","BEGIN:VEVENT
DTSTAMP:"&amp;TEXT(NOW(),"yyyymmdd")&amp;"T000001Z
UID:evt182@ClaudeCoworkBaskin
DTSTART;TZID=Europe/Rome:"&amp;TEXT($C183,"yyyymmdd")&amp;"T"&amp;TEXT($D183,"hhmmss")&amp;"
DTEND;TZID=Europe/Rome:"&amp;TEXT($E183,"yyyymmdd")&amp;"T"&amp;TEXT($F183,"hhmmss")&amp;"
SUMMARY:"&amp;$B183&amp;"
LOCATION:"&amp;$G183&amp;"
DESCRIPTION:"&amp;$H183&amp;"
END:VEVENT")</f>
        <v>BEGIN:VEVENT
DTSTAMP:20260907T000001Z
UID:evt182@ClaudeCoworkBaskin
DTSTART;TZID=Europe/Rome:20261213T113000
DTEND;TZID=Europe/Rome:20261213T133000
SUMMARY:Pinguini Prodigiosi vs Nandu Nottambuli
LOCATION:PalaNandu, Via dello Sport 12, Nanduopoli NU
DESCRIPTION:Campionato Baskin Demo - ESEMPIO COMPILATO 64 Squadre 2026/2027
END:VEVENT</v>
      </c>
      <c r="B183" s="162" t="str">
        <f aca="false">IF('Calendario G'!$B55="","",'Calendario G'!$B55&amp;" vs "&amp;'Calendario G'!$D55)</f>
        <v>Pinguini Prodigiosi vs Nandu Nottambuli</v>
      </c>
      <c r="C183" s="163" t="n">
        <f aca="false">IF($B183="","",DATE(YEAR('Calendario G'!$F55),MONTH('Calendario G'!$F55),DAY('Calendario G'!$F55)))</f>
        <v>46369</v>
      </c>
      <c r="D183" s="164" t="n">
        <f aca="false">IF($B183="","",TIME(HOUR('Calendario G'!$F55),MINUTE('Calendario G'!$F55),0))</f>
        <v>0.479166666666667</v>
      </c>
      <c r="E183" s="163" t="n">
        <f aca="false">IF($B183="","",DATE(YEAR('Calendario G'!$F55),MONTH('Calendario G'!$F55),DAY('Calendario G'!$F55)))</f>
        <v>46369</v>
      </c>
      <c r="F183" s="164" t="n">
        <f aca="false">IF($B183="","",TIME(HOUR('Calendario G'!$F55)+2,MINUTE('Calendario G'!$F55),0))</f>
        <v>0.5625</v>
      </c>
      <c r="G183" s="162" t="str">
        <f aca="false">IF($B183="","",'Calendario G'!$B56)</f>
        <v>PalaNandu, Via dello Sport 12, Nanduopoli NU</v>
      </c>
      <c r="H183" s="162" t="str">
        <f aca="false">IF($B183="","",Campionato!$D$1&amp;" "&amp;Campionato!$D$5)</f>
        <v>Campionato Baskin Demo - ESEMPIO COMPILATO 64 Squadre 2026/2027</v>
      </c>
      <c r="I183" s="162"/>
    </row>
    <row r="184" customFormat="false" ht="95.5" hidden="false" customHeight="false" outlineLevel="0" collapsed="false">
      <c r="A184" s="162" t="str">
        <f aca="true">IF($B184="","","BEGIN:VEVENT
DTSTAMP:"&amp;TEXT(NOW(),"yyyymmdd")&amp;"T000001Z
UID:evt183@ClaudeCoworkBaskin
DTSTART;TZID=Europe/Rome:"&amp;TEXT($C184,"yyyymmdd")&amp;"T"&amp;TEXT($D184,"hhmmss")&amp;"
DTEND;TZID=Europe/Rome:"&amp;TEXT($E184,"yyyymmdd")&amp;"T"&amp;TEXT($F184,"hhmmss")&amp;"
SUMMARY:"&amp;$B184&amp;"
LOCATION:"&amp;$G184&amp;"
DESCRIPTION:"&amp;$H184&amp;"
END:VEVENT")</f>
        <v>BEGIN:VEVENT
DTSTAMP:20260907T000001Z
UID:evt183@ClaudeCoworkBaskin
DTSTART;TZID=Europe/Rome:20261213T150000
DTEND;TZID=Europe/Rome:20261213T170000
SUMMARY:Meduse Malandrine vs Renne Rocambolesche
LOCATION:PalaNandu, Via dello Sport 12, Nanduopoli NU
DESCRIPTION:Campionato Baskin Demo - ESEMPIO COMPILATO 64 Squadre 2026/2027
END:VEVENT</v>
      </c>
      <c r="B184" s="162" t="str">
        <f aca="false">IF('Calendario G'!$B58="","",'Calendario G'!$B58&amp;" vs "&amp;'Calendario G'!$D58)</f>
        <v>Meduse Malandrine vs Renne Rocambolesche</v>
      </c>
      <c r="C184" s="163" t="n">
        <f aca="false">IF($B184="","",DATE(YEAR('Calendario G'!$F58),MONTH('Calendario G'!$F58),DAY('Calendario G'!$F58)))</f>
        <v>46369</v>
      </c>
      <c r="D184" s="164" t="n">
        <f aca="false">IF($B184="","",TIME(HOUR('Calendario G'!$F58),MINUTE('Calendario G'!$F58),0))</f>
        <v>0.625</v>
      </c>
      <c r="E184" s="163" t="n">
        <f aca="false">IF($B184="","",DATE(YEAR('Calendario G'!$F58),MONTH('Calendario G'!$F58),DAY('Calendario G'!$F58)))</f>
        <v>46369</v>
      </c>
      <c r="F184" s="164" t="n">
        <f aca="false">IF($B184="","",TIME(HOUR('Calendario G'!$F58)+2,MINUTE('Calendario G'!$F58),0))</f>
        <v>0.708333333333333</v>
      </c>
      <c r="G184" s="162" t="str">
        <f aca="false">IF($B184="","",'Calendario G'!$B59)</f>
        <v>PalaNandu, Via dello Sport 12, Nanduopoli NU</v>
      </c>
      <c r="H184" s="162" t="str">
        <f aca="false">IF($B184="","",Campionato!$D$1&amp;" "&amp;Campionato!$D$5)</f>
        <v>Campionato Baskin Demo - ESEMPIO COMPILATO 64 Squadre 2026/2027</v>
      </c>
      <c r="I184" s="162"/>
    </row>
    <row r="185" customFormat="false" ht="95.5" hidden="false" customHeight="false" outlineLevel="0" collapsed="false">
      <c r="A185" s="162" t="str">
        <f aca="true">IF($B185="","","BEGIN:VEVENT
DTSTAMP:"&amp;TEXT(NOW(),"yyyymmdd")&amp;"T000001Z
UID:evt184@ClaudeCoworkBaskin
DTSTART;TZID=Europe/Rome:"&amp;TEXT($C185,"yyyymmdd")&amp;"T"&amp;TEXT($D185,"hhmmss")&amp;"
DTEND;TZID=Europe/Rome:"&amp;TEXT($E185,"yyyymmdd")&amp;"T"&amp;TEXT($F185,"hhmmss")&amp;"
SUMMARY:"&amp;$B185&amp;"
LOCATION:"&amp;$G185&amp;"
DESCRIPTION:"&amp;$H185&amp;"
END:VEVENT")</f>
        <v>BEGIN:VEVENT
DTSTAMP:20260907T000001Z
UID:evt184@ClaudeCoworkBaskin
DTSTART;TZID=Europe/Rome:20261213T170000
DTEND;TZID=Europe/Rome:20261213T190000
SUMMARY:Struzzi Strepitosi vs Leopardi Leggiadri
LOCATION:PalaNandu, Via dello Sport 12, Nanduopoli NU
DESCRIPTION:Campionato Baskin Demo - ESEMPIO COMPILATO 64 Squadre 2026/2027
END:VEVENT</v>
      </c>
      <c r="B185" s="162" t="str">
        <f aca="false">IF('Calendario G'!$B61="","",'Calendario G'!$B61&amp;" vs "&amp;'Calendario G'!$D61)</f>
        <v>Struzzi Strepitosi vs Leopardi Leggiadri</v>
      </c>
      <c r="C185" s="163" t="n">
        <f aca="false">IF($B185="","",DATE(YEAR('Calendario G'!$F61),MONTH('Calendario G'!$F61),DAY('Calendario G'!$F61)))</f>
        <v>46369</v>
      </c>
      <c r="D185" s="164" t="n">
        <f aca="false">IF($B185="","",TIME(HOUR('Calendario G'!$F61),MINUTE('Calendario G'!$F61),0))</f>
        <v>0.708333333333333</v>
      </c>
      <c r="E185" s="163" t="n">
        <f aca="false">IF($B185="","",DATE(YEAR('Calendario G'!$F61),MONTH('Calendario G'!$F61),DAY('Calendario G'!$F61)))</f>
        <v>46369</v>
      </c>
      <c r="F185" s="164" t="n">
        <f aca="false">IF($B185="","",TIME(HOUR('Calendario G'!$F61)+2,MINUTE('Calendario G'!$F61),0))</f>
        <v>0.791666666666667</v>
      </c>
      <c r="G185" s="162" t="str">
        <f aca="false">IF($B185="","",'Calendario G'!$B62)</f>
        <v>PalaNandu, Via dello Sport 12, Nanduopoli NU</v>
      </c>
      <c r="H185" s="162" t="str">
        <f aca="false">IF($B185="","",Campionato!$D$1&amp;" "&amp;Campionato!$D$5)</f>
        <v>Campionato Baskin Demo - ESEMPIO COMPILATO 64 Squadre 2026/2027</v>
      </c>
      <c r="I185" s="162"/>
    </row>
    <row r="186" customFormat="false" ht="95.5" hidden="false" customHeight="false" outlineLevel="0" collapsed="false">
      <c r="A186" s="162" t="str">
        <f aca="true">IF($B186="","","BEGIN:VEVENT
DTSTAMP:"&amp;TEXT(NOW(),"yyyymmdd")&amp;"T000001Z
UID:evt185@ClaudeCoworkBaskin
DTSTART;TZID=Europe/Rome:"&amp;TEXT($C186,"yyyymmdd")&amp;"T"&amp;TEXT($D186,"hhmmss")&amp;"
DTEND;TZID=Europe/Rome:"&amp;TEXT($E186,"yyyymmdd")&amp;"T"&amp;TEXT($F186,"hhmmss")&amp;"
SUMMARY:"&amp;$B186&amp;"
LOCATION:"&amp;$G186&amp;"
DESCRIPTION:"&amp;$H186&amp;"
END:VEVENT")</f>
        <v>BEGIN:VEVENT
DTSTAMP:20260907T000001Z
UID:evt185@ClaudeCoworkBaskin
DTSTART;TZID=Europe/Rome:20270124T093000
DTEND;TZID=Europe/Rome:20270124T113000
SUMMARY:Koala Kolossali vs Nandu Nottambuli
LOCATION:PalaOrangotanghi, Via dello Sport 13, Orangotanghiopoli OI
DESCRIPTION:Campionato Baskin Demo - ESEMPIO COMPILATO 64 Squadre 2026/2027
END:VEVENT</v>
      </c>
      <c r="B186" s="162" t="str">
        <f aca="false">IF('Calendario G'!$B66="","",'Calendario G'!$B66&amp;" vs "&amp;'Calendario G'!$D66)</f>
        <v>Koala Kolossali vs Nandu Nottambuli</v>
      </c>
      <c r="C186" s="163" t="n">
        <f aca="false">IF($B186="","",DATE(YEAR('Calendario G'!$F66),MONTH('Calendario G'!$F66),DAY('Calendario G'!$F66)))</f>
        <v>46411</v>
      </c>
      <c r="D186" s="164" t="n">
        <f aca="false">IF($B186="","",TIME(HOUR('Calendario G'!$F66),MINUTE('Calendario G'!$F66),0))</f>
        <v>0.395833333333333</v>
      </c>
      <c r="E186" s="163" t="n">
        <f aca="false">IF($B186="","",DATE(YEAR('Calendario G'!$F66),MONTH('Calendario G'!$F66),DAY('Calendario G'!$F66)))</f>
        <v>46411</v>
      </c>
      <c r="F186" s="164" t="n">
        <f aca="false">IF($B186="","",TIME(HOUR('Calendario G'!$F66)+2,MINUTE('Calendario G'!$F66),0))</f>
        <v>0.479166666666667</v>
      </c>
      <c r="G186" s="162" t="str">
        <f aca="false">IF($B186="","",'Calendario G'!$B67)</f>
        <v>PalaOrangotanghi, Via dello Sport 13, Orangotanghiopoli OI</v>
      </c>
      <c r="H186" s="162" t="str">
        <f aca="false">IF($B186="","",Campionato!$D$1&amp;" "&amp;Campionato!$D$5)</f>
        <v>Campionato Baskin Demo - ESEMPIO COMPILATO 64 Squadre 2026/2027</v>
      </c>
      <c r="I186" s="162"/>
    </row>
    <row r="187" customFormat="false" ht="95.5" hidden="false" customHeight="false" outlineLevel="0" collapsed="false">
      <c r="A187" s="162" t="str">
        <f aca="true">IF($B187="","","BEGIN:VEVENT
DTSTAMP:"&amp;TEXT(NOW(),"yyyymmdd")&amp;"T000001Z
UID:evt186@ClaudeCoworkBaskin
DTSTART;TZID=Europe/Rome:"&amp;TEXT($C187,"yyyymmdd")&amp;"T"&amp;TEXT($D187,"hhmmss")&amp;"
DTEND;TZID=Europe/Rome:"&amp;TEXT($E187,"yyyymmdd")&amp;"T"&amp;TEXT($F187,"hhmmss")&amp;"
SUMMARY:"&amp;$B187&amp;"
LOCATION:"&amp;$G187&amp;"
DESCRIPTION:"&amp;$H187&amp;"
END:VEVENT")</f>
        <v>BEGIN:VEVENT
DTSTAMP:20260907T000001Z
UID:evt186@ClaudeCoworkBaskin
DTSTART;TZID=Europe/Rome:20270124T113000
DTEND;TZID=Europe/Rome:20270124T133000
SUMMARY:Meduse Malandrine vs Orangotanghi Operosi
LOCATION:PalaOrangotanghi, Via dello Sport 13, Orangotanghiopoli OI
DESCRIPTION:Campionato Baskin Demo - ESEMPIO COMPILATO 64 Squadre 2026/2027
END:VEVENT</v>
      </c>
      <c r="B187" s="162" t="str">
        <f aca="false">IF('Calendario G'!$B69="","",'Calendario G'!$B69&amp;" vs "&amp;'Calendario G'!$D69)</f>
        <v>Meduse Malandrine vs Orangotanghi Operosi</v>
      </c>
      <c r="C187" s="163" t="n">
        <f aca="false">IF($B187="","",DATE(YEAR('Calendario G'!$F69),MONTH('Calendario G'!$F69),DAY('Calendario G'!$F69)))</f>
        <v>46411</v>
      </c>
      <c r="D187" s="164" t="n">
        <f aca="false">IF($B187="","",TIME(HOUR('Calendario G'!$F69),MINUTE('Calendario G'!$F69),0))</f>
        <v>0.479166666666667</v>
      </c>
      <c r="E187" s="163" t="n">
        <f aca="false">IF($B187="","",DATE(YEAR('Calendario G'!$F69),MONTH('Calendario G'!$F69),DAY('Calendario G'!$F69)))</f>
        <v>46411</v>
      </c>
      <c r="F187" s="164" t="n">
        <f aca="false">IF($B187="","",TIME(HOUR('Calendario G'!$F69)+2,MINUTE('Calendario G'!$F69),0))</f>
        <v>0.5625</v>
      </c>
      <c r="G187" s="162" t="str">
        <f aca="false">IF($B187="","",'Calendario G'!$B70)</f>
        <v>PalaOrangotanghi, Via dello Sport 13, Orangotanghiopoli OI</v>
      </c>
      <c r="H187" s="162" t="str">
        <f aca="false">IF($B187="","",Campionato!$D$1&amp;" "&amp;Campionato!$D$5)</f>
        <v>Campionato Baskin Demo - ESEMPIO COMPILATO 64 Squadre 2026/2027</v>
      </c>
      <c r="I187" s="162"/>
    </row>
    <row r="188" customFormat="false" ht="95.5" hidden="false" customHeight="false" outlineLevel="0" collapsed="false">
      <c r="A188" s="162" t="str">
        <f aca="true">IF($B188="","","BEGIN:VEVENT
DTSTAMP:"&amp;TEXT(NOW(),"yyyymmdd")&amp;"T000001Z
UID:evt187@ClaudeCoworkBaskin
DTSTART;TZID=Europe/Rome:"&amp;TEXT($C188,"yyyymmdd")&amp;"T"&amp;TEXT($D188,"hhmmss")&amp;"
DTEND;TZID=Europe/Rome:"&amp;TEXT($E188,"yyyymmdd")&amp;"T"&amp;TEXT($F188,"hhmmss")&amp;"
SUMMARY:"&amp;$B188&amp;"
LOCATION:"&amp;$G188&amp;"
DESCRIPTION:"&amp;$H188&amp;"
END:VEVENT")</f>
        <v>BEGIN:VEVENT
DTSTAMP:20260907T000001Z
UID:evt187@ClaudeCoworkBaskin
DTSTART;TZID=Europe/Rome:20270124T150000
DTEND;TZID=Europe/Rome:20270124T170000
SUMMARY:Pinguini Prodigiosi vs Leopardi Leggiadri
LOCATION:PalaOrangotanghi, Via dello Sport 13, Orangotanghiopoli OI
DESCRIPTION:Campionato Baskin Demo - ESEMPIO COMPILATO 64 Squadre 2026/2027
END:VEVENT</v>
      </c>
      <c r="B188" s="162" t="str">
        <f aca="false">IF('Calendario G'!$B72="","",'Calendario G'!$B72&amp;" vs "&amp;'Calendario G'!$D72)</f>
        <v>Pinguini Prodigiosi vs Leopardi Leggiadri</v>
      </c>
      <c r="C188" s="163" t="n">
        <f aca="false">IF($B188="","",DATE(YEAR('Calendario G'!$F72),MONTH('Calendario G'!$F72),DAY('Calendario G'!$F72)))</f>
        <v>46411</v>
      </c>
      <c r="D188" s="164" t="n">
        <f aca="false">IF($B188="","",TIME(HOUR('Calendario G'!$F72),MINUTE('Calendario G'!$F72),0))</f>
        <v>0.625</v>
      </c>
      <c r="E188" s="163" t="n">
        <f aca="false">IF($B188="","",DATE(YEAR('Calendario G'!$F72),MONTH('Calendario G'!$F72),DAY('Calendario G'!$F72)))</f>
        <v>46411</v>
      </c>
      <c r="F188" s="164" t="n">
        <f aca="false">IF($B188="","",TIME(HOUR('Calendario G'!$F72)+2,MINUTE('Calendario G'!$F72),0))</f>
        <v>0.708333333333333</v>
      </c>
      <c r="G188" s="162" t="str">
        <f aca="false">IF($B188="","",'Calendario G'!$B73)</f>
        <v>PalaOrangotanghi, Via dello Sport 13, Orangotanghiopoli OI</v>
      </c>
      <c r="H188" s="162" t="str">
        <f aca="false">IF($B188="","",Campionato!$D$1&amp;" "&amp;Campionato!$D$5)</f>
        <v>Campionato Baskin Demo - ESEMPIO COMPILATO 64 Squadre 2026/2027</v>
      </c>
      <c r="I188" s="162"/>
    </row>
    <row r="189" customFormat="false" ht="95.5" hidden="false" customHeight="false" outlineLevel="0" collapsed="false">
      <c r="A189" s="162" t="str">
        <f aca="true">IF($B189="","","BEGIN:VEVENT
DTSTAMP:"&amp;TEXT(NOW(),"yyyymmdd")&amp;"T000001Z
UID:evt188@ClaudeCoworkBaskin
DTSTART;TZID=Europe/Rome:"&amp;TEXT($C189,"yyyymmdd")&amp;"T"&amp;TEXT($D189,"hhmmss")&amp;"
DTEND;TZID=Europe/Rome:"&amp;TEXT($E189,"yyyymmdd")&amp;"T"&amp;TEXT($F189,"hhmmss")&amp;"
SUMMARY:"&amp;$B189&amp;"
LOCATION:"&amp;$G189&amp;"
DESCRIPTION:"&amp;$H189&amp;"
END:VEVENT")</f>
        <v>BEGIN:VEVENT
DTSTAMP:20260907T000001Z
UID:evt188@ClaudeCoworkBaskin
DTSTART;TZID=Europe/Rome:20270124T170000
DTEND;TZID=Europe/Rome:20270124T190000
SUMMARY:Struzzi Strepitosi vs Renne Rocambolesche
LOCATION:PalaOrangotanghi, Via dello Sport 13, Orangotanghiopoli OI
DESCRIPTION:Campionato Baskin Demo - ESEMPIO COMPILATO 64 Squadre 2026/2027
END:VEVENT</v>
      </c>
      <c r="B189" s="162" t="str">
        <f aca="false">IF('Calendario G'!$B75="","",'Calendario G'!$B75&amp;" vs "&amp;'Calendario G'!$D75)</f>
        <v>Struzzi Strepitosi vs Renne Rocambolesche</v>
      </c>
      <c r="C189" s="163" t="n">
        <f aca="false">IF($B189="","",DATE(YEAR('Calendario G'!$F75),MONTH('Calendario G'!$F75),DAY('Calendario G'!$F75)))</f>
        <v>46411</v>
      </c>
      <c r="D189" s="164" t="n">
        <f aca="false">IF($B189="","",TIME(HOUR('Calendario G'!$F75),MINUTE('Calendario G'!$F75),0))</f>
        <v>0.708333333333333</v>
      </c>
      <c r="E189" s="163" t="n">
        <f aca="false">IF($B189="","",DATE(YEAR('Calendario G'!$F75),MONTH('Calendario G'!$F75),DAY('Calendario G'!$F75)))</f>
        <v>46411</v>
      </c>
      <c r="F189" s="164" t="n">
        <f aca="false">IF($B189="","",TIME(HOUR('Calendario G'!$F75)+2,MINUTE('Calendario G'!$F75),0))</f>
        <v>0.791666666666667</v>
      </c>
      <c r="G189" s="162" t="str">
        <f aca="false">IF($B189="","",'Calendario G'!$B76)</f>
        <v>PalaOrangotanghi, Via dello Sport 13, Orangotanghiopoli OI</v>
      </c>
      <c r="H189" s="162" t="str">
        <f aca="false">IF($B189="","",Campionato!$D$1&amp;" "&amp;Campionato!$D$5)</f>
        <v>Campionato Baskin Demo - ESEMPIO COMPILATO 64 Squadre 2026/2027</v>
      </c>
      <c r="I189" s="162"/>
    </row>
    <row r="190" customFormat="false" ht="95.5" hidden="false" customHeight="false" outlineLevel="0" collapsed="false">
      <c r="A190" s="162" t="str">
        <f aca="true">IF($B190="","","BEGIN:VEVENT
DTSTAMP:"&amp;TEXT(NOW(),"yyyymmdd")&amp;"T000001Z
UID:evt189@ClaudeCoworkBaskin
DTSTART;TZID=Europe/Rome:"&amp;TEXT($C190,"yyyymmdd")&amp;"T"&amp;TEXT($D190,"hhmmss")&amp;"
DTEND;TZID=Europe/Rome:"&amp;TEXT($E190,"yyyymmdd")&amp;"T"&amp;TEXT($F190,"hhmmss")&amp;"
SUMMARY:"&amp;$B190&amp;"
LOCATION:"&amp;$G190&amp;"
DESCRIPTION:"&amp;$H190&amp;"
END:VEVENT")</f>
        <v>BEGIN:VEVENT
DTSTAMP:20260907T000001Z
UID:evt189@ClaudeCoworkBaskin
DTSTART;TZID=Europe/Rome:20270214T093000
DTEND;TZID=Europe/Rome:20270214T113000
SUMMARY:Meduse Malandrine vs Koala Kolossali
LOCATION:PalaPinguini, Via dello Sport 14, Pinguiniopoli PI
DESCRIPTION:Campionato Baskin Demo - ESEMPIO COMPILATO 64 Squadre 2026/2027
END:VEVENT</v>
      </c>
      <c r="B190" s="162" t="str">
        <f aca="false">IF('Calendario G'!$B80="","",'Calendario G'!$B80&amp;" vs "&amp;'Calendario G'!$D80)</f>
        <v>Meduse Malandrine vs Koala Kolossali</v>
      </c>
      <c r="C190" s="163" t="n">
        <f aca="false">IF($B190="","",DATE(YEAR('Calendario G'!$F80),MONTH('Calendario G'!$F80),DAY('Calendario G'!$F80)))</f>
        <v>46432</v>
      </c>
      <c r="D190" s="164" t="n">
        <f aca="false">IF($B190="","",TIME(HOUR('Calendario G'!$F80),MINUTE('Calendario G'!$F80),0))</f>
        <v>0.395833333333333</v>
      </c>
      <c r="E190" s="163" t="n">
        <f aca="false">IF($B190="","",DATE(YEAR('Calendario G'!$F80),MONTH('Calendario G'!$F80),DAY('Calendario G'!$F80)))</f>
        <v>46432</v>
      </c>
      <c r="F190" s="164" t="n">
        <f aca="false">IF($B190="","",TIME(HOUR('Calendario G'!$F80)+2,MINUTE('Calendario G'!$F80),0))</f>
        <v>0.479166666666667</v>
      </c>
      <c r="G190" s="162" t="str">
        <f aca="false">IF($B190="","",'Calendario G'!$B81)</f>
        <v>PalaPinguini, Via dello Sport 14, Pinguiniopoli PI</v>
      </c>
      <c r="H190" s="162" t="str">
        <f aca="false">IF($B190="","",Campionato!$D$1&amp;" "&amp;Campionato!$D$5)</f>
        <v>Campionato Baskin Demo - ESEMPIO COMPILATO 64 Squadre 2026/2027</v>
      </c>
      <c r="I190" s="162"/>
    </row>
    <row r="191" customFormat="false" ht="95.5" hidden="false" customHeight="false" outlineLevel="0" collapsed="false">
      <c r="A191" s="162" t="str">
        <f aca="true">IF($B191="","","BEGIN:VEVENT
DTSTAMP:"&amp;TEXT(NOW(),"yyyymmdd")&amp;"T000001Z
UID:evt190@ClaudeCoworkBaskin
DTSTART;TZID=Europe/Rome:"&amp;TEXT($C191,"yyyymmdd")&amp;"T"&amp;TEXT($D191,"hhmmss")&amp;"
DTEND;TZID=Europe/Rome:"&amp;TEXT($E191,"yyyymmdd")&amp;"T"&amp;TEXT($F191,"hhmmss")&amp;"
SUMMARY:"&amp;$B191&amp;"
LOCATION:"&amp;$G191&amp;"
DESCRIPTION:"&amp;$H191&amp;"
END:VEVENT")</f>
        <v>BEGIN:VEVENT
DTSTAMP:20260907T000001Z
UID:evt190@ClaudeCoworkBaskin
DTSTART;TZID=Europe/Rome:20270214T113000
DTEND;TZID=Europe/Rome:20270214T133000
SUMMARY:Nandu Nottambuli vs Leopardi Leggiadri
LOCATION:PalaPinguini, Via dello Sport 14, Pinguiniopoli PI
DESCRIPTION:Campionato Baskin Demo - ESEMPIO COMPILATO 64 Squadre 2026/2027
END:VEVENT</v>
      </c>
      <c r="B191" s="162" t="str">
        <f aca="false">IF('Calendario G'!$B83="","",'Calendario G'!$B83&amp;" vs "&amp;'Calendario G'!$D83)</f>
        <v>Nandu Nottambuli vs Leopardi Leggiadri</v>
      </c>
      <c r="C191" s="163" t="n">
        <f aca="false">IF($B191="","",DATE(YEAR('Calendario G'!$F83),MONTH('Calendario G'!$F83),DAY('Calendario G'!$F83)))</f>
        <v>46432</v>
      </c>
      <c r="D191" s="164" t="n">
        <f aca="false">IF($B191="","",TIME(HOUR('Calendario G'!$F83),MINUTE('Calendario G'!$F83),0))</f>
        <v>0.479166666666667</v>
      </c>
      <c r="E191" s="163" t="n">
        <f aca="false">IF($B191="","",DATE(YEAR('Calendario G'!$F83),MONTH('Calendario G'!$F83),DAY('Calendario G'!$F83)))</f>
        <v>46432</v>
      </c>
      <c r="F191" s="164" t="n">
        <f aca="false">IF($B191="","",TIME(HOUR('Calendario G'!$F83)+2,MINUTE('Calendario G'!$F83),0))</f>
        <v>0.5625</v>
      </c>
      <c r="G191" s="162" t="str">
        <f aca="false">IF($B191="","",'Calendario G'!$B84)</f>
        <v>PalaPinguini, Via dello Sport 14, Pinguiniopoli PI</v>
      </c>
      <c r="H191" s="162" t="str">
        <f aca="false">IF($B191="","",Campionato!$D$1&amp;" "&amp;Campionato!$D$5)</f>
        <v>Campionato Baskin Demo - ESEMPIO COMPILATO 64 Squadre 2026/2027</v>
      </c>
      <c r="I191" s="162"/>
    </row>
    <row r="192" customFormat="false" ht="95.5" hidden="false" customHeight="false" outlineLevel="0" collapsed="false">
      <c r="A192" s="162" t="str">
        <f aca="true">IF($B192="","","BEGIN:VEVENT
DTSTAMP:"&amp;TEXT(NOW(),"yyyymmdd")&amp;"T000001Z
UID:evt191@ClaudeCoworkBaskin
DTSTART;TZID=Europe/Rome:"&amp;TEXT($C192,"yyyymmdd")&amp;"T"&amp;TEXT($D192,"hhmmss")&amp;"
DTEND;TZID=Europe/Rome:"&amp;TEXT($E192,"yyyymmdd")&amp;"T"&amp;TEXT($F192,"hhmmss")&amp;"
SUMMARY:"&amp;$B192&amp;"
LOCATION:"&amp;$G192&amp;"
DESCRIPTION:"&amp;$H192&amp;"
END:VEVENT")</f>
        <v>BEGIN:VEVENT
DTSTAMP:20260907T000001Z
UID:evt191@ClaudeCoworkBaskin
DTSTART;TZID=Europe/Rome:20270214T150000
DTEND;TZID=Europe/Rome:20270214T170000
SUMMARY:Struzzi Strepitosi vs Orangotanghi Operosi
LOCATION:PalaPinguini, Via dello Sport 14, Pinguiniopoli PI
DESCRIPTION:Campionato Baskin Demo - ESEMPIO COMPILATO 64 Squadre 2026/2027
END:VEVENT</v>
      </c>
      <c r="B192" s="162" t="str">
        <f aca="false">IF('Calendario G'!$B86="","",'Calendario G'!$B86&amp;" vs "&amp;'Calendario G'!$D86)</f>
        <v>Struzzi Strepitosi vs Orangotanghi Operosi</v>
      </c>
      <c r="C192" s="163" t="n">
        <f aca="false">IF($B192="","",DATE(YEAR('Calendario G'!$F86),MONTH('Calendario G'!$F86),DAY('Calendario G'!$F86)))</f>
        <v>46432</v>
      </c>
      <c r="D192" s="164" t="n">
        <f aca="false">IF($B192="","",TIME(HOUR('Calendario G'!$F86),MINUTE('Calendario G'!$F86),0))</f>
        <v>0.625</v>
      </c>
      <c r="E192" s="163" t="n">
        <f aca="false">IF($B192="","",DATE(YEAR('Calendario G'!$F86),MONTH('Calendario G'!$F86),DAY('Calendario G'!$F86)))</f>
        <v>46432</v>
      </c>
      <c r="F192" s="164" t="n">
        <f aca="false">IF($B192="","",TIME(HOUR('Calendario G'!$F86)+2,MINUTE('Calendario G'!$F86),0))</f>
        <v>0.708333333333333</v>
      </c>
      <c r="G192" s="162" t="str">
        <f aca="false">IF($B192="","",'Calendario G'!$B87)</f>
        <v>PalaPinguini, Via dello Sport 14, Pinguiniopoli PI</v>
      </c>
      <c r="H192" s="162" t="str">
        <f aca="false">IF($B192="","",Campionato!$D$1&amp;" "&amp;Campionato!$D$5)</f>
        <v>Campionato Baskin Demo - ESEMPIO COMPILATO 64 Squadre 2026/2027</v>
      </c>
      <c r="I192" s="162"/>
    </row>
    <row r="193" customFormat="false" ht="95.5" hidden="false" customHeight="false" outlineLevel="0" collapsed="false">
      <c r="A193" s="162" t="str">
        <f aca="true">IF($B193="","","BEGIN:VEVENT
DTSTAMP:"&amp;TEXT(NOW(),"yyyymmdd")&amp;"T000001Z
UID:evt192@ClaudeCoworkBaskin
DTSTART;TZID=Europe/Rome:"&amp;TEXT($C193,"yyyymmdd")&amp;"T"&amp;TEXT($D193,"hhmmss")&amp;"
DTEND;TZID=Europe/Rome:"&amp;TEXT($E193,"yyyymmdd")&amp;"T"&amp;TEXT($F193,"hhmmss")&amp;"
SUMMARY:"&amp;$B193&amp;"
LOCATION:"&amp;$G193&amp;"
DESCRIPTION:"&amp;$H193&amp;"
END:VEVENT")</f>
        <v>BEGIN:VEVENT
DTSTAMP:20260907T000001Z
UID:evt192@ClaudeCoworkBaskin
DTSTART;TZID=Europe/Rome:20270214T170000
DTEND;TZID=Europe/Rome:20270214T190000
SUMMARY:Pinguini Prodigiosi vs Renne Rocambolesche
LOCATION:PalaPinguini, Via dello Sport 14, Pinguiniopoli PI
DESCRIPTION:Campionato Baskin Demo - ESEMPIO COMPILATO 64 Squadre 2026/2027
END:VEVENT</v>
      </c>
      <c r="B193" s="162" t="str">
        <f aca="false">IF('Calendario G'!$B89="","",'Calendario G'!$B89&amp;" vs "&amp;'Calendario G'!$D89)</f>
        <v>Pinguini Prodigiosi vs Renne Rocambolesche</v>
      </c>
      <c r="C193" s="163" t="n">
        <f aca="false">IF($B193="","",DATE(YEAR('Calendario G'!$F89),MONTH('Calendario G'!$F89),DAY('Calendario G'!$F89)))</f>
        <v>46432</v>
      </c>
      <c r="D193" s="164" t="n">
        <f aca="false">IF($B193="","",TIME(HOUR('Calendario G'!$F89),MINUTE('Calendario G'!$F89),0))</f>
        <v>0.708333333333333</v>
      </c>
      <c r="E193" s="163" t="n">
        <f aca="false">IF($B193="","",DATE(YEAR('Calendario G'!$F89),MONTH('Calendario G'!$F89),DAY('Calendario G'!$F89)))</f>
        <v>46432</v>
      </c>
      <c r="F193" s="164" t="n">
        <f aca="false">IF($B193="","",TIME(HOUR('Calendario G'!$F89)+2,MINUTE('Calendario G'!$F89),0))</f>
        <v>0.791666666666667</v>
      </c>
      <c r="G193" s="162" t="str">
        <f aca="false">IF($B193="","",'Calendario G'!$B90)</f>
        <v>PalaPinguini, Via dello Sport 14, Pinguiniopoli PI</v>
      </c>
      <c r="H193" s="162" t="str">
        <f aca="false">IF($B193="","",Campionato!$D$1&amp;" "&amp;Campionato!$D$5)</f>
        <v>Campionato Baskin Demo - ESEMPIO COMPILATO 64 Squadre 2026/2027</v>
      </c>
      <c r="I193" s="162"/>
    </row>
    <row r="194" customFormat="false" ht="95.5" hidden="false" customHeight="false" outlineLevel="0" collapsed="false">
      <c r="A194" s="162" t="str">
        <f aca="true">IF($B194="","","BEGIN:VEVENT
DTSTAMP:"&amp;TEXT(NOW(),"yyyymmdd")&amp;"T000001Z
UID:evt193@ClaudeCoworkBaskin
DTSTART;TZID=Europe/Rome:"&amp;TEXT($C194,"yyyymmdd")&amp;"T"&amp;TEXT($D194,"hhmmss")&amp;"
DTEND;TZID=Europe/Rome:"&amp;TEXT($E194,"yyyymmdd")&amp;"T"&amp;TEXT($F194,"hhmmss")&amp;"
SUMMARY:"&amp;$B194&amp;"
LOCATION:"&amp;$G194&amp;"
DESCRIPTION:"&amp;$H194&amp;"
END:VEVENT")</f>
        <v>BEGIN:VEVENT
DTSTAMP:20260907T000001Z
UID:evt193@ClaudeCoworkBaskin
DTSTART;TZID=Europe/Rome:20270307T093000
DTEND;TZID=Europe/Rome:20270307T113000
SUMMARY:Koala Kolossali vs Leopardi Leggiadri
LOCATION:PalaRenne, Via dello Sport 15, Renneopoli RE
DESCRIPTION:Campionato Baskin Demo - ESEMPIO COMPILATO 64 Squadre 2026/2027
END:VEVENT</v>
      </c>
      <c r="B194" s="162" t="str">
        <f aca="false">IF('Calendario G'!$B94="","",'Calendario G'!$B94&amp;" vs "&amp;'Calendario G'!$D94)</f>
        <v>Koala Kolossali vs Leopardi Leggiadri</v>
      </c>
      <c r="C194" s="163" t="n">
        <f aca="false">IF($B194="","",DATE(YEAR('Calendario G'!$F94),MONTH('Calendario G'!$F94),DAY('Calendario G'!$F94)))</f>
        <v>46453</v>
      </c>
      <c r="D194" s="164" t="n">
        <f aca="false">IF($B194="","",TIME(HOUR('Calendario G'!$F94),MINUTE('Calendario G'!$F94),0))</f>
        <v>0.395833333333333</v>
      </c>
      <c r="E194" s="163" t="n">
        <f aca="false">IF($B194="","",DATE(YEAR('Calendario G'!$F94),MONTH('Calendario G'!$F94),DAY('Calendario G'!$F94)))</f>
        <v>46453</v>
      </c>
      <c r="F194" s="164" t="n">
        <f aca="false">IF($B194="","",TIME(HOUR('Calendario G'!$F94)+2,MINUTE('Calendario G'!$F94),0))</f>
        <v>0.479166666666667</v>
      </c>
      <c r="G194" s="162" t="str">
        <f aca="false">IF($B194="","",'Calendario G'!$B95)</f>
        <v>PalaRenne, Via dello Sport 15, Renneopoli RE</v>
      </c>
      <c r="H194" s="162" t="str">
        <f aca="false">IF($B194="","",Campionato!$D$1&amp;" "&amp;Campionato!$D$5)</f>
        <v>Campionato Baskin Demo - ESEMPIO COMPILATO 64 Squadre 2026/2027</v>
      </c>
      <c r="I194" s="162"/>
    </row>
    <row r="195" customFormat="false" ht="95.5" hidden="false" customHeight="false" outlineLevel="0" collapsed="false">
      <c r="A195" s="162" t="str">
        <f aca="true">IF($B195="","","BEGIN:VEVENT
DTSTAMP:"&amp;TEXT(NOW(),"yyyymmdd")&amp;"T000001Z
UID:evt194@ClaudeCoworkBaskin
DTSTART;TZID=Europe/Rome:"&amp;TEXT($C195,"yyyymmdd")&amp;"T"&amp;TEXT($D195,"hhmmss")&amp;"
DTEND;TZID=Europe/Rome:"&amp;TEXT($E195,"yyyymmdd")&amp;"T"&amp;TEXT($F195,"hhmmss")&amp;"
SUMMARY:"&amp;$B195&amp;"
LOCATION:"&amp;$G195&amp;"
DESCRIPTION:"&amp;$H195&amp;"
END:VEVENT")</f>
        <v>BEGIN:VEVENT
DTSTAMP:20260907T000001Z
UID:evt194@ClaudeCoworkBaskin
DTSTART;TZID=Europe/Rome:20270307T113000
DTEND;TZID=Europe/Rome:20270307T133000
SUMMARY:Struzzi Strepitosi vs Meduse Malandrine
LOCATION:PalaRenne, Via dello Sport 15, Renneopoli RE
DESCRIPTION:Campionato Baskin Demo - ESEMPIO COMPILATO 64 Squadre 2026/2027
END:VEVENT</v>
      </c>
      <c r="B195" s="162" t="str">
        <f aca="false">IF('Calendario G'!$B97="","",'Calendario G'!$B97&amp;" vs "&amp;'Calendario G'!$D97)</f>
        <v>Struzzi Strepitosi vs Meduse Malandrine</v>
      </c>
      <c r="C195" s="163" t="n">
        <f aca="false">IF($B195="","",DATE(YEAR('Calendario G'!$F97),MONTH('Calendario G'!$F97),DAY('Calendario G'!$F97)))</f>
        <v>46453</v>
      </c>
      <c r="D195" s="164" t="n">
        <f aca="false">IF($B195="","",TIME(HOUR('Calendario G'!$F97),MINUTE('Calendario G'!$F97),0))</f>
        <v>0.479166666666667</v>
      </c>
      <c r="E195" s="163" t="n">
        <f aca="false">IF($B195="","",DATE(YEAR('Calendario G'!$F97),MONTH('Calendario G'!$F97),DAY('Calendario G'!$F97)))</f>
        <v>46453</v>
      </c>
      <c r="F195" s="164" t="n">
        <f aca="false">IF($B195="","",TIME(HOUR('Calendario G'!$F97)+2,MINUTE('Calendario G'!$F97),0))</f>
        <v>0.5625</v>
      </c>
      <c r="G195" s="162" t="str">
        <f aca="false">IF($B195="","",'Calendario G'!$B98)</f>
        <v>PalaRenne, Via dello Sport 15, Renneopoli RE</v>
      </c>
      <c r="H195" s="162" t="str">
        <f aca="false">IF($B195="","",Campionato!$D$1&amp;" "&amp;Campionato!$D$5)</f>
        <v>Campionato Baskin Demo - ESEMPIO COMPILATO 64 Squadre 2026/2027</v>
      </c>
      <c r="I195" s="162"/>
    </row>
    <row r="196" customFormat="false" ht="95.5" hidden="false" customHeight="false" outlineLevel="0" collapsed="false">
      <c r="A196" s="162" t="str">
        <f aca="true">IF($B196="","","BEGIN:VEVENT
DTSTAMP:"&amp;TEXT(NOW(),"yyyymmdd")&amp;"T000001Z
UID:evt195@ClaudeCoworkBaskin
DTSTART;TZID=Europe/Rome:"&amp;TEXT($C196,"yyyymmdd")&amp;"T"&amp;TEXT($D196,"hhmmss")&amp;"
DTEND;TZID=Europe/Rome:"&amp;TEXT($E196,"yyyymmdd")&amp;"T"&amp;TEXT($F196,"hhmmss")&amp;"
SUMMARY:"&amp;$B196&amp;"
LOCATION:"&amp;$G196&amp;"
DESCRIPTION:"&amp;$H196&amp;"
END:VEVENT")</f>
        <v>BEGIN:VEVENT
DTSTAMP:20260907T000001Z
UID:evt195@ClaudeCoworkBaskin
DTSTART;TZID=Europe/Rome:20270307T150000
DTEND;TZID=Europe/Rome:20270307T170000
SUMMARY:Nandu Nottambuli vs Renne Rocambolesche
LOCATION:PalaRenne, Via dello Sport 15, Renneopoli RE
DESCRIPTION:Campionato Baskin Demo - ESEMPIO COMPILATO 64 Squadre 2026/2027
END:VEVENT</v>
      </c>
      <c r="B196" s="162" t="str">
        <f aca="false">IF('Calendario G'!$B100="","",'Calendario G'!$B100&amp;" vs "&amp;'Calendario G'!$D100)</f>
        <v>Nandu Nottambuli vs Renne Rocambolesche</v>
      </c>
      <c r="C196" s="163" t="n">
        <f aca="false">IF($B196="","",DATE(YEAR('Calendario G'!$F100),MONTH('Calendario G'!$F100),DAY('Calendario G'!$F100)))</f>
        <v>46453</v>
      </c>
      <c r="D196" s="164" t="n">
        <f aca="false">IF($B196="","",TIME(HOUR('Calendario G'!$F100),MINUTE('Calendario G'!$F100),0))</f>
        <v>0.625</v>
      </c>
      <c r="E196" s="163" t="n">
        <f aca="false">IF($B196="","",DATE(YEAR('Calendario G'!$F100),MONTH('Calendario G'!$F100),DAY('Calendario G'!$F100)))</f>
        <v>46453</v>
      </c>
      <c r="F196" s="164" t="n">
        <f aca="false">IF($B196="","",TIME(HOUR('Calendario G'!$F100)+2,MINUTE('Calendario G'!$F100),0))</f>
        <v>0.708333333333333</v>
      </c>
      <c r="G196" s="162" t="str">
        <f aca="false">IF($B196="","",'Calendario G'!$B101)</f>
        <v>PalaRenne, Via dello Sport 15, Renneopoli RE</v>
      </c>
      <c r="H196" s="162" t="str">
        <f aca="false">IF($B196="","",Campionato!$D$1&amp;" "&amp;Campionato!$D$5)</f>
        <v>Campionato Baskin Demo - ESEMPIO COMPILATO 64 Squadre 2026/2027</v>
      </c>
      <c r="I196" s="162"/>
    </row>
    <row r="197" customFormat="false" ht="95.5" hidden="false" customHeight="false" outlineLevel="0" collapsed="false">
      <c r="A197" s="162" t="str">
        <f aca="true">IF($B197="","","BEGIN:VEVENT
DTSTAMP:"&amp;TEXT(NOW(),"yyyymmdd")&amp;"T000001Z
UID:evt196@ClaudeCoworkBaskin
DTSTART;TZID=Europe/Rome:"&amp;TEXT($C197,"yyyymmdd")&amp;"T"&amp;TEXT($D197,"hhmmss")&amp;"
DTEND;TZID=Europe/Rome:"&amp;TEXT($E197,"yyyymmdd")&amp;"T"&amp;TEXT($F197,"hhmmss")&amp;"
SUMMARY:"&amp;$B197&amp;"
LOCATION:"&amp;$G197&amp;"
DESCRIPTION:"&amp;$H197&amp;"
END:VEVENT")</f>
        <v>BEGIN:VEVENT
DTSTAMP:20260907T000001Z
UID:evt196@ClaudeCoworkBaskin
DTSTART;TZID=Europe/Rome:20270307T170000
DTEND;TZID=Europe/Rome:20270307T190000
SUMMARY:Pinguini Prodigiosi vs Orangotanghi Operosi
LOCATION:PalaRenne, Via dello Sport 15, Renneopoli RE
DESCRIPTION:Campionato Baskin Demo - ESEMPIO COMPILATO 64 Squadre 2026/2027
END:VEVENT</v>
      </c>
      <c r="B197" s="162" t="str">
        <f aca="false">IF('Calendario G'!$B103="","",'Calendario G'!$B103&amp;" vs "&amp;'Calendario G'!$D103)</f>
        <v>Pinguini Prodigiosi vs Orangotanghi Operosi</v>
      </c>
      <c r="C197" s="163" t="n">
        <f aca="false">IF($B197="","",DATE(YEAR('Calendario G'!$F103),MONTH('Calendario G'!$F103),DAY('Calendario G'!$F103)))</f>
        <v>46453</v>
      </c>
      <c r="D197" s="164" t="n">
        <f aca="false">IF($B197="","",TIME(HOUR('Calendario G'!$F103),MINUTE('Calendario G'!$F103),0))</f>
        <v>0.708333333333333</v>
      </c>
      <c r="E197" s="163" t="n">
        <f aca="false">IF($B197="","",DATE(YEAR('Calendario G'!$F103),MONTH('Calendario G'!$F103),DAY('Calendario G'!$F103)))</f>
        <v>46453</v>
      </c>
      <c r="F197" s="164" t="n">
        <f aca="false">IF($B197="","",TIME(HOUR('Calendario G'!$F103)+2,MINUTE('Calendario G'!$F103),0))</f>
        <v>0.791666666666667</v>
      </c>
      <c r="G197" s="162" t="str">
        <f aca="false">IF($B197="","",'Calendario G'!$B104)</f>
        <v>PalaRenne, Via dello Sport 15, Renneopoli RE</v>
      </c>
      <c r="H197" s="162" t="str">
        <f aca="false">IF($B197="","",Campionato!$D$1&amp;" "&amp;Campionato!$D$5)</f>
        <v>Campionato Baskin Demo - ESEMPIO COMPILATO 64 Squadre 2026/2027</v>
      </c>
      <c r="I197" s="162"/>
    </row>
    <row r="198" customFormat="false" ht="95.5" hidden="false" customHeight="false" outlineLevel="0" collapsed="false">
      <c r="A198" s="162" t="str">
        <f aca="true">IF($B198="","","BEGIN:VEVENT
DTSTAMP:"&amp;TEXT(NOW(),"yyyymmdd")&amp;"T000001Z
UID:evt197@ClaudeCoworkBaskin
DTSTART;TZID=Europe/Rome:"&amp;TEXT($C198,"yyyymmdd")&amp;"T"&amp;TEXT($D198,"hhmmss")&amp;"
DTEND;TZID=Europe/Rome:"&amp;TEXT($E198,"yyyymmdd")&amp;"T"&amp;TEXT($F198,"hhmmss")&amp;"
SUMMARY:"&amp;$B198&amp;"
LOCATION:"&amp;$G198&amp;"
DESCRIPTION:"&amp;$H198&amp;"
END:VEVENT")</f>
        <v>BEGIN:VEVENT
DTSTAMP:20260907T000001Z
UID:evt197@ClaudeCoworkBaskin
DTSTART;TZID=Europe/Rome:20261018T093000
DTEND;TZID=Europe/Rome:20261018T113000
SUMMARY:Tartarughe Testarde vs Draghi Dinamici
LOCATION:PalaTartarughe, Via dello Sport 17, Tartarugheopoli TE
DESCRIPTION:Campionato Baskin Demo - ESEMPIO COMPILATO 64 Squadre 2026/2027
END:VEVENT</v>
      </c>
      <c r="B198" s="162" t="str">
        <f aca="false">IF('Calendario H'!$B10="","",'Calendario H'!$B10&amp;" vs "&amp;'Calendario H'!$D10)</f>
        <v>Tartarughe Testarde vs Draghi Dinamici</v>
      </c>
      <c r="C198" s="163" t="n">
        <f aca="false">IF($B198="","",DATE(YEAR('Calendario H'!$F10),MONTH('Calendario H'!$F10),DAY('Calendario H'!$F10)))</f>
        <v>46313</v>
      </c>
      <c r="D198" s="164" t="n">
        <f aca="false">IF($B198="","",TIME(HOUR('Calendario H'!$F10),MINUTE('Calendario H'!$F10),0))</f>
        <v>0.395833333333333</v>
      </c>
      <c r="E198" s="163" t="n">
        <f aca="false">IF($B198="","",DATE(YEAR('Calendario H'!$F10),MONTH('Calendario H'!$F10),DAY('Calendario H'!$F10)))</f>
        <v>46313</v>
      </c>
      <c r="F198" s="164" t="n">
        <f aca="false">IF($B198="","",TIME(HOUR('Calendario H'!$F10)+2,MINUTE('Calendario H'!$F10),0))</f>
        <v>0.479166666666667</v>
      </c>
      <c r="G198" s="162" t="str">
        <f aca="false">IF($B198="","",'Calendario H'!$B11)</f>
        <v>PalaTartarughe, Via dello Sport 17, Tartarugheopoli TE</v>
      </c>
      <c r="H198" s="162" t="str">
        <f aca="false">IF($B198="","",Campionato!$D$1&amp;" "&amp;Campionato!$D$5)</f>
        <v>Campionato Baskin Demo - ESEMPIO COMPILATO 64 Squadre 2026/2027</v>
      </c>
      <c r="I198" s="162"/>
    </row>
    <row r="199" customFormat="false" ht="95.5" hidden="false" customHeight="false" outlineLevel="0" collapsed="false">
      <c r="A199" s="162" t="str">
        <f aca="true">IF($B199="","","BEGIN:VEVENT
DTSTAMP:"&amp;TEXT(NOW(),"yyyymmdd")&amp;"T000001Z
UID:evt198@ClaudeCoworkBaskin
DTSTART;TZID=Europe/Rome:"&amp;TEXT($C199,"yyyymmdd")&amp;"T"&amp;TEXT($D199,"hhmmss")&amp;"
DTEND;TZID=Europe/Rome:"&amp;TEXT($E199,"yyyymmdd")&amp;"T"&amp;TEXT($F199,"hhmmss")&amp;"
SUMMARY:"&amp;$B199&amp;"
LOCATION:"&amp;$G199&amp;"
DESCRIPTION:"&amp;$H199&amp;"
END:VEVENT")</f>
        <v>BEGIN:VEVENT
DTSTAMP:20260907T000001Z
UID:evt198@ClaudeCoworkBaskin
DTSTART;TZID=Europe/Rome:20261018T113000
DTEND;TZID=Europe/Rome:20261018T133000
SUMMARY:Castori Cocciuti vs Urubu Urlanti
LOCATION:PalaTartarughe, Via dello Sport 17, Tartarugheopoli TE
DESCRIPTION:Campionato Baskin Demo - ESEMPIO COMPILATO 64 Squadre 2026/2027
END:VEVENT</v>
      </c>
      <c r="B199" s="162" t="str">
        <f aca="false">IF('Calendario H'!$B13="","",'Calendario H'!$B13&amp;" vs "&amp;'Calendario H'!$D13)</f>
        <v>Castori Cocciuti vs Urubu Urlanti</v>
      </c>
      <c r="C199" s="163" t="n">
        <f aca="false">IF($B199="","",DATE(YEAR('Calendario H'!$F13),MONTH('Calendario H'!$F13),DAY('Calendario H'!$F13)))</f>
        <v>46313</v>
      </c>
      <c r="D199" s="164" t="n">
        <f aca="false">IF($B199="","",TIME(HOUR('Calendario H'!$F13),MINUTE('Calendario H'!$F13),0))</f>
        <v>0.479166666666667</v>
      </c>
      <c r="E199" s="163" t="n">
        <f aca="false">IF($B199="","",DATE(YEAR('Calendario H'!$F13),MONTH('Calendario H'!$F13),DAY('Calendario H'!$F13)))</f>
        <v>46313</v>
      </c>
      <c r="F199" s="164" t="n">
        <f aca="false">IF($B199="","",TIME(HOUR('Calendario H'!$F13)+2,MINUTE('Calendario H'!$F13),0))</f>
        <v>0.5625</v>
      </c>
      <c r="G199" s="162" t="str">
        <f aca="false">IF($B199="","",'Calendario H'!$B14)</f>
        <v>PalaTartarughe, Via dello Sport 17, Tartarugheopoli TE</v>
      </c>
      <c r="H199" s="162" t="str">
        <f aca="false">IF($B199="","",Campionato!$D$1&amp;" "&amp;Campionato!$D$5)</f>
        <v>Campionato Baskin Demo - ESEMPIO COMPILATO 64 Squadre 2026/2027</v>
      </c>
      <c r="I199" s="162"/>
    </row>
    <row r="200" customFormat="false" ht="95.5" hidden="false" customHeight="false" outlineLevel="0" collapsed="false">
      <c r="A200" s="162" t="str">
        <f aca="true">IF($B200="","","BEGIN:VEVENT
DTSTAMP:"&amp;TEXT(NOW(),"yyyymmdd")&amp;"T000001Z
UID:evt199@ClaudeCoworkBaskin
DTSTART;TZID=Europe/Rome:"&amp;TEXT($C200,"yyyymmdd")&amp;"T"&amp;TEXT($D200,"hhmmss")&amp;"
DTEND;TZID=Europe/Rome:"&amp;TEXT($E200,"yyyymmdd")&amp;"T"&amp;TEXT($F200,"hhmmss")&amp;"
SUMMARY:"&amp;$B200&amp;"
LOCATION:"&amp;$G200&amp;"
DESCRIPTION:"&amp;$H200&amp;"
END:VEVENT")</f>
        <v>BEGIN:VEVENT
DTSTAMP:20260907T000001Z
UID:evt199@ClaudeCoworkBaskin
DTSTART;TZID=Europe/Rome:20261018T150000
DTEND;TZID=Europe/Rome:20261018T170000
SUMMARY:Visoni Vigorosi vs Bradipi Brillanti
LOCATION:PalaTartarughe, Via dello Sport 17, Tartarugheopoli TE
DESCRIPTION:Campionato Baskin Demo - ESEMPIO COMPILATO 64 Squadre 2026/2027
END:VEVENT</v>
      </c>
      <c r="B200" s="162" t="str">
        <f aca="false">IF('Calendario H'!$B16="","",'Calendario H'!$B16&amp;" vs "&amp;'Calendario H'!$D16)</f>
        <v>Visoni Vigorosi vs Bradipi Brillanti</v>
      </c>
      <c r="C200" s="163" t="n">
        <f aca="false">IF($B200="","",DATE(YEAR('Calendario H'!$F16),MONTH('Calendario H'!$F16),DAY('Calendario H'!$F16)))</f>
        <v>46313</v>
      </c>
      <c r="D200" s="164" t="n">
        <f aca="false">IF($B200="","",TIME(HOUR('Calendario H'!$F16),MINUTE('Calendario H'!$F16),0))</f>
        <v>0.625</v>
      </c>
      <c r="E200" s="163" t="n">
        <f aca="false">IF($B200="","",DATE(YEAR('Calendario H'!$F16),MONTH('Calendario H'!$F16),DAY('Calendario H'!$F16)))</f>
        <v>46313</v>
      </c>
      <c r="F200" s="164" t="n">
        <f aca="false">IF($B200="","",TIME(HOUR('Calendario H'!$F16)+2,MINUTE('Calendario H'!$F16),0))</f>
        <v>0.708333333333333</v>
      </c>
      <c r="G200" s="162" t="str">
        <f aca="false">IF($B200="","",'Calendario H'!$B17)</f>
        <v>PalaTartarughe, Via dello Sport 17, Tartarugheopoli TE</v>
      </c>
      <c r="H200" s="162" t="str">
        <f aca="false">IF($B200="","",Campionato!$D$1&amp;" "&amp;Campionato!$D$5)</f>
        <v>Campionato Baskin Demo - ESEMPIO COMPILATO 64 Squadre 2026/2027</v>
      </c>
      <c r="I200" s="162"/>
    </row>
    <row r="201" customFormat="false" ht="95.5" hidden="false" customHeight="false" outlineLevel="0" collapsed="false">
      <c r="A201" s="162" t="str">
        <f aca="true">IF($B201="","","BEGIN:VEVENT
DTSTAMP:"&amp;TEXT(NOW(),"yyyymmdd")&amp;"T000001Z
UID:evt200@ClaudeCoworkBaskin
DTSTART;TZID=Europe/Rome:"&amp;TEXT($C201,"yyyymmdd")&amp;"T"&amp;TEXT($D201,"hhmmss")&amp;"
DTEND;TZID=Europe/Rome:"&amp;TEXT($E201,"yyyymmdd")&amp;"T"&amp;TEXT($F201,"hhmmss")&amp;"
SUMMARY:"&amp;$B201&amp;"
LOCATION:"&amp;$G201&amp;"
DESCRIPTION:"&amp;$H201&amp;"
END:VEVENT")</f>
        <v>BEGIN:VEVENT
DTSTAMP:20260907T000001Z
UID:evt200@ClaudeCoworkBaskin
DTSTART;TZID=Europe/Rome:20261018T170000
DTEND;TZID=Europe/Rome:20261018T190000
SUMMARY:Aquile Audaci vs Zanzare Zampettanti
LOCATION:PalaTartarughe, Via dello Sport 17, Tartarugheopoli TE
DESCRIPTION:Campionato Baskin Demo - ESEMPIO COMPILATO 64 Squadre 2026/2027
END:VEVENT</v>
      </c>
      <c r="B201" s="162" t="str">
        <f aca="false">IF('Calendario H'!$B19="","",'Calendario H'!$B19&amp;" vs "&amp;'Calendario H'!$D19)</f>
        <v>Aquile Audaci vs Zanzare Zampettanti</v>
      </c>
      <c r="C201" s="163" t="n">
        <f aca="false">IF($B201="","",DATE(YEAR('Calendario H'!$F19),MONTH('Calendario H'!$F19),DAY('Calendario H'!$F19)))</f>
        <v>46313</v>
      </c>
      <c r="D201" s="164" t="n">
        <f aca="false">IF($B201="","",TIME(HOUR('Calendario H'!$F19),MINUTE('Calendario H'!$F19),0))</f>
        <v>0.708333333333333</v>
      </c>
      <c r="E201" s="163" t="n">
        <f aca="false">IF($B201="","",DATE(YEAR('Calendario H'!$F19),MONTH('Calendario H'!$F19),DAY('Calendario H'!$F19)))</f>
        <v>46313</v>
      </c>
      <c r="F201" s="164" t="n">
        <f aca="false">IF($B201="","",TIME(HOUR('Calendario H'!$F19)+2,MINUTE('Calendario H'!$F19),0))</f>
        <v>0.791666666666667</v>
      </c>
      <c r="G201" s="162" t="str">
        <f aca="false">IF($B201="","",'Calendario H'!$B20)</f>
        <v>PalaTartarughe, Via dello Sport 17, Tartarugheopoli TE</v>
      </c>
      <c r="H201" s="162" t="str">
        <f aca="false">IF($B201="","",Campionato!$D$1&amp;" "&amp;Campionato!$D$5)</f>
        <v>Campionato Baskin Demo - ESEMPIO COMPILATO 64 Squadre 2026/2027</v>
      </c>
      <c r="I201" s="162"/>
    </row>
    <row r="202" customFormat="false" ht="95.5" hidden="false" customHeight="false" outlineLevel="0" collapsed="false">
      <c r="A202" s="162" t="str">
        <f aca="true">IF($B202="","","BEGIN:VEVENT
DTSTAMP:"&amp;TEXT(NOW(),"yyyymmdd")&amp;"T000001Z
UID:evt201@ClaudeCoworkBaskin
DTSTART;TZID=Europe/Rome:"&amp;TEXT($C202,"yyyymmdd")&amp;"T"&amp;TEXT($D202,"hhmmss")&amp;"
DTEND;TZID=Europe/Rome:"&amp;TEXT($E202,"yyyymmdd")&amp;"T"&amp;TEXT($F202,"hhmmss")&amp;"
SUMMARY:"&amp;$B202&amp;"
LOCATION:"&amp;$G202&amp;"
DESCRIPTION:"&amp;$H202&amp;"
END:VEVENT")</f>
        <v>BEGIN:VEVENT
DTSTAMP:20260907T000001Z
UID:evt201@ClaudeCoworkBaskin
DTSTART;TZID=Europe/Rome:20261108T093000
DTEND;TZID=Europe/Rome:20261108T113000
SUMMARY:Castori Cocciuti vs Tartarughe Testarde
LOCATION:PalaUrubu, Via dello Sport 18, Urubuopoli UU
DESCRIPTION:Campionato Baskin Demo - ESEMPIO COMPILATO 64 Squadre 2026/2027
END:VEVENT</v>
      </c>
      <c r="B202" s="162" t="str">
        <f aca="false">IF('Calendario H'!$B24="","",'Calendario H'!$B24&amp;" vs "&amp;'Calendario H'!$D24)</f>
        <v>Castori Cocciuti vs Tartarughe Testarde</v>
      </c>
      <c r="C202" s="163" t="n">
        <f aca="false">IF($B202="","",DATE(YEAR('Calendario H'!$F24),MONTH('Calendario H'!$F24),DAY('Calendario H'!$F24)))</f>
        <v>46334</v>
      </c>
      <c r="D202" s="164" t="n">
        <f aca="false">IF($B202="","",TIME(HOUR('Calendario H'!$F24),MINUTE('Calendario H'!$F24),0))</f>
        <v>0.395833333333333</v>
      </c>
      <c r="E202" s="163" t="n">
        <f aca="false">IF($B202="","",DATE(YEAR('Calendario H'!$F24),MONTH('Calendario H'!$F24),DAY('Calendario H'!$F24)))</f>
        <v>46334</v>
      </c>
      <c r="F202" s="164" t="n">
        <f aca="false">IF($B202="","",TIME(HOUR('Calendario H'!$F24)+2,MINUTE('Calendario H'!$F24),0))</f>
        <v>0.479166666666667</v>
      </c>
      <c r="G202" s="162" t="str">
        <f aca="false">IF($B202="","",'Calendario H'!$B25)</f>
        <v>PalaUrubu, Via dello Sport 18, Urubuopoli UU</v>
      </c>
      <c r="H202" s="162" t="str">
        <f aca="false">IF($B202="","",Campionato!$D$1&amp;" "&amp;Campionato!$D$5)</f>
        <v>Campionato Baskin Demo - ESEMPIO COMPILATO 64 Squadre 2026/2027</v>
      </c>
      <c r="I202" s="162"/>
    </row>
    <row r="203" customFormat="false" ht="95.5" hidden="false" customHeight="false" outlineLevel="0" collapsed="false">
      <c r="A203" s="162" t="str">
        <f aca="true">IF($B203="","","BEGIN:VEVENT
DTSTAMP:"&amp;TEXT(NOW(),"yyyymmdd")&amp;"T000001Z
UID:evt202@ClaudeCoworkBaskin
DTSTART;TZID=Europe/Rome:"&amp;TEXT($C203,"yyyymmdd")&amp;"T"&amp;TEXT($D203,"hhmmss")&amp;"
DTEND;TZID=Europe/Rome:"&amp;TEXT($E203,"yyyymmdd")&amp;"T"&amp;TEXT($F203,"hhmmss")&amp;"
SUMMARY:"&amp;$B203&amp;"
LOCATION:"&amp;$G203&amp;"
DESCRIPTION:"&amp;$H203&amp;"
END:VEVENT")</f>
        <v>BEGIN:VEVENT
DTSTAMP:20260907T000001Z
UID:evt202@ClaudeCoworkBaskin
DTSTART;TZID=Europe/Rome:20261108T113000
DTEND;TZID=Europe/Rome:20261108T133000
SUMMARY:Draghi Dinamici vs Bradipi Brillanti
LOCATION:PalaUrubu, Via dello Sport 18, Urubuopoli UU
DESCRIPTION:Campionato Baskin Demo - ESEMPIO COMPILATO 64 Squadre 2026/2027
END:VEVENT</v>
      </c>
      <c r="B203" s="162" t="str">
        <f aca="false">IF('Calendario H'!$B27="","",'Calendario H'!$B27&amp;" vs "&amp;'Calendario H'!$D27)</f>
        <v>Draghi Dinamici vs Bradipi Brillanti</v>
      </c>
      <c r="C203" s="163" t="n">
        <f aca="false">IF($B203="","",DATE(YEAR('Calendario H'!$F27),MONTH('Calendario H'!$F27),DAY('Calendario H'!$F27)))</f>
        <v>46334</v>
      </c>
      <c r="D203" s="164" t="n">
        <f aca="false">IF($B203="","",TIME(HOUR('Calendario H'!$F27),MINUTE('Calendario H'!$F27),0))</f>
        <v>0.479166666666667</v>
      </c>
      <c r="E203" s="163" t="n">
        <f aca="false">IF($B203="","",DATE(YEAR('Calendario H'!$F27),MONTH('Calendario H'!$F27),DAY('Calendario H'!$F27)))</f>
        <v>46334</v>
      </c>
      <c r="F203" s="164" t="n">
        <f aca="false">IF($B203="","",TIME(HOUR('Calendario H'!$F27)+2,MINUTE('Calendario H'!$F27),0))</f>
        <v>0.5625</v>
      </c>
      <c r="G203" s="162" t="str">
        <f aca="false">IF($B203="","",'Calendario H'!$B28)</f>
        <v>PalaUrubu, Via dello Sport 18, Urubuopoli UU</v>
      </c>
      <c r="H203" s="162" t="str">
        <f aca="false">IF($B203="","",Campionato!$D$1&amp;" "&amp;Campionato!$D$5)</f>
        <v>Campionato Baskin Demo - ESEMPIO COMPILATO 64 Squadre 2026/2027</v>
      </c>
      <c r="I203" s="162"/>
    </row>
    <row r="204" customFormat="false" ht="95.5" hidden="false" customHeight="false" outlineLevel="0" collapsed="false">
      <c r="A204" s="162" t="str">
        <f aca="true">IF($B204="","","BEGIN:VEVENT
DTSTAMP:"&amp;TEXT(NOW(),"yyyymmdd")&amp;"T000001Z
UID:evt203@ClaudeCoworkBaskin
DTSTART;TZID=Europe/Rome:"&amp;TEXT($C204,"yyyymmdd")&amp;"T"&amp;TEXT($D204,"hhmmss")&amp;"
DTEND;TZID=Europe/Rome:"&amp;TEXT($E204,"yyyymmdd")&amp;"T"&amp;TEXT($F204,"hhmmss")&amp;"
SUMMARY:"&amp;$B204&amp;"
LOCATION:"&amp;$G204&amp;"
DESCRIPTION:"&amp;$H204&amp;"
END:VEVENT")</f>
        <v>BEGIN:VEVENT
DTSTAMP:20260907T000001Z
UID:evt203@ClaudeCoworkBaskin
DTSTART;TZID=Europe/Rome:20261108T150000
DTEND;TZID=Europe/Rome:20261108T170000
SUMMARY:Aquile Audaci vs Urubu Urlanti
LOCATION:PalaUrubu, Via dello Sport 18, Urubuopoli UU
DESCRIPTION:Campionato Baskin Demo - ESEMPIO COMPILATO 64 Squadre 2026/2027
END:VEVENT</v>
      </c>
      <c r="B204" s="162" t="str">
        <f aca="false">IF('Calendario H'!$B30="","",'Calendario H'!$B30&amp;" vs "&amp;'Calendario H'!$D30)</f>
        <v>Aquile Audaci vs Urubu Urlanti</v>
      </c>
      <c r="C204" s="163" t="n">
        <f aca="false">IF($B204="","",DATE(YEAR('Calendario H'!$F30),MONTH('Calendario H'!$F30),DAY('Calendario H'!$F30)))</f>
        <v>46334</v>
      </c>
      <c r="D204" s="164" t="n">
        <f aca="false">IF($B204="","",TIME(HOUR('Calendario H'!$F30),MINUTE('Calendario H'!$F30),0))</f>
        <v>0.625</v>
      </c>
      <c r="E204" s="163" t="n">
        <f aca="false">IF($B204="","",DATE(YEAR('Calendario H'!$F30),MONTH('Calendario H'!$F30),DAY('Calendario H'!$F30)))</f>
        <v>46334</v>
      </c>
      <c r="F204" s="164" t="n">
        <f aca="false">IF($B204="","",TIME(HOUR('Calendario H'!$F30)+2,MINUTE('Calendario H'!$F30),0))</f>
        <v>0.708333333333333</v>
      </c>
      <c r="G204" s="162" t="str">
        <f aca="false">IF($B204="","",'Calendario H'!$B31)</f>
        <v>PalaUrubu, Via dello Sport 18, Urubuopoli UU</v>
      </c>
      <c r="H204" s="162" t="str">
        <f aca="false">IF($B204="","",Campionato!$D$1&amp;" "&amp;Campionato!$D$5)</f>
        <v>Campionato Baskin Demo - ESEMPIO COMPILATO 64 Squadre 2026/2027</v>
      </c>
      <c r="I204" s="162"/>
    </row>
    <row r="205" customFormat="false" ht="95.5" hidden="false" customHeight="false" outlineLevel="0" collapsed="false">
      <c r="A205" s="162" t="str">
        <f aca="true">IF($B205="","","BEGIN:VEVENT
DTSTAMP:"&amp;TEXT(NOW(),"yyyymmdd")&amp;"T000001Z
UID:evt204@ClaudeCoworkBaskin
DTSTART;TZID=Europe/Rome:"&amp;TEXT($C205,"yyyymmdd")&amp;"T"&amp;TEXT($D205,"hhmmss")&amp;"
DTEND;TZID=Europe/Rome:"&amp;TEXT($E205,"yyyymmdd")&amp;"T"&amp;TEXT($F205,"hhmmss")&amp;"
SUMMARY:"&amp;$B205&amp;"
LOCATION:"&amp;$G205&amp;"
DESCRIPTION:"&amp;$H205&amp;"
END:VEVENT")</f>
        <v>BEGIN:VEVENT
DTSTAMP:20260907T000001Z
UID:evt204@ClaudeCoworkBaskin
DTSTART;TZID=Europe/Rome:20261108T170000
DTEND;TZID=Europe/Rome:20261108T190000
SUMMARY:Visoni Vigorosi vs Zanzare Zampettanti
LOCATION:PalaUrubu, Via dello Sport 18, Urubuopoli UU
DESCRIPTION:Campionato Baskin Demo - ESEMPIO COMPILATO 64 Squadre 2026/2027
END:VEVENT</v>
      </c>
      <c r="B205" s="162" t="str">
        <f aca="false">IF('Calendario H'!$B33="","",'Calendario H'!$B33&amp;" vs "&amp;'Calendario H'!$D33)</f>
        <v>Visoni Vigorosi vs Zanzare Zampettanti</v>
      </c>
      <c r="C205" s="163" t="n">
        <f aca="false">IF($B205="","",DATE(YEAR('Calendario H'!$F33),MONTH('Calendario H'!$F33),DAY('Calendario H'!$F33)))</f>
        <v>46334</v>
      </c>
      <c r="D205" s="164" t="n">
        <f aca="false">IF($B205="","",TIME(HOUR('Calendario H'!$F33),MINUTE('Calendario H'!$F33),0))</f>
        <v>0.708333333333333</v>
      </c>
      <c r="E205" s="163" t="n">
        <f aca="false">IF($B205="","",DATE(YEAR('Calendario H'!$F33),MONTH('Calendario H'!$F33),DAY('Calendario H'!$F33)))</f>
        <v>46334</v>
      </c>
      <c r="F205" s="164" t="n">
        <f aca="false">IF($B205="","",TIME(HOUR('Calendario H'!$F33)+2,MINUTE('Calendario H'!$F33),0))</f>
        <v>0.791666666666667</v>
      </c>
      <c r="G205" s="162" t="str">
        <f aca="false">IF($B205="","",'Calendario H'!$B34)</f>
        <v>PalaUrubu, Via dello Sport 18, Urubuopoli UU</v>
      </c>
      <c r="H205" s="162" t="str">
        <f aca="false">IF($B205="","",Campionato!$D$1&amp;" "&amp;Campionato!$D$5)</f>
        <v>Campionato Baskin Demo - ESEMPIO COMPILATO 64 Squadre 2026/2027</v>
      </c>
      <c r="I205" s="162"/>
    </row>
    <row r="206" customFormat="false" ht="95.5" hidden="false" customHeight="false" outlineLevel="0" collapsed="false">
      <c r="A206" s="162" t="str">
        <f aca="true">IF($B206="","","BEGIN:VEVENT
DTSTAMP:"&amp;TEXT(NOW(),"yyyymmdd")&amp;"T000001Z
UID:evt205@ClaudeCoworkBaskin
DTSTART;TZID=Europe/Rome:"&amp;TEXT($C206,"yyyymmdd")&amp;"T"&amp;TEXT($D206,"hhmmss")&amp;"
DTEND;TZID=Europe/Rome:"&amp;TEXT($E206,"yyyymmdd")&amp;"T"&amp;TEXT($F206,"hhmmss")&amp;"
SUMMARY:"&amp;$B206&amp;"
LOCATION:"&amp;$G206&amp;"
DESCRIPTION:"&amp;$H206&amp;"
END:VEVENT")</f>
        <v>BEGIN:VEVENT
DTSTAMP:20260907T000001Z
UID:evt205@ClaudeCoworkBaskin
DTSTART;TZID=Europe/Rome:20261129T093000
DTEND;TZID=Europe/Rome:20261129T113000
SUMMARY:Tartarughe Testarde vs Bradipi Brillanti
LOCATION:PalaVisoni, Via dello Sport 19, Visoniopoli VI
DESCRIPTION:Campionato Baskin Demo - ESEMPIO COMPILATO 64 Squadre 2026/2027
END:VEVENT</v>
      </c>
      <c r="B206" s="162" t="str">
        <f aca="false">IF('Calendario H'!$B38="","",'Calendario H'!$B38&amp;" vs "&amp;'Calendario H'!$D38)</f>
        <v>Tartarughe Testarde vs Bradipi Brillanti</v>
      </c>
      <c r="C206" s="163" t="n">
        <f aca="false">IF($B206="","",DATE(YEAR('Calendario H'!$F38),MONTH('Calendario H'!$F38),DAY('Calendario H'!$F38)))</f>
        <v>46355</v>
      </c>
      <c r="D206" s="164" t="n">
        <f aca="false">IF($B206="","",TIME(HOUR('Calendario H'!$F38),MINUTE('Calendario H'!$F38),0))</f>
        <v>0.395833333333333</v>
      </c>
      <c r="E206" s="163" t="n">
        <f aca="false">IF($B206="","",DATE(YEAR('Calendario H'!$F38),MONTH('Calendario H'!$F38),DAY('Calendario H'!$F38)))</f>
        <v>46355</v>
      </c>
      <c r="F206" s="164" t="n">
        <f aca="false">IF($B206="","",TIME(HOUR('Calendario H'!$F38)+2,MINUTE('Calendario H'!$F38),0))</f>
        <v>0.479166666666667</v>
      </c>
      <c r="G206" s="162" t="str">
        <f aca="false">IF($B206="","",'Calendario H'!$B39)</f>
        <v>PalaVisoni, Via dello Sport 19, Visoniopoli VI</v>
      </c>
      <c r="H206" s="162" t="str">
        <f aca="false">IF($B206="","",Campionato!$D$1&amp;" "&amp;Campionato!$D$5)</f>
        <v>Campionato Baskin Demo - ESEMPIO COMPILATO 64 Squadre 2026/2027</v>
      </c>
      <c r="I206" s="162"/>
    </row>
    <row r="207" customFormat="false" ht="95.5" hidden="false" customHeight="false" outlineLevel="0" collapsed="false">
      <c r="A207" s="162" t="str">
        <f aca="true">IF($B207="","","BEGIN:VEVENT
DTSTAMP:"&amp;TEXT(NOW(),"yyyymmdd")&amp;"T000001Z
UID:evt206@ClaudeCoworkBaskin
DTSTART;TZID=Europe/Rome:"&amp;TEXT($C207,"yyyymmdd")&amp;"T"&amp;TEXT($D207,"hhmmss")&amp;"
DTEND;TZID=Europe/Rome:"&amp;TEXT($E207,"yyyymmdd")&amp;"T"&amp;TEXT($F207,"hhmmss")&amp;"
SUMMARY:"&amp;$B207&amp;"
LOCATION:"&amp;$G207&amp;"
DESCRIPTION:"&amp;$H207&amp;"
END:VEVENT")</f>
        <v>BEGIN:VEVENT
DTSTAMP:20260907T000001Z
UID:evt206@ClaudeCoworkBaskin
DTSTART;TZID=Europe/Rome:20261129T113000
DTEND;TZID=Europe/Rome:20261129T133000
SUMMARY:Aquile Audaci vs Castori Cocciuti
LOCATION:PalaVisoni, Via dello Sport 19, Visoniopoli VI
DESCRIPTION:Campionato Baskin Demo - ESEMPIO COMPILATO 64 Squadre 2026/2027
END:VEVENT</v>
      </c>
      <c r="B207" s="162" t="str">
        <f aca="false">IF('Calendario H'!$B41="","",'Calendario H'!$B41&amp;" vs "&amp;'Calendario H'!$D41)</f>
        <v>Aquile Audaci vs Castori Cocciuti</v>
      </c>
      <c r="C207" s="163" t="n">
        <f aca="false">IF($B207="","",DATE(YEAR('Calendario H'!$F41),MONTH('Calendario H'!$F41),DAY('Calendario H'!$F41)))</f>
        <v>46355</v>
      </c>
      <c r="D207" s="164" t="n">
        <f aca="false">IF($B207="","",TIME(HOUR('Calendario H'!$F41),MINUTE('Calendario H'!$F41),0))</f>
        <v>0.479166666666667</v>
      </c>
      <c r="E207" s="163" t="n">
        <f aca="false">IF($B207="","",DATE(YEAR('Calendario H'!$F41),MONTH('Calendario H'!$F41),DAY('Calendario H'!$F41)))</f>
        <v>46355</v>
      </c>
      <c r="F207" s="164" t="n">
        <f aca="false">IF($B207="","",TIME(HOUR('Calendario H'!$F41)+2,MINUTE('Calendario H'!$F41),0))</f>
        <v>0.5625</v>
      </c>
      <c r="G207" s="162" t="str">
        <f aca="false">IF($B207="","",'Calendario H'!$B42)</f>
        <v>PalaVisoni, Via dello Sport 19, Visoniopoli VI</v>
      </c>
      <c r="H207" s="162" t="str">
        <f aca="false">IF($B207="","",Campionato!$D$1&amp;" "&amp;Campionato!$D$5)</f>
        <v>Campionato Baskin Demo - ESEMPIO COMPILATO 64 Squadre 2026/2027</v>
      </c>
      <c r="I207" s="162"/>
    </row>
    <row r="208" customFormat="false" ht="95.5" hidden="false" customHeight="false" outlineLevel="0" collapsed="false">
      <c r="A208" s="162" t="str">
        <f aca="true">IF($B208="","","BEGIN:VEVENT
DTSTAMP:"&amp;TEXT(NOW(),"yyyymmdd")&amp;"T000001Z
UID:evt207@ClaudeCoworkBaskin
DTSTART;TZID=Europe/Rome:"&amp;TEXT($C208,"yyyymmdd")&amp;"T"&amp;TEXT($D208,"hhmmss")&amp;"
DTEND;TZID=Europe/Rome:"&amp;TEXT($E208,"yyyymmdd")&amp;"T"&amp;TEXT($F208,"hhmmss")&amp;"
SUMMARY:"&amp;$B208&amp;"
LOCATION:"&amp;$G208&amp;"
DESCRIPTION:"&amp;$H208&amp;"
END:VEVENT")</f>
        <v>BEGIN:VEVENT
DTSTAMP:20260907T000001Z
UID:evt207@ClaudeCoworkBaskin
DTSTART;TZID=Europe/Rome:20261129T150000
DTEND;TZID=Europe/Rome:20261129T170000
SUMMARY:Draghi Dinamici vs Zanzare Zampettanti
LOCATION:PalaVisoni, Via dello Sport 19, Visoniopoli VI
DESCRIPTION:Campionato Baskin Demo - ESEMPIO COMPILATO 64 Squadre 2026/2027
END:VEVENT</v>
      </c>
      <c r="B208" s="162" t="str">
        <f aca="false">IF('Calendario H'!$B44="","",'Calendario H'!$B44&amp;" vs "&amp;'Calendario H'!$D44)</f>
        <v>Draghi Dinamici vs Zanzare Zampettanti</v>
      </c>
      <c r="C208" s="163" t="n">
        <f aca="false">IF($B208="","",DATE(YEAR('Calendario H'!$F44),MONTH('Calendario H'!$F44),DAY('Calendario H'!$F44)))</f>
        <v>46355</v>
      </c>
      <c r="D208" s="164" t="n">
        <f aca="false">IF($B208="","",TIME(HOUR('Calendario H'!$F44),MINUTE('Calendario H'!$F44),0))</f>
        <v>0.625</v>
      </c>
      <c r="E208" s="163" t="n">
        <f aca="false">IF($B208="","",DATE(YEAR('Calendario H'!$F44),MONTH('Calendario H'!$F44),DAY('Calendario H'!$F44)))</f>
        <v>46355</v>
      </c>
      <c r="F208" s="164" t="n">
        <f aca="false">IF($B208="","",TIME(HOUR('Calendario H'!$F44)+2,MINUTE('Calendario H'!$F44),0))</f>
        <v>0.708333333333333</v>
      </c>
      <c r="G208" s="162" t="str">
        <f aca="false">IF($B208="","",'Calendario H'!$B45)</f>
        <v>PalaVisoni, Via dello Sport 19, Visoniopoli VI</v>
      </c>
      <c r="H208" s="162" t="str">
        <f aca="false">IF($B208="","",Campionato!$D$1&amp;" "&amp;Campionato!$D$5)</f>
        <v>Campionato Baskin Demo - ESEMPIO COMPILATO 64 Squadre 2026/2027</v>
      </c>
      <c r="I208" s="162"/>
    </row>
    <row r="209" customFormat="false" ht="95.5" hidden="false" customHeight="false" outlineLevel="0" collapsed="false">
      <c r="A209" s="162" t="str">
        <f aca="true">IF($B209="","","BEGIN:VEVENT
DTSTAMP:"&amp;TEXT(NOW(),"yyyymmdd")&amp;"T000001Z
UID:evt208@ClaudeCoworkBaskin
DTSTART;TZID=Europe/Rome:"&amp;TEXT($C209,"yyyymmdd")&amp;"T"&amp;TEXT($D209,"hhmmss")&amp;"
DTEND;TZID=Europe/Rome:"&amp;TEXT($E209,"yyyymmdd")&amp;"T"&amp;TEXT($F209,"hhmmss")&amp;"
SUMMARY:"&amp;$B209&amp;"
LOCATION:"&amp;$G209&amp;"
DESCRIPTION:"&amp;$H209&amp;"
END:VEVENT")</f>
        <v>BEGIN:VEVENT
DTSTAMP:20260907T000001Z
UID:evt208@ClaudeCoworkBaskin
DTSTART;TZID=Europe/Rome:20261129T170000
DTEND;TZID=Europe/Rome:20261129T190000
SUMMARY:Visoni Vigorosi vs Urubu Urlanti
LOCATION:PalaVisoni, Via dello Sport 19, Visoniopoli VI
DESCRIPTION:Campionato Baskin Demo - ESEMPIO COMPILATO 64 Squadre 2026/2027
END:VEVENT</v>
      </c>
      <c r="B209" s="162" t="str">
        <f aca="false">IF('Calendario H'!$B47="","",'Calendario H'!$B47&amp;" vs "&amp;'Calendario H'!$D47)</f>
        <v>Visoni Vigorosi vs Urubu Urlanti</v>
      </c>
      <c r="C209" s="163" t="n">
        <f aca="false">IF($B209="","",DATE(YEAR('Calendario H'!$F47),MONTH('Calendario H'!$F47),DAY('Calendario H'!$F47)))</f>
        <v>46355</v>
      </c>
      <c r="D209" s="164" t="n">
        <f aca="false">IF($B209="","",TIME(HOUR('Calendario H'!$F47),MINUTE('Calendario H'!$F47),0))</f>
        <v>0.708333333333333</v>
      </c>
      <c r="E209" s="163" t="n">
        <f aca="false">IF($B209="","",DATE(YEAR('Calendario H'!$F47),MONTH('Calendario H'!$F47),DAY('Calendario H'!$F47)))</f>
        <v>46355</v>
      </c>
      <c r="F209" s="164" t="n">
        <f aca="false">IF($B209="","",TIME(HOUR('Calendario H'!$F47)+2,MINUTE('Calendario H'!$F47),0))</f>
        <v>0.791666666666667</v>
      </c>
      <c r="G209" s="162" t="str">
        <f aca="false">IF($B209="","",'Calendario H'!$B48)</f>
        <v>PalaVisoni, Via dello Sport 19, Visoniopoli VI</v>
      </c>
      <c r="H209" s="162" t="str">
        <f aca="false">IF($B209="","",Campionato!$D$1&amp;" "&amp;Campionato!$D$5)</f>
        <v>Campionato Baskin Demo - ESEMPIO COMPILATO 64 Squadre 2026/2027</v>
      </c>
      <c r="I209" s="162"/>
    </row>
    <row r="210" customFormat="false" ht="95.5" hidden="false" customHeight="false" outlineLevel="0" collapsed="false">
      <c r="A210" s="162" t="str">
        <f aca="true">IF($B210="","","BEGIN:VEVENT
DTSTAMP:"&amp;TEXT(NOW(),"yyyymmdd")&amp;"T000001Z
UID:evt209@ClaudeCoworkBaskin
DTSTART;TZID=Europe/Rome:"&amp;TEXT($C210,"yyyymmdd")&amp;"T"&amp;TEXT($D210,"hhmmss")&amp;"
DTEND;TZID=Europe/Rome:"&amp;TEXT($E210,"yyyymmdd")&amp;"T"&amp;TEXT($F210,"hhmmss")&amp;"
SUMMARY:"&amp;$B210&amp;"
LOCATION:"&amp;$G210&amp;"
DESCRIPTION:"&amp;$H210&amp;"
END:VEVENT")</f>
        <v>BEGIN:VEVENT
DTSTAMP:20260907T000001Z
UID:evt209@ClaudeCoworkBaskin
DTSTART;TZID=Europe/Rome:20261213T093000
DTEND;TZID=Europe/Rome:20261213T113000
SUMMARY:Aquile Audaci vs Tartarughe Testarde
LOCATION:PalaZanzare, Via dello Sport 20, Zanzareopoli ZE
DESCRIPTION:Campionato Baskin Demo - ESEMPIO COMPILATO 64 Squadre 2026/2027
END:VEVENT</v>
      </c>
      <c r="B210" s="162" t="str">
        <f aca="false">IF('Calendario H'!$B52="","",'Calendario H'!$B52&amp;" vs "&amp;'Calendario H'!$D52)</f>
        <v>Aquile Audaci vs Tartarughe Testarde</v>
      </c>
      <c r="C210" s="163" t="n">
        <f aca="false">IF($B210="","",DATE(YEAR('Calendario H'!$F52),MONTH('Calendario H'!$F52),DAY('Calendario H'!$F52)))</f>
        <v>46369</v>
      </c>
      <c r="D210" s="164" t="n">
        <f aca="false">IF($B210="","",TIME(HOUR('Calendario H'!$F52),MINUTE('Calendario H'!$F52),0))</f>
        <v>0.395833333333333</v>
      </c>
      <c r="E210" s="163" t="n">
        <f aca="false">IF($B210="","",DATE(YEAR('Calendario H'!$F52),MONTH('Calendario H'!$F52),DAY('Calendario H'!$F52)))</f>
        <v>46369</v>
      </c>
      <c r="F210" s="164" t="n">
        <f aca="false">IF($B210="","",TIME(HOUR('Calendario H'!$F52)+2,MINUTE('Calendario H'!$F52),0))</f>
        <v>0.479166666666667</v>
      </c>
      <c r="G210" s="162" t="str">
        <f aca="false">IF($B210="","",'Calendario H'!$B53)</f>
        <v>PalaZanzare, Via dello Sport 20, Zanzareopoli ZE</v>
      </c>
      <c r="H210" s="162" t="str">
        <f aca="false">IF($B210="","",Campionato!$D$1&amp;" "&amp;Campionato!$D$5)</f>
        <v>Campionato Baskin Demo - ESEMPIO COMPILATO 64 Squadre 2026/2027</v>
      </c>
      <c r="I210" s="162"/>
    </row>
    <row r="211" customFormat="false" ht="95.5" hidden="false" customHeight="false" outlineLevel="0" collapsed="false">
      <c r="A211" s="162" t="str">
        <f aca="true">IF($B211="","","BEGIN:VEVENT
DTSTAMP:"&amp;TEXT(NOW(),"yyyymmdd")&amp;"T000001Z
UID:evt210@ClaudeCoworkBaskin
DTSTART;TZID=Europe/Rome:"&amp;TEXT($C211,"yyyymmdd")&amp;"T"&amp;TEXT($D211,"hhmmss")&amp;"
DTEND;TZID=Europe/Rome:"&amp;TEXT($E211,"yyyymmdd")&amp;"T"&amp;TEXT($F211,"hhmmss")&amp;"
SUMMARY:"&amp;$B211&amp;"
LOCATION:"&amp;$G211&amp;"
DESCRIPTION:"&amp;$H211&amp;"
END:VEVENT")</f>
        <v>BEGIN:VEVENT
DTSTAMP:20260907T000001Z
UID:evt210@ClaudeCoworkBaskin
DTSTART;TZID=Europe/Rome:20261213T113000
DTEND;TZID=Europe/Rome:20261213T133000
SUMMARY:Bradipi Brillanti vs Zanzare Zampettanti
LOCATION:PalaZanzare, Via dello Sport 20, Zanzareopoli ZE
DESCRIPTION:Campionato Baskin Demo - ESEMPIO COMPILATO 64 Squadre 2026/2027
END:VEVENT</v>
      </c>
      <c r="B211" s="162" t="str">
        <f aca="false">IF('Calendario H'!$B55="","",'Calendario H'!$B55&amp;" vs "&amp;'Calendario H'!$D55)</f>
        <v>Bradipi Brillanti vs Zanzare Zampettanti</v>
      </c>
      <c r="C211" s="163" t="n">
        <f aca="false">IF($B211="","",DATE(YEAR('Calendario H'!$F55),MONTH('Calendario H'!$F55),DAY('Calendario H'!$F55)))</f>
        <v>46369</v>
      </c>
      <c r="D211" s="164" t="n">
        <f aca="false">IF($B211="","",TIME(HOUR('Calendario H'!$F55),MINUTE('Calendario H'!$F55),0))</f>
        <v>0.479166666666667</v>
      </c>
      <c r="E211" s="163" t="n">
        <f aca="false">IF($B211="","",DATE(YEAR('Calendario H'!$F55),MONTH('Calendario H'!$F55),DAY('Calendario H'!$F55)))</f>
        <v>46369</v>
      </c>
      <c r="F211" s="164" t="n">
        <f aca="false">IF($B211="","",TIME(HOUR('Calendario H'!$F55)+2,MINUTE('Calendario H'!$F55),0))</f>
        <v>0.5625</v>
      </c>
      <c r="G211" s="162" t="str">
        <f aca="false">IF($B211="","",'Calendario H'!$B56)</f>
        <v>PalaZanzare, Via dello Sport 20, Zanzareopoli ZE</v>
      </c>
      <c r="H211" s="162" t="str">
        <f aca="false">IF($B211="","",Campionato!$D$1&amp;" "&amp;Campionato!$D$5)</f>
        <v>Campionato Baskin Demo - ESEMPIO COMPILATO 64 Squadre 2026/2027</v>
      </c>
      <c r="I211" s="162"/>
    </row>
    <row r="212" customFormat="false" ht="95.5" hidden="false" customHeight="false" outlineLevel="0" collapsed="false">
      <c r="A212" s="162" t="str">
        <f aca="true">IF($B212="","","BEGIN:VEVENT
DTSTAMP:"&amp;TEXT(NOW(),"yyyymmdd")&amp;"T000001Z
UID:evt211@ClaudeCoworkBaskin
DTSTART;TZID=Europe/Rome:"&amp;TEXT($C212,"yyyymmdd")&amp;"T"&amp;TEXT($D212,"hhmmss")&amp;"
DTEND;TZID=Europe/Rome:"&amp;TEXT($E212,"yyyymmdd")&amp;"T"&amp;TEXT($F212,"hhmmss")&amp;"
SUMMARY:"&amp;$B212&amp;"
LOCATION:"&amp;$G212&amp;"
DESCRIPTION:"&amp;$H212&amp;"
END:VEVENT")</f>
        <v>BEGIN:VEVENT
DTSTAMP:20260907T000001Z
UID:evt211@ClaudeCoworkBaskin
DTSTART;TZID=Europe/Rome:20261213T150000
DTEND;TZID=Europe/Rome:20261213T170000
SUMMARY:Visoni Vigorosi vs Castori Cocciuti
LOCATION:PalaZanzare, Via dello Sport 20, Zanzareopoli ZE
DESCRIPTION:Campionato Baskin Demo - ESEMPIO COMPILATO 64 Squadre 2026/2027
END:VEVENT</v>
      </c>
      <c r="B212" s="162" t="str">
        <f aca="false">IF('Calendario H'!$B58="","",'Calendario H'!$B58&amp;" vs "&amp;'Calendario H'!$D58)</f>
        <v>Visoni Vigorosi vs Castori Cocciuti</v>
      </c>
      <c r="C212" s="163" t="n">
        <f aca="false">IF($B212="","",DATE(YEAR('Calendario H'!$F58),MONTH('Calendario H'!$F58),DAY('Calendario H'!$F58)))</f>
        <v>46369</v>
      </c>
      <c r="D212" s="164" t="n">
        <f aca="false">IF($B212="","",TIME(HOUR('Calendario H'!$F58),MINUTE('Calendario H'!$F58),0))</f>
        <v>0.625</v>
      </c>
      <c r="E212" s="163" t="n">
        <f aca="false">IF($B212="","",DATE(YEAR('Calendario H'!$F58),MONTH('Calendario H'!$F58),DAY('Calendario H'!$F58)))</f>
        <v>46369</v>
      </c>
      <c r="F212" s="164" t="n">
        <f aca="false">IF($B212="","",TIME(HOUR('Calendario H'!$F58)+2,MINUTE('Calendario H'!$F58),0))</f>
        <v>0.708333333333333</v>
      </c>
      <c r="G212" s="162" t="str">
        <f aca="false">IF($B212="","",'Calendario H'!$B59)</f>
        <v>PalaZanzare, Via dello Sport 20, Zanzareopoli ZE</v>
      </c>
      <c r="H212" s="162" t="str">
        <f aca="false">IF($B212="","",Campionato!$D$1&amp;" "&amp;Campionato!$D$5)</f>
        <v>Campionato Baskin Demo - ESEMPIO COMPILATO 64 Squadre 2026/2027</v>
      </c>
      <c r="I212" s="162"/>
    </row>
    <row r="213" customFormat="false" ht="95.5" hidden="false" customHeight="false" outlineLevel="0" collapsed="false">
      <c r="A213" s="162" t="str">
        <f aca="true">IF($B213="","","BEGIN:VEVENT
DTSTAMP:"&amp;TEXT(NOW(),"yyyymmdd")&amp;"T000001Z
UID:evt212@ClaudeCoworkBaskin
DTSTART;TZID=Europe/Rome:"&amp;TEXT($C213,"yyyymmdd")&amp;"T"&amp;TEXT($D213,"hhmmss")&amp;"
DTEND;TZID=Europe/Rome:"&amp;TEXT($E213,"yyyymmdd")&amp;"T"&amp;TEXT($F213,"hhmmss")&amp;"
SUMMARY:"&amp;$B213&amp;"
LOCATION:"&amp;$G213&amp;"
DESCRIPTION:"&amp;$H213&amp;"
END:VEVENT")</f>
        <v>BEGIN:VEVENT
DTSTAMP:20260907T000001Z
UID:evt212@ClaudeCoworkBaskin
DTSTART;TZID=Europe/Rome:20261213T170000
DTEND;TZID=Europe/Rome:20261213T190000
SUMMARY:Draghi Dinamici vs Urubu Urlanti
LOCATION:PalaZanzare, Via dello Sport 20, Zanzareopoli ZE
DESCRIPTION:Campionato Baskin Demo - ESEMPIO COMPILATO 64 Squadre 2026/2027
END:VEVENT</v>
      </c>
      <c r="B213" s="162" t="str">
        <f aca="false">IF('Calendario H'!$B61="","",'Calendario H'!$B61&amp;" vs "&amp;'Calendario H'!$D61)</f>
        <v>Draghi Dinamici vs Urubu Urlanti</v>
      </c>
      <c r="C213" s="163" t="n">
        <f aca="false">IF($B213="","",DATE(YEAR('Calendario H'!$F61),MONTH('Calendario H'!$F61),DAY('Calendario H'!$F61)))</f>
        <v>46369</v>
      </c>
      <c r="D213" s="164" t="n">
        <f aca="false">IF($B213="","",TIME(HOUR('Calendario H'!$F61),MINUTE('Calendario H'!$F61),0))</f>
        <v>0.708333333333333</v>
      </c>
      <c r="E213" s="163" t="n">
        <f aca="false">IF($B213="","",DATE(YEAR('Calendario H'!$F61),MONTH('Calendario H'!$F61),DAY('Calendario H'!$F61)))</f>
        <v>46369</v>
      </c>
      <c r="F213" s="164" t="n">
        <f aca="false">IF($B213="","",TIME(HOUR('Calendario H'!$F61)+2,MINUTE('Calendario H'!$F61),0))</f>
        <v>0.791666666666667</v>
      </c>
      <c r="G213" s="162" t="str">
        <f aca="false">IF($B213="","",'Calendario H'!$B62)</f>
        <v>PalaZanzare, Via dello Sport 20, Zanzareopoli ZE</v>
      </c>
      <c r="H213" s="162" t="str">
        <f aca="false">IF($B213="","",Campionato!$D$1&amp;" "&amp;Campionato!$D$5)</f>
        <v>Campionato Baskin Demo - ESEMPIO COMPILATO 64 Squadre 2026/2027</v>
      </c>
      <c r="I213" s="162"/>
    </row>
    <row r="214" customFormat="false" ht="95.5" hidden="false" customHeight="false" outlineLevel="0" collapsed="false">
      <c r="A214" s="162" t="str">
        <f aca="true">IF($B214="","","BEGIN:VEVENT
DTSTAMP:"&amp;TEXT(NOW(),"yyyymmdd")&amp;"T000001Z
UID:evt213@ClaudeCoworkBaskin
DTSTART;TZID=Europe/Rome:"&amp;TEXT($C214,"yyyymmdd")&amp;"T"&amp;TEXT($D214,"hhmmss")&amp;"
DTEND;TZID=Europe/Rome:"&amp;TEXT($E214,"yyyymmdd")&amp;"T"&amp;TEXT($F214,"hhmmss")&amp;"
SUMMARY:"&amp;$B214&amp;"
LOCATION:"&amp;$G214&amp;"
DESCRIPTION:"&amp;$H214&amp;"
END:VEVENT")</f>
        <v>BEGIN:VEVENT
DTSTAMP:20260907T000001Z
UID:evt213@ClaudeCoworkBaskin
DTSTART;TZID=Europe/Rome:20270124T093000
DTEND;TZID=Europe/Rome:20270124T113000
SUMMARY:Tartarughe Testarde vs Zanzare Zampettanti
LOCATION:PalaAquile, Via dello Sport 1, Aquileopoli AE
DESCRIPTION:Campionato Baskin Demo - ESEMPIO COMPILATO 64 Squadre 2026/2027
END:VEVENT</v>
      </c>
      <c r="B214" s="162" t="str">
        <f aca="false">IF('Calendario H'!$B66="","",'Calendario H'!$B66&amp;" vs "&amp;'Calendario H'!$D66)</f>
        <v>Tartarughe Testarde vs Zanzare Zampettanti</v>
      </c>
      <c r="C214" s="163" t="n">
        <f aca="false">IF($B214="","",DATE(YEAR('Calendario H'!$F66),MONTH('Calendario H'!$F66),DAY('Calendario H'!$F66)))</f>
        <v>46411</v>
      </c>
      <c r="D214" s="164" t="n">
        <f aca="false">IF($B214="","",TIME(HOUR('Calendario H'!$F66),MINUTE('Calendario H'!$F66),0))</f>
        <v>0.395833333333333</v>
      </c>
      <c r="E214" s="163" t="n">
        <f aca="false">IF($B214="","",DATE(YEAR('Calendario H'!$F66),MONTH('Calendario H'!$F66),DAY('Calendario H'!$F66)))</f>
        <v>46411</v>
      </c>
      <c r="F214" s="164" t="n">
        <f aca="false">IF($B214="","",TIME(HOUR('Calendario H'!$F66)+2,MINUTE('Calendario H'!$F66),0))</f>
        <v>0.479166666666667</v>
      </c>
      <c r="G214" s="162" t="str">
        <f aca="false">IF($B214="","",'Calendario H'!$B67)</f>
        <v>PalaAquile, Via dello Sport 1, Aquileopoli AE</v>
      </c>
      <c r="H214" s="162" t="str">
        <f aca="false">IF($B214="","",Campionato!$D$1&amp;" "&amp;Campionato!$D$5)</f>
        <v>Campionato Baskin Demo - ESEMPIO COMPILATO 64 Squadre 2026/2027</v>
      </c>
      <c r="I214" s="162"/>
    </row>
    <row r="215" customFormat="false" ht="95.5" hidden="false" customHeight="false" outlineLevel="0" collapsed="false">
      <c r="A215" s="162" t="str">
        <f aca="true">IF($B215="","","BEGIN:VEVENT
DTSTAMP:"&amp;TEXT(NOW(),"yyyymmdd")&amp;"T000001Z
UID:evt214@ClaudeCoworkBaskin
DTSTART;TZID=Europe/Rome:"&amp;TEXT($C215,"yyyymmdd")&amp;"T"&amp;TEXT($D215,"hhmmss")&amp;"
DTEND;TZID=Europe/Rome:"&amp;TEXT($E215,"yyyymmdd")&amp;"T"&amp;TEXT($F215,"hhmmss")&amp;"
SUMMARY:"&amp;$B215&amp;"
LOCATION:"&amp;$G215&amp;"
DESCRIPTION:"&amp;$H215&amp;"
END:VEVENT")</f>
        <v>BEGIN:VEVENT
DTSTAMP:20260907T000001Z
UID:evt214@ClaudeCoworkBaskin
DTSTART;TZID=Europe/Rome:20270124T113000
DTEND;TZID=Europe/Rome:20270124T133000
SUMMARY:Visoni Vigorosi vs Aquile Audaci
LOCATION:PalaAquile, Via dello Sport 1, Aquileopoli AE
DESCRIPTION:Campionato Baskin Demo - ESEMPIO COMPILATO 64 Squadre 2026/2027
END:VEVENT</v>
      </c>
      <c r="B215" s="162" t="str">
        <f aca="false">IF('Calendario H'!$B69="","",'Calendario H'!$B69&amp;" vs "&amp;'Calendario H'!$D69)</f>
        <v>Visoni Vigorosi vs Aquile Audaci</v>
      </c>
      <c r="C215" s="163" t="n">
        <f aca="false">IF($B215="","",DATE(YEAR('Calendario H'!$F69),MONTH('Calendario H'!$F69),DAY('Calendario H'!$F69)))</f>
        <v>46411</v>
      </c>
      <c r="D215" s="164" t="n">
        <f aca="false">IF($B215="","",TIME(HOUR('Calendario H'!$F69),MINUTE('Calendario H'!$F69),0))</f>
        <v>0.479166666666667</v>
      </c>
      <c r="E215" s="163" t="n">
        <f aca="false">IF($B215="","",DATE(YEAR('Calendario H'!$F69),MONTH('Calendario H'!$F69),DAY('Calendario H'!$F69)))</f>
        <v>46411</v>
      </c>
      <c r="F215" s="164" t="n">
        <f aca="false">IF($B215="","",TIME(HOUR('Calendario H'!$F69)+2,MINUTE('Calendario H'!$F69),0))</f>
        <v>0.5625</v>
      </c>
      <c r="G215" s="162" t="str">
        <f aca="false">IF($B215="","",'Calendario H'!$B70)</f>
        <v>PalaAquile, Via dello Sport 1, Aquileopoli AE</v>
      </c>
      <c r="H215" s="162" t="str">
        <f aca="false">IF($B215="","",Campionato!$D$1&amp;" "&amp;Campionato!$D$5)</f>
        <v>Campionato Baskin Demo - ESEMPIO COMPILATO 64 Squadre 2026/2027</v>
      </c>
      <c r="I215" s="162"/>
    </row>
    <row r="216" customFormat="false" ht="95.5" hidden="false" customHeight="false" outlineLevel="0" collapsed="false">
      <c r="A216" s="162" t="str">
        <f aca="true">IF($B216="","","BEGIN:VEVENT
DTSTAMP:"&amp;TEXT(NOW(),"yyyymmdd")&amp;"T000001Z
UID:evt215@ClaudeCoworkBaskin
DTSTART;TZID=Europe/Rome:"&amp;TEXT($C216,"yyyymmdd")&amp;"T"&amp;TEXT($D216,"hhmmss")&amp;"
DTEND;TZID=Europe/Rome:"&amp;TEXT($E216,"yyyymmdd")&amp;"T"&amp;TEXT($F216,"hhmmss")&amp;"
SUMMARY:"&amp;$B216&amp;"
LOCATION:"&amp;$G216&amp;"
DESCRIPTION:"&amp;$H216&amp;"
END:VEVENT")</f>
        <v>BEGIN:VEVENT
DTSTAMP:20260907T000001Z
UID:evt215@ClaudeCoworkBaskin
DTSTART;TZID=Europe/Rome:20270124T150000
DTEND;TZID=Europe/Rome:20270124T170000
SUMMARY:Bradipi Brillanti vs Urubu Urlanti
LOCATION:PalaAquile, Via dello Sport 1, Aquileopoli AE
DESCRIPTION:Campionato Baskin Demo - ESEMPIO COMPILATO 64 Squadre 2026/2027
END:VEVENT</v>
      </c>
      <c r="B216" s="162" t="str">
        <f aca="false">IF('Calendario H'!$B72="","",'Calendario H'!$B72&amp;" vs "&amp;'Calendario H'!$D72)</f>
        <v>Bradipi Brillanti vs Urubu Urlanti</v>
      </c>
      <c r="C216" s="163" t="n">
        <f aca="false">IF($B216="","",DATE(YEAR('Calendario H'!$F72),MONTH('Calendario H'!$F72),DAY('Calendario H'!$F72)))</f>
        <v>46411</v>
      </c>
      <c r="D216" s="164" t="n">
        <f aca="false">IF($B216="","",TIME(HOUR('Calendario H'!$F72),MINUTE('Calendario H'!$F72),0))</f>
        <v>0.625</v>
      </c>
      <c r="E216" s="163" t="n">
        <f aca="false">IF($B216="","",DATE(YEAR('Calendario H'!$F72),MONTH('Calendario H'!$F72),DAY('Calendario H'!$F72)))</f>
        <v>46411</v>
      </c>
      <c r="F216" s="164" t="n">
        <f aca="false">IF($B216="","",TIME(HOUR('Calendario H'!$F72)+2,MINUTE('Calendario H'!$F72),0))</f>
        <v>0.708333333333333</v>
      </c>
      <c r="G216" s="162" t="str">
        <f aca="false">IF($B216="","",'Calendario H'!$B73)</f>
        <v>PalaAquile, Via dello Sport 1, Aquileopoli AE</v>
      </c>
      <c r="H216" s="162" t="str">
        <f aca="false">IF($B216="","",Campionato!$D$1&amp;" "&amp;Campionato!$D$5)</f>
        <v>Campionato Baskin Demo - ESEMPIO COMPILATO 64 Squadre 2026/2027</v>
      </c>
      <c r="I216" s="162"/>
    </row>
    <row r="217" customFormat="false" ht="95.5" hidden="false" customHeight="false" outlineLevel="0" collapsed="false">
      <c r="A217" s="162" t="str">
        <f aca="true">IF($B217="","","BEGIN:VEVENT
DTSTAMP:"&amp;TEXT(NOW(),"yyyymmdd")&amp;"T000001Z
UID:evt216@ClaudeCoworkBaskin
DTSTART;TZID=Europe/Rome:"&amp;TEXT($C217,"yyyymmdd")&amp;"T"&amp;TEXT($D217,"hhmmss")&amp;"
DTEND;TZID=Europe/Rome:"&amp;TEXT($E217,"yyyymmdd")&amp;"T"&amp;TEXT($F217,"hhmmss")&amp;"
SUMMARY:"&amp;$B217&amp;"
LOCATION:"&amp;$G217&amp;"
DESCRIPTION:"&amp;$H217&amp;"
END:VEVENT")</f>
        <v>BEGIN:VEVENT
DTSTAMP:20260907T000001Z
UID:evt216@ClaudeCoworkBaskin
DTSTART;TZID=Europe/Rome:20270124T170000
DTEND;TZID=Europe/Rome:20270124T190000
SUMMARY:Draghi Dinamici vs Castori Cocciuti
LOCATION:PalaAquile, Via dello Sport 1, Aquileopoli AE
DESCRIPTION:Campionato Baskin Demo - ESEMPIO COMPILATO 64 Squadre 2026/2027
END:VEVENT</v>
      </c>
      <c r="B217" s="162" t="str">
        <f aca="false">IF('Calendario H'!$B75="","",'Calendario H'!$B75&amp;" vs "&amp;'Calendario H'!$D75)</f>
        <v>Draghi Dinamici vs Castori Cocciuti</v>
      </c>
      <c r="C217" s="163" t="n">
        <f aca="false">IF($B217="","",DATE(YEAR('Calendario H'!$F75),MONTH('Calendario H'!$F75),DAY('Calendario H'!$F75)))</f>
        <v>46411</v>
      </c>
      <c r="D217" s="164" t="n">
        <f aca="false">IF($B217="","",TIME(HOUR('Calendario H'!$F75),MINUTE('Calendario H'!$F75),0))</f>
        <v>0.708333333333333</v>
      </c>
      <c r="E217" s="163" t="n">
        <f aca="false">IF($B217="","",DATE(YEAR('Calendario H'!$F75),MONTH('Calendario H'!$F75),DAY('Calendario H'!$F75)))</f>
        <v>46411</v>
      </c>
      <c r="F217" s="164" t="n">
        <f aca="false">IF($B217="","",TIME(HOUR('Calendario H'!$F75)+2,MINUTE('Calendario H'!$F75),0))</f>
        <v>0.791666666666667</v>
      </c>
      <c r="G217" s="162" t="str">
        <f aca="false">IF($B217="","",'Calendario H'!$B76)</f>
        <v>PalaAquile, Via dello Sport 1, Aquileopoli AE</v>
      </c>
      <c r="H217" s="162" t="str">
        <f aca="false">IF($B217="","",Campionato!$D$1&amp;" "&amp;Campionato!$D$5)</f>
        <v>Campionato Baskin Demo - ESEMPIO COMPILATO 64 Squadre 2026/2027</v>
      </c>
      <c r="I217" s="162"/>
    </row>
    <row r="218" customFormat="false" ht="95.5" hidden="false" customHeight="false" outlineLevel="0" collapsed="false">
      <c r="A218" s="162" t="str">
        <f aca="true">IF($B218="","","BEGIN:VEVENT
DTSTAMP:"&amp;TEXT(NOW(),"yyyymmdd")&amp;"T000001Z
UID:evt217@ClaudeCoworkBaskin
DTSTART;TZID=Europe/Rome:"&amp;TEXT($C218,"yyyymmdd")&amp;"T"&amp;TEXT($D218,"hhmmss")&amp;"
DTEND;TZID=Europe/Rome:"&amp;TEXT($E218,"yyyymmdd")&amp;"T"&amp;TEXT($F218,"hhmmss")&amp;"
SUMMARY:"&amp;$B218&amp;"
LOCATION:"&amp;$G218&amp;"
DESCRIPTION:"&amp;$H218&amp;"
END:VEVENT")</f>
        <v>BEGIN:VEVENT
DTSTAMP:20260907T000001Z
UID:evt217@ClaudeCoworkBaskin
DTSTART;TZID=Europe/Rome:20270214T093000
DTEND;TZID=Europe/Rome:20270214T113000
SUMMARY:Visoni Vigorosi vs Tartarughe Testarde
LOCATION:PalaBradipi, Via dello Sport 2, Bradipiopoli BI
DESCRIPTION:Campionato Baskin Demo - ESEMPIO COMPILATO 64 Squadre 2026/2027
END:VEVENT</v>
      </c>
      <c r="B218" s="162" t="str">
        <f aca="false">IF('Calendario H'!$B80="","",'Calendario H'!$B80&amp;" vs "&amp;'Calendario H'!$D80)</f>
        <v>Visoni Vigorosi vs Tartarughe Testarde</v>
      </c>
      <c r="C218" s="163" t="n">
        <f aca="false">IF($B218="","",DATE(YEAR('Calendario H'!$F80),MONTH('Calendario H'!$F80),DAY('Calendario H'!$F80)))</f>
        <v>46432</v>
      </c>
      <c r="D218" s="164" t="n">
        <f aca="false">IF($B218="","",TIME(HOUR('Calendario H'!$F80),MINUTE('Calendario H'!$F80),0))</f>
        <v>0.395833333333333</v>
      </c>
      <c r="E218" s="163" t="n">
        <f aca="false">IF($B218="","",DATE(YEAR('Calendario H'!$F80),MONTH('Calendario H'!$F80),DAY('Calendario H'!$F80)))</f>
        <v>46432</v>
      </c>
      <c r="F218" s="164" t="n">
        <f aca="false">IF($B218="","",TIME(HOUR('Calendario H'!$F80)+2,MINUTE('Calendario H'!$F80),0))</f>
        <v>0.479166666666667</v>
      </c>
      <c r="G218" s="162" t="str">
        <f aca="false">IF($B218="","",'Calendario H'!$B81)</f>
        <v>PalaBradipi, Via dello Sport 2, Bradipiopoli BI</v>
      </c>
      <c r="H218" s="162" t="str">
        <f aca="false">IF($B218="","",Campionato!$D$1&amp;" "&amp;Campionato!$D$5)</f>
        <v>Campionato Baskin Demo - ESEMPIO COMPILATO 64 Squadre 2026/2027</v>
      </c>
      <c r="I218" s="162"/>
    </row>
    <row r="219" customFormat="false" ht="95.5" hidden="false" customHeight="false" outlineLevel="0" collapsed="false">
      <c r="A219" s="162" t="str">
        <f aca="true">IF($B219="","","BEGIN:VEVENT
DTSTAMP:"&amp;TEXT(NOW(),"yyyymmdd")&amp;"T000001Z
UID:evt218@ClaudeCoworkBaskin
DTSTART;TZID=Europe/Rome:"&amp;TEXT($C219,"yyyymmdd")&amp;"T"&amp;TEXT($D219,"hhmmss")&amp;"
DTEND;TZID=Europe/Rome:"&amp;TEXT($E219,"yyyymmdd")&amp;"T"&amp;TEXT($F219,"hhmmss")&amp;"
SUMMARY:"&amp;$B219&amp;"
LOCATION:"&amp;$G219&amp;"
DESCRIPTION:"&amp;$H219&amp;"
END:VEVENT")</f>
        <v>BEGIN:VEVENT
DTSTAMP:20260907T000001Z
UID:evt218@ClaudeCoworkBaskin
DTSTART;TZID=Europe/Rome:20270214T113000
DTEND;TZID=Europe/Rome:20270214T133000
SUMMARY:Zanzare Zampettanti vs Urubu Urlanti
LOCATION:PalaBradipi, Via dello Sport 2, Bradipiopoli BI
DESCRIPTION:Campionato Baskin Demo - ESEMPIO COMPILATO 64 Squadre 2026/2027
END:VEVENT</v>
      </c>
      <c r="B219" s="162" t="str">
        <f aca="false">IF('Calendario H'!$B83="","",'Calendario H'!$B83&amp;" vs "&amp;'Calendario H'!$D83)</f>
        <v>Zanzare Zampettanti vs Urubu Urlanti</v>
      </c>
      <c r="C219" s="163" t="n">
        <f aca="false">IF($B219="","",DATE(YEAR('Calendario H'!$F83),MONTH('Calendario H'!$F83),DAY('Calendario H'!$F83)))</f>
        <v>46432</v>
      </c>
      <c r="D219" s="164" t="n">
        <f aca="false">IF($B219="","",TIME(HOUR('Calendario H'!$F83),MINUTE('Calendario H'!$F83),0))</f>
        <v>0.479166666666667</v>
      </c>
      <c r="E219" s="163" t="n">
        <f aca="false">IF($B219="","",DATE(YEAR('Calendario H'!$F83),MONTH('Calendario H'!$F83),DAY('Calendario H'!$F83)))</f>
        <v>46432</v>
      </c>
      <c r="F219" s="164" t="n">
        <f aca="false">IF($B219="","",TIME(HOUR('Calendario H'!$F83)+2,MINUTE('Calendario H'!$F83),0))</f>
        <v>0.5625</v>
      </c>
      <c r="G219" s="162" t="str">
        <f aca="false">IF($B219="","",'Calendario H'!$B84)</f>
        <v>PalaBradipi, Via dello Sport 2, Bradipiopoli BI</v>
      </c>
      <c r="H219" s="162" t="str">
        <f aca="false">IF($B219="","",Campionato!$D$1&amp;" "&amp;Campionato!$D$5)</f>
        <v>Campionato Baskin Demo - ESEMPIO COMPILATO 64 Squadre 2026/2027</v>
      </c>
      <c r="I219" s="162"/>
    </row>
    <row r="220" customFormat="false" ht="95.5" hidden="false" customHeight="false" outlineLevel="0" collapsed="false">
      <c r="A220" s="162" t="str">
        <f aca="true">IF($B220="","","BEGIN:VEVENT
DTSTAMP:"&amp;TEXT(NOW(),"yyyymmdd")&amp;"T000001Z
UID:evt219@ClaudeCoworkBaskin
DTSTART;TZID=Europe/Rome:"&amp;TEXT($C220,"yyyymmdd")&amp;"T"&amp;TEXT($D220,"hhmmss")&amp;"
DTEND;TZID=Europe/Rome:"&amp;TEXT($E220,"yyyymmdd")&amp;"T"&amp;TEXT($F220,"hhmmss")&amp;"
SUMMARY:"&amp;$B220&amp;"
LOCATION:"&amp;$G220&amp;"
DESCRIPTION:"&amp;$H220&amp;"
END:VEVENT")</f>
        <v>BEGIN:VEVENT
DTSTAMP:20260907T000001Z
UID:evt219@ClaudeCoworkBaskin
DTSTART;TZID=Europe/Rome:20270214T150000
DTEND;TZID=Europe/Rome:20270214T170000
SUMMARY:Draghi Dinamici vs Aquile Audaci
LOCATION:PalaBradipi, Via dello Sport 2, Bradipiopoli BI
DESCRIPTION:Campionato Baskin Demo - ESEMPIO COMPILATO 64 Squadre 2026/2027
END:VEVENT</v>
      </c>
      <c r="B220" s="162" t="str">
        <f aca="false">IF('Calendario H'!$B86="","",'Calendario H'!$B86&amp;" vs "&amp;'Calendario H'!$D86)</f>
        <v>Draghi Dinamici vs Aquile Audaci</v>
      </c>
      <c r="C220" s="163" t="n">
        <f aca="false">IF($B220="","",DATE(YEAR('Calendario H'!$F86),MONTH('Calendario H'!$F86),DAY('Calendario H'!$F86)))</f>
        <v>46432</v>
      </c>
      <c r="D220" s="164" t="n">
        <f aca="false">IF($B220="","",TIME(HOUR('Calendario H'!$F86),MINUTE('Calendario H'!$F86),0))</f>
        <v>0.625</v>
      </c>
      <c r="E220" s="163" t="n">
        <f aca="false">IF($B220="","",DATE(YEAR('Calendario H'!$F86),MONTH('Calendario H'!$F86),DAY('Calendario H'!$F86)))</f>
        <v>46432</v>
      </c>
      <c r="F220" s="164" t="n">
        <f aca="false">IF($B220="","",TIME(HOUR('Calendario H'!$F86)+2,MINUTE('Calendario H'!$F86),0))</f>
        <v>0.708333333333333</v>
      </c>
      <c r="G220" s="162" t="str">
        <f aca="false">IF($B220="","",'Calendario H'!$B87)</f>
        <v>PalaBradipi, Via dello Sport 2, Bradipiopoli BI</v>
      </c>
      <c r="H220" s="162" t="str">
        <f aca="false">IF($B220="","",Campionato!$D$1&amp;" "&amp;Campionato!$D$5)</f>
        <v>Campionato Baskin Demo - ESEMPIO COMPILATO 64 Squadre 2026/2027</v>
      </c>
      <c r="I220" s="162"/>
    </row>
    <row r="221" customFormat="false" ht="95.5" hidden="false" customHeight="false" outlineLevel="0" collapsed="false">
      <c r="A221" s="162" t="str">
        <f aca="true">IF($B221="","","BEGIN:VEVENT
DTSTAMP:"&amp;TEXT(NOW(),"yyyymmdd")&amp;"T000001Z
UID:evt220@ClaudeCoworkBaskin
DTSTART;TZID=Europe/Rome:"&amp;TEXT($C221,"yyyymmdd")&amp;"T"&amp;TEXT($D221,"hhmmss")&amp;"
DTEND;TZID=Europe/Rome:"&amp;TEXT($E221,"yyyymmdd")&amp;"T"&amp;TEXT($F221,"hhmmss")&amp;"
SUMMARY:"&amp;$B221&amp;"
LOCATION:"&amp;$G221&amp;"
DESCRIPTION:"&amp;$H221&amp;"
END:VEVENT")</f>
        <v>BEGIN:VEVENT
DTSTAMP:20260907T000001Z
UID:evt220@ClaudeCoworkBaskin
DTSTART;TZID=Europe/Rome:20270214T170000
DTEND;TZID=Europe/Rome:20270214T190000
SUMMARY:Bradipi Brillanti vs Castori Cocciuti
LOCATION:PalaBradipi, Via dello Sport 2, Bradipiopoli BI
DESCRIPTION:Campionato Baskin Demo - ESEMPIO COMPILATO 64 Squadre 2026/2027
END:VEVENT</v>
      </c>
      <c r="B221" s="162" t="str">
        <f aca="false">IF('Calendario H'!$B89="","",'Calendario H'!$B89&amp;" vs "&amp;'Calendario H'!$D89)</f>
        <v>Bradipi Brillanti vs Castori Cocciuti</v>
      </c>
      <c r="C221" s="163" t="n">
        <f aca="false">IF($B221="","",DATE(YEAR('Calendario H'!$F89),MONTH('Calendario H'!$F89),DAY('Calendario H'!$F89)))</f>
        <v>46432</v>
      </c>
      <c r="D221" s="164" t="n">
        <f aca="false">IF($B221="","",TIME(HOUR('Calendario H'!$F89),MINUTE('Calendario H'!$F89),0))</f>
        <v>0.708333333333333</v>
      </c>
      <c r="E221" s="163" t="n">
        <f aca="false">IF($B221="","",DATE(YEAR('Calendario H'!$F89),MONTH('Calendario H'!$F89),DAY('Calendario H'!$F89)))</f>
        <v>46432</v>
      </c>
      <c r="F221" s="164" t="n">
        <f aca="false">IF($B221="","",TIME(HOUR('Calendario H'!$F89)+2,MINUTE('Calendario H'!$F89),0))</f>
        <v>0.791666666666667</v>
      </c>
      <c r="G221" s="162" t="str">
        <f aca="false">IF($B221="","",'Calendario H'!$B90)</f>
        <v>PalaBradipi, Via dello Sport 2, Bradipiopoli BI</v>
      </c>
      <c r="H221" s="162" t="str">
        <f aca="false">IF($B221="","",Campionato!$D$1&amp;" "&amp;Campionato!$D$5)</f>
        <v>Campionato Baskin Demo - ESEMPIO COMPILATO 64 Squadre 2026/2027</v>
      </c>
      <c r="I221" s="162"/>
    </row>
    <row r="222" customFormat="false" ht="95.5" hidden="false" customHeight="false" outlineLevel="0" collapsed="false">
      <c r="A222" s="162" t="str">
        <f aca="true">IF($B222="","","BEGIN:VEVENT
DTSTAMP:"&amp;TEXT(NOW(),"yyyymmdd")&amp;"T000001Z
UID:evt221@ClaudeCoworkBaskin
DTSTART;TZID=Europe/Rome:"&amp;TEXT($C222,"yyyymmdd")&amp;"T"&amp;TEXT($D222,"hhmmss")&amp;"
DTEND;TZID=Europe/Rome:"&amp;TEXT($E222,"yyyymmdd")&amp;"T"&amp;TEXT($F222,"hhmmss")&amp;"
SUMMARY:"&amp;$B222&amp;"
LOCATION:"&amp;$G222&amp;"
DESCRIPTION:"&amp;$H222&amp;"
END:VEVENT")</f>
        <v>BEGIN:VEVENT
DTSTAMP:20260907T000001Z
UID:evt221@ClaudeCoworkBaskin
DTSTART;TZID=Europe/Rome:20270307T093000
DTEND;TZID=Europe/Rome:20270307T113000
SUMMARY:Tartarughe Testarde vs Urubu Urlanti
LOCATION:PalaCastori, Via dello Sport 3, Castoriopoli CI
DESCRIPTION:Campionato Baskin Demo - ESEMPIO COMPILATO 64 Squadre 2026/2027
END:VEVENT</v>
      </c>
      <c r="B222" s="162" t="str">
        <f aca="false">IF('Calendario H'!$B94="","",'Calendario H'!$B94&amp;" vs "&amp;'Calendario H'!$D94)</f>
        <v>Tartarughe Testarde vs Urubu Urlanti</v>
      </c>
      <c r="C222" s="163" t="n">
        <f aca="false">IF($B222="","",DATE(YEAR('Calendario H'!$F94),MONTH('Calendario H'!$F94),DAY('Calendario H'!$F94)))</f>
        <v>46453</v>
      </c>
      <c r="D222" s="164" t="n">
        <f aca="false">IF($B222="","",TIME(HOUR('Calendario H'!$F94),MINUTE('Calendario H'!$F94),0))</f>
        <v>0.395833333333333</v>
      </c>
      <c r="E222" s="163" t="n">
        <f aca="false">IF($B222="","",DATE(YEAR('Calendario H'!$F94),MONTH('Calendario H'!$F94),DAY('Calendario H'!$F94)))</f>
        <v>46453</v>
      </c>
      <c r="F222" s="164" t="n">
        <f aca="false">IF($B222="","",TIME(HOUR('Calendario H'!$F94)+2,MINUTE('Calendario H'!$F94),0))</f>
        <v>0.479166666666667</v>
      </c>
      <c r="G222" s="162" t="str">
        <f aca="false">IF($B222="","",'Calendario H'!$B95)</f>
        <v>PalaCastori, Via dello Sport 3, Castoriopoli CI</v>
      </c>
      <c r="H222" s="162" t="str">
        <f aca="false">IF($B222="","",Campionato!$D$1&amp;" "&amp;Campionato!$D$5)</f>
        <v>Campionato Baskin Demo - ESEMPIO COMPILATO 64 Squadre 2026/2027</v>
      </c>
      <c r="I222" s="162"/>
    </row>
    <row r="223" customFormat="false" ht="95.5" hidden="false" customHeight="false" outlineLevel="0" collapsed="false">
      <c r="A223" s="162" t="str">
        <f aca="true">IF($B223="","","BEGIN:VEVENT
DTSTAMP:"&amp;TEXT(NOW(),"yyyymmdd")&amp;"T000001Z
UID:evt222@ClaudeCoworkBaskin
DTSTART;TZID=Europe/Rome:"&amp;TEXT($C223,"yyyymmdd")&amp;"T"&amp;TEXT($D223,"hhmmss")&amp;"
DTEND;TZID=Europe/Rome:"&amp;TEXT($E223,"yyyymmdd")&amp;"T"&amp;TEXT($F223,"hhmmss")&amp;"
SUMMARY:"&amp;$B223&amp;"
LOCATION:"&amp;$G223&amp;"
DESCRIPTION:"&amp;$H223&amp;"
END:VEVENT")</f>
        <v>BEGIN:VEVENT
DTSTAMP:20260907T000001Z
UID:evt222@ClaudeCoworkBaskin
DTSTART;TZID=Europe/Rome:20270307T113000
DTEND;TZID=Europe/Rome:20270307T133000
SUMMARY:Draghi Dinamici vs Visoni Vigorosi
LOCATION:PalaCastori, Via dello Sport 3, Castoriopoli CI
DESCRIPTION:Campionato Baskin Demo - ESEMPIO COMPILATO 64 Squadre 2026/2027
END:VEVENT</v>
      </c>
      <c r="B223" s="162" t="str">
        <f aca="false">IF('Calendario H'!$B97="","",'Calendario H'!$B97&amp;" vs "&amp;'Calendario H'!$D97)</f>
        <v>Draghi Dinamici vs Visoni Vigorosi</v>
      </c>
      <c r="C223" s="163" t="n">
        <f aca="false">IF($B223="","",DATE(YEAR('Calendario H'!$F97),MONTH('Calendario H'!$F97),DAY('Calendario H'!$F97)))</f>
        <v>46453</v>
      </c>
      <c r="D223" s="164" t="n">
        <f aca="false">IF($B223="","",TIME(HOUR('Calendario H'!$F97),MINUTE('Calendario H'!$F97),0))</f>
        <v>0.479166666666667</v>
      </c>
      <c r="E223" s="163" t="n">
        <f aca="false">IF($B223="","",DATE(YEAR('Calendario H'!$F97),MONTH('Calendario H'!$F97),DAY('Calendario H'!$F97)))</f>
        <v>46453</v>
      </c>
      <c r="F223" s="164" t="n">
        <f aca="false">IF($B223="","",TIME(HOUR('Calendario H'!$F97)+2,MINUTE('Calendario H'!$F97),0))</f>
        <v>0.5625</v>
      </c>
      <c r="G223" s="162" t="str">
        <f aca="false">IF($B223="","",'Calendario H'!$B98)</f>
        <v>PalaCastori, Via dello Sport 3, Castoriopoli CI</v>
      </c>
      <c r="H223" s="162" t="str">
        <f aca="false">IF($B223="","",Campionato!$D$1&amp;" "&amp;Campionato!$D$5)</f>
        <v>Campionato Baskin Demo - ESEMPIO COMPILATO 64 Squadre 2026/2027</v>
      </c>
      <c r="I223" s="162"/>
    </row>
    <row r="224" customFormat="false" ht="95.5" hidden="false" customHeight="false" outlineLevel="0" collapsed="false">
      <c r="A224" s="162" t="str">
        <f aca="true">IF($B224="","","BEGIN:VEVENT
DTSTAMP:"&amp;TEXT(NOW(),"yyyymmdd")&amp;"T000001Z
UID:evt223@ClaudeCoworkBaskin
DTSTART;TZID=Europe/Rome:"&amp;TEXT($C224,"yyyymmdd")&amp;"T"&amp;TEXT($D224,"hhmmss")&amp;"
DTEND;TZID=Europe/Rome:"&amp;TEXT($E224,"yyyymmdd")&amp;"T"&amp;TEXT($F224,"hhmmss")&amp;"
SUMMARY:"&amp;$B224&amp;"
LOCATION:"&amp;$G224&amp;"
DESCRIPTION:"&amp;$H224&amp;"
END:VEVENT")</f>
        <v>BEGIN:VEVENT
DTSTAMP:20260907T000001Z
UID:evt223@ClaudeCoworkBaskin
DTSTART;TZID=Europe/Rome:20270307T150000
DTEND;TZID=Europe/Rome:20270307T170000
SUMMARY:Zanzare Zampettanti vs Castori Cocciuti
LOCATION:PalaCastori, Via dello Sport 3, Castoriopoli CI
DESCRIPTION:Campionato Baskin Demo - ESEMPIO COMPILATO 64 Squadre 2026/2027
END:VEVENT</v>
      </c>
      <c r="B224" s="162" t="str">
        <f aca="false">IF('Calendario H'!$B100="","",'Calendario H'!$B100&amp;" vs "&amp;'Calendario H'!$D100)</f>
        <v>Zanzare Zampettanti vs Castori Cocciuti</v>
      </c>
      <c r="C224" s="163" t="n">
        <f aca="false">IF($B224="","",DATE(YEAR('Calendario H'!$F100),MONTH('Calendario H'!$F100),DAY('Calendario H'!$F100)))</f>
        <v>46453</v>
      </c>
      <c r="D224" s="164" t="n">
        <f aca="false">IF($B224="","",TIME(HOUR('Calendario H'!$F100),MINUTE('Calendario H'!$F100),0))</f>
        <v>0.625</v>
      </c>
      <c r="E224" s="163" t="n">
        <f aca="false">IF($B224="","",DATE(YEAR('Calendario H'!$F100),MONTH('Calendario H'!$F100),DAY('Calendario H'!$F100)))</f>
        <v>46453</v>
      </c>
      <c r="F224" s="164" t="n">
        <f aca="false">IF($B224="","",TIME(HOUR('Calendario H'!$F100)+2,MINUTE('Calendario H'!$F100),0))</f>
        <v>0.708333333333333</v>
      </c>
      <c r="G224" s="162" t="str">
        <f aca="false">IF($B224="","",'Calendario H'!$B101)</f>
        <v>PalaCastori, Via dello Sport 3, Castoriopoli CI</v>
      </c>
      <c r="H224" s="162" t="str">
        <f aca="false">IF($B224="","",Campionato!$D$1&amp;" "&amp;Campionato!$D$5)</f>
        <v>Campionato Baskin Demo - ESEMPIO COMPILATO 64 Squadre 2026/2027</v>
      </c>
      <c r="I224" s="162"/>
    </row>
    <row r="225" customFormat="false" ht="95.5" hidden="false" customHeight="false" outlineLevel="0" collapsed="false">
      <c r="A225" s="162" t="str">
        <f aca="true">IF($B225="","","BEGIN:VEVENT
DTSTAMP:"&amp;TEXT(NOW(),"yyyymmdd")&amp;"T000001Z
UID:evt224@ClaudeCoworkBaskin
DTSTART;TZID=Europe/Rome:"&amp;TEXT($C225,"yyyymmdd")&amp;"T"&amp;TEXT($D225,"hhmmss")&amp;"
DTEND;TZID=Europe/Rome:"&amp;TEXT($E225,"yyyymmdd")&amp;"T"&amp;TEXT($F225,"hhmmss")&amp;"
SUMMARY:"&amp;$B225&amp;"
LOCATION:"&amp;$G225&amp;"
DESCRIPTION:"&amp;$H225&amp;"
END:VEVENT")</f>
        <v>BEGIN:VEVENT
DTSTAMP:20260907T000001Z
UID:evt224@ClaudeCoworkBaskin
DTSTART;TZID=Europe/Rome:20270307T170000
DTEND;TZID=Europe/Rome:20270307T190000
SUMMARY:Bradipi Brillanti vs Aquile Audaci
LOCATION:PalaCastori, Via dello Sport 3, Castoriopoli CI
DESCRIPTION:Campionato Baskin Demo - ESEMPIO COMPILATO 64 Squadre 2026/2027
END:VEVENT</v>
      </c>
      <c r="B225" s="162" t="str">
        <f aca="false">IF('Calendario H'!$B103="","",'Calendario H'!$B103&amp;" vs "&amp;'Calendario H'!$D103)</f>
        <v>Bradipi Brillanti vs Aquile Audaci</v>
      </c>
      <c r="C225" s="163" t="n">
        <f aca="false">IF($B225="","",DATE(YEAR('Calendario H'!$F103),MONTH('Calendario H'!$F103),DAY('Calendario H'!$F103)))</f>
        <v>46453</v>
      </c>
      <c r="D225" s="164" t="n">
        <f aca="false">IF($B225="","",TIME(HOUR('Calendario H'!$F103),MINUTE('Calendario H'!$F103),0))</f>
        <v>0.708333333333333</v>
      </c>
      <c r="E225" s="163" t="n">
        <f aca="false">IF($B225="","",DATE(YEAR('Calendario H'!$F103),MONTH('Calendario H'!$F103),DAY('Calendario H'!$F103)))</f>
        <v>46453</v>
      </c>
      <c r="F225" s="164" t="n">
        <f aca="false">IF($B225="","",TIME(HOUR('Calendario H'!$F103)+2,MINUTE('Calendario H'!$F103),0))</f>
        <v>0.791666666666667</v>
      </c>
      <c r="G225" s="162" t="str">
        <f aca="false">IF($B225="","",'Calendario H'!$B104)</f>
        <v>PalaCastori, Via dello Sport 3, Castoriopoli CI</v>
      </c>
      <c r="H225" s="162" t="str">
        <f aca="false">IF($B225="","",Campionato!$D$1&amp;" "&amp;Campionato!$D$5)</f>
        <v>Campionato Baskin Demo - ESEMPIO COMPILATO 64 Squadre 2026/2027</v>
      </c>
      <c r="I225" s="162"/>
    </row>
    <row r="226" customFormat="false" ht="95.5" hidden="false" customHeight="false" outlineLevel="0" collapsed="false">
      <c r="A226" s="162" t="str">
        <f aca="true">IF($B226="","","BEGIN:VEVENT
DTSTAMP:"&amp;TEXT(NOW(),"yyyymmdd")&amp;"T000001Z
UID:evt225@ClaudeCoworkBaskin
DTSTART;TZID=Europe/Rome:"&amp;TEXT($C226,"yyyymmdd")&amp;"T"&amp;TEXT($D226,"hhmmss")&amp;"
DTEND;TZID=Europe/Rome:"&amp;TEXT($E226,"yyyymmdd")&amp;"T"&amp;TEXT($F226,"hhmmss")&amp;"
SUMMARY:"&amp;$B226&amp;"
LOCATION:"&amp;$G226&amp;"
DESCRIPTION:"&amp;$H226&amp;"
END:VEVENT")</f>
        <v>BEGIN:VEVENT
DTSTAMP:20260907T000001Z
UID:evt225@ClaudeCoworkBaskin
DTSTART;TZID=Europe/Rome:20270411T093000
DTEND;TZID=Europe/Rome:20270411T113000
SUMMARY:Anaconde Arrabbiate vs Urubu Urlanti
LOCATION:DA DEFINIRE
DESCRIPTION:Campionato Baskin Demo - ESEMPIO COMPILATO 64 Squadre 2026/2027
END:VEVENT</v>
      </c>
      <c r="B226" s="162" t="str">
        <f aca="false">IF(Playoff!$B10="","",Playoff!$B10&amp;" vs "&amp;Playoff!$D10)</f>
        <v>Anaconde Arrabbiate vs Urubu Urlanti</v>
      </c>
      <c r="C226" s="163" t="n">
        <f aca="false">IF($B226="","",DATE(YEAR(Playoff!$F10),MONTH(Playoff!$F10),DAY(Playoff!$F10)))</f>
        <v>46488</v>
      </c>
      <c r="D226" s="164" t="n">
        <f aca="false">IF($B226="","",TIME(HOUR(Playoff!$F10),MINUTE(Playoff!$F10),0))</f>
        <v>0.395833333333333</v>
      </c>
      <c r="E226" s="163" t="n">
        <f aca="false">IF($B226="","",DATE(YEAR(Playoff!$F10),MONTH(Playoff!$F10),DAY(Playoff!$F10)))</f>
        <v>46488</v>
      </c>
      <c r="F226" s="164" t="n">
        <f aca="false">IF($B226="","",TIME(HOUR(Playoff!$F10)+2,MINUTE(Playoff!$F10),0))</f>
        <v>0.479166666666667</v>
      </c>
      <c r="G226" s="162" t="str">
        <f aca="false">IF($B226="","",Playoff!$B11)</f>
        <v>DA DEFINIRE</v>
      </c>
      <c r="H226" s="162" t="str">
        <f aca="false">IF($B226="","",Campionato!$D$1&amp;" "&amp;Campionato!$D$5)</f>
        <v>Campionato Baskin Demo - ESEMPIO COMPILATO 64 Squadre 2026/2027</v>
      </c>
      <c r="I226" s="162"/>
    </row>
    <row r="227" customFormat="false" ht="95.5" hidden="false" customHeight="false" outlineLevel="0" collapsed="false">
      <c r="A227" s="162" t="str">
        <f aca="true">IF($B227="","","BEGIN:VEVENT
DTSTAMP:"&amp;TEXT(NOW(),"yyyymmdd")&amp;"T000001Z
UID:evt226@ClaudeCoworkBaskin
DTSTART;TZID=Europe/Rome:"&amp;TEXT($C227,"yyyymmdd")&amp;"T"&amp;TEXT($D227,"hhmmss")&amp;"
DTEND;TZID=Europe/Rome:"&amp;TEXT($E227,"yyyymmdd")&amp;"T"&amp;TEXT($F227,"hhmmss")&amp;"
SUMMARY:"&amp;$B227&amp;"
LOCATION:"&amp;$G227&amp;"
DESCRIPTION:"&amp;$H227&amp;"
END:VEVENT")</f>
        <v>BEGIN:VEVENT
DTSTAMP:20260907T000001Z
UID:evt226@ClaudeCoworkBaskin
DTSTART;TZID=Europe/Rome:20270411T110000
DTEND;TZID=Europe/Rome:20270411T130000
SUMMARY:Rinoceronti Ribelli vs Struzzi Strepitosi
LOCATION:DA DEFINIRE
DESCRIPTION:Campionato Baskin Demo - ESEMPIO COMPILATO 64 Squadre 2026/2027
END:VEVENT</v>
      </c>
      <c r="B227" s="162" t="str">
        <f aca="false">IF(Playoff!$B13="","",Playoff!$B13&amp;" vs "&amp;Playoff!$D13)</f>
        <v>Rinoceronti Ribelli vs Struzzi Strepitosi</v>
      </c>
      <c r="C227" s="163" t="n">
        <f aca="false">IF($B227="","",DATE(YEAR(Playoff!$F13),MONTH(Playoff!$F13),DAY(Playoff!$F13)))</f>
        <v>46488</v>
      </c>
      <c r="D227" s="164" t="n">
        <f aca="false">IF($B227="","",TIME(HOUR(Playoff!$F13),MINUTE(Playoff!$F13),0))</f>
        <v>0.458333333333333</v>
      </c>
      <c r="E227" s="163" t="n">
        <f aca="false">IF($B227="","",DATE(YEAR(Playoff!$F13),MONTH(Playoff!$F13),DAY(Playoff!$F13)))</f>
        <v>46488</v>
      </c>
      <c r="F227" s="164" t="n">
        <f aca="false">IF($B227="","",TIME(HOUR(Playoff!$F13)+2,MINUTE(Playoff!$F13),0))</f>
        <v>0.541666666666667</v>
      </c>
      <c r="G227" s="162" t="str">
        <f aca="false">IF($B227="","",Playoff!$B14)</f>
        <v>DA DEFINIRE</v>
      </c>
      <c r="H227" s="162" t="str">
        <f aca="false">IF($B227="","",Campionato!$D$1&amp;" "&amp;Campionato!$D$5)</f>
        <v>Campionato Baskin Demo - ESEMPIO COMPILATO 64 Squadre 2026/2027</v>
      </c>
      <c r="I227" s="162"/>
    </row>
    <row r="228" customFormat="false" ht="95.5" hidden="false" customHeight="false" outlineLevel="0" collapsed="false">
      <c r="A228" s="162" t="str">
        <f aca="true">IF($B228="","","BEGIN:VEVENT
DTSTAMP:"&amp;TEXT(NOW(),"yyyymmdd")&amp;"T000001Z
UID:evt227@ClaudeCoworkBaskin
DTSTART;TZID=Europe/Rome:"&amp;TEXT($C228,"yyyymmdd")&amp;"T"&amp;TEXT($D228,"hhmmss")&amp;"
DTEND;TZID=Europe/Rome:"&amp;TEXT($E228,"yyyymmdd")&amp;"T"&amp;TEXT($F228,"hhmmss")&amp;"
SUMMARY:"&amp;$B228&amp;"
LOCATION:"&amp;$G228&amp;"
DESCRIPTION:"&amp;$H228&amp;"
END:VEVENT")</f>
        <v>BEGIN:VEVENT
DTSTAMP:20260907T000001Z
UID:evt227@ClaudeCoworkBaskin
DTSTART;TZID=Europe/Rome:20270411T133000
DTEND;TZID=Europe/Rome:20270411T153000
SUMMARY:Zebre Zelanti vs Iene Ilari
LOCATION:DA DEFINIRE
DESCRIPTION:Campionato Baskin Demo - ESEMPIO COMPILATO 64 Squadre 2026/2027
END:VEVENT</v>
      </c>
      <c r="B228" s="162" t="str">
        <f aca="false">IF(Playoff!$B16="","",Playoff!$B16&amp;" vs "&amp;Playoff!$D16)</f>
        <v>Zebre Zelanti vs Iene Ilari</v>
      </c>
      <c r="C228" s="163" t="n">
        <f aca="false">IF($B228="","",DATE(YEAR(Playoff!$F16),MONTH(Playoff!$F16),DAY(Playoff!$F16)))</f>
        <v>46488</v>
      </c>
      <c r="D228" s="164" t="n">
        <f aca="false">IF($B228="","",TIME(HOUR(Playoff!$F16),MINUTE(Playoff!$F16),0))</f>
        <v>0.5625</v>
      </c>
      <c r="E228" s="163" t="n">
        <f aca="false">IF($B228="","",DATE(YEAR(Playoff!$F16),MONTH(Playoff!$F16),DAY(Playoff!$F16)))</f>
        <v>46488</v>
      </c>
      <c r="F228" s="164" t="n">
        <f aca="false">IF($B228="","",TIME(HOUR(Playoff!$F16)+2,MINUTE(Playoff!$F16),0))</f>
        <v>0.645833333333333</v>
      </c>
      <c r="G228" s="162" t="str">
        <f aca="false">IF($B228="","",Playoff!$B17)</f>
        <v>DA DEFINIRE</v>
      </c>
      <c r="H228" s="162" t="str">
        <f aca="false">IF($B228="","",Campionato!$D$1&amp;" "&amp;Campionato!$D$5)</f>
        <v>Campionato Baskin Demo - ESEMPIO COMPILATO 64 Squadre 2026/2027</v>
      </c>
      <c r="I228" s="162"/>
    </row>
    <row r="229" customFormat="false" ht="95.5" hidden="false" customHeight="false" outlineLevel="0" collapsed="false">
      <c r="A229" s="162" t="str">
        <f aca="true">IF($B229="","","BEGIN:VEVENT
DTSTAMP:"&amp;TEXT(NOW(),"yyyymmdd")&amp;"T000001Z
UID:evt228@ClaudeCoworkBaskin
DTSTART;TZID=Europe/Rome:"&amp;TEXT($C229,"yyyymmdd")&amp;"T"&amp;TEXT($D229,"hhmmss")&amp;"
DTEND;TZID=Europe/Rome:"&amp;TEXT($E229,"yyyymmdd")&amp;"T"&amp;TEXT($F229,"hhmmss")&amp;"
SUMMARY:"&amp;$B229&amp;"
LOCATION:"&amp;$G229&amp;"
DESCRIPTION:"&amp;$H229&amp;"
END:VEVENT")</f>
        <v>BEGIN:VEVENT
DTSTAMP:20260907T000001Z
UID:evt228@ClaudeCoworkBaskin
DTSTART;TZID=Europe/Rome:20270411T150000
DTEND;TZID=Europe/Rome:20270411T170000
SUMMARY:Elefanti Esuberanti vs Zibetti Zuccherini
LOCATION:DA DEFINIRE
DESCRIPTION:Campionato Baskin Demo - ESEMPIO COMPILATO 64 Squadre 2026/2027
END:VEVENT</v>
      </c>
      <c r="B229" s="162" t="str">
        <f aca="false">IF(Playoff!$B19="","",Playoff!$B19&amp;" vs "&amp;Playoff!$D19)</f>
        <v>Elefanti Esuberanti vs Zibetti Zuccherini</v>
      </c>
      <c r="C229" s="163" t="n">
        <f aca="false">IF($B229="","",DATE(YEAR(Playoff!$F19),MONTH(Playoff!$F19),DAY(Playoff!$F19)))</f>
        <v>46488</v>
      </c>
      <c r="D229" s="164" t="n">
        <f aca="false">IF($B229="","",TIME(HOUR(Playoff!$F19),MINUTE(Playoff!$F19),0))</f>
        <v>0.625</v>
      </c>
      <c r="E229" s="163" t="n">
        <f aca="false">IF($B229="","",DATE(YEAR(Playoff!$F19),MONTH(Playoff!$F19),DAY(Playoff!$F19)))</f>
        <v>46488</v>
      </c>
      <c r="F229" s="164" t="n">
        <f aca="false">IF($B229="","",TIME(HOUR(Playoff!$F19)+2,MINUTE(Playoff!$F19),0))</f>
        <v>0.708333333333333</v>
      </c>
      <c r="G229" s="162" t="str">
        <f aca="false">IF($B229="","",Playoff!$B20)</f>
        <v>DA DEFINIRE</v>
      </c>
      <c r="H229" s="162" t="str">
        <f aca="false">IF($B229="","",Campionato!$D$1&amp;" "&amp;Campionato!$D$5)</f>
        <v>Campionato Baskin Demo - ESEMPIO COMPILATO 64 Squadre 2026/2027</v>
      </c>
      <c r="I229" s="162"/>
    </row>
    <row r="230" customFormat="false" ht="95.5" hidden="false" customHeight="false" outlineLevel="0" collapsed="false">
      <c r="A230" s="162" t="str">
        <f aca="true">IF($B230="","","BEGIN:VEVENT
DTSTAMP:"&amp;TEXT(NOW(),"yyyymmdd")&amp;"T000001Z
UID:evt229@ClaudeCoworkBaskin
DTSTART;TZID=Europe/Rome:"&amp;TEXT($C230,"yyyymmdd")&amp;"T"&amp;TEXT($D230,"hhmmss")&amp;"
DTEND;TZID=Europe/Rome:"&amp;TEXT($E230,"yyyymmdd")&amp;"T"&amp;TEXT($F230,"hhmmss")&amp;"
SUMMARY:"&amp;$B230&amp;"
LOCATION:"&amp;$G230&amp;"
DESCRIPTION:"&amp;$H230&amp;"
END:VEVENT")</f>
        <v>BEGIN:VEVENT
DTSTAMP:20260907T000001Z
UID:evt229@ClaudeCoworkBaskin
DTSTART;TZID=Europe/Rome:20270411T093000
DTEND;TZID=Europe/Rome:20270411T113000
SUMMARY:Tassi Turbolenti vs Lontre Loquaci
LOCATION:DA DEFINIRE
DESCRIPTION:Campionato Baskin Demo - ESEMPIO COMPILATO 64 Squadre 2026/2027
END:VEVENT</v>
      </c>
      <c r="B230" s="162" t="str">
        <f aca="false">IF(Playoff!$B22="","",Playoff!$B22&amp;" vs "&amp;Playoff!$D22)</f>
        <v>Tassi Turbolenti vs Lontre Loquaci</v>
      </c>
      <c r="C230" s="163" t="n">
        <f aca="false">IF($B230="","",DATE(YEAR(Playoff!$F22),MONTH(Playoff!$F22),DAY(Playoff!$F22)))</f>
        <v>46488</v>
      </c>
      <c r="D230" s="164" t="n">
        <f aca="false">IF($B230="","",TIME(HOUR(Playoff!$F22),MINUTE(Playoff!$F22),0))</f>
        <v>0.395833333333333</v>
      </c>
      <c r="E230" s="163" t="n">
        <f aca="false">IF($B230="","",DATE(YEAR(Playoff!$F22),MONTH(Playoff!$F22),DAY(Playoff!$F22)))</f>
        <v>46488</v>
      </c>
      <c r="F230" s="164" t="n">
        <f aca="false">IF($B230="","",TIME(HOUR(Playoff!$F22)+2,MINUTE(Playoff!$F22),0))</f>
        <v>0.479166666666667</v>
      </c>
      <c r="G230" s="162" t="str">
        <f aca="false">IF($B230="","",Playoff!$B23)</f>
        <v>DA DEFINIRE</v>
      </c>
      <c r="H230" s="162" t="str">
        <f aca="false">IF($B230="","",Campionato!$D$1&amp;" "&amp;Campionato!$D$5)</f>
        <v>Campionato Baskin Demo - ESEMPIO COMPILATO 64 Squadre 2026/2027</v>
      </c>
      <c r="I230" s="162"/>
    </row>
    <row r="231" customFormat="false" ht="95.5" hidden="false" customHeight="false" outlineLevel="0" collapsed="false">
      <c r="A231" s="162" t="str">
        <f aca="true">IF($B231="","","BEGIN:VEVENT
DTSTAMP:"&amp;TEXT(NOW(),"yyyymmdd")&amp;"T000001Z
UID:evt230@ClaudeCoworkBaskin
DTSTART;TZID=Europe/Rome:"&amp;TEXT($C231,"yyyymmdd")&amp;"T"&amp;TEXT($D231,"hhmmss")&amp;"
DTEND;TZID=Europe/Rome:"&amp;TEXT($E231,"yyyymmdd")&amp;"T"&amp;TEXT($F231,"hhmmss")&amp;"
SUMMARY:"&amp;$B231&amp;"
LOCATION:"&amp;$G231&amp;"
DESCRIPTION:"&amp;$H231&amp;"
END:VEVENT")</f>
        <v>BEGIN:VEVENT
DTSTAMP:20260907T000001Z
UID:evt230@ClaudeCoworkBaskin
DTSTART;TZID=Europe/Rome:20270411T110000
DTEND;TZID=Europe/Rome:20270411T130000
SUMMARY:Donnole Determinate vs Tigri Tenaci
LOCATION:DA DEFINIRE
DESCRIPTION:Campionato Baskin Demo - ESEMPIO COMPILATO 64 Squadre 2026/2027
END:VEVENT</v>
      </c>
      <c r="B231" s="162" t="str">
        <f aca="false">IF(Playoff!$B25="","",Playoff!$B25&amp;" vs "&amp;Playoff!$D25)</f>
        <v>Donnole Determinate vs Tigri Tenaci</v>
      </c>
      <c r="C231" s="163" t="n">
        <f aca="false">IF($B231="","",DATE(YEAR(Playoff!$F25),MONTH(Playoff!$F25),DAY(Playoff!$F25)))</f>
        <v>46488</v>
      </c>
      <c r="D231" s="164" t="n">
        <f aca="false">IF($B231="","",TIME(HOUR(Playoff!$F25),MINUTE(Playoff!$F25),0))</f>
        <v>0.458333333333333</v>
      </c>
      <c r="E231" s="163" t="n">
        <f aca="false">IF($B231="","",DATE(YEAR(Playoff!$F25),MONTH(Playoff!$F25),DAY(Playoff!$F25)))</f>
        <v>46488</v>
      </c>
      <c r="F231" s="164" t="n">
        <f aca="false">IF($B231="","",TIME(HOUR(Playoff!$F25)+2,MINUTE(Playoff!$F25),0))</f>
        <v>0.541666666666667</v>
      </c>
      <c r="G231" s="162" t="str">
        <f aca="false">IF($B231="","",Playoff!$B26)</f>
        <v>DA DEFINIRE</v>
      </c>
      <c r="H231" s="162" t="str">
        <f aca="false">IF($B231="","",Campionato!$D$1&amp;" "&amp;Campionato!$D$5)</f>
        <v>Campionato Baskin Demo - ESEMPIO COMPILATO 64 Squadre 2026/2027</v>
      </c>
      <c r="I231" s="162"/>
    </row>
    <row r="232" customFormat="false" ht="95.5" hidden="false" customHeight="false" outlineLevel="0" collapsed="false">
      <c r="A232" s="162" t="str">
        <f aca="true">IF($B232="","","BEGIN:VEVENT
DTSTAMP:"&amp;TEXT(NOW(),"yyyymmdd")&amp;"T000001Z
UID:evt231@ClaudeCoworkBaskin
DTSTART;TZID=Europe/Rome:"&amp;TEXT($C232,"yyyymmdd")&amp;"T"&amp;TEXT($D232,"hhmmss")&amp;"
DTEND;TZID=Europe/Rome:"&amp;TEXT($E232,"yyyymmdd")&amp;"T"&amp;TEXT($F232,"hhmmss")&amp;"
SUMMARY:"&amp;$B232&amp;"
LOCATION:"&amp;$G232&amp;"
DESCRIPTION:"&amp;$H232&amp;"
END:VEVENT")</f>
        <v>BEGIN:VEVENT
DTSTAMP:20260907T000001Z
UID:evt231@ClaudeCoworkBaskin
DTSTART;TZID=Europe/Rome:20270411T133000
DTEND;TZID=Europe/Rome:20270411T153000
SUMMARY:Pinguini Prodigiosi vs Lupi Lucenti
LOCATION:DA DEFINIRE
DESCRIPTION:Campionato Baskin Demo - ESEMPIO COMPILATO 64 Squadre 2026/2027
END:VEVENT</v>
      </c>
      <c r="B232" s="162" t="str">
        <f aca="false">IF(Playoff!$B28="","",Playoff!$B28&amp;" vs "&amp;Playoff!$D28)</f>
        <v>Pinguini Prodigiosi vs Lupi Lucenti</v>
      </c>
      <c r="C232" s="163" t="n">
        <f aca="false">IF($B232="","",DATE(YEAR(Playoff!$F28),MONTH(Playoff!$F28),DAY(Playoff!$F28)))</f>
        <v>46488</v>
      </c>
      <c r="D232" s="164" t="n">
        <f aca="false">IF($B232="","",TIME(HOUR(Playoff!$F28),MINUTE(Playoff!$F28),0))</f>
        <v>0.5625</v>
      </c>
      <c r="E232" s="163" t="n">
        <f aca="false">IF($B232="","",DATE(YEAR(Playoff!$F28),MONTH(Playoff!$F28),DAY(Playoff!$F28)))</f>
        <v>46488</v>
      </c>
      <c r="F232" s="164" t="n">
        <f aca="false">IF($B232="","",TIME(HOUR(Playoff!$F28)+2,MINUTE(Playoff!$F28),0))</f>
        <v>0.645833333333333</v>
      </c>
      <c r="G232" s="162" t="str">
        <f aca="false">IF($B232="","",Playoff!$B29)</f>
        <v>DA DEFINIRE</v>
      </c>
      <c r="H232" s="162" t="str">
        <f aca="false">IF($B232="","",Campionato!$D$1&amp;" "&amp;Campionato!$D$5)</f>
        <v>Campionato Baskin Demo - ESEMPIO COMPILATO 64 Squadre 2026/2027</v>
      </c>
      <c r="I232" s="162"/>
    </row>
    <row r="233" customFormat="false" ht="95.5" hidden="false" customHeight="false" outlineLevel="0" collapsed="false">
      <c r="A233" s="162" t="str">
        <f aca="true">IF($B233="","","BEGIN:VEVENT
DTSTAMP:"&amp;TEXT(NOW(),"yyyymmdd")&amp;"T000001Z
UID:evt232@ClaudeCoworkBaskin
DTSTART;TZID=Europe/Rome:"&amp;TEXT($C233,"yyyymmdd")&amp;"T"&amp;TEXT($D233,"hhmmss")&amp;"
DTEND;TZID=Europe/Rome:"&amp;TEXT($E233,"yyyymmdd")&amp;"T"&amp;TEXT($F233,"hhmmss")&amp;"
SUMMARY:"&amp;$B233&amp;"
LOCATION:"&amp;$G233&amp;"
DESCRIPTION:"&amp;$H233&amp;"
END:VEVENT")</f>
        <v>BEGIN:VEVENT
DTSTAMP:20260907T000001Z
UID:evt232@ClaudeCoworkBaskin
DTSTART;TZID=Europe/Rome:20270411T150000
DTEND;TZID=Europe/Rome:20270411T170000
SUMMARY:Zanzare Zampettanti vs Falchi Furiosi
LOCATION:DA DEFINIRE
DESCRIPTION:Campionato Baskin Demo - ESEMPIO COMPILATO 64 Squadre 2026/2027
END:VEVENT</v>
      </c>
      <c r="B233" s="162" t="str">
        <f aca="false">IF(Playoff!$B31="","",Playoff!$B31&amp;" vs "&amp;Playoff!$D31)</f>
        <v>Zanzare Zampettanti vs Falchi Furiosi</v>
      </c>
      <c r="C233" s="163" t="n">
        <f aca="false">IF($B233="","",DATE(YEAR(Playoff!$F31),MONTH(Playoff!$F31),DAY(Playoff!$F31)))</f>
        <v>46488</v>
      </c>
      <c r="D233" s="164" t="n">
        <f aca="false">IF($B233="","",TIME(HOUR(Playoff!$F31),MINUTE(Playoff!$F31),0))</f>
        <v>0.625</v>
      </c>
      <c r="E233" s="163" t="n">
        <f aca="false">IF($B233="","",DATE(YEAR(Playoff!$F31),MONTH(Playoff!$F31),DAY(Playoff!$F31)))</f>
        <v>46488</v>
      </c>
      <c r="F233" s="164" t="n">
        <f aca="false">IF($B233="","",TIME(HOUR(Playoff!$F31)+2,MINUTE(Playoff!$F31),0))</f>
        <v>0.708333333333333</v>
      </c>
      <c r="G233" s="162" t="str">
        <f aca="false">IF($B233="","",Playoff!$B32)</f>
        <v>DA DEFINIRE</v>
      </c>
      <c r="H233" s="162" t="str">
        <f aca="false">IF($B233="","",Campionato!$D$1&amp;" "&amp;Campionato!$D$5)</f>
        <v>Campionato Baskin Demo - ESEMPIO COMPILATO 64 Squadre 2026/2027</v>
      </c>
      <c r="I233" s="162"/>
    </row>
    <row r="234" customFormat="false" ht="95.5" hidden="false" customHeight="false" outlineLevel="0" collapsed="false">
      <c r="A234" s="162" t="str">
        <f aca="true">IF($B234="","","BEGIN:VEVENT
DTSTAMP:"&amp;TEXT(NOW(),"yyyymmdd")&amp;"T000001Z
UID:evt233@ClaudeCoworkBaskin
DTSTART;TZID=Europe/Rome:"&amp;TEXT($C234,"yyyymmdd")&amp;"T"&amp;TEXT($D234,"hhmmss")&amp;"
DTEND;TZID=Europe/Rome:"&amp;TEXT($E234,"yyyymmdd")&amp;"T"&amp;TEXT($F234,"hhmmss")&amp;"
SUMMARY:"&amp;$B234&amp;"
LOCATION:"&amp;$G234&amp;"
DESCRIPTION:"&amp;$H234&amp;"
END:VEVENT")</f>
        <v>BEGIN:VEVENT
DTSTAMP:20260907T000001Z
UID:evt233@ClaudeCoworkBaskin
DTSTART;TZID=Europe/Rome:20270426T093000
DTEND;TZID=Europe/Rome:20270426T113000
SUMMARY:Anaconde Arrabbiate vs Zanzare Zampettanti
LOCATION:DA DEFINIRE
DESCRIPTION:Campionato Baskin Demo - ESEMPIO COMPILATO 64 Squadre 2026/2027
END:VEVENT</v>
      </c>
      <c r="B234" s="162" t="str">
        <f aca="false">IF(Playoff!$B36="","",Playoff!$B36&amp;" vs "&amp;Playoff!$D36)</f>
        <v>Anaconde Arrabbiate vs Zanzare Zampettanti</v>
      </c>
      <c r="C234" s="163" t="n">
        <f aca="false">IF($B234="","",DATE(YEAR(Playoff!$F36),MONTH(Playoff!$F36),DAY(Playoff!$F36)))</f>
        <v>46503</v>
      </c>
      <c r="D234" s="164" t="n">
        <f aca="false">IF($B234="","",TIME(HOUR(Playoff!$F36),MINUTE(Playoff!$F36),0))</f>
        <v>0.395833333333333</v>
      </c>
      <c r="E234" s="163" t="n">
        <f aca="false">IF($B234="","",DATE(YEAR(Playoff!$F36),MONTH(Playoff!$F36),DAY(Playoff!$F36)))</f>
        <v>46503</v>
      </c>
      <c r="F234" s="164" t="n">
        <f aca="false">IF($B234="","",TIME(HOUR(Playoff!$F36)+2,MINUTE(Playoff!$F36),0))</f>
        <v>0.479166666666667</v>
      </c>
      <c r="G234" s="162" t="str">
        <f aca="false">IF($B234="","",Playoff!$B37)</f>
        <v>DA DEFINIRE</v>
      </c>
      <c r="H234" s="162" t="str">
        <f aca="false">IF($B234="","",Campionato!$D$1&amp;" "&amp;Campionato!$D$5)</f>
        <v>Campionato Baskin Demo - ESEMPIO COMPILATO 64 Squadre 2026/2027</v>
      </c>
      <c r="I234" s="162"/>
    </row>
    <row r="235" customFormat="false" ht="95.5" hidden="false" customHeight="false" outlineLevel="0" collapsed="false">
      <c r="A235" s="162" t="str">
        <f aca="true">IF($B235="","","BEGIN:VEVENT
DTSTAMP:"&amp;TEXT(NOW(),"yyyymmdd")&amp;"T000001Z
UID:evt234@ClaudeCoworkBaskin
DTSTART;TZID=Europe/Rome:"&amp;TEXT($C235,"yyyymmdd")&amp;"T"&amp;TEXT($D235,"hhmmss")&amp;"
DTEND;TZID=Europe/Rome:"&amp;TEXT($E235,"yyyymmdd")&amp;"T"&amp;TEXT($F235,"hhmmss")&amp;"
SUMMARY:"&amp;$B235&amp;"
LOCATION:"&amp;$G235&amp;"
DESCRIPTION:"&amp;$H235&amp;"
END:VEVENT")</f>
        <v>BEGIN:VEVENT
DTSTAMP:20260907T000001Z
UID:evt234@ClaudeCoworkBaskin
DTSTART;TZID=Europe/Rome:20270426T113000
DTEND;TZID=Europe/Rome:20270426T133000
SUMMARY:Rinoceronti Ribelli vs Pinguini Prodigiosi
LOCATION:DA DEFINIRE
DESCRIPTION:Campionato Baskin Demo - ESEMPIO COMPILATO 64 Squadre 2026/2027
END:VEVENT</v>
      </c>
      <c r="B235" s="162" t="str">
        <f aca="false">IF(Playoff!$B39="","",Playoff!$B39&amp;" vs "&amp;Playoff!$D39)</f>
        <v>Rinoceronti Ribelli vs Pinguini Prodigiosi</v>
      </c>
      <c r="C235" s="163" t="n">
        <f aca="false">IF($B235="","",DATE(YEAR(Playoff!$F39),MONTH(Playoff!$F39),DAY(Playoff!$F39)))</f>
        <v>46503</v>
      </c>
      <c r="D235" s="164" t="n">
        <f aca="false">IF($B235="","",TIME(HOUR(Playoff!$F39),MINUTE(Playoff!$F39),0))</f>
        <v>0.479166666666667</v>
      </c>
      <c r="E235" s="163" t="n">
        <f aca="false">IF($B235="","",DATE(YEAR(Playoff!$F39),MONTH(Playoff!$F39),DAY(Playoff!$F39)))</f>
        <v>46503</v>
      </c>
      <c r="F235" s="164" t="n">
        <f aca="false">IF($B235="","",TIME(HOUR(Playoff!$F39)+2,MINUTE(Playoff!$F39),0))</f>
        <v>0.5625</v>
      </c>
      <c r="G235" s="162" t="str">
        <f aca="false">IF($B235="","",Playoff!$B40)</f>
        <v>DA DEFINIRE</v>
      </c>
      <c r="H235" s="162" t="str">
        <f aca="false">IF($B235="","",Campionato!$D$1&amp;" "&amp;Campionato!$D$5)</f>
        <v>Campionato Baskin Demo - ESEMPIO COMPILATO 64 Squadre 2026/2027</v>
      </c>
      <c r="I235" s="162"/>
    </row>
    <row r="236" customFormat="false" ht="95.5" hidden="false" customHeight="false" outlineLevel="0" collapsed="false">
      <c r="A236" s="162" t="str">
        <f aca="true">IF($B236="","","BEGIN:VEVENT
DTSTAMP:"&amp;TEXT(NOW(),"yyyymmdd")&amp;"T000001Z
UID:evt235@ClaudeCoworkBaskin
DTSTART;TZID=Europe/Rome:"&amp;TEXT($C236,"yyyymmdd")&amp;"T"&amp;TEXT($D236,"hhmmss")&amp;"
DTEND;TZID=Europe/Rome:"&amp;TEXT($E236,"yyyymmdd")&amp;"T"&amp;TEXT($F236,"hhmmss")&amp;"
SUMMARY:"&amp;$B236&amp;"
LOCATION:"&amp;$G236&amp;"
DESCRIPTION:"&amp;$H236&amp;"
END:VEVENT")</f>
        <v>BEGIN:VEVENT
DTSTAMP:20260907T000001Z
UID:evt235@ClaudeCoworkBaskin
DTSTART;TZID=Europe/Rome:20270426T133000
DTEND;TZID=Europe/Rome:20270426T153000
SUMMARY:Iene Ilari vs Tigri Tenaci
LOCATION:DA DEFINIRE
DESCRIPTION:Campionato Baskin Demo - ESEMPIO COMPILATO 64 Squadre 2026/2027
END:VEVENT</v>
      </c>
      <c r="B236" s="162" t="str">
        <f aca="false">IF(Playoff!$B42="","",Playoff!$B42&amp;" vs "&amp;Playoff!$D42)</f>
        <v>Iene Ilari vs Tigri Tenaci</v>
      </c>
      <c r="C236" s="163" t="n">
        <f aca="false">IF($B236="","",DATE(YEAR(Playoff!$F42),MONTH(Playoff!$F42),DAY(Playoff!$F42)))</f>
        <v>46503</v>
      </c>
      <c r="D236" s="164" t="n">
        <f aca="false">IF($B236="","",TIME(HOUR(Playoff!$F42),MINUTE(Playoff!$F42),0))</f>
        <v>0.5625</v>
      </c>
      <c r="E236" s="163" t="n">
        <f aca="false">IF($B236="","",DATE(YEAR(Playoff!$F42),MONTH(Playoff!$F42),DAY(Playoff!$F42)))</f>
        <v>46503</v>
      </c>
      <c r="F236" s="164" t="n">
        <f aca="false">IF($B236="","",TIME(HOUR(Playoff!$F42)+2,MINUTE(Playoff!$F42),0))</f>
        <v>0.645833333333333</v>
      </c>
      <c r="G236" s="162" t="str">
        <f aca="false">IF($B236="","",Playoff!$B43)</f>
        <v>DA DEFINIRE</v>
      </c>
      <c r="H236" s="162" t="str">
        <f aca="false">IF($B236="","",Campionato!$D$1&amp;" "&amp;Campionato!$D$5)</f>
        <v>Campionato Baskin Demo - ESEMPIO COMPILATO 64 Squadre 2026/2027</v>
      </c>
      <c r="I236" s="162"/>
    </row>
    <row r="237" customFormat="false" ht="95.5" hidden="false" customHeight="false" outlineLevel="0" collapsed="false">
      <c r="A237" s="162" t="str">
        <f aca="true">IF($B237="","","BEGIN:VEVENT
DTSTAMP:"&amp;TEXT(NOW(),"yyyymmdd")&amp;"T000001Z
UID:evt236@ClaudeCoworkBaskin
DTSTART;TZID=Europe/Rome:"&amp;TEXT($C237,"yyyymmdd")&amp;"T"&amp;TEXT($D237,"hhmmss")&amp;"
DTEND;TZID=Europe/Rome:"&amp;TEXT($E237,"yyyymmdd")&amp;"T"&amp;TEXT($F237,"hhmmss")&amp;"
SUMMARY:"&amp;$B237&amp;"
LOCATION:"&amp;$G237&amp;"
DESCRIPTION:"&amp;$H237&amp;"
END:VEVENT")</f>
        <v>BEGIN:VEVENT
DTSTAMP:20260907T000001Z
UID:evt236@ClaudeCoworkBaskin
DTSTART;TZID=Europe/Rome:20270426T153000
DTEND;TZID=Europe/Rome:20270426T173000
SUMMARY:Zibetti Zuccherini vs Tassi Turbolenti
LOCATION:DA DEFINIRE
DESCRIPTION:Campionato Baskin Demo - ESEMPIO COMPILATO 64 Squadre 2026/2027
END:VEVENT</v>
      </c>
      <c r="B237" s="162" t="str">
        <f aca="false">IF(Playoff!$B45="","",Playoff!$B45&amp;" vs "&amp;Playoff!$D45)</f>
        <v>Zibetti Zuccherini vs Tassi Turbolenti</v>
      </c>
      <c r="C237" s="163" t="n">
        <f aca="false">IF($B237="","",DATE(YEAR(Playoff!$F45),MONTH(Playoff!$F45),DAY(Playoff!$F45)))</f>
        <v>46503</v>
      </c>
      <c r="D237" s="164" t="n">
        <f aca="false">IF($B237="","",TIME(HOUR(Playoff!$F45),MINUTE(Playoff!$F45),0))</f>
        <v>0.645833333333333</v>
      </c>
      <c r="E237" s="163" t="n">
        <f aca="false">IF($B237="","",DATE(YEAR(Playoff!$F45),MONTH(Playoff!$F45),DAY(Playoff!$F45)))</f>
        <v>46503</v>
      </c>
      <c r="F237" s="164" t="n">
        <f aca="false">IF($B237="","",TIME(HOUR(Playoff!$F45)+2,MINUTE(Playoff!$F45),0))</f>
        <v>0.729166666666667</v>
      </c>
      <c r="G237" s="162" t="str">
        <f aca="false">IF($B237="","",Playoff!$B46)</f>
        <v>DA DEFINIRE</v>
      </c>
      <c r="H237" s="162" t="str">
        <f aca="false">IF($B237="","",Campionato!$D$1&amp;" "&amp;Campionato!$D$5)</f>
        <v>Campionato Baskin Demo - ESEMPIO COMPILATO 64 Squadre 2026/2027</v>
      </c>
      <c r="I237" s="162"/>
    </row>
    <row r="238" customFormat="false" ht="95.5" hidden="false" customHeight="false" outlineLevel="0" collapsed="false">
      <c r="A238" s="162" t="str">
        <f aca="true">IF($B238="","","BEGIN:VEVENT
DTSTAMP:"&amp;TEXT(NOW(),"yyyymmdd")&amp;"T000001Z
UID:evt237@ClaudeCoworkBaskin
DTSTART;TZID=Europe/Rome:"&amp;TEXT($C238,"yyyymmdd")&amp;"T"&amp;TEXT($D238,"hhmmss")&amp;"
DTEND;TZID=Europe/Rome:"&amp;TEXT($E238,"yyyymmdd")&amp;"T"&amp;TEXT($F238,"hhmmss")&amp;"
SUMMARY:"&amp;$B238&amp;"
LOCATION:"&amp;$G238&amp;"
DESCRIPTION:"&amp;$H238&amp;"
END:VEVENT")</f>
        <v>BEGIN:VEVENT
DTSTAMP:20260907T000001Z
UID:evt237@ClaudeCoworkBaskin
DTSTART;TZID=Europe/Rome:20270515T143000
DTEND;TZID=Europe/Rome:20270515T163000
SUMMARY:Anaconde Arrabbiate vs Zibetti Zuccherini
LOCATION:DA DEFINIRE
DESCRIPTION:Campionato Baskin Demo - ESEMPIO COMPILATO 64 Squadre 2026/2027
END:VEVENT</v>
      </c>
      <c r="B238" s="162" t="str">
        <f aca="false">IF(Playoff!$B50="","",Playoff!$B50&amp;" vs "&amp;Playoff!$D50)</f>
        <v>Anaconde Arrabbiate vs Zibetti Zuccherini</v>
      </c>
      <c r="C238" s="163" t="n">
        <f aca="false">IF($B238="","",DATE(YEAR(Playoff!$F50),MONTH(Playoff!$F50),DAY(Playoff!$F50)))</f>
        <v>46522</v>
      </c>
      <c r="D238" s="164" t="n">
        <f aca="false">IF($B238="","",TIME(HOUR(Playoff!$F50),MINUTE(Playoff!$F50),0))</f>
        <v>0.604166666666667</v>
      </c>
      <c r="E238" s="163" t="n">
        <f aca="false">IF($B238="","",DATE(YEAR(Playoff!$F50),MONTH(Playoff!$F50),DAY(Playoff!$F50)))</f>
        <v>46522</v>
      </c>
      <c r="F238" s="164" t="n">
        <f aca="false">IF($B238="","",TIME(HOUR(Playoff!$F50)+2,MINUTE(Playoff!$F50),0))</f>
        <v>0.6875</v>
      </c>
      <c r="G238" s="162" t="str">
        <f aca="false">IF($B238="","",Playoff!$B51)</f>
        <v>DA DEFINIRE</v>
      </c>
      <c r="H238" s="162" t="str">
        <f aca="false">IF($B238="","",Campionato!$D$1&amp;" "&amp;Campionato!$D$5)</f>
        <v>Campionato Baskin Demo - ESEMPIO COMPILATO 64 Squadre 2026/2027</v>
      </c>
      <c r="I238" s="162"/>
    </row>
    <row r="239" customFormat="false" ht="95.5" hidden="false" customHeight="false" outlineLevel="0" collapsed="false">
      <c r="A239" s="162" t="str">
        <f aca="true">IF($B239="","","BEGIN:VEVENT
DTSTAMP:"&amp;TEXT(NOW(),"yyyymmdd")&amp;"T000001Z
UID:evt238@ClaudeCoworkBaskin
DTSTART;TZID=Europe/Rome:"&amp;TEXT($C239,"yyyymmdd")&amp;"T"&amp;TEXT($D239,"hhmmss")&amp;"
DTEND;TZID=Europe/Rome:"&amp;TEXT($E239,"yyyymmdd")&amp;"T"&amp;TEXT($F239,"hhmmss")&amp;"
SUMMARY:"&amp;$B239&amp;"
LOCATION:"&amp;$G239&amp;"
DESCRIPTION:"&amp;$H239&amp;"
END:VEVENT")</f>
        <v>BEGIN:VEVENT
DTSTAMP:20260907T000001Z
UID:evt238@ClaudeCoworkBaskin
DTSTART;TZID=Europe/Rome:20270515T163000
DTEND;TZID=Europe/Rome:20270515T183000
SUMMARY:Pinguini Prodigiosi vs Tigri Tenaci
LOCATION:DA DEFINIRE
DESCRIPTION:Campionato Baskin Demo - ESEMPIO COMPILATO 64 Squadre 2026/2027
END:VEVENT</v>
      </c>
      <c r="B239" s="162" t="str">
        <f aca="false">IF(Playoff!$B53="","",Playoff!$B53&amp;" vs "&amp;Playoff!$D53)</f>
        <v>Pinguini Prodigiosi vs Tigri Tenaci</v>
      </c>
      <c r="C239" s="163" t="n">
        <f aca="false">IF($B239="","",DATE(YEAR(Playoff!$F53),MONTH(Playoff!$F53),DAY(Playoff!$F53)))</f>
        <v>46522</v>
      </c>
      <c r="D239" s="164" t="n">
        <f aca="false">IF($B239="","",TIME(HOUR(Playoff!$F53),MINUTE(Playoff!$F53),0))</f>
        <v>0.6875</v>
      </c>
      <c r="E239" s="163" t="n">
        <f aca="false">IF($B239="","",DATE(YEAR(Playoff!$F53),MONTH(Playoff!$F53),DAY(Playoff!$F53)))</f>
        <v>46522</v>
      </c>
      <c r="F239" s="164" t="n">
        <f aca="false">IF($B239="","",TIME(HOUR(Playoff!$F53)+2,MINUTE(Playoff!$F53),0))</f>
        <v>0.770833333333333</v>
      </c>
      <c r="G239" s="162" t="str">
        <f aca="false">IF($B239="","",Playoff!$B54)</f>
        <v>DA DEFINIRE</v>
      </c>
      <c r="H239" s="162" t="str">
        <f aca="false">IF($B239="","",Campionato!$D$1&amp;" "&amp;Campionato!$D$5)</f>
        <v>Campionato Baskin Demo - ESEMPIO COMPILATO 64 Squadre 2026/2027</v>
      </c>
      <c r="I239" s="162"/>
    </row>
    <row r="240" customFormat="false" ht="95.5" hidden="false" customHeight="false" outlineLevel="0" collapsed="false">
      <c r="A240" s="162" t="str">
        <f aca="true">IF($B240="","","BEGIN:VEVENT
DTSTAMP:"&amp;TEXT(NOW(),"yyyymmdd")&amp;"T000001Z
UID:evt239@ClaudeCoworkBaskin
DTSTART;TZID=Europe/Rome:"&amp;TEXT($C240,"yyyymmdd")&amp;"T"&amp;TEXT($D240,"hhmmss")&amp;"
DTEND;TZID=Europe/Rome:"&amp;TEXT($E240,"yyyymmdd")&amp;"T"&amp;TEXT($F240,"hhmmss")&amp;"
SUMMARY:"&amp;$B240&amp;"
LOCATION:"&amp;$G240&amp;"
DESCRIPTION:"&amp;$H240&amp;"
END:VEVENT")</f>
        <v>BEGIN:VEVENT
DTSTAMP:20260907T000001Z
UID:evt239@ClaudeCoworkBaskin
DTSTART;TZID=Europe/Rome:20270516T110000
DTEND;TZID=Europe/Rome:20270516T130000
SUMMARY:Zibetti Zuccherini vs Pinguini Prodigiosi
LOCATION:DA DEFINIRE
DESCRIPTION:Campionato Baskin Demo - ESEMPIO COMPILATO 64 Squadre 2026/2027
END:VEVENT</v>
      </c>
      <c r="B240" s="162" t="str">
        <f aca="false">IF(Playoff!$B58="","",Playoff!$B58&amp;" vs "&amp;Playoff!$D58)</f>
        <v>Zibetti Zuccherini vs Pinguini Prodigiosi</v>
      </c>
      <c r="C240" s="163" t="n">
        <f aca="false">IF($B240="","",DATE(YEAR(Playoff!$F58),MONTH(Playoff!$F58),DAY(Playoff!$F58)))</f>
        <v>46523</v>
      </c>
      <c r="D240" s="164" t="n">
        <f aca="false">IF($B240="","",TIME(HOUR(Playoff!$F58),MINUTE(Playoff!$F58),0))</f>
        <v>0.458333333333333</v>
      </c>
      <c r="E240" s="163" t="n">
        <f aca="false">IF($B240="","",DATE(YEAR(Playoff!$F58),MONTH(Playoff!$F58),DAY(Playoff!$F58)))</f>
        <v>46523</v>
      </c>
      <c r="F240" s="164" t="n">
        <f aca="false">IF($B240="","",TIME(HOUR(Playoff!$F58)+2,MINUTE(Playoff!$F58),0))</f>
        <v>0.541666666666667</v>
      </c>
      <c r="G240" s="162" t="str">
        <f aca="false">IF($B240="","",Playoff!$B59)</f>
        <v>DA DEFINIRE</v>
      </c>
      <c r="H240" s="162" t="str">
        <f aca="false">IF($B240="","",Campionato!$D$1&amp;" "&amp;Campionato!$D$5)</f>
        <v>Campionato Baskin Demo - ESEMPIO COMPILATO 64 Squadre 2026/2027</v>
      </c>
      <c r="I240" s="162"/>
    </row>
    <row r="241" customFormat="false" ht="95.5" hidden="false" customHeight="false" outlineLevel="0" collapsed="false">
      <c r="A241" s="162" t="str">
        <f aca="true">IF($B241="","","BEGIN:VEVENT
DTSTAMP:"&amp;TEXT(NOW(),"yyyymmdd")&amp;"T000001Z
UID:evt240@ClaudeCoworkBaskin
DTSTART;TZID=Europe/Rome:"&amp;TEXT($C241,"yyyymmdd")&amp;"T"&amp;TEXT($D241,"hhmmss")&amp;"
DTEND;TZID=Europe/Rome:"&amp;TEXT($E241,"yyyymmdd")&amp;"T"&amp;TEXT($F241,"hhmmss")&amp;"
SUMMARY:"&amp;$B241&amp;"
LOCATION:"&amp;$G241&amp;"
DESCRIPTION:"&amp;$H241&amp;"
END:VEVENT")</f>
        <v>BEGIN:VEVENT
DTSTAMP:20260907T000001Z
UID:evt240@ClaudeCoworkBaskin
DTSTART;TZID=Europe/Rome:20270516T150000
DTEND;TZID=Europe/Rome:20270516T170000
SUMMARY:Anaconde Arrabbiate vs Tigri Tenaci
LOCATION:DA DEFINIRE
DESCRIPTION:Campionato Baskin Demo - ESEMPIO COMPILATO 64 Squadre 2026/2027
END:VEVENT</v>
      </c>
      <c r="B241" s="162" t="str">
        <f aca="false">IF(Playoff!$B61="","",Playoff!$B61&amp;" vs "&amp;Playoff!$D61)</f>
        <v>Anaconde Arrabbiate vs Tigri Tenaci</v>
      </c>
      <c r="C241" s="163" t="n">
        <f aca="false">IF($B241="","",DATE(YEAR(Playoff!$F61),MONTH(Playoff!$F61),DAY(Playoff!$F61)))</f>
        <v>46523</v>
      </c>
      <c r="D241" s="164" t="n">
        <f aca="false">IF($B241="","",TIME(HOUR(Playoff!$F61),MINUTE(Playoff!$F61),0))</f>
        <v>0.625</v>
      </c>
      <c r="E241" s="163" t="n">
        <f aca="false">IF($B241="","",DATE(YEAR(Playoff!$F61),MONTH(Playoff!$F61),DAY(Playoff!$F61)))</f>
        <v>46523</v>
      </c>
      <c r="F241" s="164" t="n">
        <f aca="false">IF($B241="","",TIME(HOUR(Playoff!$F61)+2,MINUTE(Playoff!$F61),0))</f>
        <v>0.708333333333333</v>
      </c>
      <c r="G241" s="162" t="str">
        <f aca="false">IF($B241="","",Playoff!$B62)</f>
        <v>DA DEFINIRE</v>
      </c>
      <c r="H241" s="162" t="str">
        <f aca="false">IF($B241="","",Campionato!$D$1&amp;" "&amp;Campionato!$D$5)</f>
        <v>Campionato Baskin Demo - ESEMPIO COMPILATO 64 Squadre 2026/2027</v>
      </c>
      <c r="I241" s="162"/>
    </row>
    <row r="243" customFormat="false" ht="15" hidden="false" customHeight="false" outlineLevel="0" collapsed="false">
      <c r="A243" s="162" t="str">
        <f aca="false">"END:VCALENDAR"</f>
        <v>END:VCALENDAR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2026-09-07T08:00:55Z</dcterms:created>
  <dc:creator>openpyxl</dc:creator>
  <dc:description/>
  <dc:language>en-US</dc:language>
  <cp:lastModifiedBy/>
  <dcterms:modified xsi:type="dcterms:W3CDTF">2026-09-07T08:23:49Z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