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Classifica" sheetId="3" state="visible" r:id="rId3"/>
    <sheet xmlns:r="http://schemas.openxmlformats.org/officeDocument/2006/relationships" name="Playoff" sheetId="4" state="visible" r:id="rId4"/>
    <sheet xmlns:r="http://schemas.openxmlformats.org/officeDocument/2006/relationships" name="Classifica Finale" sheetId="5" state="visible" r:id="rId5"/>
    <sheet xmlns:r="http://schemas.openxmlformats.org/officeDocument/2006/relationships" name="DESIGNAZIONI" sheetId="6" state="visible" r:id="rId6"/>
    <sheet xmlns:r="http://schemas.openxmlformats.org/officeDocument/2006/relationships" name="Arbitri" sheetId="7" state="visible" r:id="rId7"/>
    <sheet xmlns:r="http://schemas.openxmlformats.org/officeDocument/2006/relationships" name="UdC" sheetId="8" state="visible" r:id="rId8"/>
    <sheet xmlns:r="http://schemas.openxmlformats.org/officeDocument/2006/relationships" name="MEMO" sheetId="9" state="visible" r:id="rId9"/>
    <sheet xmlns:r="http://schemas.openxmlformats.org/officeDocument/2006/relationships" name="Calendario.ics" sheetId="10" state="visible" r:id="rId10"/>
    <sheet xmlns:r="http://schemas.openxmlformats.org/officeDocument/2006/relationships" name="Dati" sheetId="11" state="hidden" r:id="rId11"/>
  </sheets>
  <definedNames>
    <definedName name="_xlnm.Print_Area" localSheetId="0">'Campionato'!$A$1:$E$48</definedName>
    <definedName name="_xlnm.Print_Titles" localSheetId="1">'Calendario A'!$1:$3</definedName>
    <definedName name="_xlnm.Print_Area" localSheetId="1">'Calendario A'!$A$1:$L$162</definedName>
    <definedName name="_xlnm.Print_Titles" localSheetId="2">'Classifica'!$1:$3</definedName>
    <definedName name="_xlnm.Print_Area" localSheetId="2">'Classifica'!$A$1:$M$22</definedName>
    <definedName name="_xlnm.Print_Titles" localSheetId="3">'Playoff'!$1:$3</definedName>
    <definedName name="_xlnm.Print_Area" localSheetId="3">'Playoff'!$A$1:$L$42</definedName>
    <definedName name="_xlnm.Print_Titles" localSheetId="4">'Classifica Finale'!$1:$6</definedName>
    <definedName name="_xlnm.Print_Area" localSheetId="4">'Classifica Finale'!$A$1:$E$18</definedName>
    <definedName name="_xlnm.Print_Titles" localSheetId="5">'DESIGNAZIONI'!$1:$3</definedName>
    <definedName name="_xlnm.Print_Area" localSheetId="5">'DESIGNAZIONI'!$A$1:$R$225</definedName>
    <definedName name="_xlnm.Print_Titles" localSheetId="6">'Arbitri'!$1:$4</definedName>
    <definedName name="_xlnm.Print_Area" localSheetId="6">'Arbitri'!$A$1:$O$104</definedName>
    <definedName name="_xlnm.Print_Titles" localSheetId="7">'UdC'!$1:$4</definedName>
    <definedName name="_xlnm.Print_Area" localSheetId="7">'UdC'!$A$1:$O$104</definedName>
    <definedName name="_xlnm.Print_Area" localSheetId="9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CF4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width="26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26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26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26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hidden="1" width="14" customWidth="1" min="84" max="8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inlineStr">
        <is>
          <t>Campionato Baskin Demo - ESEMPIO 10 Squadre</t>
        </is>
      </c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</t>
        </is>
      </c>
    </row>
    <row r="6">
      <c r="B6" s="3" t="inlineStr">
        <is>
          <t>Stagione</t>
        </is>
      </c>
      <c r="D6" s="5" t="inlineStr">
        <is>
          <t>2026/2027</t>
        </is>
      </c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 t="inlineStr">
        <is>
          <t>Gold</t>
        </is>
      </c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10" t="n"/>
      <c r="AJ12" s="8" t="inlineStr">
        <is>
          <t>Squadra</t>
        </is>
      </c>
      <c r="AK12" s="8" t="inlineStr">
        <is>
          <t>Vittorie Scontri Diretti</t>
        </is>
      </c>
      <c r="AL12" s="9" t="n"/>
      <c r="AM12" s="9" t="n"/>
      <c r="AN12" s="9" t="n"/>
      <c r="AO12" s="9" t="n"/>
      <c r="AP12" s="9" t="n"/>
      <c r="AQ12" s="9" t="n"/>
      <c r="AR12" s="9" t="n"/>
      <c r="AS12" s="9" t="n"/>
      <c r="AT12" s="10" t="n"/>
      <c r="AV12" s="8" t="inlineStr">
        <is>
          <t>Squadra</t>
        </is>
      </c>
      <c r="AW12" s="8" t="inlineStr">
        <is>
          <t>Sconfitte &amp; Forfait Scontri Diretti</t>
        </is>
      </c>
      <c r="AX12" s="9" t="n"/>
      <c r="AY12" s="9" t="n"/>
      <c r="AZ12" s="9" t="n"/>
      <c r="BA12" s="9" t="n"/>
      <c r="BB12" s="9" t="n"/>
      <c r="BC12" s="9" t="n"/>
      <c r="BD12" s="9" t="n"/>
      <c r="BE12" s="9" t="n"/>
      <c r="BF12" s="10" t="n"/>
      <c r="BH12" s="8" t="inlineStr">
        <is>
          <t>Squadra</t>
        </is>
      </c>
      <c r="BI12" s="8" t="inlineStr">
        <is>
          <t>Punti Fatti Scontri Diretti</t>
        </is>
      </c>
      <c r="BJ12" s="9" t="n"/>
      <c r="BK12" s="9" t="n"/>
      <c r="BL12" s="9" t="n"/>
      <c r="BM12" s="9" t="n"/>
      <c r="BN12" s="9" t="n"/>
      <c r="BO12" s="9" t="n"/>
      <c r="BP12" s="9" t="n"/>
      <c r="BQ12" s="9" t="n"/>
      <c r="BR12" s="10" t="n"/>
      <c r="BT12" s="8" t="inlineStr">
        <is>
          <t>Squadra</t>
        </is>
      </c>
      <c r="BU12" s="8" t="inlineStr">
        <is>
          <t>Punti Subiti Scontri Diretti</t>
        </is>
      </c>
      <c r="BV12" s="9" t="n"/>
      <c r="BW12" s="9" t="n"/>
      <c r="BX12" s="9" t="n"/>
      <c r="BY12" s="9" t="n"/>
      <c r="BZ12" s="9" t="n"/>
      <c r="CA12" s="9" t="n"/>
      <c r="CB12" s="9" t="n"/>
      <c r="CC12" s="9" t="n"/>
      <c r="CD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J13" s="11" t="inlineStr">
        <is>
          <t>Squadra</t>
        </is>
      </c>
      <c r="AK13" s="11" t="inlineStr">
        <is>
          <t>1^</t>
        </is>
      </c>
      <c r="AL13" s="11" t="inlineStr">
        <is>
          <t>2^</t>
        </is>
      </c>
      <c r="AM13" s="11" t="inlineStr">
        <is>
          <t>3^</t>
        </is>
      </c>
      <c r="AN13" s="11" t="inlineStr">
        <is>
          <t>4^</t>
        </is>
      </c>
      <c r="AO13" s="11" t="inlineStr">
        <is>
          <t>5^</t>
        </is>
      </c>
      <c r="AP13" s="11" t="inlineStr">
        <is>
          <t>6^</t>
        </is>
      </c>
      <c r="AQ13" s="11" t="inlineStr">
        <is>
          <t>7^</t>
        </is>
      </c>
      <c r="AR13" s="11" t="inlineStr">
        <is>
          <t>8^</t>
        </is>
      </c>
      <c r="AS13" s="11" t="inlineStr">
        <is>
          <t>9^</t>
        </is>
      </c>
      <c r="AT13" s="11" t="inlineStr">
        <is>
          <t>10^</t>
        </is>
      </c>
      <c r="AV13" s="11" t="inlineStr">
        <is>
          <t>Squadra</t>
        </is>
      </c>
      <c r="AW13" s="11" t="inlineStr">
        <is>
          <t>1^</t>
        </is>
      </c>
      <c r="AX13" s="11" t="inlineStr">
        <is>
          <t>2^</t>
        </is>
      </c>
      <c r="AY13" s="11" t="inlineStr">
        <is>
          <t>3^</t>
        </is>
      </c>
      <c r="AZ13" s="11" t="inlineStr">
        <is>
          <t>4^</t>
        </is>
      </c>
      <c r="BA13" s="11" t="inlineStr">
        <is>
          <t>5^</t>
        </is>
      </c>
      <c r="BB13" s="11" t="inlineStr">
        <is>
          <t>6^</t>
        </is>
      </c>
      <c r="BC13" s="11" t="inlineStr">
        <is>
          <t>7^</t>
        </is>
      </c>
      <c r="BD13" s="11" t="inlineStr">
        <is>
          <t>8^</t>
        </is>
      </c>
      <c r="BE13" s="11" t="inlineStr">
        <is>
          <t>9^</t>
        </is>
      </c>
      <c r="BF13" s="11" t="inlineStr">
        <is>
          <t>10^</t>
        </is>
      </c>
      <c r="BH13" s="11" t="inlineStr">
        <is>
          <t>Squadra</t>
        </is>
      </c>
      <c r="BI13" s="11" t="inlineStr">
        <is>
          <t>1^</t>
        </is>
      </c>
      <c r="BJ13" s="11" t="inlineStr">
        <is>
          <t>2^</t>
        </is>
      </c>
      <c r="BK13" s="11" t="inlineStr">
        <is>
          <t>3^</t>
        </is>
      </c>
      <c r="BL13" s="11" t="inlineStr">
        <is>
          <t>4^</t>
        </is>
      </c>
      <c r="BM13" s="11" t="inlineStr">
        <is>
          <t>5^</t>
        </is>
      </c>
      <c r="BN13" s="11" t="inlineStr">
        <is>
          <t>6^</t>
        </is>
      </c>
      <c r="BO13" s="11" t="inlineStr">
        <is>
          <t>7^</t>
        </is>
      </c>
      <c r="BP13" s="11" t="inlineStr">
        <is>
          <t>8^</t>
        </is>
      </c>
      <c r="BQ13" s="11" t="inlineStr">
        <is>
          <t>9^</t>
        </is>
      </c>
      <c r="BR13" s="11" t="inlineStr">
        <is>
          <t>10^</t>
        </is>
      </c>
      <c r="BT13" s="11" t="inlineStr">
        <is>
          <t>Squadra</t>
        </is>
      </c>
      <c r="BU13" s="11" t="inlineStr">
        <is>
          <t>1^</t>
        </is>
      </c>
      <c r="BV13" s="11" t="inlineStr">
        <is>
          <t>2^</t>
        </is>
      </c>
      <c r="BW13" s="11" t="inlineStr">
        <is>
          <t>3^</t>
        </is>
      </c>
      <c r="BX13" s="11" t="inlineStr">
        <is>
          <t>4^</t>
        </is>
      </c>
      <c r="BY13" s="11" t="inlineStr">
        <is>
          <t>5^</t>
        </is>
      </c>
      <c r="BZ13" s="11" t="inlineStr">
        <is>
          <t>6^</t>
        </is>
      </c>
      <c r="CA13" s="11" t="inlineStr">
        <is>
          <t>7^</t>
        </is>
      </c>
      <c r="CB13" s="11" t="inlineStr">
        <is>
          <t>8^</t>
        </is>
      </c>
      <c r="CC13" s="11" t="inlineStr">
        <is>
          <t>9^</t>
        </is>
      </c>
      <c r="CD13" s="11" t="inlineStr">
        <is>
          <t>10^</t>
        </is>
      </c>
      <c r="CF13" s="11" t="inlineStr">
        <is>
          <t>Vittorie SD</t>
        </is>
      </c>
    </row>
    <row r="14">
      <c r="B14" s="12" t="inlineStr">
        <is>
          <t>A01</t>
        </is>
      </c>
      <c r="C14" s="13" t="inlineStr">
        <is>
          <t>Anaconde Audaci-Anacondeopoli AA</t>
        </is>
      </c>
      <c r="D14" s="14" t="n"/>
      <c r="E14" s="15" t="inlineStr">
        <is>
          <t>A</t>
        </is>
      </c>
      <c r="G14" s="16" t="str">
        <f>IF($C14="","",$E14&amp;(COUNTIFS(I$14:I$23,"&gt;"&amp;I14,E$14:E$23,"="&amp;E14,C$14:C$23,"&lt;&gt;")+COUNTIFS(I$14:I$23,"="&amp;I14,H$14:H$23,"&lt;="&amp;H14,E$14:E$23,"="&amp;E14,C$14:C$23,"&lt;&gt;")))</f>
        <v>A2</v>
      </c>
      <c r="H14" s="17" t="str">
        <f>IF($C14="","",IFERROR(LEFT($C14,FIND("-",$C14)-1),$C14))</f>
        <v>Anaconde Audaci</v>
      </c>
      <c r="I14" s="12" t="str">
        <f>TEXT(1000000000+J14,"|0000000000|")&amp;TEXT(SUM(AK14:AT14),"0000000000|")&amp;IF(SUM(BU14:CD14)=0,"0000000000|",TEXT(ROUND(SUM(BI14:BR14)/SUM(BU14:CD14),4)*100000,"0000000000|"))&amp;IF(P14=0,"0000000000|",TEXT(ROUND(O14/P14,4)*100000,"0000000000|"))</f>
        <v>|1000000021|0000000001|0000119570|0000111580|</v>
      </c>
      <c r="J14" s="16">
        <f>L14*Campionato!$D$7+M14*Campionato!$D$8+N14*Campionato!$D$9+IF(D14="",0,D14)</f>
        <v>21</v>
      </c>
      <c r="K14" s="12">
        <f>SUM(L14:N14)</f>
        <v>9</v>
      </c>
      <c r="L14" s="12">
        <f>IF($H14="",0,SUMIF(Dati!$A$2:$A$46,$H14,Dati!$B$2:$B$46)+SUMIF(Dati!$H$2:$H$46,$H14,Dati!$I$2:$I$46))</f>
        <v>6</v>
      </c>
      <c r="M14" s="12">
        <f>IF($H14="",0,SUMIF(Dati!$A$2:$A$46,$H14,Dati!$D$2:$D$46)+SUMIF(Dati!$H$2:$H$46,$H14,Dati!$K$2:$K$46))</f>
        <v>3</v>
      </c>
      <c r="N14" s="12">
        <f>IF($H14="",0,SUMIF(Dati!$A$2:$A$46,$H14,Dati!$C$2:$C$46)+SUMIF(Dati!$H$2:$H$46,$H14,Dati!$J$2:$J$46))</f>
        <v>0</v>
      </c>
      <c r="O14" s="12">
        <f>IF($H14="",0,SUMIF(Dati!$A$2:$A$46,$H14,Dati!$E$2:$E$46)+SUMIF(Dati!$H$2:$H$46,$H14,Dati!$L$2:$L$46))</f>
        <v>530</v>
      </c>
      <c r="P14" s="12">
        <f>IF($H14="",0,SUMIF(Dati!$A$2:$A$46,$H14,Dati!$F$2:$F$46)+SUMIF(Dati!$H$2:$H$46,$H14,Dati!$M$2:$M$46))</f>
        <v>475</v>
      </c>
      <c r="Q14" s="12">
        <f>IF($H14="",0,SUMIF(Dati!$A$2:$A$46,$H14,Dati!$G$2:$G$46)+SUMIF(Dati!$H$2:$H$46,$H14,Dati!$N$2:$N$46))</f>
        <v>55</v>
      </c>
      <c r="R14" s="12">
        <f>IF(K14=0,0,ROUND(O14/K14,2))</f>
        <v>58.89</v>
      </c>
      <c r="S14" s="12">
        <f>IF(K14=0,0,ROUND(P14/K14,2))</f>
        <v>52.78</v>
      </c>
      <c r="T14" s="12">
        <f>IF(K14=0,0,ROUND(Q14/K14,2))</f>
        <v>6.11</v>
      </c>
      <c r="U14" s="12" t="str">
        <f>IF(COUNTIFS($E$14:$E$23,$E14,$J$14:$J$23,$J14,$C$14:$C$23,"&lt;&gt;")&lt;=1,"-",SUM(AK14:AT14)&amp;"-"&amp;SUM(AW14:BF14))</f>
        <v>1-1</v>
      </c>
      <c r="V14" s="18">
        <f>IF(COUNTIFS($E$14:$E$23,$E14,$J$14:$J$23,$J14,$C$14:$C$23,"&lt;&gt;",$CF$14:$CF$23,$CF14)&lt;=1,"-",IF(SUM(BU14:CD14)=0,0,ROUND(SUM(BI14:BR14)/SUM(BU14:CD14),3)))</f>
        <v>1.196</v>
      </c>
      <c r="W14" s="18" t="str">
        <f>IF(COUNTIFS($E$14:$E$23,$E14,$J$14:$J$23,$J14,$C$14:$C$23,"&lt;&gt;",$CF$14:$CF$23,$CF14,$V$14:$V$23,$V14)&lt;=1,"-",IF(P14=0,0,ROUND(O14/P14,3)))</f>
        <v>-</v>
      </c>
      <c r="X14" s="19" t="str">
        <f>IF($C14="","",$E14&amp;"#"&amp;COUNTIFS($E$14:$E14,$E14,$C$14:$C14,"&lt;&gt;"))</f>
        <v>A#1</v>
      </c>
      <c r="Y14" s="20" t="str">
        <f>IFERROR(INDEX($H$14:$H$23,MATCH($E14&amp;"#1",$X$14:$X$23,0)),"")</f>
        <v>Anaconde Audaci</v>
      </c>
      <c r="Z14" s="20" t="str">
        <f>IFERROR(INDEX($H$14:$H$23,MATCH($E14&amp;"#2",$X$14:$X$23,0)),"")</f>
        <v>Bufali Belligeranti</v>
      </c>
      <c r="AA14" s="20" t="str">
        <f>IFERROR(INDEX($H$14:$H$23,MATCH($E14&amp;"#3",$X$14:$X$23,0)),"")</f>
        <v>Cobra Celeri</v>
      </c>
      <c r="AB14" s="20" t="str">
        <f>IFERROR(INDEX($H$14:$H$23,MATCH($E14&amp;"#4",$X$14:$X$23,0)),"")</f>
        <v>Dingo Docili</v>
      </c>
      <c r="AC14" s="20" t="str">
        <f>IFERROR(INDEX($H$14:$H$23,MATCH($E14&amp;"#5",$X$14:$X$23,0)),"")</f>
        <v>Ermellini Eleganti</v>
      </c>
      <c r="AD14" s="20" t="str">
        <f>IFERROR(INDEX($H$14:$H$23,MATCH($E14&amp;"#6",$X$14:$X$23,0)),"")</f>
        <v>Falchi Feroci</v>
      </c>
      <c r="AE14" s="20" t="str">
        <f>IFERROR(INDEX($H$14:$H$23,MATCH($E14&amp;"#7",$X$14:$X$23,0)),"")</f>
        <v>Gazzelle Gentili</v>
      </c>
      <c r="AF14" s="20" t="str">
        <f>IFERROR(INDEX($H$14:$H$23,MATCH($E14&amp;"#8",$X$14:$X$23,0)),"")</f>
        <v>Ibis Instancabili</v>
      </c>
      <c r="AG14" s="20" t="str">
        <f>IFERROR(INDEX($H$14:$H$23,MATCH($E14&amp;"#9",$X$14:$X$23,0)),"")</f>
        <v>Lupi Leali</v>
      </c>
      <c r="AH14" s="20" t="str">
        <f>IFERROR(INDEX($H$14:$H$23,MATCH($E14&amp;"#10",$X$14:$X$23,0)),"")</f>
        <v>Marmotte Mobili</v>
      </c>
      <c r="AJ14" s="21" t="str">
        <f>$C14</f>
        <v>Anaconde Audaci-Anacondeopoli AA</v>
      </c>
      <c r="AK14" s="22" t="str">
        <f>IF(AND($H14&lt;&gt;"",$Y14&lt;&gt;"",$H14&lt;&gt;$Y14,IFERROR(INDEX($J$14:$J$23,MATCH($H14,$H$14:$H$23,0)),-1)=IFERROR(INDEX($J$14:$J$23,MATCH($Y14,$H$14:$H$23,0)),-2)),SUMIFS(Dati!$B$2:$B$46,Dati!$A$2:$A$46,$H14,Dati!$H$2:$H$46,$Y14)+SUMIFS(Dati!$I$2:$I$46,Dati!$H$2:$H$46,$H14,Dati!$A$2:$A$46,$Y14),"-")</f>
        <v>-</v>
      </c>
      <c r="AL14" s="22" t="str">
        <f>IF(AND($H14&lt;&gt;"",$Z14&lt;&gt;"",$H14&lt;&gt;$Z14,IFERROR(INDEX($J$14:$J$23,MATCH($H14,$H$14:$H$23,0)),-1)=IFERROR(INDEX($J$14:$J$23,MATCH($Z14,$H$14:$H$23,0)),-2)),SUMIFS(Dati!$B$2:$B$46,Dati!$A$2:$A$46,$H14,Dati!$H$2:$H$46,$Z14)+SUMIFS(Dati!$I$2:$I$46,Dati!$H$2:$H$46,$H14,Dati!$A$2:$A$46,$Z14),"-")</f>
        <v>-</v>
      </c>
      <c r="AM14" s="22" t="str">
        <f>IF(AND($H14&lt;&gt;"",$AA14&lt;&gt;"",$H14&lt;&gt;$AA14,IFERROR(INDEX($J$14:$J$23,MATCH($H14,$H$14:$H$23,0)),-1)=IFERROR(INDEX($J$14:$J$23,MATCH($AA14,$H$14:$H$23,0)),-2)),SUMIFS(Dati!$B$2:$B$46,Dati!$A$2:$A$46,$H14,Dati!$H$2:$H$46,$AA14)+SUMIFS(Dati!$I$2:$I$46,Dati!$H$2:$H$46,$H14,Dati!$A$2:$A$46,$AA14),"-")</f>
        <v>-</v>
      </c>
      <c r="AN14" s="22" t="str">
        <f>IF(AND($H14&lt;&gt;"",$AB14&lt;&gt;"",$H14&lt;&gt;$AB14,IFERROR(INDEX($J$14:$J$23,MATCH($H14,$H$14:$H$23,0)),-1)=IFERROR(INDEX($J$14:$J$23,MATCH($AB14,$H$14:$H$23,0)),-2)),SUMIFS(Dati!$B$2:$B$46,Dati!$A$2:$A$46,$H14,Dati!$H$2:$H$46,$AB14)+SUMIFS(Dati!$I$2:$I$46,Dati!$H$2:$H$46,$H14,Dati!$A$2:$A$46,$AB14),"-")</f>
        <v>-</v>
      </c>
      <c r="AO14" s="22" t="str">
        <f>IF(AND($H14&lt;&gt;"",$AC14&lt;&gt;"",$H14&lt;&gt;$AC14,IFERROR(INDEX($J$14:$J$23,MATCH($H14,$H$14:$H$23,0)),-1)=IFERROR(INDEX($J$14:$J$23,MATCH($AC14,$H$14:$H$23,0)),-2)),SUMIFS(Dati!$B$2:$B$46,Dati!$A$2:$A$46,$H14,Dati!$H$2:$H$46,$AC14)+SUMIFS(Dati!$I$2:$I$46,Dati!$H$2:$H$46,$H14,Dati!$A$2:$A$46,$AC14),"-")</f>
        <v>-</v>
      </c>
      <c r="AP14" s="22">
        <f>IF(AND($H14&lt;&gt;"",$AD14&lt;&gt;"",$H14&lt;&gt;$AD14,IFERROR(INDEX($J$14:$J$23,MATCH($H14,$H$14:$H$23,0)),-1)=IFERROR(INDEX($J$14:$J$23,MATCH($AD14,$H$14:$H$23,0)),-2)),SUMIFS(Dati!$B$2:$B$46,Dati!$A$2:$A$46,$H14,Dati!$H$2:$H$46,$AD14)+SUMIFS(Dati!$I$2:$I$46,Dati!$H$2:$H$46,$H14,Dati!$A$2:$A$46,$AD14),"-")</f>
        <v>1</v>
      </c>
      <c r="AQ14" s="22" t="str">
        <f>IF(AND($H14&lt;&gt;"",$AE14&lt;&gt;"",$H14&lt;&gt;$AE14,IFERROR(INDEX($J$14:$J$23,MATCH($H14,$H$14:$H$23,0)),-1)=IFERROR(INDEX($J$14:$J$23,MATCH($AE14,$H$14:$H$23,0)),-2)),SUMIFS(Dati!$B$2:$B$46,Dati!$A$2:$A$46,$H14,Dati!$H$2:$H$46,$AE14)+SUMIFS(Dati!$I$2:$I$46,Dati!$H$2:$H$46,$H14,Dati!$A$2:$A$46,$AE14),"-")</f>
        <v>-</v>
      </c>
      <c r="AR14" s="22" t="str">
        <f>IF(AND($H14&lt;&gt;"",$AF14&lt;&gt;"",$H14&lt;&gt;$AF14,IFERROR(INDEX($J$14:$J$23,MATCH($H14,$H$14:$H$23,0)),-1)=IFERROR(INDEX($J$14:$J$23,MATCH($AF14,$H$14:$H$23,0)),-2)),SUMIFS(Dati!$B$2:$B$46,Dati!$A$2:$A$46,$H14,Dati!$H$2:$H$46,$AF14)+SUMIFS(Dati!$I$2:$I$46,Dati!$H$2:$H$46,$H14,Dati!$A$2:$A$46,$AF14),"-")</f>
        <v>-</v>
      </c>
      <c r="AS14" s="22">
        <f>IF(AND($H14&lt;&gt;"",$AG14&lt;&gt;"",$H14&lt;&gt;$AG14,IFERROR(INDEX($J$14:$J$23,MATCH($H14,$H$14:$H$23,0)),-1)=IFERROR(INDEX($J$14:$J$23,MATCH($AG14,$H$14:$H$23,0)),-2)),SUMIFS(Dati!$B$2:$B$46,Dati!$A$2:$A$46,$H14,Dati!$H$2:$H$46,$AG14)+SUMIFS(Dati!$I$2:$I$46,Dati!$H$2:$H$46,$H14,Dati!$A$2:$A$46,$AG14),"-")</f>
        <v>0</v>
      </c>
      <c r="AT14" s="22" t="str">
        <f>IF(AND($H14&lt;&gt;"",$AH14&lt;&gt;"",$H14&lt;&gt;$AH14,IFERROR(INDEX($J$14:$J$23,MATCH($H14,$H$14:$H$23,0)),-1)=IFERROR(INDEX($J$14:$J$23,MATCH($AH14,$H$14:$H$23,0)),-2)),SUMIFS(Dati!$B$2:$B$46,Dati!$A$2:$A$46,$H14,Dati!$H$2:$H$46,$AH14)+SUMIFS(Dati!$I$2:$I$46,Dati!$H$2:$H$46,$H14,Dati!$A$2:$A$46,$AH14),"-")</f>
        <v>-</v>
      </c>
      <c r="AV14" s="21" t="str">
        <f>$C14</f>
        <v>Anaconde Audaci-Anacondeopoli AA</v>
      </c>
      <c r="AW14" s="22" t="str">
        <f>IF(AND($H14&lt;&gt;"",$Y14&lt;&gt;"",$H14&lt;&gt;$Y14,IFERROR(INDEX($J$14:$J$23,MATCH($H14,$H$14:$H$23,0)),-1)=IFERROR(INDEX($J$14:$J$23,MATCH($Y14,$H$14:$H$23,0)),-2)),SUMIFS(Dati!$D$2:$D$46,Dati!$A$2:$A$46,$H14,Dati!$H$2:$H$46,$Y14)+SUMIFS(Dati!$K$2:$K$46,Dati!$H$2:$H$46,$H14,Dati!$A$2:$A$46,$Y14)+SUMIFS(Dati!$C$2:$C$46,Dati!$A$2:$A$46,$H14,Dati!$H$2:$H$46,$Y14)+SUMIFS(Dati!$J$2:$J$46,Dati!$H$2:$H$46,$H14,Dati!$A$2:$A$46,$Y14),"-")</f>
        <v>-</v>
      </c>
      <c r="AX14" s="22" t="str">
        <f>IF(AND($H14&lt;&gt;"",$Z14&lt;&gt;"",$H14&lt;&gt;$Z14,IFERROR(INDEX($J$14:$J$23,MATCH($H14,$H$14:$H$23,0)),-1)=IFERROR(INDEX($J$14:$J$23,MATCH($Z14,$H$14:$H$23,0)),-2)),SUMIFS(Dati!$D$2:$D$46,Dati!$A$2:$A$46,$H14,Dati!$H$2:$H$46,$Z14)+SUMIFS(Dati!$K$2:$K$46,Dati!$H$2:$H$46,$H14,Dati!$A$2:$A$46,$Z14)+SUMIFS(Dati!$C$2:$C$46,Dati!$A$2:$A$46,$H14,Dati!$H$2:$H$46,$Z14)+SUMIFS(Dati!$J$2:$J$46,Dati!$H$2:$H$46,$H14,Dati!$A$2:$A$46,$Z14),"-")</f>
        <v>-</v>
      </c>
      <c r="AY14" s="22" t="str">
        <f>IF(AND($H14&lt;&gt;"",$AA14&lt;&gt;"",$H14&lt;&gt;$AA14,IFERROR(INDEX($J$14:$J$23,MATCH($H14,$H$14:$H$23,0)),-1)=IFERROR(INDEX($J$14:$J$23,MATCH($AA14,$H$14:$H$23,0)),-2)),SUMIFS(Dati!$D$2:$D$46,Dati!$A$2:$A$46,$H14,Dati!$H$2:$H$46,$AA14)+SUMIFS(Dati!$K$2:$K$46,Dati!$H$2:$H$46,$H14,Dati!$A$2:$A$46,$AA14)+SUMIFS(Dati!$C$2:$C$46,Dati!$A$2:$A$46,$H14,Dati!$H$2:$H$46,$AA14)+SUMIFS(Dati!$J$2:$J$46,Dati!$H$2:$H$46,$H14,Dati!$A$2:$A$46,$AA14),"-")</f>
        <v>-</v>
      </c>
      <c r="AZ14" s="22" t="str">
        <f>IF(AND($H14&lt;&gt;"",$AB14&lt;&gt;"",$H14&lt;&gt;$AB14,IFERROR(INDEX($J$14:$J$23,MATCH($H14,$H$14:$H$23,0)),-1)=IFERROR(INDEX($J$14:$J$23,MATCH($AB14,$H$14:$H$23,0)),-2)),SUMIFS(Dati!$D$2:$D$46,Dati!$A$2:$A$46,$H14,Dati!$H$2:$H$46,$AB14)+SUMIFS(Dati!$K$2:$K$46,Dati!$H$2:$H$46,$H14,Dati!$A$2:$A$46,$AB14)+SUMIFS(Dati!$C$2:$C$46,Dati!$A$2:$A$46,$H14,Dati!$H$2:$H$46,$AB14)+SUMIFS(Dati!$J$2:$J$46,Dati!$H$2:$H$46,$H14,Dati!$A$2:$A$46,$AB14),"-")</f>
        <v>-</v>
      </c>
      <c r="BA14" s="22" t="str">
        <f>IF(AND($H14&lt;&gt;"",$AC14&lt;&gt;"",$H14&lt;&gt;$AC14,IFERROR(INDEX($J$14:$J$23,MATCH($H14,$H$14:$H$23,0)),-1)=IFERROR(INDEX($J$14:$J$23,MATCH($AC14,$H$14:$H$23,0)),-2)),SUMIFS(Dati!$D$2:$D$46,Dati!$A$2:$A$46,$H14,Dati!$H$2:$H$46,$AC14)+SUMIFS(Dati!$K$2:$K$46,Dati!$H$2:$H$46,$H14,Dati!$A$2:$A$46,$AC14)+SUMIFS(Dati!$C$2:$C$46,Dati!$A$2:$A$46,$H14,Dati!$H$2:$H$46,$AC14)+SUMIFS(Dati!$J$2:$J$46,Dati!$H$2:$H$46,$H14,Dati!$A$2:$A$46,$AC14),"-")</f>
        <v>-</v>
      </c>
      <c r="BB14" s="22">
        <f>IF(AND($H14&lt;&gt;"",$AD14&lt;&gt;"",$H14&lt;&gt;$AD14,IFERROR(INDEX($J$14:$J$23,MATCH($H14,$H$14:$H$23,0)),-1)=IFERROR(INDEX($J$14:$J$23,MATCH($AD14,$H$14:$H$23,0)),-2)),SUMIFS(Dati!$D$2:$D$46,Dati!$A$2:$A$46,$H14,Dati!$H$2:$H$46,$AD14)+SUMIFS(Dati!$K$2:$K$46,Dati!$H$2:$H$46,$H14,Dati!$A$2:$A$46,$AD14)+SUMIFS(Dati!$C$2:$C$46,Dati!$A$2:$A$46,$H14,Dati!$H$2:$H$46,$AD14)+SUMIFS(Dati!$J$2:$J$46,Dati!$H$2:$H$46,$H14,Dati!$A$2:$A$46,$AD14),"-")</f>
        <v>0</v>
      </c>
      <c r="BC14" s="22" t="str">
        <f>IF(AND($H14&lt;&gt;"",$AE14&lt;&gt;"",$H14&lt;&gt;$AE14,IFERROR(INDEX($J$14:$J$23,MATCH($H14,$H$14:$H$23,0)),-1)=IFERROR(INDEX($J$14:$J$23,MATCH($AE14,$H$14:$H$23,0)),-2)),SUMIFS(Dati!$D$2:$D$46,Dati!$A$2:$A$46,$H14,Dati!$H$2:$H$46,$AE14)+SUMIFS(Dati!$K$2:$K$46,Dati!$H$2:$H$46,$H14,Dati!$A$2:$A$46,$AE14)+SUMIFS(Dati!$C$2:$C$46,Dati!$A$2:$A$46,$H14,Dati!$H$2:$H$46,$AE14)+SUMIFS(Dati!$J$2:$J$46,Dati!$H$2:$H$46,$H14,Dati!$A$2:$A$46,$AE14),"-")</f>
        <v>-</v>
      </c>
      <c r="BD14" s="22" t="str">
        <f>IF(AND($H14&lt;&gt;"",$AF14&lt;&gt;"",$H14&lt;&gt;$AF14,IFERROR(INDEX($J$14:$J$23,MATCH($H14,$H$14:$H$23,0)),-1)=IFERROR(INDEX($J$14:$J$23,MATCH($AF14,$H$14:$H$23,0)),-2)),SUMIFS(Dati!$D$2:$D$46,Dati!$A$2:$A$46,$H14,Dati!$H$2:$H$46,$AF14)+SUMIFS(Dati!$K$2:$K$46,Dati!$H$2:$H$46,$H14,Dati!$A$2:$A$46,$AF14)+SUMIFS(Dati!$C$2:$C$46,Dati!$A$2:$A$46,$H14,Dati!$H$2:$H$46,$AF14)+SUMIFS(Dati!$J$2:$J$46,Dati!$H$2:$H$46,$H14,Dati!$A$2:$A$46,$AF14),"-")</f>
        <v>-</v>
      </c>
      <c r="BE14" s="22">
        <f>IF(AND($H14&lt;&gt;"",$AG14&lt;&gt;"",$H14&lt;&gt;$AG14,IFERROR(INDEX($J$14:$J$23,MATCH($H14,$H$14:$H$23,0)),-1)=IFERROR(INDEX($J$14:$J$23,MATCH($AG14,$H$14:$H$23,0)),-2)),SUMIFS(Dati!$D$2:$D$46,Dati!$A$2:$A$46,$H14,Dati!$H$2:$H$46,$AG14)+SUMIFS(Dati!$K$2:$K$46,Dati!$H$2:$H$46,$H14,Dati!$A$2:$A$46,$AG14)+SUMIFS(Dati!$C$2:$C$46,Dati!$A$2:$A$46,$H14,Dati!$H$2:$H$46,$AG14)+SUMIFS(Dati!$J$2:$J$46,Dati!$H$2:$H$46,$H14,Dati!$A$2:$A$46,$AG14),"-")</f>
        <v>1</v>
      </c>
      <c r="BF14" s="22" t="str">
        <f>IF(AND($H14&lt;&gt;"",$AH14&lt;&gt;"",$H14&lt;&gt;$AH14,IFERROR(INDEX($J$14:$J$23,MATCH($H14,$H$14:$H$23,0)),-1)=IFERROR(INDEX($J$14:$J$23,MATCH($AH14,$H$14:$H$23,0)),-2)),SUMIFS(Dati!$D$2:$D$46,Dati!$A$2:$A$46,$H14,Dati!$H$2:$H$46,$AH14)+SUMIFS(Dati!$K$2:$K$46,Dati!$H$2:$H$46,$H14,Dati!$A$2:$A$46,$AH14)+SUMIFS(Dati!$C$2:$C$46,Dati!$A$2:$A$46,$H14,Dati!$H$2:$H$46,$AH14)+SUMIFS(Dati!$J$2:$J$46,Dati!$H$2:$H$46,$H14,Dati!$A$2:$A$46,$AH14),"-")</f>
        <v>-</v>
      </c>
      <c r="BH14" s="21" t="str">
        <f>$C14</f>
        <v>Anaconde Audaci-Anacondeopoli AA</v>
      </c>
      <c r="BI14" s="22" t="str">
        <f>IF(AND($H14&lt;&gt;"",$Y14&lt;&gt;"",$H14&lt;&gt;$Y14,IFERROR(INDEX($J$14:$J$23,MATCH($H14,$H$14:$H$23,0)),-1)=IFERROR(INDEX($J$14:$J$23,MATCH($Y14,$H$14:$H$23,0)),-2)),SUMIFS(Dati!$E$2:$E$46,Dati!$A$2:$A$46,$H14,Dati!$H$2:$H$46,$Y14)+SUMIFS(Dati!$L$2:$L$46,Dati!$H$2:$H$46,$H14,Dati!$A$2:$A$46,$Y14),"-")</f>
        <v>-</v>
      </c>
      <c r="BJ14" s="22" t="str">
        <f>IF(AND($H14&lt;&gt;"",$Z14&lt;&gt;"",$H14&lt;&gt;$Z14,IFERROR(INDEX($J$14:$J$23,MATCH($H14,$H$14:$H$23,0)),-1)=IFERROR(INDEX($J$14:$J$23,MATCH($Z14,$H$14:$H$23,0)),-2)),SUMIFS(Dati!$E$2:$E$46,Dati!$A$2:$A$46,$H14,Dati!$H$2:$H$46,$Z14)+SUMIFS(Dati!$L$2:$L$46,Dati!$H$2:$H$46,$H14,Dati!$A$2:$A$46,$Z14),"-")</f>
        <v>-</v>
      </c>
      <c r="BK14" s="22" t="str">
        <f>IF(AND($H14&lt;&gt;"",$AA14&lt;&gt;"",$H14&lt;&gt;$AA14,IFERROR(INDEX($J$14:$J$23,MATCH($H14,$H$14:$H$23,0)),-1)=IFERROR(INDEX($J$14:$J$23,MATCH($AA14,$H$14:$H$23,0)),-2)),SUMIFS(Dati!$E$2:$E$46,Dati!$A$2:$A$46,$H14,Dati!$H$2:$H$46,$AA14)+SUMIFS(Dati!$L$2:$L$46,Dati!$H$2:$H$46,$H14,Dati!$A$2:$A$46,$AA14),"-")</f>
        <v>-</v>
      </c>
      <c r="BL14" s="22" t="str">
        <f>IF(AND($H14&lt;&gt;"",$AB14&lt;&gt;"",$H14&lt;&gt;$AB14,IFERROR(INDEX($J$14:$J$23,MATCH($H14,$H$14:$H$23,0)),-1)=IFERROR(INDEX($J$14:$J$23,MATCH($AB14,$H$14:$H$23,0)),-2)),SUMIFS(Dati!$E$2:$E$46,Dati!$A$2:$A$46,$H14,Dati!$H$2:$H$46,$AB14)+SUMIFS(Dati!$L$2:$L$46,Dati!$H$2:$H$46,$H14,Dati!$A$2:$A$46,$AB14),"-")</f>
        <v>-</v>
      </c>
      <c r="BM14" s="22" t="str">
        <f>IF(AND($H14&lt;&gt;"",$AC14&lt;&gt;"",$H14&lt;&gt;$AC14,IFERROR(INDEX($J$14:$J$23,MATCH($H14,$H$14:$H$23,0)),-1)=IFERROR(INDEX($J$14:$J$23,MATCH($AC14,$H$14:$H$23,0)),-2)),SUMIFS(Dati!$E$2:$E$46,Dati!$A$2:$A$46,$H14,Dati!$H$2:$H$46,$AC14)+SUMIFS(Dati!$L$2:$L$46,Dati!$H$2:$H$46,$H14,Dati!$A$2:$A$46,$AC14),"-")</f>
        <v>-</v>
      </c>
      <c r="BN14" s="22">
        <f>IF(AND($H14&lt;&gt;"",$AD14&lt;&gt;"",$H14&lt;&gt;$AD14,IFERROR(INDEX($J$14:$J$23,MATCH($H14,$H$14:$H$23,0)),-1)=IFERROR(INDEX($J$14:$J$23,MATCH($AD14,$H$14:$H$23,0)),-2)),SUMIFS(Dati!$E$2:$E$46,Dati!$A$2:$A$46,$H14,Dati!$H$2:$H$46,$AD14)+SUMIFS(Dati!$L$2:$L$46,Dati!$H$2:$H$46,$H14,Dati!$A$2:$A$46,$AD14),"-")</f>
        <v>60</v>
      </c>
      <c r="BO14" s="22" t="str">
        <f>IF(AND($H14&lt;&gt;"",$AE14&lt;&gt;"",$H14&lt;&gt;$AE14,IFERROR(INDEX($J$14:$J$23,MATCH($H14,$H$14:$H$23,0)),-1)=IFERROR(INDEX($J$14:$J$23,MATCH($AE14,$H$14:$H$23,0)),-2)),SUMIFS(Dati!$E$2:$E$46,Dati!$A$2:$A$46,$H14,Dati!$H$2:$H$46,$AE14)+SUMIFS(Dati!$L$2:$L$46,Dati!$H$2:$H$46,$H14,Dati!$A$2:$A$46,$AE14),"-")</f>
        <v>-</v>
      </c>
      <c r="BP14" s="22" t="str">
        <f>IF(AND($H14&lt;&gt;"",$AF14&lt;&gt;"",$H14&lt;&gt;$AF14,IFERROR(INDEX($J$14:$J$23,MATCH($H14,$H$14:$H$23,0)),-1)=IFERROR(INDEX($J$14:$J$23,MATCH($AF14,$H$14:$H$23,0)),-2)),SUMIFS(Dati!$E$2:$E$46,Dati!$A$2:$A$46,$H14,Dati!$H$2:$H$46,$AF14)+SUMIFS(Dati!$L$2:$L$46,Dati!$H$2:$H$46,$H14,Dati!$A$2:$A$46,$AF14),"-")</f>
        <v>-</v>
      </c>
      <c r="BQ14" s="22">
        <f>IF(AND($H14&lt;&gt;"",$AG14&lt;&gt;"",$H14&lt;&gt;$AG14,IFERROR(INDEX($J$14:$J$23,MATCH($H14,$H$14:$H$23,0)),-1)=IFERROR(INDEX($J$14:$J$23,MATCH($AG14,$H$14:$H$23,0)),-2)),SUMIFS(Dati!$E$2:$E$46,Dati!$A$2:$A$46,$H14,Dati!$H$2:$H$46,$AG14)+SUMIFS(Dati!$L$2:$L$46,Dati!$H$2:$H$46,$H14,Dati!$A$2:$A$46,$AG14),"-")</f>
        <v>50</v>
      </c>
      <c r="BR14" s="22" t="str">
        <f>IF(AND($H14&lt;&gt;"",$AH14&lt;&gt;"",$H14&lt;&gt;$AH14,IFERROR(INDEX($J$14:$J$23,MATCH($H14,$H$14:$H$23,0)),-1)=IFERROR(INDEX($J$14:$J$23,MATCH($AH14,$H$14:$H$23,0)),-2)),SUMIFS(Dati!$E$2:$E$46,Dati!$A$2:$A$46,$H14,Dati!$H$2:$H$46,$AH14)+SUMIFS(Dati!$L$2:$L$46,Dati!$H$2:$H$46,$H14,Dati!$A$2:$A$46,$AH14),"-")</f>
        <v>-</v>
      </c>
      <c r="BT14" s="21" t="str">
        <f>$C14</f>
        <v>Anaconde Audaci-Anacondeopoli AA</v>
      </c>
      <c r="BU14" s="22" t="str">
        <f>IF(AND($H14&lt;&gt;"",$Y14&lt;&gt;"",$H14&lt;&gt;$Y14,IFERROR(INDEX($J$14:$J$23,MATCH($H14,$H$14:$H$23,0)),-1)=IFERROR(INDEX($J$14:$J$23,MATCH($Y14,$H$14:$H$23,0)),-2)),SUMIFS(Dati!$F$2:$F$46,Dati!$A$2:$A$46,$H14,Dati!$H$2:$H$46,$Y14)+SUMIFS(Dati!$M$2:$M$46,Dati!$H$2:$H$46,$H14,Dati!$A$2:$A$46,$Y14),"-")</f>
        <v>-</v>
      </c>
      <c r="BV14" s="22" t="str">
        <f>IF(AND($H14&lt;&gt;"",$Z14&lt;&gt;"",$H14&lt;&gt;$Z14,IFERROR(INDEX($J$14:$J$23,MATCH($H14,$H$14:$H$23,0)),-1)=IFERROR(INDEX($J$14:$J$23,MATCH($Z14,$H$14:$H$23,0)),-2)),SUMIFS(Dati!$F$2:$F$46,Dati!$A$2:$A$46,$H14,Dati!$H$2:$H$46,$Z14)+SUMIFS(Dati!$M$2:$M$46,Dati!$H$2:$H$46,$H14,Dati!$A$2:$A$46,$Z14),"-")</f>
        <v>-</v>
      </c>
      <c r="BW14" s="22" t="str">
        <f>IF(AND($H14&lt;&gt;"",$AA14&lt;&gt;"",$H14&lt;&gt;$AA14,IFERROR(INDEX($J$14:$J$23,MATCH($H14,$H$14:$H$23,0)),-1)=IFERROR(INDEX($J$14:$J$23,MATCH($AA14,$H$14:$H$23,0)),-2)),SUMIFS(Dati!$F$2:$F$46,Dati!$A$2:$A$46,$H14,Dati!$H$2:$H$46,$AA14)+SUMIFS(Dati!$M$2:$M$46,Dati!$H$2:$H$46,$H14,Dati!$A$2:$A$46,$AA14),"-")</f>
        <v>-</v>
      </c>
      <c r="BX14" s="22" t="str">
        <f>IF(AND($H14&lt;&gt;"",$AB14&lt;&gt;"",$H14&lt;&gt;$AB14,IFERROR(INDEX($J$14:$J$23,MATCH($H14,$H$14:$H$23,0)),-1)=IFERROR(INDEX($J$14:$J$23,MATCH($AB14,$H$14:$H$23,0)),-2)),SUMIFS(Dati!$F$2:$F$46,Dati!$A$2:$A$46,$H14,Dati!$H$2:$H$46,$AB14)+SUMIFS(Dati!$M$2:$M$46,Dati!$H$2:$H$46,$H14,Dati!$A$2:$A$46,$AB14),"-")</f>
        <v>-</v>
      </c>
      <c r="BY14" s="22" t="str">
        <f>IF(AND($H14&lt;&gt;"",$AC14&lt;&gt;"",$H14&lt;&gt;$AC14,IFERROR(INDEX($J$14:$J$23,MATCH($H14,$H$14:$H$23,0)),-1)=IFERROR(INDEX($J$14:$J$23,MATCH($AC14,$H$14:$H$23,0)),-2)),SUMIFS(Dati!$F$2:$F$46,Dati!$A$2:$A$46,$H14,Dati!$H$2:$H$46,$AC14)+SUMIFS(Dati!$M$2:$M$46,Dati!$H$2:$H$46,$H14,Dati!$A$2:$A$46,$AC14),"-")</f>
        <v>-</v>
      </c>
      <c r="BZ14" s="22">
        <f>IF(AND($H14&lt;&gt;"",$AD14&lt;&gt;"",$H14&lt;&gt;$AD14,IFERROR(INDEX($J$14:$J$23,MATCH($H14,$H$14:$H$23,0)),-1)=IFERROR(INDEX($J$14:$J$23,MATCH($AD14,$H$14:$H$23,0)),-2)),SUMIFS(Dati!$F$2:$F$46,Dati!$A$2:$A$46,$H14,Dati!$H$2:$H$46,$AD14)+SUMIFS(Dati!$M$2:$M$46,Dati!$H$2:$H$46,$H14,Dati!$A$2:$A$46,$AD14),"-")</f>
        <v>40</v>
      </c>
      <c r="CA14" s="22" t="str">
        <f>IF(AND($H14&lt;&gt;"",$AE14&lt;&gt;"",$H14&lt;&gt;$AE14,IFERROR(INDEX($J$14:$J$23,MATCH($H14,$H$14:$H$23,0)),-1)=IFERROR(INDEX($J$14:$J$23,MATCH($AE14,$H$14:$H$23,0)),-2)),SUMIFS(Dati!$F$2:$F$46,Dati!$A$2:$A$46,$H14,Dati!$H$2:$H$46,$AE14)+SUMIFS(Dati!$M$2:$M$46,Dati!$H$2:$H$46,$H14,Dati!$A$2:$A$46,$AE14),"-")</f>
        <v>-</v>
      </c>
      <c r="CB14" s="22" t="str">
        <f>IF(AND($H14&lt;&gt;"",$AF14&lt;&gt;"",$H14&lt;&gt;$AF14,IFERROR(INDEX($J$14:$J$23,MATCH($H14,$H$14:$H$23,0)),-1)=IFERROR(INDEX($J$14:$J$23,MATCH($AF14,$H$14:$H$23,0)),-2)),SUMIFS(Dati!$F$2:$F$46,Dati!$A$2:$A$46,$H14,Dati!$H$2:$H$46,$AF14)+SUMIFS(Dati!$M$2:$M$46,Dati!$H$2:$H$46,$H14,Dati!$A$2:$A$46,$AF14),"-")</f>
        <v>-</v>
      </c>
      <c r="CC14" s="22">
        <f>IF(AND($H14&lt;&gt;"",$AG14&lt;&gt;"",$H14&lt;&gt;$AG14,IFERROR(INDEX($J$14:$J$23,MATCH($H14,$H$14:$H$23,0)),-1)=IFERROR(INDEX($J$14:$J$23,MATCH($AG14,$H$14:$H$23,0)),-2)),SUMIFS(Dati!$F$2:$F$46,Dati!$A$2:$A$46,$H14,Dati!$H$2:$H$46,$AG14)+SUMIFS(Dati!$M$2:$M$46,Dati!$H$2:$H$46,$H14,Dati!$A$2:$A$46,$AG14),"-")</f>
        <v>52</v>
      </c>
      <c r="CD14" s="22" t="str">
        <f>IF(AND($H14&lt;&gt;"",$AH14&lt;&gt;"",$H14&lt;&gt;$AH14,IFERROR(INDEX($J$14:$J$23,MATCH($H14,$H$14:$H$23,0)),-1)=IFERROR(INDEX($J$14:$J$23,MATCH($AH14,$H$14:$H$23,0)),-2)),SUMIFS(Dati!$F$2:$F$46,Dati!$A$2:$A$46,$H14,Dati!$H$2:$H$46,$AH14)+SUMIFS(Dati!$M$2:$M$46,Dati!$H$2:$H$46,$H14,Dati!$A$2:$A$46,$AH14),"-")</f>
        <v>-</v>
      </c>
      <c r="CF14" s="22">
        <f>IF($C14="","",SUM(AK14:AT14))</f>
        <v>1</v>
      </c>
    </row>
    <row r="15">
      <c r="B15" s="12" t="inlineStr">
        <is>
          <t>A02</t>
        </is>
      </c>
      <c r="C15" s="13" t="inlineStr">
        <is>
          <t>Bufali Belligeranti-Bufaliopoli BE</t>
        </is>
      </c>
      <c r="D15" s="14" t="n"/>
      <c r="E15" s="15" t="inlineStr">
        <is>
          <t>A</t>
        </is>
      </c>
      <c r="G15" s="16" t="str">
        <f>IF($C15="","",$E15&amp;(COUNTIFS(I$14:I$23,"&gt;"&amp;I15,E$14:E$23,"="&amp;E15,C$14:C$23,"&lt;&gt;")+COUNTIFS(I$14:I$23,"="&amp;I15,H$14:H$23,"&lt;="&amp;H15,E$14:E$23,"="&amp;E15,C$14:C$23,"&lt;&gt;")))</f>
        <v>A7</v>
      </c>
      <c r="H15" s="17" t="str">
        <f>IF($C15="","",IFERROR(LEFT($C15,FIND("-",$C15)-1),$C15))</f>
        <v>Bufali Belligeranti</v>
      </c>
      <c r="I15" s="12" t="str">
        <f>TEXT(1000000000+J15,"|0000000000|")&amp;TEXT(SUM(AK15:AT15),"0000000000|")&amp;IF(SUM(BU15:CD15)=0,"0000000000|",TEXT(ROUND(SUM(BI15:BR15)/SUM(BU15:CD15),4)*100000,"0000000000|"))&amp;IF(P15=0,"0000000000|",TEXT(ROUND(O15/P15,4)*100000,"0000000000|"))</f>
        <v>|1000000015|0000000001|0000100000|0000088120|</v>
      </c>
      <c r="J15" s="16">
        <f>L15*Campionato!$D$7+M15*Campionato!$D$8+N15*Campionato!$D$9+IF(D15="",0,D15)</f>
        <v>15</v>
      </c>
      <c r="K15" s="12">
        <f>SUM(L15:N15)</f>
        <v>9</v>
      </c>
      <c r="L15" s="12">
        <f>IF($H15="",0,SUMIF(Dati!$A$2:$A$46,$H15,Dati!$B$2:$B$46)+SUMIF(Dati!$H$2:$H$46,$H15,Dati!$I$2:$I$46))</f>
        <v>3</v>
      </c>
      <c r="M15" s="12">
        <f>IF($H15="",0,SUMIF(Dati!$A$2:$A$46,$H15,Dati!$D$2:$D$46)+SUMIF(Dati!$H$2:$H$46,$H15,Dati!$K$2:$K$46))</f>
        <v>6</v>
      </c>
      <c r="N15" s="12">
        <f>IF($H15="",0,SUMIF(Dati!$A$2:$A$46,$H15,Dati!$C$2:$C$46)+SUMIF(Dati!$H$2:$H$46,$H15,Dati!$J$2:$J$46))</f>
        <v>0</v>
      </c>
      <c r="O15" s="12">
        <f>IF($H15="",0,SUMIF(Dati!$A$2:$A$46,$H15,Dati!$E$2:$E$46)+SUMIF(Dati!$H$2:$H$46,$H15,Dati!$L$2:$L$46))</f>
        <v>408</v>
      </c>
      <c r="P15" s="12">
        <f>IF($H15="",0,SUMIF(Dati!$A$2:$A$46,$H15,Dati!$F$2:$F$46)+SUMIF(Dati!$H$2:$H$46,$H15,Dati!$M$2:$M$46))</f>
        <v>463</v>
      </c>
      <c r="Q15" s="12">
        <f>IF($H15="",0,SUMIF(Dati!$A$2:$A$46,$H15,Dati!$G$2:$G$46)+SUMIF(Dati!$H$2:$H$46,$H15,Dati!$N$2:$N$46))</f>
        <v>-55</v>
      </c>
      <c r="R15" s="12">
        <f>IF(K15=0,0,ROUND(O15/K15,2))</f>
        <v>45.33</v>
      </c>
      <c r="S15" s="12">
        <f>IF(K15=0,0,ROUND(P15/K15,2))</f>
        <v>51.44</v>
      </c>
      <c r="T15" s="12">
        <f>IF(K15=0,0,ROUND(Q15/K15,2))</f>
        <v>-6.11</v>
      </c>
      <c r="U15" s="12" t="str">
        <f>IF(COUNTIFS($E$14:$E$23,$E15,$J$14:$J$23,$J15,$C$14:$C$23,"&lt;&gt;")&lt;=1,"-",SUM(AK15:AT15)&amp;"-"&amp;SUM(AW15:BF15))</f>
        <v>1-1</v>
      </c>
      <c r="V15" s="18">
        <f>IF(COUNTIFS($E$14:$E$23,$E15,$J$14:$J$23,$J15,$C$14:$C$23,"&lt;&gt;",$CF$14:$CF$23,$CF15)&lt;=1,"-",IF(SUM(BU15:CD15)=0,0,ROUND(SUM(BI15:BR15)/SUM(BU15:CD15),3)))</f>
        <v>1</v>
      </c>
      <c r="W15" s="18">
        <f>IF(COUNTIFS($E$14:$E$23,$E15,$J$14:$J$23,$J15,$C$14:$C$23,"&lt;&gt;",$CF$14:$CF$23,$CF15,$V$14:$V$23,$V15)&lt;=1,"-",IF(P15=0,0,ROUND(O15/P15,3)))</f>
        <v>0.881</v>
      </c>
      <c r="X15" s="19" t="str">
        <f>IF($C15="","",$E15&amp;"#"&amp;COUNTIFS($E$14:$E15,$E15,$C$14:$C15,"&lt;&gt;"))</f>
        <v>A#2</v>
      </c>
      <c r="Y15" s="20" t="str">
        <f>IFERROR(INDEX($H$14:$H$23,MATCH($E15&amp;"#1",$X$14:$X$23,0)),"")</f>
        <v>Anaconde Audaci</v>
      </c>
      <c r="Z15" s="20" t="str">
        <f>IFERROR(INDEX($H$14:$H$23,MATCH($E15&amp;"#2",$X$14:$X$23,0)),"")</f>
        <v>Bufali Belligeranti</v>
      </c>
      <c r="AA15" s="20" t="str">
        <f>IFERROR(INDEX($H$14:$H$23,MATCH($E15&amp;"#3",$X$14:$X$23,0)),"")</f>
        <v>Cobra Celeri</v>
      </c>
      <c r="AB15" s="20" t="str">
        <f>IFERROR(INDEX($H$14:$H$23,MATCH($E15&amp;"#4",$X$14:$X$23,0)),"")</f>
        <v>Dingo Docili</v>
      </c>
      <c r="AC15" s="20" t="str">
        <f>IFERROR(INDEX($H$14:$H$23,MATCH($E15&amp;"#5",$X$14:$X$23,0)),"")</f>
        <v>Ermellini Eleganti</v>
      </c>
      <c r="AD15" s="20" t="str">
        <f>IFERROR(INDEX($H$14:$H$23,MATCH($E15&amp;"#6",$X$14:$X$23,0)),"")</f>
        <v>Falchi Feroci</v>
      </c>
      <c r="AE15" s="20" t="str">
        <f>IFERROR(INDEX($H$14:$H$23,MATCH($E15&amp;"#7",$X$14:$X$23,0)),"")</f>
        <v>Gazzelle Gentili</v>
      </c>
      <c r="AF15" s="20" t="str">
        <f>IFERROR(INDEX($H$14:$H$23,MATCH($E15&amp;"#8",$X$14:$X$23,0)),"")</f>
        <v>Ibis Instancabili</v>
      </c>
      <c r="AG15" s="20" t="str">
        <f>IFERROR(INDEX($H$14:$H$23,MATCH($E15&amp;"#9",$X$14:$X$23,0)),"")</f>
        <v>Lupi Leali</v>
      </c>
      <c r="AH15" s="20" t="str">
        <f>IFERROR(INDEX($H$14:$H$23,MATCH($E15&amp;"#10",$X$14:$X$23,0)),"")</f>
        <v>Marmotte Mobili</v>
      </c>
      <c r="AJ15" s="21" t="str">
        <f>$C15</f>
        <v>Bufali Belligeranti-Bufaliopoli BE</v>
      </c>
      <c r="AK15" s="22" t="str">
        <f>IF(AND($H15&lt;&gt;"",$Y15&lt;&gt;"",$H15&lt;&gt;$Y15,IFERROR(INDEX($J$14:$J$23,MATCH($H15,$H$14:$H$23,0)),-1)=IFERROR(INDEX($J$14:$J$23,MATCH($Y15,$H$14:$H$23,0)),-2)),SUMIFS(Dati!$B$2:$B$46,Dati!$A$2:$A$46,$H15,Dati!$H$2:$H$46,$Y15)+SUMIFS(Dati!$I$2:$I$46,Dati!$H$2:$H$46,$H15,Dati!$A$2:$A$46,$Y15),"-")</f>
        <v>-</v>
      </c>
      <c r="AL15" s="22" t="str">
        <f>IF(AND($H15&lt;&gt;"",$Z15&lt;&gt;"",$H15&lt;&gt;$Z15,IFERROR(INDEX($J$14:$J$23,MATCH($H15,$H$14:$H$23,0)),-1)=IFERROR(INDEX($J$14:$J$23,MATCH($Z15,$H$14:$H$23,0)),-2)),SUMIFS(Dati!$B$2:$B$46,Dati!$A$2:$A$46,$H15,Dati!$H$2:$H$46,$Z15)+SUMIFS(Dati!$I$2:$I$46,Dati!$H$2:$H$46,$H15,Dati!$A$2:$A$46,$Z15),"-")</f>
        <v>-</v>
      </c>
      <c r="AM15" s="22" t="str">
        <f>IF(AND($H15&lt;&gt;"",$AA15&lt;&gt;"",$H15&lt;&gt;$AA15,IFERROR(INDEX($J$14:$J$23,MATCH($H15,$H$14:$H$23,0)),-1)=IFERROR(INDEX($J$14:$J$23,MATCH($AA15,$H$14:$H$23,0)),-2)),SUMIFS(Dati!$B$2:$B$46,Dati!$A$2:$A$46,$H15,Dati!$H$2:$H$46,$AA15)+SUMIFS(Dati!$I$2:$I$46,Dati!$H$2:$H$46,$H15,Dati!$A$2:$A$46,$AA15),"-")</f>
        <v>-</v>
      </c>
      <c r="AN15" s="22" t="str">
        <f>IF(AND($H15&lt;&gt;"",$AB15&lt;&gt;"",$H15&lt;&gt;$AB15,IFERROR(INDEX($J$14:$J$23,MATCH($H15,$H$14:$H$23,0)),-1)=IFERROR(INDEX($J$14:$J$23,MATCH($AB15,$H$14:$H$23,0)),-2)),SUMIFS(Dati!$B$2:$B$46,Dati!$A$2:$A$46,$H15,Dati!$H$2:$H$46,$AB15)+SUMIFS(Dati!$I$2:$I$46,Dati!$H$2:$H$46,$H15,Dati!$A$2:$A$46,$AB15),"-")</f>
        <v>-</v>
      </c>
      <c r="AO15" s="22">
        <f>IF(AND($H15&lt;&gt;"",$AC15&lt;&gt;"",$H15&lt;&gt;$AC15,IFERROR(INDEX($J$14:$J$23,MATCH($H15,$H$14:$H$23,0)),-1)=IFERROR(INDEX($J$14:$J$23,MATCH($AC15,$H$14:$H$23,0)),-2)),SUMIFS(Dati!$B$2:$B$46,Dati!$A$2:$A$46,$H15,Dati!$H$2:$H$46,$AC15)+SUMIFS(Dati!$I$2:$I$46,Dati!$H$2:$H$46,$H15,Dati!$A$2:$A$46,$AC15),"-")</f>
        <v>1</v>
      </c>
      <c r="AP15" s="22" t="str">
        <f>IF(AND($H15&lt;&gt;"",$AD15&lt;&gt;"",$H15&lt;&gt;$AD15,IFERROR(INDEX($J$14:$J$23,MATCH($H15,$H$14:$H$23,0)),-1)=IFERROR(INDEX($J$14:$J$23,MATCH($AD15,$H$14:$H$23,0)),-2)),SUMIFS(Dati!$B$2:$B$46,Dati!$A$2:$A$46,$H15,Dati!$H$2:$H$46,$AD15)+SUMIFS(Dati!$I$2:$I$46,Dati!$H$2:$H$46,$H15,Dati!$A$2:$A$46,$AD15),"-")</f>
        <v>-</v>
      </c>
      <c r="AQ15" s="22" t="str">
        <f>IF(AND($H15&lt;&gt;"",$AE15&lt;&gt;"",$H15&lt;&gt;$AE15,IFERROR(INDEX($J$14:$J$23,MATCH($H15,$H$14:$H$23,0)),-1)=IFERROR(INDEX($J$14:$J$23,MATCH($AE15,$H$14:$H$23,0)),-2)),SUMIFS(Dati!$B$2:$B$46,Dati!$A$2:$A$46,$H15,Dati!$H$2:$H$46,$AE15)+SUMIFS(Dati!$I$2:$I$46,Dati!$H$2:$H$46,$H15,Dati!$A$2:$A$46,$AE15),"-")</f>
        <v>-</v>
      </c>
      <c r="AR15" s="22" t="str">
        <f>IF(AND($H15&lt;&gt;"",$AF15&lt;&gt;"",$H15&lt;&gt;$AF15,IFERROR(INDEX($J$14:$J$23,MATCH($H15,$H$14:$H$23,0)),-1)=IFERROR(INDEX($J$14:$J$23,MATCH($AF15,$H$14:$H$23,0)),-2)),SUMIFS(Dati!$B$2:$B$46,Dati!$A$2:$A$46,$H15,Dati!$H$2:$H$46,$AF15)+SUMIFS(Dati!$I$2:$I$46,Dati!$H$2:$H$46,$H15,Dati!$A$2:$A$46,$AF15),"-")</f>
        <v>-</v>
      </c>
      <c r="AS15" s="22" t="str">
        <f>IF(AND($H15&lt;&gt;"",$AG15&lt;&gt;"",$H15&lt;&gt;$AG15,IFERROR(INDEX($J$14:$J$23,MATCH($H15,$H$14:$H$23,0)),-1)=IFERROR(INDEX($J$14:$J$23,MATCH($AG15,$H$14:$H$23,0)),-2)),SUMIFS(Dati!$B$2:$B$46,Dati!$A$2:$A$46,$H15,Dati!$H$2:$H$46,$AG15)+SUMIFS(Dati!$I$2:$I$46,Dati!$H$2:$H$46,$H15,Dati!$A$2:$A$46,$AG15),"-")</f>
        <v>-</v>
      </c>
      <c r="AT15" s="22">
        <f>IF(AND($H15&lt;&gt;"",$AH15&lt;&gt;"",$H15&lt;&gt;$AH15,IFERROR(INDEX($J$14:$J$23,MATCH($H15,$H$14:$H$23,0)),-1)=IFERROR(INDEX($J$14:$J$23,MATCH($AH15,$H$14:$H$23,0)),-2)),SUMIFS(Dati!$B$2:$B$46,Dati!$A$2:$A$46,$H15,Dati!$H$2:$H$46,$AH15)+SUMIFS(Dati!$I$2:$I$46,Dati!$H$2:$H$46,$H15,Dati!$A$2:$A$46,$AH15),"-")</f>
        <v>0</v>
      </c>
      <c r="AV15" s="21" t="str">
        <f>$C15</f>
        <v>Bufali Belligeranti-Bufaliopoli BE</v>
      </c>
      <c r="AW15" s="22" t="str">
        <f>IF(AND($H15&lt;&gt;"",$Y15&lt;&gt;"",$H15&lt;&gt;$Y15,IFERROR(INDEX($J$14:$J$23,MATCH($H15,$H$14:$H$23,0)),-1)=IFERROR(INDEX($J$14:$J$23,MATCH($Y15,$H$14:$H$23,0)),-2)),SUMIFS(Dati!$D$2:$D$46,Dati!$A$2:$A$46,$H15,Dati!$H$2:$H$46,$Y15)+SUMIFS(Dati!$K$2:$K$46,Dati!$H$2:$H$46,$H15,Dati!$A$2:$A$46,$Y15)+SUMIFS(Dati!$C$2:$C$46,Dati!$A$2:$A$46,$H15,Dati!$H$2:$H$46,$Y15)+SUMIFS(Dati!$J$2:$J$46,Dati!$H$2:$H$46,$H15,Dati!$A$2:$A$46,$Y15),"-")</f>
        <v>-</v>
      </c>
      <c r="AX15" s="22" t="str">
        <f>IF(AND($H15&lt;&gt;"",$Z15&lt;&gt;"",$H15&lt;&gt;$Z15,IFERROR(INDEX($J$14:$J$23,MATCH($H15,$H$14:$H$23,0)),-1)=IFERROR(INDEX($J$14:$J$23,MATCH($Z15,$H$14:$H$23,0)),-2)),SUMIFS(Dati!$D$2:$D$46,Dati!$A$2:$A$46,$H15,Dati!$H$2:$H$46,$Z15)+SUMIFS(Dati!$K$2:$K$46,Dati!$H$2:$H$46,$H15,Dati!$A$2:$A$46,$Z15)+SUMIFS(Dati!$C$2:$C$46,Dati!$A$2:$A$46,$H15,Dati!$H$2:$H$46,$Z15)+SUMIFS(Dati!$J$2:$J$46,Dati!$H$2:$H$46,$H15,Dati!$A$2:$A$46,$Z15),"-")</f>
        <v>-</v>
      </c>
      <c r="AY15" s="22" t="str">
        <f>IF(AND($H15&lt;&gt;"",$AA15&lt;&gt;"",$H15&lt;&gt;$AA15,IFERROR(INDEX($J$14:$J$23,MATCH($H15,$H$14:$H$23,0)),-1)=IFERROR(INDEX($J$14:$J$23,MATCH($AA15,$H$14:$H$23,0)),-2)),SUMIFS(Dati!$D$2:$D$46,Dati!$A$2:$A$46,$H15,Dati!$H$2:$H$46,$AA15)+SUMIFS(Dati!$K$2:$K$46,Dati!$H$2:$H$46,$H15,Dati!$A$2:$A$46,$AA15)+SUMIFS(Dati!$C$2:$C$46,Dati!$A$2:$A$46,$H15,Dati!$H$2:$H$46,$AA15)+SUMIFS(Dati!$J$2:$J$46,Dati!$H$2:$H$46,$H15,Dati!$A$2:$A$46,$AA15),"-")</f>
        <v>-</v>
      </c>
      <c r="AZ15" s="22" t="str">
        <f>IF(AND($H15&lt;&gt;"",$AB15&lt;&gt;"",$H15&lt;&gt;$AB15,IFERROR(INDEX($J$14:$J$23,MATCH($H15,$H$14:$H$23,0)),-1)=IFERROR(INDEX($J$14:$J$23,MATCH($AB15,$H$14:$H$23,0)),-2)),SUMIFS(Dati!$D$2:$D$46,Dati!$A$2:$A$46,$H15,Dati!$H$2:$H$46,$AB15)+SUMIFS(Dati!$K$2:$K$46,Dati!$H$2:$H$46,$H15,Dati!$A$2:$A$46,$AB15)+SUMIFS(Dati!$C$2:$C$46,Dati!$A$2:$A$46,$H15,Dati!$H$2:$H$46,$AB15)+SUMIFS(Dati!$J$2:$J$46,Dati!$H$2:$H$46,$H15,Dati!$A$2:$A$46,$AB15),"-")</f>
        <v>-</v>
      </c>
      <c r="BA15" s="22">
        <f>IF(AND($H15&lt;&gt;"",$AC15&lt;&gt;"",$H15&lt;&gt;$AC15,IFERROR(INDEX($J$14:$J$23,MATCH($H15,$H$14:$H$23,0)),-1)=IFERROR(INDEX($J$14:$J$23,MATCH($AC15,$H$14:$H$23,0)),-2)),SUMIFS(Dati!$D$2:$D$46,Dati!$A$2:$A$46,$H15,Dati!$H$2:$H$46,$AC15)+SUMIFS(Dati!$K$2:$K$46,Dati!$H$2:$H$46,$H15,Dati!$A$2:$A$46,$AC15)+SUMIFS(Dati!$C$2:$C$46,Dati!$A$2:$A$46,$H15,Dati!$H$2:$H$46,$AC15)+SUMIFS(Dati!$J$2:$J$46,Dati!$H$2:$H$46,$H15,Dati!$A$2:$A$46,$AC15),"-")</f>
        <v>0</v>
      </c>
      <c r="BB15" s="22" t="str">
        <f>IF(AND($H15&lt;&gt;"",$AD15&lt;&gt;"",$H15&lt;&gt;$AD15,IFERROR(INDEX($J$14:$J$23,MATCH($H15,$H$14:$H$23,0)),-1)=IFERROR(INDEX($J$14:$J$23,MATCH($AD15,$H$14:$H$23,0)),-2)),SUMIFS(Dati!$D$2:$D$46,Dati!$A$2:$A$46,$H15,Dati!$H$2:$H$46,$AD15)+SUMIFS(Dati!$K$2:$K$46,Dati!$H$2:$H$46,$H15,Dati!$A$2:$A$46,$AD15)+SUMIFS(Dati!$C$2:$C$46,Dati!$A$2:$A$46,$H15,Dati!$H$2:$H$46,$AD15)+SUMIFS(Dati!$J$2:$J$46,Dati!$H$2:$H$46,$H15,Dati!$A$2:$A$46,$AD15),"-")</f>
        <v>-</v>
      </c>
      <c r="BC15" s="22" t="str">
        <f>IF(AND($H15&lt;&gt;"",$AE15&lt;&gt;"",$H15&lt;&gt;$AE15,IFERROR(INDEX($J$14:$J$23,MATCH($H15,$H$14:$H$23,0)),-1)=IFERROR(INDEX($J$14:$J$23,MATCH($AE15,$H$14:$H$23,0)),-2)),SUMIFS(Dati!$D$2:$D$46,Dati!$A$2:$A$46,$H15,Dati!$H$2:$H$46,$AE15)+SUMIFS(Dati!$K$2:$K$46,Dati!$H$2:$H$46,$H15,Dati!$A$2:$A$46,$AE15)+SUMIFS(Dati!$C$2:$C$46,Dati!$A$2:$A$46,$H15,Dati!$H$2:$H$46,$AE15)+SUMIFS(Dati!$J$2:$J$46,Dati!$H$2:$H$46,$H15,Dati!$A$2:$A$46,$AE15),"-")</f>
        <v>-</v>
      </c>
      <c r="BD15" s="22" t="str">
        <f>IF(AND($H15&lt;&gt;"",$AF15&lt;&gt;"",$H15&lt;&gt;$AF15,IFERROR(INDEX($J$14:$J$23,MATCH($H15,$H$14:$H$23,0)),-1)=IFERROR(INDEX($J$14:$J$23,MATCH($AF15,$H$14:$H$23,0)),-2)),SUMIFS(Dati!$D$2:$D$46,Dati!$A$2:$A$46,$H15,Dati!$H$2:$H$46,$AF15)+SUMIFS(Dati!$K$2:$K$46,Dati!$H$2:$H$46,$H15,Dati!$A$2:$A$46,$AF15)+SUMIFS(Dati!$C$2:$C$46,Dati!$A$2:$A$46,$H15,Dati!$H$2:$H$46,$AF15)+SUMIFS(Dati!$J$2:$J$46,Dati!$H$2:$H$46,$H15,Dati!$A$2:$A$46,$AF15),"-")</f>
        <v>-</v>
      </c>
      <c r="BE15" s="22" t="str">
        <f>IF(AND($H15&lt;&gt;"",$AG15&lt;&gt;"",$H15&lt;&gt;$AG15,IFERROR(INDEX($J$14:$J$23,MATCH($H15,$H$14:$H$23,0)),-1)=IFERROR(INDEX($J$14:$J$23,MATCH($AG15,$H$14:$H$23,0)),-2)),SUMIFS(Dati!$D$2:$D$46,Dati!$A$2:$A$46,$H15,Dati!$H$2:$H$46,$AG15)+SUMIFS(Dati!$K$2:$K$46,Dati!$H$2:$H$46,$H15,Dati!$A$2:$A$46,$AG15)+SUMIFS(Dati!$C$2:$C$46,Dati!$A$2:$A$46,$H15,Dati!$H$2:$H$46,$AG15)+SUMIFS(Dati!$J$2:$J$46,Dati!$H$2:$H$46,$H15,Dati!$A$2:$A$46,$AG15),"-")</f>
        <v>-</v>
      </c>
      <c r="BF15" s="22">
        <f>IF(AND($H15&lt;&gt;"",$AH15&lt;&gt;"",$H15&lt;&gt;$AH15,IFERROR(INDEX($J$14:$J$23,MATCH($H15,$H$14:$H$23,0)),-1)=IFERROR(INDEX($J$14:$J$23,MATCH($AH15,$H$14:$H$23,0)),-2)),SUMIFS(Dati!$D$2:$D$46,Dati!$A$2:$A$46,$H15,Dati!$H$2:$H$46,$AH15)+SUMIFS(Dati!$K$2:$K$46,Dati!$H$2:$H$46,$H15,Dati!$A$2:$A$46,$AH15)+SUMIFS(Dati!$C$2:$C$46,Dati!$A$2:$A$46,$H15,Dati!$H$2:$H$46,$AH15)+SUMIFS(Dati!$J$2:$J$46,Dati!$H$2:$H$46,$H15,Dati!$A$2:$A$46,$AH15),"-")</f>
        <v>1</v>
      </c>
      <c r="BH15" s="21" t="str">
        <f>$C15</f>
        <v>Bufali Belligeranti-Bufaliopoli BE</v>
      </c>
      <c r="BI15" s="22" t="str">
        <f>IF(AND($H15&lt;&gt;"",$Y15&lt;&gt;"",$H15&lt;&gt;$Y15,IFERROR(INDEX($J$14:$J$23,MATCH($H15,$H$14:$H$23,0)),-1)=IFERROR(INDEX($J$14:$J$23,MATCH($Y15,$H$14:$H$23,0)),-2)),SUMIFS(Dati!$E$2:$E$46,Dati!$A$2:$A$46,$H15,Dati!$H$2:$H$46,$Y15)+SUMIFS(Dati!$L$2:$L$46,Dati!$H$2:$H$46,$H15,Dati!$A$2:$A$46,$Y15),"-")</f>
        <v>-</v>
      </c>
      <c r="BJ15" s="22" t="str">
        <f>IF(AND($H15&lt;&gt;"",$Z15&lt;&gt;"",$H15&lt;&gt;$Z15,IFERROR(INDEX($J$14:$J$23,MATCH($H15,$H$14:$H$23,0)),-1)=IFERROR(INDEX($J$14:$J$23,MATCH($Z15,$H$14:$H$23,0)),-2)),SUMIFS(Dati!$E$2:$E$46,Dati!$A$2:$A$46,$H15,Dati!$H$2:$H$46,$Z15)+SUMIFS(Dati!$L$2:$L$46,Dati!$H$2:$H$46,$H15,Dati!$A$2:$A$46,$Z15),"-")</f>
        <v>-</v>
      </c>
      <c r="BK15" s="22" t="str">
        <f>IF(AND($H15&lt;&gt;"",$AA15&lt;&gt;"",$H15&lt;&gt;$AA15,IFERROR(INDEX($J$14:$J$23,MATCH($H15,$H$14:$H$23,0)),-1)=IFERROR(INDEX($J$14:$J$23,MATCH($AA15,$H$14:$H$23,0)),-2)),SUMIFS(Dati!$E$2:$E$46,Dati!$A$2:$A$46,$H15,Dati!$H$2:$H$46,$AA15)+SUMIFS(Dati!$L$2:$L$46,Dati!$H$2:$H$46,$H15,Dati!$A$2:$A$46,$AA15),"-")</f>
        <v>-</v>
      </c>
      <c r="BL15" s="22" t="str">
        <f>IF(AND($H15&lt;&gt;"",$AB15&lt;&gt;"",$H15&lt;&gt;$AB15,IFERROR(INDEX($J$14:$J$23,MATCH($H15,$H$14:$H$23,0)),-1)=IFERROR(INDEX($J$14:$J$23,MATCH($AB15,$H$14:$H$23,0)),-2)),SUMIFS(Dati!$E$2:$E$46,Dati!$A$2:$A$46,$H15,Dati!$H$2:$H$46,$AB15)+SUMIFS(Dati!$L$2:$L$46,Dati!$H$2:$H$46,$H15,Dati!$A$2:$A$46,$AB15),"-")</f>
        <v>-</v>
      </c>
      <c r="BM15" s="22">
        <f>IF(AND($H15&lt;&gt;"",$AC15&lt;&gt;"",$H15&lt;&gt;$AC15,IFERROR(INDEX($J$14:$J$23,MATCH($H15,$H$14:$H$23,0)),-1)=IFERROR(INDEX($J$14:$J$23,MATCH($AC15,$H$14:$H$23,0)),-2)),SUMIFS(Dati!$E$2:$E$46,Dati!$A$2:$A$46,$H15,Dati!$H$2:$H$46,$AC15)+SUMIFS(Dati!$L$2:$L$46,Dati!$H$2:$H$46,$H15,Dati!$A$2:$A$46,$AC15),"-")</f>
        <v>50</v>
      </c>
      <c r="BN15" s="22" t="str">
        <f>IF(AND($H15&lt;&gt;"",$AD15&lt;&gt;"",$H15&lt;&gt;$AD15,IFERROR(INDEX($J$14:$J$23,MATCH($H15,$H$14:$H$23,0)),-1)=IFERROR(INDEX($J$14:$J$23,MATCH($AD15,$H$14:$H$23,0)),-2)),SUMIFS(Dati!$E$2:$E$46,Dati!$A$2:$A$46,$H15,Dati!$H$2:$H$46,$AD15)+SUMIFS(Dati!$L$2:$L$46,Dati!$H$2:$H$46,$H15,Dati!$A$2:$A$46,$AD15),"-")</f>
        <v>-</v>
      </c>
      <c r="BO15" s="22" t="str">
        <f>IF(AND($H15&lt;&gt;"",$AE15&lt;&gt;"",$H15&lt;&gt;$AE15,IFERROR(INDEX($J$14:$J$23,MATCH($H15,$H$14:$H$23,0)),-1)=IFERROR(INDEX($J$14:$J$23,MATCH($AE15,$H$14:$H$23,0)),-2)),SUMIFS(Dati!$E$2:$E$46,Dati!$A$2:$A$46,$H15,Dati!$H$2:$H$46,$AE15)+SUMIFS(Dati!$L$2:$L$46,Dati!$H$2:$H$46,$H15,Dati!$A$2:$A$46,$AE15),"-")</f>
        <v>-</v>
      </c>
      <c r="BP15" s="22" t="str">
        <f>IF(AND($H15&lt;&gt;"",$AF15&lt;&gt;"",$H15&lt;&gt;$AF15,IFERROR(INDEX($J$14:$J$23,MATCH($H15,$H$14:$H$23,0)),-1)=IFERROR(INDEX($J$14:$J$23,MATCH($AF15,$H$14:$H$23,0)),-2)),SUMIFS(Dati!$E$2:$E$46,Dati!$A$2:$A$46,$H15,Dati!$H$2:$H$46,$AF15)+SUMIFS(Dati!$L$2:$L$46,Dati!$H$2:$H$46,$H15,Dati!$A$2:$A$46,$AF15),"-")</f>
        <v>-</v>
      </c>
      <c r="BQ15" s="22" t="str">
        <f>IF(AND($H15&lt;&gt;"",$AG15&lt;&gt;"",$H15&lt;&gt;$AG15,IFERROR(INDEX($J$14:$J$23,MATCH($H15,$H$14:$H$23,0)),-1)=IFERROR(INDEX($J$14:$J$23,MATCH($AG15,$H$14:$H$23,0)),-2)),SUMIFS(Dati!$E$2:$E$46,Dati!$A$2:$A$46,$H15,Dati!$H$2:$H$46,$AG15)+SUMIFS(Dati!$L$2:$L$46,Dati!$H$2:$H$46,$H15,Dati!$A$2:$A$46,$AG15),"-")</f>
        <v>-</v>
      </c>
      <c r="BR15" s="22">
        <f>IF(AND($H15&lt;&gt;"",$AH15&lt;&gt;"",$H15&lt;&gt;$AH15,IFERROR(INDEX($J$14:$J$23,MATCH($H15,$H$14:$H$23,0)),-1)=IFERROR(INDEX($J$14:$J$23,MATCH($AH15,$H$14:$H$23,0)),-2)),SUMIFS(Dati!$E$2:$E$46,Dati!$A$2:$A$46,$H15,Dati!$H$2:$H$46,$AH15)+SUMIFS(Dati!$L$2:$L$46,Dati!$H$2:$H$46,$H15,Dati!$A$2:$A$46,$AH15),"-")</f>
        <v>40</v>
      </c>
      <c r="BT15" s="21" t="str">
        <f>$C15</f>
        <v>Bufali Belligeranti-Bufaliopoli BE</v>
      </c>
      <c r="BU15" s="22" t="str">
        <f>IF(AND($H15&lt;&gt;"",$Y15&lt;&gt;"",$H15&lt;&gt;$Y15,IFERROR(INDEX($J$14:$J$23,MATCH($H15,$H$14:$H$23,0)),-1)=IFERROR(INDEX($J$14:$J$23,MATCH($Y15,$H$14:$H$23,0)),-2)),SUMIFS(Dati!$F$2:$F$46,Dati!$A$2:$A$46,$H15,Dati!$H$2:$H$46,$Y15)+SUMIFS(Dati!$M$2:$M$46,Dati!$H$2:$H$46,$H15,Dati!$A$2:$A$46,$Y15),"-")</f>
        <v>-</v>
      </c>
      <c r="BV15" s="22" t="str">
        <f>IF(AND($H15&lt;&gt;"",$Z15&lt;&gt;"",$H15&lt;&gt;$Z15,IFERROR(INDEX($J$14:$J$23,MATCH($H15,$H$14:$H$23,0)),-1)=IFERROR(INDEX($J$14:$J$23,MATCH($Z15,$H$14:$H$23,0)),-2)),SUMIFS(Dati!$F$2:$F$46,Dati!$A$2:$A$46,$H15,Dati!$H$2:$H$46,$Z15)+SUMIFS(Dati!$M$2:$M$46,Dati!$H$2:$H$46,$H15,Dati!$A$2:$A$46,$Z15),"-")</f>
        <v>-</v>
      </c>
      <c r="BW15" s="22" t="str">
        <f>IF(AND($H15&lt;&gt;"",$AA15&lt;&gt;"",$H15&lt;&gt;$AA15,IFERROR(INDEX($J$14:$J$23,MATCH($H15,$H$14:$H$23,0)),-1)=IFERROR(INDEX($J$14:$J$23,MATCH($AA15,$H$14:$H$23,0)),-2)),SUMIFS(Dati!$F$2:$F$46,Dati!$A$2:$A$46,$H15,Dati!$H$2:$H$46,$AA15)+SUMIFS(Dati!$M$2:$M$46,Dati!$H$2:$H$46,$H15,Dati!$A$2:$A$46,$AA15),"-")</f>
        <v>-</v>
      </c>
      <c r="BX15" s="22" t="str">
        <f>IF(AND($H15&lt;&gt;"",$AB15&lt;&gt;"",$H15&lt;&gt;$AB15,IFERROR(INDEX($J$14:$J$23,MATCH($H15,$H$14:$H$23,0)),-1)=IFERROR(INDEX($J$14:$J$23,MATCH($AB15,$H$14:$H$23,0)),-2)),SUMIFS(Dati!$F$2:$F$46,Dati!$A$2:$A$46,$H15,Dati!$H$2:$H$46,$AB15)+SUMIFS(Dati!$M$2:$M$46,Dati!$H$2:$H$46,$H15,Dati!$A$2:$A$46,$AB15),"-")</f>
        <v>-</v>
      </c>
      <c r="BY15" s="22">
        <f>IF(AND($H15&lt;&gt;"",$AC15&lt;&gt;"",$H15&lt;&gt;$AC15,IFERROR(INDEX($J$14:$J$23,MATCH($H15,$H$14:$H$23,0)),-1)=IFERROR(INDEX($J$14:$J$23,MATCH($AC15,$H$14:$H$23,0)),-2)),SUMIFS(Dati!$F$2:$F$46,Dati!$A$2:$A$46,$H15,Dati!$H$2:$H$46,$AC15)+SUMIFS(Dati!$M$2:$M$46,Dati!$H$2:$H$46,$H15,Dati!$A$2:$A$46,$AC15),"-")</f>
        <v>40</v>
      </c>
      <c r="BZ15" s="22" t="str">
        <f>IF(AND($H15&lt;&gt;"",$AD15&lt;&gt;"",$H15&lt;&gt;$AD15,IFERROR(INDEX($J$14:$J$23,MATCH($H15,$H$14:$H$23,0)),-1)=IFERROR(INDEX($J$14:$J$23,MATCH($AD15,$H$14:$H$23,0)),-2)),SUMIFS(Dati!$F$2:$F$46,Dati!$A$2:$A$46,$H15,Dati!$H$2:$H$46,$AD15)+SUMIFS(Dati!$M$2:$M$46,Dati!$H$2:$H$46,$H15,Dati!$A$2:$A$46,$AD15),"-")</f>
        <v>-</v>
      </c>
      <c r="CA15" s="22" t="str">
        <f>IF(AND($H15&lt;&gt;"",$AE15&lt;&gt;"",$H15&lt;&gt;$AE15,IFERROR(INDEX($J$14:$J$23,MATCH($H15,$H$14:$H$23,0)),-1)=IFERROR(INDEX($J$14:$J$23,MATCH($AE15,$H$14:$H$23,0)),-2)),SUMIFS(Dati!$F$2:$F$46,Dati!$A$2:$A$46,$H15,Dati!$H$2:$H$46,$AE15)+SUMIFS(Dati!$M$2:$M$46,Dati!$H$2:$H$46,$H15,Dati!$A$2:$A$46,$AE15),"-")</f>
        <v>-</v>
      </c>
      <c r="CB15" s="22" t="str">
        <f>IF(AND($H15&lt;&gt;"",$AF15&lt;&gt;"",$H15&lt;&gt;$AF15,IFERROR(INDEX($J$14:$J$23,MATCH($H15,$H$14:$H$23,0)),-1)=IFERROR(INDEX($J$14:$J$23,MATCH($AF15,$H$14:$H$23,0)),-2)),SUMIFS(Dati!$F$2:$F$46,Dati!$A$2:$A$46,$H15,Dati!$H$2:$H$46,$AF15)+SUMIFS(Dati!$M$2:$M$46,Dati!$H$2:$H$46,$H15,Dati!$A$2:$A$46,$AF15),"-")</f>
        <v>-</v>
      </c>
      <c r="CC15" s="22" t="str">
        <f>IF(AND($H15&lt;&gt;"",$AG15&lt;&gt;"",$H15&lt;&gt;$AG15,IFERROR(INDEX($J$14:$J$23,MATCH($H15,$H$14:$H$23,0)),-1)=IFERROR(INDEX($J$14:$J$23,MATCH($AG15,$H$14:$H$23,0)),-2)),SUMIFS(Dati!$F$2:$F$46,Dati!$A$2:$A$46,$H15,Dati!$H$2:$H$46,$AG15)+SUMIFS(Dati!$M$2:$M$46,Dati!$H$2:$H$46,$H15,Dati!$A$2:$A$46,$AG15),"-")</f>
        <v>-</v>
      </c>
      <c r="CD15" s="22">
        <f>IF(AND($H15&lt;&gt;"",$AH15&lt;&gt;"",$H15&lt;&gt;$AH15,IFERROR(INDEX($J$14:$J$23,MATCH($H15,$H$14:$H$23,0)),-1)=IFERROR(INDEX($J$14:$J$23,MATCH($AH15,$H$14:$H$23,0)),-2)),SUMIFS(Dati!$F$2:$F$46,Dati!$A$2:$A$46,$H15,Dati!$H$2:$H$46,$AH15)+SUMIFS(Dati!$M$2:$M$46,Dati!$H$2:$H$46,$H15,Dati!$A$2:$A$46,$AH15),"-")</f>
        <v>50</v>
      </c>
      <c r="CF15" s="22">
        <f>IF($C15="","",SUM(AK15:AT15))</f>
        <v>1</v>
      </c>
    </row>
    <row r="16">
      <c r="B16" s="12" t="inlineStr">
        <is>
          <t>A03</t>
        </is>
      </c>
      <c r="C16" s="13" t="inlineStr">
        <is>
          <t>Cobra Celeri-Cobraopoli CI</t>
        </is>
      </c>
      <c r="D16" s="14" t="n"/>
      <c r="E16" s="15" t="inlineStr">
        <is>
          <t>A</t>
        </is>
      </c>
      <c r="G16" s="16" t="str">
        <f>IF($C16="","",$E16&amp;(COUNTIFS(I$14:I$23,"&gt;"&amp;I16,E$14:E$23,"="&amp;E16,C$14:C$23,"&lt;&gt;")+COUNTIFS(I$14:I$23,"="&amp;I16,H$14:H$23,"&lt;="&amp;H16,E$14:E$23,"="&amp;E16,C$14:C$23,"&lt;&gt;")))</f>
        <v>A5</v>
      </c>
      <c r="H16" s="17" t="str">
        <f>IF($C16="","",IFERROR(LEFT($C16,FIND("-",$C16)-1),$C16))</f>
        <v>Cobra Celeri</v>
      </c>
      <c r="I16" s="12" t="str">
        <f>TEXT(1000000000+J16,"|0000000000|")&amp;TEXT(SUM(AK16:AT16),"0000000000|")&amp;IF(SUM(BU16:CD16)=0,"0000000000|",TEXT(ROUND(SUM(BI16:BR16)/SUM(BU16:CD16),4)*100000,"0000000000|"))&amp;IF(P16=0,"0000000000|",TEXT(ROUND(O16/P16,4)*100000,"0000000000|"))</f>
        <v>|1000000019|0000000001|0000113730|0000107070|</v>
      </c>
      <c r="J16" s="16">
        <f>L16*Campionato!$D$7+M16*Campionato!$D$8+N16*Campionato!$D$9+IF(D16="",0,D16)</f>
        <v>19</v>
      </c>
      <c r="K16" s="12">
        <f>SUM(L16:N16)</f>
        <v>9</v>
      </c>
      <c r="L16" s="12">
        <f>IF($H16="",0,SUMIF(Dati!$A$2:$A$46,$H16,Dati!$B$2:$B$46)+SUMIF(Dati!$H$2:$H$46,$H16,Dati!$I$2:$I$46))</f>
        <v>5</v>
      </c>
      <c r="M16" s="12">
        <f>IF($H16="",0,SUMIF(Dati!$A$2:$A$46,$H16,Dati!$D$2:$D$46)+SUMIF(Dati!$H$2:$H$46,$H16,Dati!$K$2:$K$46))</f>
        <v>4</v>
      </c>
      <c r="N16" s="12">
        <f>IF($H16="",0,SUMIF(Dati!$A$2:$A$46,$H16,Dati!$C$2:$C$46)+SUMIF(Dati!$H$2:$H$46,$H16,Dati!$J$2:$J$46))</f>
        <v>0</v>
      </c>
      <c r="O16" s="12">
        <f>IF($H16="",0,SUMIF(Dati!$A$2:$A$46,$H16,Dati!$E$2:$E$46)+SUMIF(Dati!$H$2:$H$46,$H16,Dati!$L$2:$L$46))</f>
        <v>545</v>
      </c>
      <c r="P16" s="12">
        <f>IF($H16="",0,SUMIF(Dati!$A$2:$A$46,$H16,Dati!$F$2:$F$46)+SUMIF(Dati!$H$2:$H$46,$H16,Dati!$M$2:$M$46))</f>
        <v>509</v>
      </c>
      <c r="Q16" s="12">
        <f>IF($H16="",0,SUMIF(Dati!$A$2:$A$46,$H16,Dati!$G$2:$G$46)+SUMIF(Dati!$H$2:$H$46,$H16,Dati!$N$2:$N$46))</f>
        <v>36</v>
      </c>
      <c r="R16" s="12">
        <f>IF(K16=0,0,ROUND(O16/K16,2))</f>
        <v>60.56</v>
      </c>
      <c r="S16" s="12">
        <f>IF(K16=0,0,ROUND(P16/K16,2))</f>
        <v>56.56</v>
      </c>
      <c r="T16" s="12">
        <f>IF(K16=0,0,ROUND(Q16/K16,2))</f>
        <v>4</v>
      </c>
      <c r="U16" s="12" t="str">
        <f>IF(COUNTIFS($E$14:$E$23,$E16,$J$14:$J$23,$J16,$C$14:$C$23,"&lt;&gt;")&lt;=1,"-",SUM(AK16:AT16)&amp;"-"&amp;SUM(AW16:BF16))</f>
        <v>1-0</v>
      </c>
      <c r="V16" s="18" t="str">
        <f>IF(COUNTIFS($E$14:$E$23,$E16,$J$14:$J$23,$J16,$C$14:$C$23,"&lt;&gt;",$CF$14:$CF$23,$CF16)&lt;=1,"-",IF(SUM(BU16:CD16)=0,0,ROUND(SUM(BI16:BR16)/SUM(BU16:CD16),3)))</f>
        <v>-</v>
      </c>
      <c r="W16" s="18" t="str">
        <f>IF(COUNTIFS($E$14:$E$23,$E16,$J$14:$J$23,$J16,$C$14:$C$23,"&lt;&gt;",$CF$14:$CF$23,$CF16,$V$14:$V$23,$V16)&lt;=1,"-",IF(P16=0,0,ROUND(O16/P16,3)))</f>
        <v>-</v>
      </c>
      <c r="X16" s="19" t="str">
        <f>IF($C16="","",$E16&amp;"#"&amp;COUNTIFS($E$14:$E16,$E16,$C$14:$C16,"&lt;&gt;"))</f>
        <v>A#3</v>
      </c>
      <c r="Y16" s="20" t="str">
        <f>IFERROR(INDEX($H$14:$H$23,MATCH($E16&amp;"#1",$X$14:$X$23,0)),"")</f>
        <v>Anaconde Audaci</v>
      </c>
      <c r="Z16" s="20" t="str">
        <f>IFERROR(INDEX($H$14:$H$23,MATCH($E16&amp;"#2",$X$14:$X$23,0)),"")</f>
        <v>Bufali Belligeranti</v>
      </c>
      <c r="AA16" s="20" t="str">
        <f>IFERROR(INDEX($H$14:$H$23,MATCH($E16&amp;"#3",$X$14:$X$23,0)),"")</f>
        <v>Cobra Celeri</v>
      </c>
      <c r="AB16" s="20" t="str">
        <f>IFERROR(INDEX($H$14:$H$23,MATCH($E16&amp;"#4",$X$14:$X$23,0)),"")</f>
        <v>Dingo Docili</v>
      </c>
      <c r="AC16" s="20" t="str">
        <f>IFERROR(INDEX($H$14:$H$23,MATCH($E16&amp;"#5",$X$14:$X$23,0)),"")</f>
        <v>Ermellini Eleganti</v>
      </c>
      <c r="AD16" s="20" t="str">
        <f>IFERROR(INDEX($H$14:$H$23,MATCH($E16&amp;"#6",$X$14:$X$23,0)),"")</f>
        <v>Falchi Feroci</v>
      </c>
      <c r="AE16" s="20" t="str">
        <f>IFERROR(INDEX($H$14:$H$23,MATCH($E16&amp;"#7",$X$14:$X$23,0)),"")</f>
        <v>Gazzelle Gentili</v>
      </c>
      <c r="AF16" s="20" t="str">
        <f>IFERROR(INDEX($H$14:$H$23,MATCH($E16&amp;"#8",$X$14:$X$23,0)),"")</f>
        <v>Ibis Instancabili</v>
      </c>
      <c r="AG16" s="20" t="str">
        <f>IFERROR(INDEX($H$14:$H$23,MATCH($E16&amp;"#9",$X$14:$X$23,0)),"")</f>
        <v>Lupi Leali</v>
      </c>
      <c r="AH16" s="20" t="str">
        <f>IFERROR(INDEX($H$14:$H$23,MATCH($E16&amp;"#10",$X$14:$X$23,0)),"")</f>
        <v>Marmotte Mobili</v>
      </c>
      <c r="AJ16" s="21" t="str">
        <f>$C16</f>
        <v>Cobra Celeri-Cobraopoli CI</v>
      </c>
      <c r="AK16" s="22" t="str">
        <f>IF(AND($H16&lt;&gt;"",$Y16&lt;&gt;"",$H16&lt;&gt;$Y16,IFERROR(INDEX($J$14:$J$23,MATCH($H16,$H$14:$H$23,0)),-1)=IFERROR(INDEX($J$14:$J$23,MATCH($Y16,$H$14:$H$23,0)),-2)),SUMIFS(Dati!$B$2:$B$46,Dati!$A$2:$A$46,$H16,Dati!$H$2:$H$46,$Y16)+SUMIFS(Dati!$I$2:$I$46,Dati!$H$2:$H$46,$H16,Dati!$A$2:$A$46,$Y16),"-")</f>
        <v>-</v>
      </c>
      <c r="AL16" s="22" t="str">
        <f>IF(AND($H16&lt;&gt;"",$Z16&lt;&gt;"",$H16&lt;&gt;$Z16,IFERROR(INDEX($J$14:$J$23,MATCH($H16,$H$14:$H$23,0)),-1)=IFERROR(INDEX($J$14:$J$23,MATCH($Z16,$H$14:$H$23,0)),-2)),SUMIFS(Dati!$B$2:$B$46,Dati!$A$2:$A$46,$H16,Dati!$H$2:$H$46,$Z16)+SUMIFS(Dati!$I$2:$I$46,Dati!$H$2:$H$46,$H16,Dati!$A$2:$A$46,$Z16),"-")</f>
        <v>-</v>
      </c>
      <c r="AM16" s="22" t="str">
        <f>IF(AND($H16&lt;&gt;"",$AA16&lt;&gt;"",$H16&lt;&gt;$AA16,IFERROR(INDEX($J$14:$J$23,MATCH($H16,$H$14:$H$23,0)),-1)=IFERROR(INDEX($J$14:$J$23,MATCH($AA16,$H$14:$H$23,0)),-2)),SUMIFS(Dati!$B$2:$B$46,Dati!$A$2:$A$46,$H16,Dati!$H$2:$H$46,$AA16)+SUMIFS(Dati!$I$2:$I$46,Dati!$H$2:$H$46,$H16,Dati!$A$2:$A$46,$AA16),"-")</f>
        <v>-</v>
      </c>
      <c r="AN16" s="22" t="str">
        <f>IF(AND($H16&lt;&gt;"",$AB16&lt;&gt;"",$H16&lt;&gt;$AB16,IFERROR(INDEX($J$14:$J$23,MATCH($H16,$H$14:$H$23,0)),-1)=IFERROR(INDEX($J$14:$J$23,MATCH($AB16,$H$14:$H$23,0)),-2)),SUMIFS(Dati!$B$2:$B$46,Dati!$A$2:$A$46,$H16,Dati!$H$2:$H$46,$AB16)+SUMIFS(Dati!$I$2:$I$46,Dati!$H$2:$H$46,$H16,Dati!$A$2:$A$46,$AB16),"-")</f>
        <v>-</v>
      </c>
      <c r="AO16" s="22" t="str">
        <f>IF(AND($H16&lt;&gt;"",$AC16&lt;&gt;"",$H16&lt;&gt;$AC16,IFERROR(INDEX($J$14:$J$23,MATCH($H16,$H$14:$H$23,0)),-1)=IFERROR(INDEX($J$14:$J$23,MATCH($AC16,$H$14:$H$23,0)),-2)),SUMIFS(Dati!$B$2:$B$46,Dati!$A$2:$A$46,$H16,Dati!$H$2:$H$46,$AC16)+SUMIFS(Dati!$I$2:$I$46,Dati!$H$2:$H$46,$H16,Dati!$A$2:$A$46,$AC16),"-")</f>
        <v>-</v>
      </c>
      <c r="AP16" s="22" t="str">
        <f>IF(AND($H16&lt;&gt;"",$AD16&lt;&gt;"",$H16&lt;&gt;$AD16,IFERROR(INDEX($J$14:$J$23,MATCH($H16,$H$14:$H$23,0)),-1)=IFERROR(INDEX($J$14:$J$23,MATCH($AD16,$H$14:$H$23,0)),-2)),SUMIFS(Dati!$B$2:$B$46,Dati!$A$2:$A$46,$H16,Dati!$H$2:$H$46,$AD16)+SUMIFS(Dati!$I$2:$I$46,Dati!$H$2:$H$46,$H16,Dati!$A$2:$A$46,$AD16),"-")</f>
        <v>-</v>
      </c>
      <c r="AQ16" s="22" t="str">
        <f>IF(AND($H16&lt;&gt;"",$AE16&lt;&gt;"",$H16&lt;&gt;$AE16,IFERROR(INDEX($J$14:$J$23,MATCH($H16,$H$14:$H$23,0)),-1)=IFERROR(INDEX($J$14:$J$23,MATCH($AE16,$H$14:$H$23,0)),-2)),SUMIFS(Dati!$B$2:$B$46,Dati!$A$2:$A$46,$H16,Dati!$H$2:$H$46,$AE16)+SUMIFS(Dati!$I$2:$I$46,Dati!$H$2:$H$46,$H16,Dati!$A$2:$A$46,$AE16),"-")</f>
        <v>-</v>
      </c>
      <c r="AR16" s="22">
        <f>IF(AND($H16&lt;&gt;"",$AF16&lt;&gt;"",$H16&lt;&gt;$AF16,IFERROR(INDEX($J$14:$J$23,MATCH($H16,$H$14:$H$23,0)),-1)=IFERROR(INDEX($J$14:$J$23,MATCH($AF16,$H$14:$H$23,0)),-2)),SUMIFS(Dati!$B$2:$B$46,Dati!$A$2:$A$46,$H16,Dati!$H$2:$H$46,$AF16)+SUMIFS(Dati!$I$2:$I$46,Dati!$H$2:$H$46,$H16,Dati!$A$2:$A$46,$AF16),"-")</f>
        <v>1</v>
      </c>
      <c r="AS16" s="22" t="str">
        <f>IF(AND($H16&lt;&gt;"",$AG16&lt;&gt;"",$H16&lt;&gt;$AG16,IFERROR(INDEX($J$14:$J$23,MATCH($H16,$H$14:$H$23,0)),-1)=IFERROR(INDEX($J$14:$J$23,MATCH($AG16,$H$14:$H$23,0)),-2)),SUMIFS(Dati!$B$2:$B$46,Dati!$A$2:$A$46,$H16,Dati!$H$2:$H$46,$AG16)+SUMIFS(Dati!$I$2:$I$46,Dati!$H$2:$H$46,$H16,Dati!$A$2:$A$46,$AG16),"-")</f>
        <v>-</v>
      </c>
      <c r="AT16" s="22" t="str">
        <f>IF(AND($H16&lt;&gt;"",$AH16&lt;&gt;"",$H16&lt;&gt;$AH16,IFERROR(INDEX($J$14:$J$23,MATCH($H16,$H$14:$H$23,0)),-1)=IFERROR(INDEX($J$14:$J$23,MATCH($AH16,$H$14:$H$23,0)),-2)),SUMIFS(Dati!$B$2:$B$46,Dati!$A$2:$A$46,$H16,Dati!$H$2:$H$46,$AH16)+SUMIFS(Dati!$I$2:$I$46,Dati!$H$2:$H$46,$H16,Dati!$A$2:$A$46,$AH16),"-")</f>
        <v>-</v>
      </c>
      <c r="AV16" s="21" t="str">
        <f>$C16</f>
        <v>Cobra Celeri-Cobraopoli CI</v>
      </c>
      <c r="AW16" s="22" t="str">
        <f>IF(AND($H16&lt;&gt;"",$Y16&lt;&gt;"",$H16&lt;&gt;$Y16,IFERROR(INDEX($J$14:$J$23,MATCH($H16,$H$14:$H$23,0)),-1)=IFERROR(INDEX($J$14:$J$23,MATCH($Y16,$H$14:$H$23,0)),-2)),SUMIFS(Dati!$D$2:$D$46,Dati!$A$2:$A$46,$H16,Dati!$H$2:$H$46,$Y16)+SUMIFS(Dati!$K$2:$K$46,Dati!$H$2:$H$46,$H16,Dati!$A$2:$A$46,$Y16)+SUMIFS(Dati!$C$2:$C$46,Dati!$A$2:$A$46,$H16,Dati!$H$2:$H$46,$Y16)+SUMIFS(Dati!$J$2:$J$46,Dati!$H$2:$H$46,$H16,Dati!$A$2:$A$46,$Y16),"-")</f>
        <v>-</v>
      </c>
      <c r="AX16" s="22" t="str">
        <f>IF(AND($H16&lt;&gt;"",$Z16&lt;&gt;"",$H16&lt;&gt;$Z16,IFERROR(INDEX($J$14:$J$23,MATCH($H16,$H$14:$H$23,0)),-1)=IFERROR(INDEX($J$14:$J$23,MATCH($Z16,$H$14:$H$23,0)),-2)),SUMIFS(Dati!$D$2:$D$46,Dati!$A$2:$A$46,$H16,Dati!$H$2:$H$46,$Z16)+SUMIFS(Dati!$K$2:$K$46,Dati!$H$2:$H$46,$H16,Dati!$A$2:$A$46,$Z16)+SUMIFS(Dati!$C$2:$C$46,Dati!$A$2:$A$46,$H16,Dati!$H$2:$H$46,$Z16)+SUMIFS(Dati!$J$2:$J$46,Dati!$H$2:$H$46,$H16,Dati!$A$2:$A$46,$Z16),"-")</f>
        <v>-</v>
      </c>
      <c r="AY16" s="22" t="str">
        <f>IF(AND($H16&lt;&gt;"",$AA16&lt;&gt;"",$H16&lt;&gt;$AA16,IFERROR(INDEX($J$14:$J$23,MATCH($H16,$H$14:$H$23,0)),-1)=IFERROR(INDEX($J$14:$J$23,MATCH($AA16,$H$14:$H$23,0)),-2)),SUMIFS(Dati!$D$2:$D$46,Dati!$A$2:$A$46,$H16,Dati!$H$2:$H$46,$AA16)+SUMIFS(Dati!$K$2:$K$46,Dati!$H$2:$H$46,$H16,Dati!$A$2:$A$46,$AA16)+SUMIFS(Dati!$C$2:$C$46,Dati!$A$2:$A$46,$H16,Dati!$H$2:$H$46,$AA16)+SUMIFS(Dati!$J$2:$J$46,Dati!$H$2:$H$46,$H16,Dati!$A$2:$A$46,$AA16),"-")</f>
        <v>-</v>
      </c>
      <c r="AZ16" s="22" t="str">
        <f>IF(AND($H16&lt;&gt;"",$AB16&lt;&gt;"",$H16&lt;&gt;$AB16,IFERROR(INDEX($J$14:$J$23,MATCH($H16,$H$14:$H$23,0)),-1)=IFERROR(INDEX($J$14:$J$23,MATCH($AB16,$H$14:$H$23,0)),-2)),SUMIFS(Dati!$D$2:$D$46,Dati!$A$2:$A$46,$H16,Dati!$H$2:$H$46,$AB16)+SUMIFS(Dati!$K$2:$K$46,Dati!$H$2:$H$46,$H16,Dati!$A$2:$A$46,$AB16)+SUMIFS(Dati!$C$2:$C$46,Dati!$A$2:$A$46,$H16,Dati!$H$2:$H$46,$AB16)+SUMIFS(Dati!$J$2:$J$46,Dati!$H$2:$H$46,$H16,Dati!$A$2:$A$46,$AB16),"-")</f>
        <v>-</v>
      </c>
      <c r="BA16" s="22" t="str">
        <f>IF(AND($H16&lt;&gt;"",$AC16&lt;&gt;"",$H16&lt;&gt;$AC16,IFERROR(INDEX($J$14:$J$23,MATCH($H16,$H$14:$H$23,0)),-1)=IFERROR(INDEX($J$14:$J$23,MATCH($AC16,$H$14:$H$23,0)),-2)),SUMIFS(Dati!$D$2:$D$46,Dati!$A$2:$A$46,$H16,Dati!$H$2:$H$46,$AC16)+SUMIFS(Dati!$K$2:$K$46,Dati!$H$2:$H$46,$H16,Dati!$A$2:$A$46,$AC16)+SUMIFS(Dati!$C$2:$C$46,Dati!$A$2:$A$46,$H16,Dati!$H$2:$H$46,$AC16)+SUMIFS(Dati!$J$2:$J$46,Dati!$H$2:$H$46,$H16,Dati!$A$2:$A$46,$AC16),"-")</f>
        <v>-</v>
      </c>
      <c r="BB16" s="22" t="str">
        <f>IF(AND($H16&lt;&gt;"",$AD16&lt;&gt;"",$H16&lt;&gt;$AD16,IFERROR(INDEX($J$14:$J$23,MATCH($H16,$H$14:$H$23,0)),-1)=IFERROR(INDEX($J$14:$J$23,MATCH($AD16,$H$14:$H$23,0)),-2)),SUMIFS(Dati!$D$2:$D$46,Dati!$A$2:$A$46,$H16,Dati!$H$2:$H$46,$AD16)+SUMIFS(Dati!$K$2:$K$46,Dati!$H$2:$H$46,$H16,Dati!$A$2:$A$46,$AD16)+SUMIFS(Dati!$C$2:$C$46,Dati!$A$2:$A$46,$H16,Dati!$H$2:$H$46,$AD16)+SUMIFS(Dati!$J$2:$J$46,Dati!$H$2:$H$46,$H16,Dati!$A$2:$A$46,$AD16),"-")</f>
        <v>-</v>
      </c>
      <c r="BC16" s="22" t="str">
        <f>IF(AND($H16&lt;&gt;"",$AE16&lt;&gt;"",$H16&lt;&gt;$AE16,IFERROR(INDEX($J$14:$J$23,MATCH($H16,$H$14:$H$23,0)),-1)=IFERROR(INDEX($J$14:$J$23,MATCH($AE16,$H$14:$H$23,0)),-2)),SUMIFS(Dati!$D$2:$D$46,Dati!$A$2:$A$46,$H16,Dati!$H$2:$H$46,$AE16)+SUMIFS(Dati!$K$2:$K$46,Dati!$H$2:$H$46,$H16,Dati!$A$2:$A$46,$AE16)+SUMIFS(Dati!$C$2:$C$46,Dati!$A$2:$A$46,$H16,Dati!$H$2:$H$46,$AE16)+SUMIFS(Dati!$J$2:$J$46,Dati!$H$2:$H$46,$H16,Dati!$A$2:$A$46,$AE16),"-")</f>
        <v>-</v>
      </c>
      <c r="BD16" s="22">
        <f>IF(AND($H16&lt;&gt;"",$AF16&lt;&gt;"",$H16&lt;&gt;$AF16,IFERROR(INDEX($J$14:$J$23,MATCH($H16,$H$14:$H$23,0)),-1)=IFERROR(INDEX($J$14:$J$23,MATCH($AF16,$H$14:$H$23,0)),-2)),SUMIFS(Dati!$D$2:$D$46,Dati!$A$2:$A$46,$H16,Dati!$H$2:$H$46,$AF16)+SUMIFS(Dati!$K$2:$K$46,Dati!$H$2:$H$46,$H16,Dati!$A$2:$A$46,$AF16)+SUMIFS(Dati!$C$2:$C$46,Dati!$A$2:$A$46,$H16,Dati!$H$2:$H$46,$AF16)+SUMIFS(Dati!$J$2:$J$46,Dati!$H$2:$H$46,$H16,Dati!$A$2:$A$46,$AF16),"-")</f>
        <v>0</v>
      </c>
      <c r="BE16" s="22" t="str">
        <f>IF(AND($H16&lt;&gt;"",$AG16&lt;&gt;"",$H16&lt;&gt;$AG16,IFERROR(INDEX($J$14:$J$23,MATCH($H16,$H$14:$H$23,0)),-1)=IFERROR(INDEX($J$14:$J$23,MATCH($AG16,$H$14:$H$23,0)),-2)),SUMIFS(Dati!$D$2:$D$46,Dati!$A$2:$A$46,$H16,Dati!$H$2:$H$46,$AG16)+SUMIFS(Dati!$K$2:$K$46,Dati!$H$2:$H$46,$H16,Dati!$A$2:$A$46,$AG16)+SUMIFS(Dati!$C$2:$C$46,Dati!$A$2:$A$46,$H16,Dati!$H$2:$H$46,$AG16)+SUMIFS(Dati!$J$2:$J$46,Dati!$H$2:$H$46,$H16,Dati!$A$2:$A$46,$AG16),"-")</f>
        <v>-</v>
      </c>
      <c r="BF16" s="22" t="str">
        <f>IF(AND($H16&lt;&gt;"",$AH16&lt;&gt;"",$H16&lt;&gt;$AH16,IFERROR(INDEX($J$14:$J$23,MATCH($H16,$H$14:$H$23,0)),-1)=IFERROR(INDEX($J$14:$J$23,MATCH($AH16,$H$14:$H$23,0)),-2)),SUMIFS(Dati!$D$2:$D$46,Dati!$A$2:$A$46,$H16,Dati!$H$2:$H$46,$AH16)+SUMIFS(Dati!$K$2:$K$46,Dati!$H$2:$H$46,$H16,Dati!$A$2:$A$46,$AH16)+SUMIFS(Dati!$C$2:$C$46,Dati!$A$2:$A$46,$H16,Dati!$H$2:$H$46,$AH16)+SUMIFS(Dati!$J$2:$J$46,Dati!$H$2:$H$46,$H16,Dati!$A$2:$A$46,$AH16),"-")</f>
        <v>-</v>
      </c>
      <c r="BH16" s="21" t="str">
        <f>$C16</f>
        <v>Cobra Celeri-Cobraopoli CI</v>
      </c>
      <c r="BI16" s="22" t="str">
        <f>IF(AND($H16&lt;&gt;"",$Y16&lt;&gt;"",$H16&lt;&gt;$Y16,IFERROR(INDEX($J$14:$J$23,MATCH($H16,$H$14:$H$23,0)),-1)=IFERROR(INDEX($J$14:$J$23,MATCH($Y16,$H$14:$H$23,0)),-2)),SUMIFS(Dati!$E$2:$E$46,Dati!$A$2:$A$46,$H16,Dati!$H$2:$H$46,$Y16)+SUMIFS(Dati!$L$2:$L$46,Dati!$H$2:$H$46,$H16,Dati!$A$2:$A$46,$Y16),"-")</f>
        <v>-</v>
      </c>
      <c r="BJ16" s="22" t="str">
        <f>IF(AND($H16&lt;&gt;"",$Z16&lt;&gt;"",$H16&lt;&gt;$Z16,IFERROR(INDEX($J$14:$J$23,MATCH($H16,$H$14:$H$23,0)),-1)=IFERROR(INDEX($J$14:$J$23,MATCH($Z16,$H$14:$H$23,0)),-2)),SUMIFS(Dati!$E$2:$E$46,Dati!$A$2:$A$46,$H16,Dati!$H$2:$H$46,$Z16)+SUMIFS(Dati!$L$2:$L$46,Dati!$H$2:$H$46,$H16,Dati!$A$2:$A$46,$Z16),"-")</f>
        <v>-</v>
      </c>
      <c r="BK16" s="22" t="str">
        <f>IF(AND($H16&lt;&gt;"",$AA16&lt;&gt;"",$H16&lt;&gt;$AA16,IFERROR(INDEX($J$14:$J$23,MATCH($H16,$H$14:$H$23,0)),-1)=IFERROR(INDEX($J$14:$J$23,MATCH($AA16,$H$14:$H$23,0)),-2)),SUMIFS(Dati!$E$2:$E$46,Dati!$A$2:$A$46,$H16,Dati!$H$2:$H$46,$AA16)+SUMIFS(Dati!$L$2:$L$46,Dati!$H$2:$H$46,$H16,Dati!$A$2:$A$46,$AA16),"-")</f>
        <v>-</v>
      </c>
      <c r="BL16" s="22" t="str">
        <f>IF(AND($H16&lt;&gt;"",$AB16&lt;&gt;"",$H16&lt;&gt;$AB16,IFERROR(INDEX($J$14:$J$23,MATCH($H16,$H$14:$H$23,0)),-1)=IFERROR(INDEX($J$14:$J$23,MATCH($AB16,$H$14:$H$23,0)),-2)),SUMIFS(Dati!$E$2:$E$46,Dati!$A$2:$A$46,$H16,Dati!$H$2:$H$46,$AB16)+SUMIFS(Dati!$L$2:$L$46,Dati!$H$2:$H$46,$H16,Dati!$A$2:$A$46,$AB16),"-")</f>
        <v>-</v>
      </c>
      <c r="BM16" s="22" t="str">
        <f>IF(AND($H16&lt;&gt;"",$AC16&lt;&gt;"",$H16&lt;&gt;$AC16,IFERROR(INDEX($J$14:$J$23,MATCH($H16,$H$14:$H$23,0)),-1)=IFERROR(INDEX($J$14:$J$23,MATCH($AC16,$H$14:$H$23,0)),-2)),SUMIFS(Dati!$E$2:$E$46,Dati!$A$2:$A$46,$H16,Dati!$H$2:$H$46,$AC16)+SUMIFS(Dati!$L$2:$L$46,Dati!$H$2:$H$46,$H16,Dati!$A$2:$A$46,$AC16),"-")</f>
        <v>-</v>
      </c>
      <c r="BN16" s="22" t="str">
        <f>IF(AND($H16&lt;&gt;"",$AD16&lt;&gt;"",$H16&lt;&gt;$AD16,IFERROR(INDEX($J$14:$J$23,MATCH($H16,$H$14:$H$23,0)),-1)=IFERROR(INDEX($J$14:$J$23,MATCH($AD16,$H$14:$H$23,0)),-2)),SUMIFS(Dati!$E$2:$E$46,Dati!$A$2:$A$46,$H16,Dati!$H$2:$H$46,$AD16)+SUMIFS(Dati!$L$2:$L$46,Dati!$H$2:$H$46,$H16,Dati!$A$2:$A$46,$AD16),"-")</f>
        <v>-</v>
      </c>
      <c r="BO16" s="22" t="str">
        <f>IF(AND($H16&lt;&gt;"",$AE16&lt;&gt;"",$H16&lt;&gt;$AE16,IFERROR(INDEX($J$14:$J$23,MATCH($H16,$H$14:$H$23,0)),-1)=IFERROR(INDEX($J$14:$J$23,MATCH($AE16,$H$14:$H$23,0)),-2)),SUMIFS(Dati!$E$2:$E$46,Dati!$A$2:$A$46,$H16,Dati!$H$2:$H$46,$AE16)+SUMIFS(Dati!$L$2:$L$46,Dati!$H$2:$H$46,$H16,Dati!$A$2:$A$46,$AE16),"-")</f>
        <v>-</v>
      </c>
      <c r="BP16" s="22">
        <f>IF(AND($H16&lt;&gt;"",$AF16&lt;&gt;"",$H16&lt;&gt;$AF16,IFERROR(INDEX($J$14:$J$23,MATCH($H16,$H$14:$H$23,0)),-1)=IFERROR(INDEX($J$14:$J$23,MATCH($AF16,$H$14:$H$23,0)),-2)),SUMIFS(Dati!$E$2:$E$46,Dati!$A$2:$A$46,$H16,Dati!$H$2:$H$46,$AF16)+SUMIFS(Dati!$L$2:$L$46,Dati!$H$2:$H$46,$H16,Dati!$A$2:$A$46,$AF16),"-")</f>
        <v>58</v>
      </c>
      <c r="BQ16" s="22" t="str">
        <f>IF(AND($H16&lt;&gt;"",$AG16&lt;&gt;"",$H16&lt;&gt;$AG16,IFERROR(INDEX($J$14:$J$23,MATCH($H16,$H$14:$H$23,0)),-1)=IFERROR(INDEX($J$14:$J$23,MATCH($AG16,$H$14:$H$23,0)),-2)),SUMIFS(Dati!$E$2:$E$46,Dati!$A$2:$A$46,$H16,Dati!$H$2:$H$46,$AG16)+SUMIFS(Dati!$L$2:$L$46,Dati!$H$2:$H$46,$H16,Dati!$A$2:$A$46,$AG16),"-")</f>
        <v>-</v>
      </c>
      <c r="BR16" s="22" t="str">
        <f>IF(AND($H16&lt;&gt;"",$AH16&lt;&gt;"",$H16&lt;&gt;$AH16,IFERROR(INDEX($J$14:$J$23,MATCH($H16,$H$14:$H$23,0)),-1)=IFERROR(INDEX($J$14:$J$23,MATCH($AH16,$H$14:$H$23,0)),-2)),SUMIFS(Dati!$E$2:$E$46,Dati!$A$2:$A$46,$H16,Dati!$H$2:$H$46,$AH16)+SUMIFS(Dati!$L$2:$L$46,Dati!$H$2:$H$46,$H16,Dati!$A$2:$A$46,$AH16),"-")</f>
        <v>-</v>
      </c>
      <c r="BT16" s="21" t="str">
        <f>$C16</f>
        <v>Cobra Celeri-Cobraopoli CI</v>
      </c>
      <c r="BU16" s="22" t="str">
        <f>IF(AND($H16&lt;&gt;"",$Y16&lt;&gt;"",$H16&lt;&gt;$Y16,IFERROR(INDEX($J$14:$J$23,MATCH($H16,$H$14:$H$23,0)),-1)=IFERROR(INDEX($J$14:$J$23,MATCH($Y16,$H$14:$H$23,0)),-2)),SUMIFS(Dati!$F$2:$F$46,Dati!$A$2:$A$46,$H16,Dati!$H$2:$H$46,$Y16)+SUMIFS(Dati!$M$2:$M$46,Dati!$H$2:$H$46,$H16,Dati!$A$2:$A$46,$Y16),"-")</f>
        <v>-</v>
      </c>
      <c r="BV16" s="22" t="str">
        <f>IF(AND($H16&lt;&gt;"",$Z16&lt;&gt;"",$H16&lt;&gt;$Z16,IFERROR(INDEX($J$14:$J$23,MATCH($H16,$H$14:$H$23,0)),-1)=IFERROR(INDEX($J$14:$J$23,MATCH($Z16,$H$14:$H$23,0)),-2)),SUMIFS(Dati!$F$2:$F$46,Dati!$A$2:$A$46,$H16,Dati!$H$2:$H$46,$Z16)+SUMIFS(Dati!$M$2:$M$46,Dati!$H$2:$H$46,$H16,Dati!$A$2:$A$46,$Z16),"-")</f>
        <v>-</v>
      </c>
      <c r="BW16" s="22" t="str">
        <f>IF(AND($H16&lt;&gt;"",$AA16&lt;&gt;"",$H16&lt;&gt;$AA16,IFERROR(INDEX($J$14:$J$23,MATCH($H16,$H$14:$H$23,0)),-1)=IFERROR(INDEX($J$14:$J$23,MATCH($AA16,$H$14:$H$23,0)),-2)),SUMIFS(Dati!$F$2:$F$46,Dati!$A$2:$A$46,$H16,Dati!$H$2:$H$46,$AA16)+SUMIFS(Dati!$M$2:$M$46,Dati!$H$2:$H$46,$H16,Dati!$A$2:$A$46,$AA16),"-")</f>
        <v>-</v>
      </c>
      <c r="BX16" s="22" t="str">
        <f>IF(AND($H16&lt;&gt;"",$AB16&lt;&gt;"",$H16&lt;&gt;$AB16,IFERROR(INDEX($J$14:$J$23,MATCH($H16,$H$14:$H$23,0)),-1)=IFERROR(INDEX($J$14:$J$23,MATCH($AB16,$H$14:$H$23,0)),-2)),SUMIFS(Dati!$F$2:$F$46,Dati!$A$2:$A$46,$H16,Dati!$H$2:$H$46,$AB16)+SUMIFS(Dati!$M$2:$M$46,Dati!$H$2:$H$46,$H16,Dati!$A$2:$A$46,$AB16),"-")</f>
        <v>-</v>
      </c>
      <c r="BY16" s="22" t="str">
        <f>IF(AND($H16&lt;&gt;"",$AC16&lt;&gt;"",$H16&lt;&gt;$AC16,IFERROR(INDEX($J$14:$J$23,MATCH($H16,$H$14:$H$23,0)),-1)=IFERROR(INDEX($J$14:$J$23,MATCH($AC16,$H$14:$H$23,0)),-2)),SUMIFS(Dati!$F$2:$F$46,Dati!$A$2:$A$46,$H16,Dati!$H$2:$H$46,$AC16)+SUMIFS(Dati!$M$2:$M$46,Dati!$H$2:$H$46,$H16,Dati!$A$2:$A$46,$AC16),"-")</f>
        <v>-</v>
      </c>
      <c r="BZ16" s="22" t="str">
        <f>IF(AND($H16&lt;&gt;"",$AD16&lt;&gt;"",$H16&lt;&gt;$AD16,IFERROR(INDEX($J$14:$J$23,MATCH($H16,$H$14:$H$23,0)),-1)=IFERROR(INDEX($J$14:$J$23,MATCH($AD16,$H$14:$H$23,0)),-2)),SUMIFS(Dati!$F$2:$F$46,Dati!$A$2:$A$46,$H16,Dati!$H$2:$H$46,$AD16)+SUMIFS(Dati!$M$2:$M$46,Dati!$H$2:$H$46,$H16,Dati!$A$2:$A$46,$AD16),"-")</f>
        <v>-</v>
      </c>
      <c r="CA16" s="22" t="str">
        <f>IF(AND($H16&lt;&gt;"",$AE16&lt;&gt;"",$H16&lt;&gt;$AE16,IFERROR(INDEX($J$14:$J$23,MATCH($H16,$H$14:$H$23,0)),-1)=IFERROR(INDEX($J$14:$J$23,MATCH($AE16,$H$14:$H$23,0)),-2)),SUMIFS(Dati!$F$2:$F$46,Dati!$A$2:$A$46,$H16,Dati!$H$2:$H$46,$AE16)+SUMIFS(Dati!$M$2:$M$46,Dati!$H$2:$H$46,$H16,Dati!$A$2:$A$46,$AE16),"-")</f>
        <v>-</v>
      </c>
      <c r="CB16" s="22">
        <f>IF(AND($H16&lt;&gt;"",$AF16&lt;&gt;"",$H16&lt;&gt;$AF16,IFERROR(INDEX($J$14:$J$23,MATCH($H16,$H$14:$H$23,0)),-1)=IFERROR(INDEX($J$14:$J$23,MATCH($AF16,$H$14:$H$23,0)),-2)),SUMIFS(Dati!$F$2:$F$46,Dati!$A$2:$A$46,$H16,Dati!$H$2:$H$46,$AF16)+SUMIFS(Dati!$M$2:$M$46,Dati!$H$2:$H$46,$H16,Dati!$A$2:$A$46,$AF16),"-")</f>
        <v>51</v>
      </c>
      <c r="CC16" s="22" t="str">
        <f>IF(AND($H16&lt;&gt;"",$AG16&lt;&gt;"",$H16&lt;&gt;$AG16,IFERROR(INDEX($J$14:$J$23,MATCH($H16,$H$14:$H$23,0)),-1)=IFERROR(INDEX($J$14:$J$23,MATCH($AG16,$H$14:$H$23,0)),-2)),SUMIFS(Dati!$F$2:$F$46,Dati!$A$2:$A$46,$H16,Dati!$H$2:$H$46,$AG16)+SUMIFS(Dati!$M$2:$M$46,Dati!$H$2:$H$46,$H16,Dati!$A$2:$A$46,$AG16),"-")</f>
        <v>-</v>
      </c>
      <c r="CD16" s="22" t="str">
        <f>IF(AND($H16&lt;&gt;"",$AH16&lt;&gt;"",$H16&lt;&gt;$AH16,IFERROR(INDEX($J$14:$J$23,MATCH($H16,$H$14:$H$23,0)),-1)=IFERROR(INDEX($J$14:$J$23,MATCH($AH16,$H$14:$H$23,0)),-2)),SUMIFS(Dati!$F$2:$F$46,Dati!$A$2:$A$46,$H16,Dati!$H$2:$H$46,$AH16)+SUMIFS(Dati!$M$2:$M$46,Dati!$H$2:$H$46,$H16,Dati!$A$2:$A$46,$AH16),"-")</f>
        <v>-</v>
      </c>
      <c r="CF16" s="22">
        <f>IF($C16="","",SUM(AK16:AT16))</f>
        <v>1</v>
      </c>
    </row>
    <row r="17">
      <c r="B17" s="12" t="inlineStr">
        <is>
          <t>A04</t>
        </is>
      </c>
      <c r="C17" s="13" t="inlineStr">
        <is>
          <t>Dingo Docili-Dingoopoli DO</t>
        </is>
      </c>
      <c r="D17" s="14" t="n"/>
      <c r="E17" s="15" t="inlineStr">
        <is>
          <t>A</t>
        </is>
      </c>
      <c r="G17" s="16" t="str">
        <f>IF($C17="","",$E17&amp;(COUNTIFS(I$14:I$23,"&gt;"&amp;I17,E$14:E$23,"="&amp;E17,C$14:C$23,"&lt;&gt;")+COUNTIFS(I$14:I$23,"="&amp;I17,H$14:H$23,"&lt;="&amp;H17,E$14:E$23,"="&amp;E17,C$14:C$23,"&lt;&gt;")))</f>
        <v>A1</v>
      </c>
      <c r="H17" s="17" t="str">
        <f>IF($C17="","",IFERROR(LEFT($C17,FIND("-",$C17)-1),$C17))</f>
        <v>Dingo Docili</v>
      </c>
      <c r="I17" s="12" t="str">
        <f>TEXT(1000000000+J17,"|0000000000|")&amp;TEXT(SUM(AK17:AT17),"0000000000|")&amp;IF(SUM(BU17:CD17)=0,"0000000000|",TEXT(ROUND(SUM(BI17:BR17)/SUM(BU17:CD17),4)*100000,"0000000000|"))&amp;IF(P17=0,"0000000000|",TEXT(ROUND(O17/P17,4)*100000,"0000000000|"))</f>
        <v>|1000000025|0000000000|0000000000|0000125870|</v>
      </c>
      <c r="J17" s="16">
        <f>L17*Campionato!$D$7+M17*Campionato!$D$8+N17*Campionato!$D$9+IF(D17="",0,D17)</f>
        <v>25</v>
      </c>
      <c r="K17" s="12">
        <f>SUM(L17:N17)</f>
        <v>9</v>
      </c>
      <c r="L17" s="12">
        <f>IF($H17="",0,SUMIF(Dati!$A$2:$A$46,$H17,Dati!$B$2:$B$46)+SUMIF(Dati!$H$2:$H$46,$H17,Dati!$I$2:$I$46))</f>
        <v>8</v>
      </c>
      <c r="M17" s="12">
        <f>IF($H17="",0,SUMIF(Dati!$A$2:$A$46,$H17,Dati!$D$2:$D$46)+SUMIF(Dati!$H$2:$H$46,$H17,Dati!$K$2:$K$46))</f>
        <v>1</v>
      </c>
      <c r="N17" s="12">
        <f>IF($H17="",0,SUMIF(Dati!$A$2:$A$46,$H17,Dati!$C$2:$C$46)+SUMIF(Dati!$H$2:$H$46,$H17,Dati!$J$2:$J$46))</f>
        <v>0</v>
      </c>
      <c r="O17" s="12">
        <f>IF($H17="",0,SUMIF(Dati!$A$2:$A$46,$H17,Dati!$E$2:$E$46)+SUMIF(Dati!$H$2:$H$46,$H17,Dati!$L$2:$L$46))</f>
        <v>545</v>
      </c>
      <c r="P17" s="12">
        <f>IF($H17="",0,SUMIF(Dati!$A$2:$A$46,$H17,Dati!$F$2:$F$46)+SUMIF(Dati!$H$2:$H$46,$H17,Dati!$M$2:$M$46))</f>
        <v>433</v>
      </c>
      <c r="Q17" s="12">
        <f>IF($H17="",0,SUMIF(Dati!$A$2:$A$46,$H17,Dati!$G$2:$G$46)+SUMIF(Dati!$H$2:$H$46,$H17,Dati!$N$2:$N$46))</f>
        <v>112</v>
      </c>
      <c r="R17" s="12">
        <f>IF(K17=0,0,ROUND(O17/K17,2))</f>
        <v>60.56</v>
      </c>
      <c r="S17" s="12">
        <f>IF(K17=0,0,ROUND(P17/K17,2))</f>
        <v>48.11</v>
      </c>
      <c r="T17" s="12">
        <f>IF(K17=0,0,ROUND(Q17/K17,2))</f>
        <v>12.44</v>
      </c>
      <c r="U17" s="12" t="str">
        <f>IF(COUNTIFS($E$14:$E$23,$E17,$J$14:$J$23,$J17,$C$14:$C$23,"&lt;&gt;")&lt;=1,"-",SUM(AK17:AT17)&amp;"-"&amp;SUM(AW17:BF17))</f>
        <v>-</v>
      </c>
      <c r="V17" s="18" t="str">
        <f>IF(COUNTIFS($E$14:$E$23,$E17,$J$14:$J$23,$J17,$C$14:$C$23,"&lt;&gt;",$CF$14:$CF$23,$CF17)&lt;=1,"-",IF(SUM(BU17:CD17)=0,0,ROUND(SUM(BI17:BR17)/SUM(BU17:CD17),3)))</f>
        <v>-</v>
      </c>
      <c r="W17" s="18" t="str">
        <f>IF(COUNTIFS($E$14:$E$23,$E17,$J$14:$J$23,$J17,$C$14:$C$23,"&lt;&gt;",$CF$14:$CF$23,$CF17,$V$14:$V$23,$V17)&lt;=1,"-",IF(P17=0,0,ROUND(O17/P17,3)))</f>
        <v>-</v>
      </c>
      <c r="X17" s="19" t="str">
        <f>IF($C17="","",$E17&amp;"#"&amp;COUNTIFS($E$14:$E17,$E17,$C$14:$C17,"&lt;&gt;"))</f>
        <v>A#4</v>
      </c>
      <c r="Y17" s="20" t="str">
        <f>IFERROR(INDEX($H$14:$H$23,MATCH($E17&amp;"#1",$X$14:$X$23,0)),"")</f>
        <v>Anaconde Audaci</v>
      </c>
      <c r="Z17" s="20" t="str">
        <f>IFERROR(INDEX($H$14:$H$23,MATCH($E17&amp;"#2",$X$14:$X$23,0)),"")</f>
        <v>Bufali Belligeranti</v>
      </c>
      <c r="AA17" s="20" t="str">
        <f>IFERROR(INDEX($H$14:$H$23,MATCH($E17&amp;"#3",$X$14:$X$23,0)),"")</f>
        <v>Cobra Celeri</v>
      </c>
      <c r="AB17" s="20" t="str">
        <f>IFERROR(INDEX($H$14:$H$23,MATCH($E17&amp;"#4",$X$14:$X$23,0)),"")</f>
        <v>Dingo Docili</v>
      </c>
      <c r="AC17" s="20" t="str">
        <f>IFERROR(INDEX($H$14:$H$23,MATCH($E17&amp;"#5",$X$14:$X$23,0)),"")</f>
        <v>Ermellini Eleganti</v>
      </c>
      <c r="AD17" s="20" t="str">
        <f>IFERROR(INDEX($H$14:$H$23,MATCH($E17&amp;"#6",$X$14:$X$23,0)),"")</f>
        <v>Falchi Feroci</v>
      </c>
      <c r="AE17" s="20" t="str">
        <f>IFERROR(INDEX($H$14:$H$23,MATCH($E17&amp;"#7",$X$14:$X$23,0)),"")</f>
        <v>Gazzelle Gentili</v>
      </c>
      <c r="AF17" s="20" t="str">
        <f>IFERROR(INDEX($H$14:$H$23,MATCH($E17&amp;"#8",$X$14:$X$23,0)),"")</f>
        <v>Ibis Instancabili</v>
      </c>
      <c r="AG17" s="20" t="str">
        <f>IFERROR(INDEX($H$14:$H$23,MATCH($E17&amp;"#9",$X$14:$X$23,0)),"")</f>
        <v>Lupi Leali</v>
      </c>
      <c r="AH17" s="20" t="str">
        <f>IFERROR(INDEX($H$14:$H$23,MATCH($E17&amp;"#10",$X$14:$X$23,0)),"")</f>
        <v>Marmotte Mobili</v>
      </c>
      <c r="AJ17" s="21" t="str">
        <f>$C17</f>
        <v>Dingo Docili-Dingoopoli DO</v>
      </c>
      <c r="AK17" s="22" t="str">
        <f>IF(AND($H17&lt;&gt;"",$Y17&lt;&gt;"",$H17&lt;&gt;$Y17,IFERROR(INDEX($J$14:$J$23,MATCH($H17,$H$14:$H$23,0)),-1)=IFERROR(INDEX($J$14:$J$23,MATCH($Y17,$H$14:$H$23,0)),-2)),SUMIFS(Dati!$B$2:$B$46,Dati!$A$2:$A$46,$H17,Dati!$H$2:$H$46,$Y17)+SUMIFS(Dati!$I$2:$I$46,Dati!$H$2:$H$46,$H17,Dati!$A$2:$A$46,$Y17),"-")</f>
        <v>-</v>
      </c>
      <c r="AL17" s="22" t="str">
        <f>IF(AND($H17&lt;&gt;"",$Z17&lt;&gt;"",$H17&lt;&gt;$Z17,IFERROR(INDEX($J$14:$J$23,MATCH($H17,$H$14:$H$23,0)),-1)=IFERROR(INDEX($J$14:$J$23,MATCH($Z17,$H$14:$H$23,0)),-2)),SUMIFS(Dati!$B$2:$B$46,Dati!$A$2:$A$46,$H17,Dati!$H$2:$H$46,$Z17)+SUMIFS(Dati!$I$2:$I$46,Dati!$H$2:$H$46,$H17,Dati!$A$2:$A$46,$Z17),"-")</f>
        <v>-</v>
      </c>
      <c r="AM17" s="22" t="str">
        <f>IF(AND($H17&lt;&gt;"",$AA17&lt;&gt;"",$H17&lt;&gt;$AA17,IFERROR(INDEX($J$14:$J$23,MATCH($H17,$H$14:$H$23,0)),-1)=IFERROR(INDEX($J$14:$J$23,MATCH($AA17,$H$14:$H$23,0)),-2)),SUMIFS(Dati!$B$2:$B$46,Dati!$A$2:$A$46,$H17,Dati!$H$2:$H$46,$AA17)+SUMIFS(Dati!$I$2:$I$46,Dati!$H$2:$H$46,$H17,Dati!$A$2:$A$46,$AA17),"-")</f>
        <v>-</v>
      </c>
      <c r="AN17" s="22" t="str">
        <f>IF(AND($H17&lt;&gt;"",$AB17&lt;&gt;"",$H17&lt;&gt;$AB17,IFERROR(INDEX($J$14:$J$23,MATCH($H17,$H$14:$H$23,0)),-1)=IFERROR(INDEX($J$14:$J$23,MATCH($AB17,$H$14:$H$23,0)),-2)),SUMIFS(Dati!$B$2:$B$46,Dati!$A$2:$A$46,$H17,Dati!$H$2:$H$46,$AB17)+SUMIFS(Dati!$I$2:$I$46,Dati!$H$2:$H$46,$H17,Dati!$A$2:$A$46,$AB17),"-")</f>
        <v>-</v>
      </c>
      <c r="AO17" s="22" t="str">
        <f>IF(AND($H17&lt;&gt;"",$AC17&lt;&gt;"",$H17&lt;&gt;$AC17,IFERROR(INDEX($J$14:$J$23,MATCH($H17,$H$14:$H$23,0)),-1)=IFERROR(INDEX($J$14:$J$23,MATCH($AC17,$H$14:$H$23,0)),-2)),SUMIFS(Dati!$B$2:$B$46,Dati!$A$2:$A$46,$H17,Dati!$H$2:$H$46,$AC17)+SUMIFS(Dati!$I$2:$I$46,Dati!$H$2:$H$46,$H17,Dati!$A$2:$A$46,$AC17),"-")</f>
        <v>-</v>
      </c>
      <c r="AP17" s="22" t="str">
        <f>IF(AND($H17&lt;&gt;"",$AD17&lt;&gt;"",$H17&lt;&gt;$AD17,IFERROR(INDEX($J$14:$J$23,MATCH($H17,$H$14:$H$23,0)),-1)=IFERROR(INDEX($J$14:$J$23,MATCH($AD17,$H$14:$H$23,0)),-2)),SUMIFS(Dati!$B$2:$B$46,Dati!$A$2:$A$46,$H17,Dati!$H$2:$H$46,$AD17)+SUMIFS(Dati!$I$2:$I$46,Dati!$H$2:$H$46,$H17,Dati!$A$2:$A$46,$AD17),"-")</f>
        <v>-</v>
      </c>
      <c r="AQ17" s="22" t="str">
        <f>IF(AND($H17&lt;&gt;"",$AE17&lt;&gt;"",$H17&lt;&gt;$AE17,IFERROR(INDEX($J$14:$J$23,MATCH($H17,$H$14:$H$23,0)),-1)=IFERROR(INDEX($J$14:$J$23,MATCH($AE17,$H$14:$H$23,0)),-2)),SUMIFS(Dati!$B$2:$B$46,Dati!$A$2:$A$46,$H17,Dati!$H$2:$H$46,$AE17)+SUMIFS(Dati!$I$2:$I$46,Dati!$H$2:$H$46,$H17,Dati!$A$2:$A$46,$AE17),"-")</f>
        <v>-</v>
      </c>
      <c r="AR17" s="22" t="str">
        <f>IF(AND($H17&lt;&gt;"",$AF17&lt;&gt;"",$H17&lt;&gt;$AF17,IFERROR(INDEX($J$14:$J$23,MATCH($H17,$H$14:$H$23,0)),-1)=IFERROR(INDEX($J$14:$J$23,MATCH($AF17,$H$14:$H$23,0)),-2)),SUMIFS(Dati!$B$2:$B$46,Dati!$A$2:$A$46,$H17,Dati!$H$2:$H$46,$AF17)+SUMIFS(Dati!$I$2:$I$46,Dati!$H$2:$H$46,$H17,Dati!$A$2:$A$46,$AF17),"-")</f>
        <v>-</v>
      </c>
      <c r="AS17" s="22" t="str">
        <f>IF(AND($H17&lt;&gt;"",$AG17&lt;&gt;"",$H17&lt;&gt;$AG17,IFERROR(INDEX($J$14:$J$23,MATCH($H17,$H$14:$H$23,0)),-1)=IFERROR(INDEX($J$14:$J$23,MATCH($AG17,$H$14:$H$23,0)),-2)),SUMIFS(Dati!$B$2:$B$46,Dati!$A$2:$A$46,$H17,Dati!$H$2:$H$46,$AG17)+SUMIFS(Dati!$I$2:$I$46,Dati!$H$2:$H$46,$H17,Dati!$A$2:$A$46,$AG17),"-")</f>
        <v>-</v>
      </c>
      <c r="AT17" s="22" t="str">
        <f>IF(AND($H17&lt;&gt;"",$AH17&lt;&gt;"",$H17&lt;&gt;$AH17,IFERROR(INDEX($J$14:$J$23,MATCH($H17,$H$14:$H$23,0)),-1)=IFERROR(INDEX($J$14:$J$23,MATCH($AH17,$H$14:$H$23,0)),-2)),SUMIFS(Dati!$B$2:$B$46,Dati!$A$2:$A$46,$H17,Dati!$H$2:$H$46,$AH17)+SUMIFS(Dati!$I$2:$I$46,Dati!$H$2:$H$46,$H17,Dati!$A$2:$A$46,$AH17),"-")</f>
        <v>-</v>
      </c>
      <c r="AV17" s="21" t="str">
        <f>$C17</f>
        <v>Dingo Docili-Dingoopoli DO</v>
      </c>
      <c r="AW17" s="22" t="str">
        <f>IF(AND($H17&lt;&gt;"",$Y17&lt;&gt;"",$H17&lt;&gt;$Y17,IFERROR(INDEX($J$14:$J$23,MATCH($H17,$H$14:$H$23,0)),-1)=IFERROR(INDEX($J$14:$J$23,MATCH($Y17,$H$14:$H$23,0)),-2)),SUMIFS(Dati!$D$2:$D$46,Dati!$A$2:$A$46,$H17,Dati!$H$2:$H$46,$Y17)+SUMIFS(Dati!$K$2:$K$46,Dati!$H$2:$H$46,$H17,Dati!$A$2:$A$46,$Y17)+SUMIFS(Dati!$C$2:$C$46,Dati!$A$2:$A$46,$H17,Dati!$H$2:$H$46,$Y17)+SUMIFS(Dati!$J$2:$J$46,Dati!$H$2:$H$46,$H17,Dati!$A$2:$A$46,$Y17),"-")</f>
        <v>-</v>
      </c>
      <c r="AX17" s="22" t="str">
        <f>IF(AND($H17&lt;&gt;"",$Z17&lt;&gt;"",$H17&lt;&gt;$Z17,IFERROR(INDEX($J$14:$J$23,MATCH($H17,$H$14:$H$23,0)),-1)=IFERROR(INDEX($J$14:$J$23,MATCH($Z17,$H$14:$H$23,0)),-2)),SUMIFS(Dati!$D$2:$D$46,Dati!$A$2:$A$46,$H17,Dati!$H$2:$H$46,$Z17)+SUMIFS(Dati!$K$2:$K$46,Dati!$H$2:$H$46,$H17,Dati!$A$2:$A$46,$Z17)+SUMIFS(Dati!$C$2:$C$46,Dati!$A$2:$A$46,$H17,Dati!$H$2:$H$46,$Z17)+SUMIFS(Dati!$J$2:$J$46,Dati!$H$2:$H$46,$H17,Dati!$A$2:$A$46,$Z17),"-")</f>
        <v>-</v>
      </c>
      <c r="AY17" s="22" t="str">
        <f>IF(AND($H17&lt;&gt;"",$AA17&lt;&gt;"",$H17&lt;&gt;$AA17,IFERROR(INDEX($J$14:$J$23,MATCH($H17,$H$14:$H$23,0)),-1)=IFERROR(INDEX($J$14:$J$23,MATCH($AA17,$H$14:$H$23,0)),-2)),SUMIFS(Dati!$D$2:$D$46,Dati!$A$2:$A$46,$H17,Dati!$H$2:$H$46,$AA17)+SUMIFS(Dati!$K$2:$K$46,Dati!$H$2:$H$46,$H17,Dati!$A$2:$A$46,$AA17)+SUMIFS(Dati!$C$2:$C$46,Dati!$A$2:$A$46,$H17,Dati!$H$2:$H$46,$AA17)+SUMIFS(Dati!$J$2:$J$46,Dati!$H$2:$H$46,$H17,Dati!$A$2:$A$46,$AA17),"-")</f>
        <v>-</v>
      </c>
      <c r="AZ17" s="22" t="str">
        <f>IF(AND($H17&lt;&gt;"",$AB17&lt;&gt;"",$H17&lt;&gt;$AB17,IFERROR(INDEX($J$14:$J$23,MATCH($H17,$H$14:$H$23,0)),-1)=IFERROR(INDEX($J$14:$J$23,MATCH($AB17,$H$14:$H$23,0)),-2)),SUMIFS(Dati!$D$2:$D$46,Dati!$A$2:$A$46,$H17,Dati!$H$2:$H$46,$AB17)+SUMIFS(Dati!$K$2:$K$46,Dati!$H$2:$H$46,$H17,Dati!$A$2:$A$46,$AB17)+SUMIFS(Dati!$C$2:$C$46,Dati!$A$2:$A$46,$H17,Dati!$H$2:$H$46,$AB17)+SUMIFS(Dati!$J$2:$J$46,Dati!$H$2:$H$46,$H17,Dati!$A$2:$A$46,$AB17),"-")</f>
        <v>-</v>
      </c>
      <c r="BA17" s="22" t="str">
        <f>IF(AND($H17&lt;&gt;"",$AC17&lt;&gt;"",$H17&lt;&gt;$AC17,IFERROR(INDEX($J$14:$J$23,MATCH($H17,$H$14:$H$23,0)),-1)=IFERROR(INDEX($J$14:$J$23,MATCH($AC17,$H$14:$H$23,0)),-2)),SUMIFS(Dati!$D$2:$D$46,Dati!$A$2:$A$46,$H17,Dati!$H$2:$H$46,$AC17)+SUMIFS(Dati!$K$2:$K$46,Dati!$H$2:$H$46,$H17,Dati!$A$2:$A$46,$AC17)+SUMIFS(Dati!$C$2:$C$46,Dati!$A$2:$A$46,$H17,Dati!$H$2:$H$46,$AC17)+SUMIFS(Dati!$J$2:$J$46,Dati!$H$2:$H$46,$H17,Dati!$A$2:$A$46,$AC17),"-")</f>
        <v>-</v>
      </c>
      <c r="BB17" s="22" t="str">
        <f>IF(AND($H17&lt;&gt;"",$AD17&lt;&gt;"",$H17&lt;&gt;$AD17,IFERROR(INDEX($J$14:$J$23,MATCH($H17,$H$14:$H$23,0)),-1)=IFERROR(INDEX($J$14:$J$23,MATCH($AD17,$H$14:$H$23,0)),-2)),SUMIFS(Dati!$D$2:$D$46,Dati!$A$2:$A$46,$H17,Dati!$H$2:$H$46,$AD17)+SUMIFS(Dati!$K$2:$K$46,Dati!$H$2:$H$46,$H17,Dati!$A$2:$A$46,$AD17)+SUMIFS(Dati!$C$2:$C$46,Dati!$A$2:$A$46,$H17,Dati!$H$2:$H$46,$AD17)+SUMIFS(Dati!$J$2:$J$46,Dati!$H$2:$H$46,$H17,Dati!$A$2:$A$46,$AD17),"-")</f>
        <v>-</v>
      </c>
      <c r="BC17" s="22" t="str">
        <f>IF(AND($H17&lt;&gt;"",$AE17&lt;&gt;"",$H17&lt;&gt;$AE17,IFERROR(INDEX($J$14:$J$23,MATCH($H17,$H$14:$H$23,0)),-1)=IFERROR(INDEX($J$14:$J$23,MATCH($AE17,$H$14:$H$23,0)),-2)),SUMIFS(Dati!$D$2:$D$46,Dati!$A$2:$A$46,$H17,Dati!$H$2:$H$46,$AE17)+SUMIFS(Dati!$K$2:$K$46,Dati!$H$2:$H$46,$H17,Dati!$A$2:$A$46,$AE17)+SUMIFS(Dati!$C$2:$C$46,Dati!$A$2:$A$46,$H17,Dati!$H$2:$H$46,$AE17)+SUMIFS(Dati!$J$2:$J$46,Dati!$H$2:$H$46,$H17,Dati!$A$2:$A$46,$AE17),"-")</f>
        <v>-</v>
      </c>
      <c r="BD17" s="22" t="str">
        <f>IF(AND($H17&lt;&gt;"",$AF17&lt;&gt;"",$H17&lt;&gt;$AF17,IFERROR(INDEX($J$14:$J$23,MATCH($H17,$H$14:$H$23,0)),-1)=IFERROR(INDEX($J$14:$J$23,MATCH($AF17,$H$14:$H$23,0)),-2)),SUMIFS(Dati!$D$2:$D$46,Dati!$A$2:$A$46,$H17,Dati!$H$2:$H$46,$AF17)+SUMIFS(Dati!$K$2:$K$46,Dati!$H$2:$H$46,$H17,Dati!$A$2:$A$46,$AF17)+SUMIFS(Dati!$C$2:$C$46,Dati!$A$2:$A$46,$H17,Dati!$H$2:$H$46,$AF17)+SUMIFS(Dati!$J$2:$J$46,Dati!$H$2:$H$46,$H17,Dati!$A$2:$A$46,$AF17),"-")</f>
        <v>-</v>
      </c>
      <c r="BE17" s="22" t="str">
        <f>IF(AND($H17&lt;&gt;"",$AG17&lt;&gt;"",$H17&lt;&gt;$AG17,IFERROR(INDEX($J$14:$J$23,MATCH($H17,$H$14:$H$23,0)),-1)=IFERROR(INDEX($J$14:$J$23,MATCH($AG17,$H$14:$H$23,0)),-2)),SUMIFS(Dati!$D$2:$D$46,Dati!$A$2:$A$46,$H17,Dati!$H$2:$H$46,$AG17)+SUMIFS(Dati!$K$2:$K$46,Dati!$H$2:$H$46,$H17,Dati!$A$2:$A$46,$AG17)+SUMIFS(Dati!$C$2:$C$46,Dati!$A$2:$A$46,$H17,Dati!$H$2:$H$46,$AG17)+SUMIFS(Dati!$J$2:$J$46,Dati!$H$2:$H$46,$H17,Dati!$A$2:$A$46,$AG17),"-")</f>
        <v>-</v>
      </c>
      <c r="BF17" s="22" t="str">
        <f>IF(AND($H17&lt;&gt;"",$AH17&lt;&gt;"",$H17&lt;&gt;$AH17,IFERROR(INDEX($J$14:$J$23,MATCH($H17,$H$14:$H$23,0)),-1)=IFERROR(INDEX($J$14:$J$23,MATCH($AH17,$H$14:$H$23,0)),-2)),SUMIFS(Dati!$D$2:$D$46,Dati!$A$2:$A$46,$H17,Dati!$H$2:$H$46,$AH17)+SUMIFS(Dati!$K$2:$K$46,Dati!$H$2:$H$46,$H17,Dati!$A$2:$A$46,$AH17)+SUMIFS(Dati!$C$2:$C$46,Dati!$A$2:$A$46,$H17,Dati!$H$2:$H$46,$AH17)+SUMIFS(Dati!$J$2:$J$46,Dati!$H$2:$H$46,$H17,Dati!$A$2:$A$46,$AH17),"-")</f>
        <v>-</v>
      </c>
      <c r="BH17" s="21" t="str">
        <f>$C17</f>
        <v>Dingo Docili-Dingoopoli DO</v>
      </c>
      <c r="BI17" s="22" t="str">
        <f>IF(AND($H17&lt;&gt;"",$Y17&lt;&gt;"",$H17&lt;&gt;$Y17,IFERROR(INDEX($J$14:$J$23,MATCH($H17,$H$14:$H$23,0)),-1)=IFERROR(INDEX($J$14:$J$23,MATCH($Y17,$H$14:$H$23,0)),-2)),SUMIFS(Dati!$E$2:$E$46,Dati!$A$2:$A$46,$H17,Dati!$H$2:$H$46,$Y17)+SUMIFS(Dati!$L$2:$L$46,Dati!$H$2:$H$46,$H17,Dati!$A$2:$A$46,$Y17),"-")</f>
        <v>-</v>
      </c>
      <c r="BJ17" s="22" t="str">
        <f>IF(AND($H17&lt;&gt;"",$Z17&lt;&gt;"",$H17&lt;&gt;$Z17,IFERROR(INDEX($J$14:$J$23,MATCH($H17,$H$14:$H$23,0)),-1)=IFERROR(INDEX($J$14:$J$23,MATCH($Z17,$H$14:$H$23,0)),-2)),SUMIFS(Dati!$E$2:$E$46,Dati!$A$2:$A$46,$H17,Dati!$H$2:$H$46,$Z17)+SUMIFS(Dati!$L$2:$L$46,Dati!$H$2:$H$46,$H17,Dati!$A$2:$A$46,$Z17),"-")</f>
        <v>-</v>
      </c>
      <c r="BK17" s="22" t="str">
        <f>IF(AND($H17&lt;&gt;"",$AA17&lt;&gt;"",$H17&lt;&gt;$AA17,IFERROR(INDEX($J$14:$J$23,MATCH($H17,$H$14:$H$23,0)),-1)=IFERROR(INDEX($J$14:$J$23,MATCH($AA17,$H$14:$H$23,0)),-2)),SUMIFS(Dati!$E$2:$E$46,Dati!$A$2:$A$46,$H17,Dati!$H$2:$H$46,$AA17)+SUMIFS(Dati!$L$2:$L$46,Dati!$H$2:$H$46,$H17,Dati!$A$2:$A$46,$AA17),"-")</f>
        <v>-</v>
      </c>
      <c r="BL17" s="22" t="str">
        <f>IF(AND($H17&lt;&gt;"",$AB17&lt;&gt;"",$H17&lt;&gt;$AB17,IFERROR(INDEX($J$14:$J$23,MATCH($H17,$H$14:$H$23,0)),-1)=IFERROR(INDEX($J$14:$J$23,MATCH($AB17,$H$14:$H$23,0)),-2)),SUMIFS(Dati!$E$2:$E$46,Dati!$A$2:$A$46,$H17,Dati!$H$2:$H$46,$AB17)+SUMIFS(Dati!$L$2:$L$46,Dati!$H$2:$H$46,$H17,Dati!$A$2:$A$46,$AB17),"-")</f>
        <v>-</v>
      </c>
      <c r="BM17" s="22" t="str">
        <f>IF(AND($H17&lt;&gt;"",$AC17&lt;&gt;"",$H17&lt;&gt;$AC17,IFERROR(INDEX($J$14:$J$23,MATCH($H17,$H$14:$H$23,0)),-1)=IFERROR(INDEX($J$14:$J$23,MATCH($AC17,$H$14:$H$23,0)),-2)),SUMIFS(Dati!$E$2:$E$46,Dati!$A$2:$A$46,$H17,Dati!$H$2:$H$46,$AC17)+SUMIFS(Dati!$L$2:$L$46,Dati!$H$2:$H$46,$H17,Dati!$A$2:$A$46,$AC17),"-")</f>
        <v>-</v>
      </c>
      <c r="BN17" s="22" t="str">
        <f>IF(AND($H17&lt;&gt;"",$AD17&lt;&gt;"",$H17&lt;&gt;$AD17,IFERROR(INDEX($J$14:$J$23,MATCH($H17,$H$14:$H$23,0)),-1)=IFERROR(INDEX($J$14:$J$23,MATCH($AD17,$H$14:$H$23,0)),-2)),SUMIFS(Dati!$E$2:$E$46,Dati!$A$2:$A$46,$H17,Dati!$H$2:$H$46,$AD17)+SUMIFS(Dati!$L$2:$L$46,Dati!$H$2:$H$46,$H17,Dati!$A$2:$A$46,$AD17),"-")</f>
        <v>-</v>
      </c>
      <c r="BO17" s="22" t="str">
        <f>IF(AND($H17&lt;&gt;"",$AE17&lt;&gt;"",$H17&lt;&gt;$AE17,IFERROR(INDEX($J$14:$J$23,MATCH($H17,$H$14:$H$23,0)),-1)=IFERROR(INDEX($J$14:$J$23,MATCH($AE17,$H$14:$H$23,0)),-2)),SUMIFS(Dati!$E$2:$E$46,Dati!$A$2:$A$46,$H17,Dati!$H$2:$H$46,$AE17)+SUMIFS(Dati!$L$2:$L$46,Dati!$H$2:$H$46,$H17,Dati!$A$2:$A$46,$AE17),"-")</f>
        <v>-</v>
      </c>
      <c r="BP17" s="22" t="str">
        <f>IF(AND($H17&lt;&gt;"",$AF17&lt;&gt;"",$H17&lt;&gt;$AF17,IFERROR(INDEX($J$14:$J$23,MATCH($H17,$H$14:$H$23,0)),-1)=IFERROR(INDEX($J$14:$J$23,MATCH($AF17,$H$14:$H$23,0)),-2)),SUMIFS(Dati!$E$2:$E$46,Dati!$A$2:$A$46,$H17,Dati!$H$2:$H$46,$AF17)+SUMIFS(Dati!$L$2:$L$46,Dati!$H$2:$H$46,$H17,Dati!$A$2:$A$46,$AF17),"-")</f>
        <v>-</v>
      </c>
      <c r="BQ17" s="22" t="str">
        <f>IF(AND($H17&lt;&gt;"",$AG17&lt;&gt;"",$H17&lt;&gt;$AG17,IFERROR(INDEX($J$14:$J$23,MATCH($H17,$H$14:$H$23,0)),-1)=IFERROR(INDEX($J$14:$J$23,MATCH($AG17,$H$14:$H$23,0)),-2)),SUMIFS(Dati!$E$2:$E$46,Dati!$A$2:$A$46,$H17,Dati!$H$2:$H$46,$AG17)+SUMIFS(Dati!$L$2:$L$46,Dati!$H$2:$H$46,$H17,Dati!$A$2:$A$46,$AG17),"-")</f>
        <v>-</v>
      </c>
      <c r="BR17" s="22" t="str">
        <f>IF(AND($H17&lt;&gt;"",$AH17&lt;&gt;"",$H17&lt;&gt;$AH17,IFERROR(INDEX($J$14:$J$23,MATCH($H17,$H$14:$H$23,0)),-1)=IFERROR(INDEX($J$14:$J$23,MATCH($AH17,$H$14:$H$23,0)),-2)),SUMIFS(Dati!$E$2:$E$46,Dati!$A$2:$A$46,$H17,Dati!$H$2:$H$46,$AH17)+SUMIFS(Dati!$L$2:$L$46,Dati!$H$2:$H$46,$H17,Dati!$A$2:$A$46,$AH17),"-")</f>
        <v>-</v>
      </c>
      <c r="BT17" s="21" t="str">
        <f>$C17</f>
        <v>Dingo Docili-Dingoopoli DO</v>
      </c>
      <c r="BU17" s="22" t="str">
        <f>IF(AND($H17&lt;&gt;"",$Y17&lt;&gt;"",$H17&lt;&gt;$Y17,IFERROR(INDEX($J$14:$J$23,MATCH($H17,$H$14:$H$23,0)),-1)=IFERROR(INDEX($J$14:$J$23,MATCH($Y17,$H$14:$H$23,0)),-2)),SUMIFS(Dati!$F$2:$F$46,Dati!$A$2:$A$46,$H17,Dati!$H$2:$H$46,$Y17)+SUMIFS(Dati!$M$2:$M$46,Dati!$H$2:$H$46,$H17,Dati!$A$2:$A$46,$Y17),"-")</f>
        <v>-</v>
      </c>
      <c r="BV17" s="22" t="str">
        <f>IF(AND($H17&lt;&gt;"",$Z17&lt;&gt;"",$H17&lt;&gt;$Z17,IFERROR(INDEX($J$14:$J$23,MATCH($H17,$H$14:$H$23,0)),-1)=IFERROR(INDEX($J$14:$J$23,MATCH($Z17,$H$14:$H$23,0)),-2)),SUMIFS(Dati!$F$2:$F$46,Dati!$A$2:$A$46,$H17,Dati!$H$2:$H$46,$Z17)+SUMIFS(Dati!$M$2:$M$46,Dati!$H$2:$H$46,$H17,Dati!$A$2:$A$46,$Z17),"-")</f>
        <v>-</v>
      </c>
      <c r="BW17" s="22" t="str">
        <f>IF(AND($H17&lt;&gt;"",$AA17&lt;&gt;"",$H17&lt;&gt;$AA17,IFERROR(INDEX($J$14:$J$23,MATCH($H17,$H$14:$H$23,0)),-1)=IFERROR(INDEX($J$14:$J$23,MATCH($AA17,$H$14:$H$23,0)),-2)),SUMIFS(Dati!$F$2:$F$46,Dati!$A$2:$A$46,$H17,Dati!$H$2:$H$46,$AA17)+SUMIFS(Dati!$M$2:$M$46,Dati!$H$2:$H$46,$H17,Dati!$A$2:$A$46,$AA17),"-")</f>
        <v>-</v>
      </c>
      <c r="BX17" s="22" t="str">
        <f>IF(AND($H17&lt;&gt;"",$AB17&lt;&gt;"",$H17&lt;&gt;$AB17,IFERROR(INDEX($J$14:$J$23,MATCH($H17,$H$14:$H$23,0)),-1)=IFERROR(INDEX($J$14:$J$23,MATCH($AB17,$H$14:$H$23,0)),-2)),SUMIFS(Dati!$F$2:$F$46,Dati!$A$2:$A$46,$H17,Dati!$H$2:$H$46,$AB17)+SUMIFS(Dati!$M$2:$M$46,Dati!$H$2:$H$46,$H17,Dati!$A$2:$A$46,$AB17),"-")</f>
        <v>-</v>
      </c>
      <c r="BY17" s="22" t="str">
        <f>IF(AND($H17&lt;&gt;"",$AC17&lt;&gt;"",$H17&lt;&gt;$AC17,IFERROR(INDEX($J$14:$J$23,MATCH($H17,$H$14:$H$23,0)),-1)=IFERROR(INDEX($J$14:$J$23,MATCH($AC17,$H$14:$H$23,0)),-2)),SUMIFS(Dati!$F$2:$F$46,Dati!$A$2:$A$46,$H17,Dati!$H$2:$H$46,$AC17)+SUMIFS(Dati!$M$2:$M$46,Dati!$H$2:$H$46,$H17,Dati!$A$2:$A$46,$AC17),"-")</f>
        <v>-</v>
      </c>
      <c r="BZ17" s="22" t="str">
        <f>IF(AND($H17&lt;&gt;"",$AD17&lt;&gt;"",$H17&lt;&gt;$AD17,IFERROR(INDEX($J$14:$J$23,MATCH($H17,$H$14:$H$23,0)),-1)=IFERROR(INDEX($J$14:$J$23,MATCH($AD17,$H$14:$H$23,0)),-2)),SUMIFS(Dati!$F$2:$F$46,Dati!$A$2:$A$46,$H17,Dati!$H$2:$H$46,$AD17)+SUMIFS(Dati!$M$2:$M$46,Dati!$H$2:$H$46,$H17,Dati!$A$2:$A$46,$AD17),"-")</f>
        <v>-</v>
      </c>
      <c r="CA17" s="22" t="str">
        <f>IF(AND($H17&lt;&gt;"",$AE17&lt;&gt;"",$H17&lt;&gt;$AE17,IFERROR(INDEX($J$14:$J$23,MATCH($H17,$H$14:$H$23,0)),-1)=IFERROR(INDEX($J$14:$J$23,MATCH($AE17,$H$14:$H$23,0)),-2)),SUMIFS(Dati!$F$2:$F$46,Dati!$A$2:$A$46,$H17,Dati!$H$2:$H$46,$AE17)+SUMIFS(Dati!$M$2:$M$46,Dati!$H$2:$H$46,$H17,Dati!$A$2:$A$46,$AE17),"-")</f>
        <v>-</v>
      </c>
      <c r="CB17" s="22" t="str">
        <f>IF(AND($H17&lt;&gt;"",$AF17&lt;&gt;"",$H17&lt;&gt;$AF17,IFERROR(INDEX($J$14:$J$23,MATCH($H17,$H$14:$H$23,0)),-1)=IFERROR(INDEX($J$14:$J$23,MATCH($AF17,$H$14:$H$23,0)),-2)),SUMIFS(Dati!$F$2:$F$46,Dati!$A$2:$A$46,$H17,Dati!$H$2:$H$46,$AF17)+SUMIFS(Dati!$M$2:$M$46,Dati!$H$2:$H$46,$H17,Dati!$A$2:$A$46,$AF17),"-")</f>
        <v>-</v>
      </c>
      <c r="CC17" s="22" t="str">
        <f>IF(AND($H17&lt;&gt;"",$AG17&lt;&gt;"",$H17&lt;&gt;$AG17,IFERROR(INDEX($J$14:$J$23,MATCH($H17,$H$14:$H$23,0)),-1)=IFERROR(INDEX($J$14:$J$23,MATCH($AG17,$H$14:$H$23,0)),-2)),SUMIFS(Dati!$F$2:$F$46,Dati!$A$2:$A$46,$H17,Dati!$H$2:$H$46,$AG17)+SUMIFS(Dati!$M$2:$M$46,Dati!$H$2:$H$46,$H17,Dati!$A$2:$A$46,$AG17),"-")</f>
        <v>-</v>
      </c>
      <c r="CD17" s="22" t="str">
        <f>IF(AND($H17&lt;&gt;"",$AH17&lt;&gt;"",$H17&lt;&gt;$AH17,IFERROR(INDEX($J$14:$J$23,MATCH($H17,$H$14:$H$23,0)),-1)=IFERROR(INDEX($J$14:$J$23,MATCH($AH17,$H$14:$H$23,0)),-2)),SUMIFS(Dati!$F$2:$F$46,Dati!$A$2:$A$46,$H17,Dati!$H$2:$H$46,$AH17)+SUMIFS(Dati!$M$2:$M$46,Dati!$H$2:$H$46,$H17,Dati!$A$2:$A$46,$AH17),"-")</f>
        <v>-</v>
      </c>
      <c r="CF17" s="22">
        <f>IF($C17="","",SUM(AK17:AT17))</f>
        <v>0</v>
      </c>
    </row>
    <row r="18">
      <c r="B18" s="12" t="inlineStr">
        <is>
          <t>A05</t>
        </is>
      </c>
      <c r="C18" s="13" t="inlineStr">
        <is>
          <t>Ermellini Eleganti-Ermelliniopoli EU</t>
        </is>
      </c>
      <c r="D18" s="14" t="n"/>
      <c r="E18" s="15" t="inlineStr">
        <is>
          <t>A</t>
        </is>
      </c>
      <c r="G18" s="16" t="str">
        <f>IF($C18="","",$E18&amp;(COUNTIFS(I$14:I$23,"&gt;"&amp;I18,E$14:E$23,"="&amp;E18,C$14:C$23,"&lt;&gt;")+COUNTIFS(I$14:I$23,"="&amp;I18,H$14:H$23,"&lt;="&amp;H18,E$14:E$23,"="&amp;E18,C$14:C$23,"&lt;&gt;")))</f>
        <v>A9</v>
      </c>
      <c r="H18" s="17" t="str">
        <f>IF($C18="","",IFERROR(LEFT($C18,FIND("-",$C18)-1),$C18))</f>
        <v>Ermellini Eleganti</v>
      </c>
      <c r="I18" s="12" t="str">
        <f>TEXT(1000000000+J18,"|0000000000|")&amp;TEXT(SUM(AK18:AT18),"0000000000|")&amp;IF(SUM(BU18:CD18)=0,"0000000000|",TEXT(ROUND(SUM(BI18:BR18)/SUM(BU18:CD18),4)*100000,"0000000000|"))&amp;IF(P18=0,"0000000000|",TEXT(ROUND(O18/P18,4)*100000,"0000000000|"))</f>
        <v>|1000000015|0000000001|0000100000|0000085360|</v>
      </c>
      <c r="J18" s="16">
        <f>L18*Campionato!$D$7+M18*Campionato!$D$8+N18*Campionato!$D$9+IF(D18="",0,D18)</f>
        <v>15</v>
      </c>
      <c r="K18" s="12">
        <f>SUM(L18:N18)</f>
        <v>9</v>
      </c>
      <c r="L18" s="12">
        <f>IF($H18="",0,SUMIF(Dati!$A$2:$A$46,$H18,Dati!$B$2:$B$46)+SUMIF(Dati!$H$2:$H$46,$H18,Dati!$I$2:$I$46))</f>
        <v>3</v>
      </c>
      <c r="M18" s="12">
        <f>IF($H18="",0,SUMIF(Dati!$A$2:$A$46,$H18,Dati!$D$2:$D$46)+SUMIF(Dati!$H$2:$H$46,$H18,Dati!$K$2:$K$46))</f>
        <v>6</v>
      </c>
      <c r="N18" s="12">
        <f>IF($H18="",0,SUMIF(Dati!$A$2:$A$46,$H18,Dati!$C$2:$C$46)+SUMIF(Dati!$H$2:$H$46,$H18,Dati!$J$2:$J$46))</f>
        <v>0</v>
      </c>
      <c r="O18" s="12">
        <f>IF($H18="",0,SUMIF(Dati!$A$2:$A$46,$H18,Dati!$E$2:$E$46)+SUMIF(Dati!$H$2:$H$46,$H18,Dati!$L$2:$L$46))</f>
        <v>414</v>
      </c>
      <c r="P18" s="12">
        <f>IF($H18="",0,SUMIF(Dati!$A$2:$A$46,$H18,Dati!$F$2:$F$46)+SUMIF(Dati!$H$2:$H$46,$H18,Dati!$M$2:$M$46))</f>
        <v>485</v>
      </c>
      <c r="Q18" s="12">
        <f>IF($H18="",0,SUMIF(Dati!$A$2:$A$46,$H18,Dati!$G$2:$G$46)+SUMIF(Dati!$H$2:$H$46,$H18,Dati!$N$2:$N$46))</f>
        <v>-71</v>
      </c>
      <c r="R18" s="12">
        <f>IF(K18=0,0,ROUND(O18/K18,2))</f>
        <v>46</v>
      </c>
      <c r="S18" s="12">
        <f>IF(K18=0,0,ROUND(P18/K18,2))</f>
        <v>53.89</v>
      </c>
      <c r="T18" s="12">
        <f>IF(K18=0,0,ROUND(Q18/K18,2))</f>
        <v>-7.89</v>
      </c>
      <c r="U18" s="12" t="str">
        <f>IF(COUNTIFS($E$14:$E$23,$E18,$J$14:$J$23,$J18,$C$14:$C$23,"&lt;&gt;")&lt;=1,"-",SUM(AK18:AT18)&amp;"-"&amp;SUM(AW18:BF18))</f>
        <v>1-1</v>
      </c>
      <c r="V18" s="18">
        <f>IF(COUNTIFS($E$14:$E$23,$E18,$J$14:$J$23,$J18,$C$14:$C$23,"&lt;&gt;",$CF$14:$CF$23,$CF18)&lt;=1,"-",IF(SUM(BU18:CD18)=0,0,ROUND(SUM(BI18:BR18)/SUM(BU18:CD18),3)))</f>
        <v>1</v>
      </c>
      <c r="W18" s="18">
        <f>IF(COUNTIFS($E$14:$E$23,$E18,$J$14:$J$23,$J18,$C$14:$C$23,"&lt;&gt;",$CF$14:$CF$23,$CF18,$V$14:$V$23,$V18)&lt;=1,"-",IF(P18=0,0,ROUND(O18/P18,3)))</f>
        <v>0.854</v>
      </c>
      <c r="X18" s="19" t="str">
        <f>IF($C18="","",$E18&amp;"#"&amp;COUNTIFS($E$14:$E18,$E18,$C$14:$C18,"&lt;&gt;"))</f>
        <v>A#5</v>
      </c>
      <c r="Y18" s="20" t="str">
        <f>IFERROR(INDEX($H$14:$H$23,MATCH($E18&amp;"#1",$X$14:$X$23,0)),"")</f>
        <v>Anaconde Audaci</v>
      </c>
      <c r="Z18" s="20" t="str">
        <f>IFERROR(INDEX($H$14:$H$23,MATCH($E18&amp;"#2",$X$14:$X$23,0)),"")</f>
        <v>Bufali Belligeranti</v>
      </c>
      <c r="AA18" s="20" t="str">
        <f>IFERROR(INDEX($H$14:$H$23,MATCH($E18&amp;"#3",$X$14:$X$23,0)),"")</f>
        <v>Cobra Celeri</v>
      </c>
      <c r="AB18" s="20" t="str">
        <f>IFERROR(INDEX($H$14:$H$23,MATCH($E18&amp;"#4",$X$14:$X$23,0)),"")</f>
        <v>Dingo Docili</v>
      </c>
      <c r="AC18" s="20" t="str">
        <f>IFERROR(INDEX($H$14:$H$23,MATCH($E18&amp;"#5",$X$14:$X$23,0)),"")</f>
        <v>Ermellini Eleganti</v>
      </c>
      <c r="AD18" s="20" t="str">
        <f>IFERROR(INDEX($H$14:$H$23,MATCH($E18&amp;"#6",$X$14:$X$23,0)),"")</f>
        <v>Falchi Feroci</v>
      </c>
      <c r="AE18" s="20" t="str">
        <f>IFERROR(INDEX($H$14:$H$23,MATCH($E18&amp;"#7",$X$14:$X$23,0)),"")</f>
        <v>Gazzelle Gentili</v>
      </c>
      <c r="AF18" s="20" t="str">
        <f>IFERROR(INDEX($H$14:$H$23,MATCH($E18&amp;"#8",$X$14:$X$23,0)),"")</f>
        <v>Ibis Instancabili</v>
      </c>
      <c r="AG18" s="20" t="str">
        <f>IFERROR(INDEX($H$14:$H$23,MATCH($E18&amp;"#9",$X$14:$X$23,0)),"")</f>
        <v>Lupi Leali</v>
      </c>
      <c r="AH18" s="20" t="str">
        <f>IFERROR(INDEX($H$14:$H$23,MATCH($E18&amp;"#10",$X$14:$X$23,0)),"")</f>
        <v>Marmotte Mobili</v>
      </c>
      <c r="AJ18" s="21" t="str">
        <f>$C18</f>
        <v>Ermellini Eleganti-Ermelliniopoli EU</v>
      </c>
      <c r="AK18" s="22" t="str">
        <f>IF(AND($H18&lt;&gt;"",$Y18&lt;&gt;"",$H18&lt;&gt;$Y18,IFERROR(INDEX($J$14:$J$23,MATCH($H18,$H$14:$H$23,0)),-1)=IFERROR(INDEX($J$14:$J$23,MATCH($Y18,$H$14:$H$23,0)),-2)),SUMIFS(Dati!$B$2:$B$46,Dati!$A$2:$A$46,$H18,Dati!$H$2:$H$46,$Y18)+SUMIFS(Dati!$I$2:$I$46,Dati!$H$2:$H$46,$H18,Dati!$A$2:$A$46,$Y18),"-")</f>
        <v>-</v>
      </c>
      <c r="AL18" s="22">
        <f>IF(AND($H18&lt;&gt;"",$Z18&lt;&gt;"",$H18&lt;&gt;$Z18,IFERROR(INDEX($J$14:$J$23,MATCH($H18,$H$14:$H$23,0)),-1)=IFERROR(INDEX($J$14:$J$23,MATCH($Z18,$H$14:$H$23,0)),-2)),SUMIFS(Dati!$B$2:$B$46,Dati!$A$2:$A$46,$H18,Dati!$H$2:$H$46,$Z18)+SUMIFS(Dati!$I$2:$I$46,Dati!$H$2:$H$46,$H18,Dati!$A$2:$A$46,$Z18),"-")</f>
        <v>0</v>
      </c>
      <c r="AM18" s="22" t="str">
        <f>IF(AND($H18&lt;&gt;"",$AA18&lt;&gt;"",$H18&lt;&gt;$AA18,IFERROR(INDEX($J$14:$J$23,MATCH($H18,$H$14:$H$23,0)),-1)=IFERROR(INDEX($J$14:$J$23,MATCH($AA18,$H$14:$H$23,0)),-2)),SUMIFS(Dati!$B$2:$B$46,Dati!$A$2:$A$46,$H18,Dati!$H$2:$H$46,$AA18)+SUMIFS(Dati!$I$2:$I$46,Dati!$H$2:$H$46,$H18,Dati!$A$2:$A$46,$AA18),"-")</f>
        <v>-</v>
      </c>
      <c r="AN18" s="22" t="str">
        <f>IF(AND($H18&lt;&gt;"",$AB18&lt;&gt;"",$H18&lt;&gt;$AB18,IFERROR(INDEX($J$14:$J$23,MATCH($H18,$H$14:$H$23,0)),-1)=IFERROR(INDEX($J$14:$J$23,MATCH($AB18,$H$14:$H$23,0)),-2)),SUMIFS(Dati!$B$2:$B$46,Dati!$A$2:$A$46,$H18,Dati!$H$2:$H$46,$AB18)+SUMIFS(Dati!$I$2:$I$46,Dati!$H$2:$H$46,$H18,Dati!$A$2:$A$46,$AB18),"-")</f>
        <v>-</v>
      </c>
      <c r="AO18" s="22" t="str">
        <f>IF(AND($H18&lt;&gt;"",$AC18&lt;&gt;"",$H18&lt;&gt;$AC18,IFERROR(INDEX($J$14:$J$23,MATCH($H18,$H$14:$H$23,0)),-1)=IFERROR(INDEX($J$14:$J$23,MATCH($AC18,$H$14:$H$23,0)),-2)),SUMIFS(Dati!$B$2:$B$46,Dati!$A$2:$A$46,$H18,Dati!$H$2:$H$46,$AC18)+SUMIFS(Dati!$I$2:$I$46,Dati!$H$2:$H$46,$H18,Dati!$A$2:$A$46,$AC18),"-")</f>
        <v>-</v>
      </c>
      <c r="AP18" s="22" t="str">
        <f>IF(AND($H18&lt;&gt;"",$AD18&lt;&gt;"",$H18&lt;&gt;$AD18,IFERROR(INDEX($J$14:$J$23,MATCH($H18,$H$14:$H$23,0)),-1)=IFERROR(INDEX($J$14:$J$23,MATCH($AD18,$H$14:$H$23,0)),-2)),SUMIFS(Dati!$B$2:$B$46,Dati!$A$2:$A$46,$H18,Dati!$H$2:$H$46,$AD18)+SUMIFS(Dati!$I$2:$I$46,Dati!$H$2:$H$46,$H18,Dati!$A$2:$A$46,$AD18),"-")</f>
        <v>-</v>
      </c>
      <c r="AQ18" s="22" t="str">
        <f>IF(AND($H18&lt;&gt;"",$AE18&lt;&gt;"",$H18&lt;&gt;$AE18,IFERROR(INDEX($J$14:$J$23,MATCH($H18,$H$14:$H$23,0)),-1)=IFERROR(INDEX($J$14:$J$23,MATCH($AE18,$H$14:$H$23,0)),-2)),SUMIFS(Dati!$B$2:$B$46,Dati!$A$2:$A$46,$H18,Dati!$H$2:$H$46,$AE18)+SUMIFS(Dati!$I$2:$I$46,Dati!$H$2:$H$46,$H18,Dati!$A$2:$A$46,$AE18),"-")</f>
        <v>-</v>
      </c>
      <c r="AR18" s="22" t="str">
        <f>IF(AND($H18&lt;&gt;"",$AF18&lt;&gt;"",$H18&lt;&gt;$AF18,IFERROR(INDEX($J$14:$J$23,MATCH($H18,$H$14:$H$23,0)),-1)=IFERROR(INDEX($J$14:$J$23,MATCH($AF18,$H$14:$H$23,0)),-2)),SUMIFS(Dati!$B$2:$B$46,Dati!$A$2:$A$46,$H18,Dati!$H$2:$H$46,$AF18)+SUMIFS(Dati!$I$2:$I$46,Dati!$H$2:$H$46,$H18,Dati!$A$2:$A$46,$AF18),"-")</f>
        <v>-</v>
      </c>
      <c r="AS18" s="22" t="str">
        <f>IF(AND($H18&lt;&gt;"",$AG18&lt;&gt;"",$H18&lt;&gt;$AG18,IFERROR(INDEX($J$14:$J$23,MATCH($H18,$H$14:$H$23,0)),-1)=IFERROR(INDEX($J$14:$J$23,MATCH($AG18,$H$14:$H$23,0)),-2)),SUMIFS(Dati!$B$2:$B$46,Dati!$A$2:$A$46,$H18,Dati!$H$2:$H$46,$AG18)+SUMIFS(Dati!$I$2:$I$46,Dati!$H$2:$H$46,$H18,Dati!$A$2:$A$46,$AG18),"-")</f>
        <v>-</v>
      </c>
      <c r="AT18" s="22">
        <f>IF(AND($H18&lt;&gt;"",$AH18&lt;&gt;"",$H18&lt;&gt;$AH18,IFERROR(INDEX($J$14:$J$23,MATCH($H18,$H$14:$H$23,0)),-1)=IFERROR(INDEX($J$14:$J$23,MATCH($AH18,$H$14:$H$23,0)),-2)),SUMIFS(Dati!$B$2:$B$46,Dati!$A$2:$A$46,$H18,Dati!$H$2:$H$46,$AH18)+SUMIFS(Dati!$I$2:$I$46,Dati!$H$2:$H$46,$H18,Dati!$A$2:$A$46,$AH18),"-")</f>
        <v>1</v>
      </c>
      <c r="AV18" s="21" t="str">
        <f>$C18</f>
        <v>Ermellini Eleganti-Ermelliniopoli EU</v>
      </c>
      <c r="AW18" s="22" t="str">
        <f>IF(AND($H18&lt;&gt;"",$Y18&lt;&gt;"",$H18&lt;&gt;$Y18,IFERROR(INDEX($J$14:$J$23,MATCH($H18,$H$14:$H$23,0)),-1)=IFERROR(INDEX($J$14:$J$23,MATCH($Y18,$H$14:$H$23,0)),-2)),SUMIFS(Dati!$D$2:$D$46,Dati!$A$2:$A$46,$H18,Dati!$H$2:$H$46,$Y18)+SUMIFS(Dati!$K$2:$K$46,Dati!$H$2:$H$46,$H18,Dati!$A$2:$A$46,$Y18)+SUMIFS(Dati!$C$2:$C$46,Dati!$A$2:$A$46,$H18,Dati!$H$2:$H$46,$Y18)+SUMIFS(Dati!$J$2:$J$46,Dati!$H$2:$H$46,$H18,Dati!$A$2:$A$46,$Y18),"-")</f>
        <v>-</v>
      </c>
      <c r="AX18" s="22">
        <f>IF(AND($H18&lt;&gt;"",$Z18&lt;&gt;"",$H18&lt;&gt;$Z18,IFERROR(INDEX($J$14:$J$23,MATCH($H18,$H$14:$H$23,0)),-1)=IFERROR(INDEX($J$14:$J$23,MATCH($Z18,$H$14:$H$23,0)),-2)),SUMIFS(Dati!$D$2:$D$46,Dati!$A$2:$A$46,$H18,Dati!$H$2:$H$46,$Z18)+SUMIFS(Dati!$K$2:$K$46,Dati!$H$2:$H$46,$H18,Dati!$A$2:$A$46,$Z18)+SUMIFS(Dati!$C$2:$C$46,Dati!$A$2:$A$46,$H18,Dati!$H$2:$H$46,$Z18)+SUMIFS(Dati!$J$2:$J$46,Dati!$H$2:$H$46,$H18,Dati!$A$2:$A$46,$Z18),"-")</f>
        <v>1</v>
      </c>
      <c r="AY18" s="22" t="str">
        <f>IF(AND($H18&lt;&gt;"",$AA18&lt;&gt;"",$H18&lt;&gt;$AA18,IFERROR(INDEX($J$14:$J$23,MATCH($H18,$H$14:$H$23,0)),-1)=IFERROR(INDEX($J$14:$J$23,MATCH($AA18,$H$14:$H$23,0)),-2)),SUMIFS(Dati!$D$2:$D$46,Dati!$A$2:$A$46,$H18,Dati!$H$2:$H$46,$AA18)+SUMIFS(Dati!$K$2:$K$46,Dati!$H$2:$H$46,$H18,Dati!$A$2:$A$46,$AA18)+SUMIFS(Dati!$C$2:$C$46,Dati!$A$2:$A$46,$H18,Dati!$H$2:$H$46,$AA18)+SUMIFS(Dati!$J$2:$J$46,Dati!$H$2:$H$46,$H18,Dati!$A$2:$A$46,$AA18),"-")</f>
        <v>-</v>
      </c>
      <c r="AZ18" s="22" t="str">
        <f>IF(AND($H18&lt;&gt;"",$AB18&lt;&gt;"",$H18&lt;&gt;$AB18,IFERROR(INDEX($J$14:$J$23,MATCH($H18,$H$14:$H$23,0)),-1)=IFERROR(INDEX($J$14:$J$23,MATCH($AB18,$H$14:$H$23,0)),-2)),SUMIFS(Dati!$D$2:$D$46,Dati!$A$2:$A$46,$H18,Dati!$H$2:$H$46,$AB18)+SUMIFS(Dati!$K$2:$K$46,Dati!$H$2:$H$46,$H18,Dati!$A$2:$A$46,$AB18)+SUMIFS(Dati!$C$2:$C$46,Dati!$A$2:$A$46,$H18,Dati!$H$2:$H$46,$AB18)+SUMIFS(Dati!$J$2:$J$46,Dati!$H$2:$H$46,$H18,Dati!$A$2:$A$46,$AB18),"-")</f>
        <v>-</v>
      </c>
      <c r="BA18" s="22" t="str">
        <f>IF(AND($H18&lt;&gt;"",$AC18&lt;&gt;"",$H18&lt;&gt;$AC18,IFERROR(INDEX($J$14:$J$23,MATCH($H18,$H$14:$H$23,0)),-1)=IFERROR(INDEX($J$14:$J$23,MATCH($AC18,$H$14:$H$23,0)),-2)),SUMIFS(Dati!$D$2:$D$46,Dati!$A$2:$A$46,$H18,Dati!$H$2:$H$46,$AC18)+SUMIFS(Dati!$K$2:$K$46,Dati!$H$2:$H$46,$H18,Dati!$A$2:$A$46,$AC18)+SUMIFS(Dati!$C$2:$C$46,Dati!$A$2:$A$46,$H18,Dati!$H$2:$H$46,$AC18)+SUMIFS(Dati!$J$2:$J$46,Dati!$H$2:$H$46,$H18,Dati!$A$2:$A$46,$AC18),"-")</f>
        <v>-</v>
      </c>
      <c r="BB18" s="22" t="str">
        <f>IF(AND($H18&lt;&gt;"",$AD18&lt;&gt;"",$H18&lt;&gt;$AD18,IFERROR(INDEX($J$14:$J$23,MATCH($H18,$H$14:$H$23,0)),-1)=IFERROR(INDEX($J$14:$J$23,MATCH($AD18,$H$14:$H$23,0)),-2)),SUMIFS(Dati!$D$2:$D$46,Dati!$A$2:$A$46,$H18,Dati!$H$2:$H$46,$AD18)+SUMIFS(Dati!$K$2:$K$46,Dati!$H$2:$H$46,$H18,Dati!$A$2:$A$46,$AD18)+SUMIFS(Dati!$C$2:$C$46,Dati!$A$2:$A$46,$H18,Dati!$H$2:$H$46,$AD18)+SUMIFS(Dati!$J$2:$J$46,Dati!$H$2:$H$46,$H18,Dati!$A$2:$A$46,$AD18),"-")</f>
        <v>-</v>
      </c>
      <c r="BC18" s="22" t="str">
        <f>IF(AND($H18&lt;&gt;"",$AE18&lt;&gt;"",$H18&lt;&gt;$AE18,IFERROR(INDEX($J$14:$J$23,MATCH($H18,$H$14:$H$23,0)),-1)=IFERROR(INDEX($J$14:$J$23,MATCH($AE18,$H$14:$H$23,0)),-2)),SUMIFS(Dati!$D$2:$D$46,Dati!$A$2:$A$46,$H18,Dati!$H$2:$H$46,$AE18)+SUMIFS(Dati!$K$2:$K$46,Dati!$H$2:$H$46,$H18,Dati!$A$2:$A$46,$AE18)+SUMIFS(Dati!$C$2:$C$46,Dati!$A$2:$A$46,$H18,Dati!$H$2:$H$46,$AE18)+SUMIFS(Dati!$J$2:$J$46,Dati!$H$2:$H$46,$H18,Dati!$A$2:$A$46,$AE18),"-")</f>
        <v>-</v>
      </c>
      <c r="BD18" s="22" t="str">
        <f>IF(AND($H18&lt;&gt;"",$AF18&lt;&gt;"",$H18&lt;&gt;$AF18,IFERROR(INDEX($J$14:$J$23,MATCH($H18,$H$14:$H$23,0)),-1)=IFERROR(INDEX($J$14:$J$23,MATCH($AF18,$H$14:$H$23,0)),-2)),SUMIFS(Dati!$D$2:$D$46,Dati!$A$2:$A$46,$H18,Dati!$H$2:$H$46,$AF18)+SUMIFS(Dati!$K$2:$K$46,Dati!$H$2:$H$46,$H18,Dati!$A$2:$A$46,$AF18)+SUMIFS(Dati!$C$2:$C$46,Dati!$A$2:$A$46,$H18,Dati!$H$2:$H$46,$AF18)+SUMIFS(Dati!$J$2:$J$46,Dati!$H$2:$H$46,$H18,Dati!$A$2:$A$46,$AF18),"-")</f>
        <v>-</v>
      </c>
      <c r="BE18" s="22" t="str">
        <f>IF(AND($H18&lt;&gt;"",$AG18&lt;&gt;"",$H18&lt;&gt;$AG18,IFERROR(INDEX($J$14:$J$23,MATCH($H18,$H$14:$H$23,0)),-1)=IFERROR(INDEX($J$14:$J$23,MATCH($AG18,$H$14:$H$23,0)),-2)),SUMIFS(Dati!$D$2:$D$46,Dati!$A$2:$A$46,$H18,Dati!$H$2:$H$46,$AG18)+SUMIFS(Dati!$K$2:$K$46,Dati!$H$2:$H$46,$H18,Dati!$A$2:$A$46,$AG18)+SUMIFS(Dati!$C$2:$C$46,Dati!$A$2:$A$46,$H18,Dati!$H$2:$H$46,$AG18)+SUMIFS(Dati!$J$2:$J$46,Dati!$H$2:$H$46,$H18,Dati!$A$2:$A$46,$AG18),"-")</f>
        <v>-</v>
      </c>
      <c r="BF18" s="22">
        <f>IF(AND($H18&lt;&gt;"",$AH18&lt;&gt;"",$H18&lt;&gt;$AH18,IFERROR(INDEX($J$14:$J$23,MATCH($H18,$H$14:$H$23,0)),-1)=IFERROR(INDEX($J$14:$J$23,MATCH($AH18,$H$14:$H$23,0)),-2)),SUMIFS(Dati!$D$2:$D$46,Dati!$A$2:$A$46,$H18,Dati!$H$2:$H$46,$AH18)+SUMIFS(Dati!$K$2:$K$46,Dati!$H$2:$H$46,$H18,Dati!$A$2:$A$46,$AH18)+SUMIFS(Dati!$C$2:$C$46,Dati!$A$2:$A$46,$H18,Dati!$H$2:$H$46,$AH18)+SUMIFS(Dati!$J$2:$J$46,Dati!$H$2:$H$46,$H18,Dati!$A$2:$A$46,$AH18),"-")</f>
        <v>0</v>
      </c>
      <c r="BH18" s="21" t="str">
        <f>$C18</f>
        <v>Ermellini Eleganti-Ermelliniopoli EU</v>
      </c>
      <c r="BI18" s="22" t="str">
        <f>IF(AND($H18&lt;&gt;"",$Y18&lt;&gt;"",$H18&lt;&gt;$Y18,IFERROR(INDEX($J$14:$J$23,MATCH($H18,$H$14:$H$23,0)),-1)=IFERROR(INDEX($J$14:$J$23,MATCH($Y18,$H$14:$H$23,0)),-2)),SUMIFS(Dati!$E$2:$E$46,Dati!$A$2:$A$46,$H18,Dati!$H$2:$H$46,$Y18)+SUMIFS(Dati!$L$2:$L$46,Dati!$H$2:$H$46,$H18,Dati!$A$2:$A$46,$Y18),"-")</f>
        <v>-</v>
      </c>
      <c r="BJ18" s="22">
        <f>IF(AND($H18&lt;&gt;"",$Z18&lt;&gt;"",$H18&lt;&gt;$Z18,IFERROR(INDEX($J$14:$J$23,MATCH($H18,$H$14:$H$23,0)),-1)=IFERROR(INDEX($J$14:$J$23,MATCH($Z18,$H$14:$H$23,0)),-2)),SUMIFS(Dati!$E$2:$E$46,Dati!$A$2:$A$46,$H18,Dati!$H$2:$H$46,$Z18)+SUMIFS(Dati!$L$2:$L$46,Dati!$H$2:$H$46,$H18,Dati!$A$2:$A$46,$Z18),"-")</f>
        <v>40</v>
      </c>
      <c r="BK18" s="22" t="str">
        <f>IF(AND($H18&lt;&gt;"",$AA18&lt;&gt;"",$H18&lt;&gt;$AA18,IFERROR(INDEX($J$14:$J$23,MATCH($H18,$H$14:$H$23,0)),-1)=IFERROR(INDEX($J$14:$J$23,MATCH($AA18,$H$14:$H$23,0)),-2)),SUMIFS(Dati!$E$2:$E$46,Dati!$A$2:$A$46,$H18,Dati!$H$2:$H$46,$AA18)+SUMIFS(Dati!$L$2:$L$46,Dati!$H$2:$H$46,$H18,Dati!$A$2:$A$46,$AA18),"-")</f>
        <v>-</v>
      </c>
      <c r="BL18" s="22" t="str">
        <f>IF(AND($H18&lt;&gt;"",$AB18&lt;&gt;"",$H18&lt;&gt;$AB18,IFERROR(INDEX($J$14:$J$23,MATCH($H18,$H$14:$H$23,0)),-1)=IFERROR(INDEX($J$14:$J$23,MATCH($AB18,$H$14:$H$23,0)),-2)),SUMIFS(Dati!$E$2:$E$46,Dati!$A$2:$A$46,$H18,Dati!$H$2:$H$46,$AB18)+SUMIFS(Dati!$L$2:$L$46,Dati!$H$2:$H$46,$H18,Dati!$A$2:$A$46,$AB18),"-")</f>
        <v>-</v>
      </c>
      <c r="BM18" s="22" t="str">
        <f>IF(AND($H18&lt;&gt;"",$AC18&lt;&gt;"",$H18&lt;&gt;$AC18,IFERROR(INDEX($J$14:$J$23,MATCH($H18,$H$14:$H$23,0)),-1)=IFERROR(INDEX($J$14:$J$23,MATCH($AC18,$H$14:$H$23,0)),-2)),SUMIFS(Dati!$E$2:$E$46,Dati!$A$2:$A$46,$H18,Dati!$H$2:$H$46,$AC18)+SUMIFS(Dati!$L$2:$L$46,Dati!$H$2:$H$46,$H18,Dati!$A$2:$A$46,$AC18),"-")</f>
        <v>-</v>
      </c>
      <c r="BN18" s="22" t="str">
        <f>IF(AND($H18&lt;&gt;"",$AD18&lt;&gt;"",$H18&lt;&gt;$AD18,IFERROR(INDEX($J$14:$J$23,MATCH($H18,$H$14:$H$23,0)),-1)=IFERROR(INDEX($J$14:$J$23,MATCH($AD18,$H$14:$H$23,0)),-2)),SUMIFS(Dati!$E$2:$E$46,Dati!$A$2:$A$46,$H18,Dati!$H$2:$H$46,$AD18)+SUMIFS(Dati!$L$2:$L$46,Dati!$H$2:$H$46,$H18,Dati!$A$2:$A$46,$AD18),"-")</f>
        <v>-</v>
      </c>
      <c r="BO18" s="22" t="str">
        <f>IF(AND($H18&lt;&gt;"",$AE18&lt;&gt;"",$H18&lt;&gt;$AE18,IFERROR(INDEX($J$14:$J$23,MATCH($H18,$H$14:$H$23,0)),-1)=IFERROR(INDEX($J$14:$J$23,MATCH($AE18,$H$14:$H$23,0)),-2)),SUMIFS(Dati!$E$2:$E$46,Dati!$A$2:$A$46,$H18,Dati!$H$2:$H$46,$AE18)+SUMIFS(Dati!$L$2:$L$46,Dati!$H$2:$H$46,$H18,Dati!$A$2:$A$46,$AE18),"-")</f>
        <v>-</v>
      </c>
      <c r="BP18" s="22" t="str">
        <f>IF(AND($H18&lt;&gt;"",$AF18&lt;&gt;"",$H18&lt;&gt;$AF18,IFERROR(INDEX($J$14:$J$23,MATCH($H18,$H$14:$H$23,0)),-1)=IFERROR(INDEX($J$14:$J$23,MATCH($AF18,$H$14:$H$23,0)),-2)),SUMIFS(Dati!$E$2:$E$46,Dati!$A$2:$A$46,$H18,Dati!$H$2:$H$46,$AF18)+SUMIFS(Dati!$L$2:$L$46,Dati!$H$2:$H$46,$H18,Dati!$A$2:$A$46,$AF18),"-")</f>
        <v>-</v>
      </c>
      <c r="BQ18" s="22" t="str">
        <f>IF(AND($H18&lt;&gt;"",$AG18&lt;&gt;"",$H18&lt;&gt;$AG18,IFERROR(INDEX($J$14:$J$23,MATCH($H18,$H$14:$H$23,0)),-1)=IFERROR(INDEX($J$14:$J$23,MATCH($AG18,$H$14:$H$23,0)),-2)),SUMIFS(Dati!$E$2:$E$46,Dati!$A$2:$A$46,$H18,Dati!$H$2:$H$46,$AG18)+SUMIFS(Dati!$L$2:$L$46,Dati!$H$2:$H$46,$H18,Dati!$A$2:$A$46,$AG18),"-")</f>
        <v>-</v>
      </c>
      <c r="BR18" s="22">
        <f>IF(AND($H18&lt;&gt;"",$AH18&lt;&gt;"",$H18&lt;&gt;$AH18,IFERROR(INDEX($J$14:$J$23,MATCH($H18,$H$14:$H$23,0)),-1)=IFERROR(INDEX($J$14:$J$23,MATCH($AH18,$H$14:$H$23,0)),-2)),SUMIFS(Dati!$E$2:$E$46,Dati!$A$2:$A$46,$H18,Dati!$H$2:$H$46,$AH18)+SUMIFS(Dati!$L$2:$L$46,Dati!$H$2:$H$46,$H18,Dati!$A$2:$A$46,$AH18),"-")</f>
        <v>50</v>
      </c>
      <c r="BT18" s="21" t="str">
        <f>$C18</f>
        <v>Ermellini Eleganti-Ermelliniopoli EU</v>
      </c>
      <c r="BU18" s="22" t="str">
        <f>IF(AND($H18&lt;&gt;"",$Y18&lt;&gt;"",$H18&lt;&gt;$Y18,IFERROR(INDEX($J$14:$J$23,MATCH($H18,$H$14:$H$23,0)),-1)=IFERROR(INDEX($J$14:$J$23,MATCH($Y18,$H$14:$H$23,0)),-2)),SUMIFS(Dati!$F$2:$F$46,Dati!$A$2:$A$46,$H18,Dati!$H$2:$H$46,$Y18)+SUMIFS(Dati!$M$2:$M$46,Dati!$H$2:$H$46,$H18,Dati!$A$2:$A$46,$Y18),"-")</f>
        <v>-</v>
      </c>
      <c r="BV18" s="22">
        <f>IF(AND($H18&lt;&gt;"",$Z18&lt;&gt;"",$H18&lt;&gt;$Z18,IFERROR(INDEX($J$14:$J$23,MATCH($H18,$H$14:$H$23,0)),-1)=IFERROR(INDEX($J$14:$J$23,MATCH($Z18,$H$14:$H$23,0)),-2)),SUMIFS(Dati!$F$2:$F$46,Dati!$A$2:$A$46,$H18,Dati!$H$2:$H$46,$Z18)+SUMIFS(Dati!$M$2:$M$46,Dati!$H$2:$H$46,$H18,Dati!$A$2:$A$46,$Z18),"-")</f>
        <v>50</v>
      </c>
      <c r="BW18" s="22" t="str">
        <f>IF(AND($H18&lt;&gt;"",$AA18&lt;&gt;"",$H18&lt;&gt;$AA18,IFERROR(INDEX($J$14:$J$23,MATCH($H18,$H$14:$H$23,0)),-1)=IFERROR(INDEX($J$14:$J$23,MATCH($AA18,$H$14:$H$23,0)),-2)),SUMIFS(Dati!$F$2:$F$46,Dati!$A$2:$A$46,$H18,Dati!$H$2:$H$46,$AA18)+SUMIFS(Dati!$M$2:$M$46,Dati!$H$2:$H$46,$H18,Dati!$A$2:$A$46,$AA18),"-")</f>
        <v>-</v>
      </c>
      <c r="BX18" s="22" t="str">
        <f>IF(AND($H18&lt;&gt;"",$AB18&lt;&gt;"",$H18&lt;&gt;$AB18,IFERROR(INDEX($J$14:$J$23,MATCH($H18,$H$14:$H$23,0)),-1)=IFERROR(INDEX($J$14:$J$23,MATCH($AB18,$H$14:$H$23,0)),-2)),SUMIFS(Dati!$F$2:$F$46,Dati!$A$2:$A$46,$H18,Dati!$H$2:$H$46,$AB18)+SUMIFS(Dati!$M$2:$M$46,Dati!$H$2:$H$46,$H18,Dati!$A$2:$A$46,$AB18),"-")</f>
        <v>-</v>
      </c>
      <c r="BY18" s="22" t="str">
        <f>IF(AND($H18&lt;&gt;"",$AC18&lt;&gt;"",$H18&lt;&gt;$AC18,IFERROR(INDEX($J$14:$J$23,MATCH($H18,$H$14:$H$23,0)),-1)=IFERROR(INDEX($J$14:$J$23,MATCH($AC18,$H$14:$H$23,0)),-2)),SUMIFS(Dati!$F$2:$F$46,Dati!$A$2:$A$46,$H18,Dati!$H$2:$H$46,$AC18)+SUMIFS(Dati!$M$2:$M$46,Dati!$H$2:$H$46,$H18,Dati!$A$2:$A$46,$AC18),"-")</f>
        <v>-</v>
      </c>
      <c r="BZ18" s="22" t="str">
        <f>IF(AND($H18&lt;&gt;"",$AD18&lt;&gt;"",$H18&lt;&gt;$AD18,IFERROR(INDEX($J$14:$J$23,MATCH($H18,$H$14:$H$23,0)),-1)=IFERROR(INDEX($J$14:$J$23,MATCH($AD18,$H$14:$H$23,0)),-2)),SUMIFS(Dati!$F$2:$F$46,Dati!$A$2:$A$46,$H18,Dati!$H$2:$H$46,$AD18)+SUMIFS(Dati!$M$2:$M$46,Dati!$H$2:$H$46,$H18,Dati!$A$2:$A$46,$AD18),"-")</f>
        <v>-</v>
      </c>
      <c r="CA18" s="22" t="str">
        <f>IF(AND($H18&lt;&gt;"",$AE18&lt;&gt;"",$H18&lt;&gt;$AE18,IFERROR(INDEX($J$14:$J$23,MATCH($H18,$H$14:$H$23,0)),-1)=IFERROR(INDEX($J$14:$J$23,MATCH($AE18,$H$14:$H$23,0)),-2)),SUMIFS(Dati!$F$2:$F$46,Dati!$A$2:$A$46,$H18,Dati!$H$2:$H$46,$AE18)+SUMIFS(Dati!$M$2:$M$46,Dati!$H$2:$H$46,$H18,Dati!$A$2:$A$46,$AE18),"-")</f>
        <v>-</v>
      </c>
      <c r="CB18" s="22" t="str">
        <f>IF(AND($H18&lt;&gt;"",$AF18&lt;&gt;"",$H18&lt;&gt;$AF18,IFERROR(INDEX($J$14:$J$23,MATCH($H18,$H$14:$H$23,0)),-1)=IFERROR(INDEX($J$14:$J$23,MATCH($AF18,$H$14:$H$23,0)),-2)),SUMIFS(Dati!$F$2:$F$46,Dati!$A$2:$A$46,$H18,Dati!$H$2:$H$46,$AF18)+SUMIFS(Dati!$M$2:$M$46,Dati!$H$2:$H$46,$H18,Dati!$A$2:$A$46,$AF18),"-")</f>
        <v>-</v>
      </c>
      <c r="CC18" s="22" t="str">
        <f>IF(AND($H18&lt;&gt;"",$AG18&lt;&gt;"",$H18&lt;&gt;$AG18,IFERROR(INDEX($J$14:$J$23,MATCH($H18,$H$14:$H$23,0)),-1)=IFERROR(INDEX($J$14:$J$23,MATCH($AG18,$H$14:$H$23,0)),-2)),SUMIFS(Dati!$F$2:$F$46,Dati!$A$2:$A$46,$H18,Dati!$H$2:$H$46,$AG18)+SUMIFS(Dati!$M$2:$M$46,Dati!$H$2:$H$46,$H18,Dati!$A$2:$A$46,$AG18),"-")</f>
        <v>-</v>
      </c>
      <c r="CD18" s="22">
        <f>IF(AND($H18&lt;&gt;"",$AH18&lt;&gt;"",$H18&lt;&gt;$AH18,IFERROR(INDEX($J$14:$J$23,MATCH($H18,$H$14:$H$23,0)),-1)=IFERROR(INDEX($J$14:$J$23,MATCH($AH18,$H$14:$H$23,0)),-2)),SUMIFS(Dati!$F$2:$F$46,Dati!$A$2:$A$46,$H18,Dati!$H$2:$H$46,$AH18)+SUMIFS(Dati!$M$2:$M$46,Dati!$H$2:$H$46,$H18,Dati!$A$2:$A$46,$AH18),"-")</f>
        <v>40</v>
      </c>
      <c r="CF18" s="22">
        <f>IF($C18="","",SUM(AK18:AT18))</f>
        <v>1</v>
      </c>
    </row>
    <row r="19">
      <c r="B19" s="12" t="inlineStr">
        <is>
          <t>A06</t>
        </is>
      </c>
      <c r="C19" s="13" t="inlineStr">
        <is>
          <t>Falchi Feroci-Falchiopoli FA</t>
        </is>
      </c>
      <c r="D19" s="14" t="n"/>
      <c r="E19" s="15" t="inlineStr">
        <is>
          <t>A</t>
        </is>
      </c>
      <c r="G19" s="16" t="str">
        <f>IF($C19="","",$E19&amp;(COUNTIFS(I$14:I$23,"&gt;"&amp;I19,E$14:E$23,"="&amp;E19,C$14:C$23,"&lt;&gt;")+COUNTIFS(I$14:I$23,"="&amp;I19,H$14:H$23,"&lt;="&amp;H19,E$14:E$23,"="&amp;E19,C$14:C$23,"&lt;&gt;")))</f>
        <v>A4</v>
      </c>
      <c r="H19" s="17" t="str">
        <f>IF($C19="","",IFERROR(LEFT($C19,FIND("-",$C19)-1),$C19))</f>
        <v>Falchi Feroci</v>
      </c>
      <c r="I19" s="12" t="str">
        <f>TEXT(1000000000+J19,"|0000000000|")&amp;TEXT(SUM(AK19:AT19),"0000000000|")&amp;IF(SUM(BU19:CD19)=0,"0000000000|",TEXT(ROUND(SUM(BI19:BR19)/SUM(BU19:CD19),4)*100000,"0000000000|"))&amp;IF(P19=0,"0000000000|",TEXT(ROUND(O19/P19,4)*100000,"0000000000|"))</f>
        <v>|1000000021|0000000001|0000086360|0000105940|</v>
      </c>
      <c r="J19" s="16">
        <f>L19*Campionato!$D$7+M19*Campionato!$D$8+N19*Campionato!$D$9+IF(D19="",0,D19)</f>
        <v>21</v>
      </c>
      <c r="K19" s="12">
        <f>SUM(L19:N19)</f>
        <v>9</v>
      </c>
      <c r="L19" s="12">
        <f>IF($H19="",0,SUMIF(Dati!$A$2:$A$46,$H19,Dati!$B$2:$B$46)+SUMIF(Dati!$H$2:$H$46,$H19,Dati!$I$2:$I$46))</f>
        <v>6</v>
      </c>
      <c r="M19" s="12">
        <f>IF($H19="",0,SUMIF(Dati!$A$2:$A$46,$H19,Dati!$D$2:$D$46)+SUMIF(Dati!$H$2:$H$46,$H19,Dati!$K$2:$K$46))</f>
        <v>3</v>
      </c>
      <c r="N19" s="12">
        <f>IF($H19="",0,SUMIF(Dati!$A$2:$A$46,$H19,Dati!$C$2:$C$46)+SUMIF(Dati!$H$2:$H$46,$H19,Dati!$J$2:$J$46))</f>
        <v>0</v>
      </c>
      <c r="O19" s="12">
        <f>IF($H19="",0,SUMIF(Dati!$A$2:$A$46,$H19,Dati!$E$2:$E$46)+SUMIF(Dati!$H$2:$H$46,$H19,Dati!$L$2:$L$46))</f>
        <v>499</v>
      </c>
      <c r="P19" s="12">
        <f>IF($H19="",0,SUMIF(Dati!$A$2:$A$46,$H19,Dati!$F$2:$F$46)+SUMIF(Dati!$H$2:$H$46,$H19,Dati!$M$2:$M$46))</f>
        <v>471</v>
      </c>
      <c r="Q19" s="12">
        <f>IF($H19="",0,SUMIF(Dati!$A$2:$A$46,$H19,Dati!$G$2:$G$46)+SUMIF(Dati!$H$2:$H$46,$H19,Dati!$N$2:$N$46))</f>
        <v>28</v>
      </c>
      <c r="R19" s="12">
        <f>IF(K19=0,0,ROUND(O19/K19,2))</f>
        <v>55.44</v>
      </c>
      <c r="S19" s="12">
        <f>IF(K19=0,0,ROUND(P19/K19,2))</f>
        <v>52.33</v>
      </c>
      <c r="T19" s="12">
        <f>IF(K19=0,0,ROUND(Q19/K19,2))</f>
        <v>3.11</v>
      </c>
      <c r="U19" s="12" t="str">
        <f>IF(COUNTIFS($E$14:$E$23,$E19,$J$14:$J$23,$J19,$C$14:$C$23,"&lt;&gt;")&lt;=1,"-",SUM(AK19:AT19)&amp;"-"&amp;SUM(AW19:BF19))</f>
        <v>1-1</v>
      </c>
      <c r="V19" s="18">
        <f>IF(COUNTIFS($E$14:$E$23,$E19,$J$14:$J$23,$J19,$C$14:$C$23,"&lt;&gt;",$CF$14:$CF$23,$CF19)&lt;=1,"-",IF(SUM(BU19:CD19)=0,0,ROUND(SUM(BI19:BR19)/SUM(BU19:CD19),3)))</f>
        <v>0.864</v>
      </c>
      <c r="W19" s="18" t="str">
        <f>IF(COUNTIFS($E$14:$E$23,$E19,$J$14:$J$23,$J19,$C$14:$C$23,"&lt;&gt;",$CF$14:$CF$23,$CF19,$V$14:$V$23,$V19)&lt;=1,"-",IF(P19=0,0,ROUND(O19/P19,3)))</f>
        <v>-</v>
      </c>
      <c r="X19" s="19" t="str">
        <f>IF($C19="","",$E19&amp;"#"&amp;COUNTIFS($E$14:$E19,$E19,$C$14:$C19,"&lt;&gt;"))</f>
        <v>A#6</v>
      </c>
      <c r="Y19" s="20" t="str">
        <f>IFERROR(INDEX($H$14:$H$23,MATCH($E19&amp;"#1",$X$14:$X$23,0)),"")</f>
        <v>Anaconde Audaci</v>
      </c>
      <c r="Z19" s="20" t="str">
        <f>IFERROR(INDEX($H$14:$H$23,MATCH($E19&amp;"#2",$X$14:$X$23,0)),"")</f>
        <v>Bufali Belligeranti</v>
      </c>
      <c r="AA19" s="20" t="str">
        <f>IFERROR(INDEX($H$14:$H$23,MATCH($E19&amp;"#3",$X$14:$X$23,0)),"")</f>
        <v>Cobra Celeri</v>
      </c>
      <c r="AB19" s="20" t="str">
        <f>IFERROR(INDEX($H$14:$H$23,MATCH($E19&amp;"#4",$X$14:$X$23,0)),"")</f>
        <v>Dingo Docili</v>
      </c>
      <c r="AC19" s="20" t="str">
        <f>IFERROR(INDEX($H$14:$H$23,MATCH($E19&amp;"#5",$X$14:$X$23,0)),"")</f>
        <v>Ermellini Eleganti</v>
      </c>
      <c r="AD19" s="20" t="str">
        <f>IFERROR(INDEX($H$14:$H$23,MATCH($E19&amp;"#6",$X$14:$X$23,0)),"")</f>
        <v>Falchi Feroci</v>
      </c>
      <c r="AE19" s="20" t="str">
        <f>IFERROR(INDEX($H$14:$H$23,MATCH($E19&amp;"#7",$X$14:$X$23,0)),"")</f>
        <v>Gazzelle Gentili</v>
      </c>
      <c r="AF19" s="20" t="str">
        <f>IFERROR(INDEX($H$14:$H$23,MATCH($E19&amp;"#8",$X$14:$X$23,0)),"")</f>
        <v>Ibis Instancabili</v>
      </c>
      <c r="AG19" s="20" t="str">
        <f>IFERROR(INDEX($H$14:$H$23,MATCH($E19&amp;"#9",$X$14:$X$23,0)),"")</f>
        <v>Lupi Leali</v>
      </c>
      <c r="AH19" s="20" t="str">
        <f>IFERROR(INDEX($H$14:$H$23,MATCH($E19&amp;"#10",$X$14:$X$23,0)),"")</f>
        <v>Marmotte Mobili</v>
      </c>
      <c r="AJ19" s="21" t="str">
        <f>$C19</f>
        <v>Falchi Feroci-Falchiopoli FA</v>
      </c>
      <c r="AK19" s="22">
        <f>IF(AND($H19&lt;&gt;"",$Y19&lt;&gt;"",$H19&lt;&gt;$Y19,IFERROR(INDEX($J$14:$J$23,MATCH($H19,$H$14:$H$23,0)),-1)=IFERROR(INDEX($J$14:$J$23,MATCH($Y19,$H$14:$H$23,0)),-2)),SUMIFS(Dati!$B$2:$B$46,Dati!$A$2:$A$46,$H19,Dati!$H$2:$H$46,$Y19)+SUMIFS(Dati!$I$2:$I$46,Dati!$H$2:$H$46,$H19,Dati!$A$2:$A$46,$Y19),"-")</f>
        <v>0</v>
      </c>
      <c r="AL19" s="22" t="str">
        <f>IF(AND($H19&lt;&gt;"",$Z19&lt;&gt;"",$H19&lt;&gt;$Z19,IFERROR(INDEX($J$14:$J$23,MATCH($H19,$H$14:$H$23,0)),-1)=IFERROR(INDEX($J$14:$J$23,MATCH($Z19,$H$14:$H$23,0)),-2)),SUMIFS(Dati!$B$2:$B$46,Dati!$A$2:$A$46,$H19,Dati!$H$2:$H$46,$Z19)+SUMIFS(Dati!$I$2:$I$46,Dati!$H$2:$H$46,$H19,Dati!$A$2:$A$46,$Z19),"-")</f>
        <v>-</v>
      </c>
      <c r="AM19" s="22" t="str">
        <f>IF(AND($H19&lt;&gt;"",$AA19&lt;&gt;"",$H19&lt;&gt;$AA19,IFERROR(INDEX($J$14:$J$23,MATCH($H19,$H$14:$H$23,0)),-1)=IFERROR(INDEX($J$14:$J$23,MATCH($AA19,$H$14:$H$23,0)),-2)),SUMIFS(Dati!$B$2:$B$46,Dati!$A$2:$A$46,$H19,Dati!$H$2:$H$46,$AA19)+SUMIFS(Dati!$I$2:$I$46,Dati!$H$2:$H$46,$H19,Dati!$A$2:$A$46,$AA19),"-")</f>
        <v>-</v>
      </c>
      <c r="AN19" s="22" t="str">
        <f>IF(AND($H19&lt;&gt;"",$AB19&lt;&gt;"",$H19&lt;&gt;$AB19,IFERROR(INDEX($J$14:$J$23,MATCH($H19,$H$14:$H$23,0)),-1)=IFERROR(INDEX($J$14:$J$23,MATCH($AB19,$H$14:$H$23,0)),-2)),SUMIFS(Dati!$B$2:$B$46,Dati!$A$2:$A$46,$H19,Dati!$H$2:$H$46,$AB19)+SUMIFS(Dati!$I$2:$I$46,Dati!$H$2:$H$46,$H19,Dati!$A$2:$A$46,$AB19),"-")</f>
        <v>-</v>
      </c>
      <c r="AO19" s="22" t="str">
        <f>IF(AND($H19&lt;&gt;"",$AC19&lt;&gt;"",$H19&lt;&gt;$AC19,IFERROR(INDEX($J$14:$J$23,MATCH($H19,$H$14:$H$23,0)),-1)=IFERROR(INDEX($J$14:$J$23,MATCH($AC19,$H$14:$H$23,0)),-2)),SUMIFS(Dati!$B$2:$B$46,Dati!$A$2:$A$46,$H19,Dati!$H$2:$H$46,$AC19)+SUMIFS(Dati!$I$2:$I$46,Dati!$H$2:$H$46,$H19,Dati!$A$2:$A$46,$AC19),"-")</f>
        <v>-</v>
      </c>
      <c r="AP19" s="22" t="str">
        <f>IF(AND($H19&lt;&gt;"",$AD19&lt;&gt;"",$H19&lt;&gt;$AD19,IFERROR(INDEX($J$14:$J$23,MATCH($H19,$H$14:$H$23,0)),-1)=IFERROR(INDEX($J$14:$J$23,MATCH($AD19,$H$14:$H$23,0)),-2)),SUMIFS(Dati!$B$2:$B$46,Dati!$A$2:$A$46,$H19,Dati!$H$2:$H$46,$AD19)+SUMIFS(Dati!$I$2:$I$46,Dati!$H$2:$H$46,$H19,Dati!$A$2:$A$46,$AD19),"-")</f>
        <v>-</v>
      </c>
      <c r="AQ19" s="22" t="str">
        <f>IF(AND($H19&lt;&gt;"",$AE19&lt;&gt;"",$H19&lt;&gt;$AE19,IFERROR(INDEX($J$14:$J$23,MATCH($H19,$H$14:$H$23,0)),-1)=IFERROR(INDEX($J$14:$J$23,MATCH($AE19,$H$14:$H$23,0)),-2)),SUMIFS(Dati!$B$2:$B$46,Dati!$A$2:$A$46,$H19,Dati!$H$2:$H$46,$AE19)+SUMIFS(Dati!$I$2:$I$46,Dati!$H$2:$H$46,$H19,Dati!$A$2:$A$46,$AE19),"-")</f>
        <v>-</v>
      </c>
      <c r="AR19" s="22" t="str">
        <f>IF(AND($H19&lt;&gt;"",$AF19&lt;&gt;"",$H19&lt;&gt;$AF19,IFERROR(INDEX($J$14:$J$23,MATCH($H19,$H$14:$H$23,0)),-1)=IFERROR(INDEX($J$14:$J$23,MATCH($AF19,$H$14:$H$23,0)),-2)),SUMIFS(Dati!$B$2:$B$46,Dati!$A$2:$A$46,$H19,Dati!$H$2:$H$46,$AF19)+SUMIFS(Dati!$I$2:$I$46,Dati!$H$2:$H$46,$H19,Dati!$A$2:$A$46,$AF19),"-")</f>
        <v>-</v>
      </c>
      <c r="AS19" s="22">
        <f>IF(AND($H19&lt;&gt;"",$AG19&lt;&gt;"",$H19&lt;&gt;$AG19,IFERROR(INDEX($J$14:$J$23,MATCH($H19,$H$14:$H$23,0)),-1)=IFERROR(INDEX($J$14:$J$23,MATCH($AG19,$H$14:$H$23,0)),-2)),SUMIFS(Dati!$B$2:$B$46,Dati!$A$2:$A$46,$H19,Dati!$H$2:$H$46,$AG19)+SUMIFS(Dati!$I$2:$I$46,Dati!$H$2:$H$46,$H19,Dati!$A$2:$A$46,$AG19),"-")</f>
        <v>1</v>
      </c>
      <c r="AT19" s="22" t="str">
        <f>IF(AND($H19&lt;&gt;"",$AH19&lt;&gt;"",$H19&lt;&gt;$AH19,IFERROR(INDEX($J$14:$J$23,MATCH($H19,$H$14:$H$23,0)),-1)=IFERROR(INDEX($J$14:$J$23,MATCH($AH19,$H$14:$H$23,0)),-2)),SUMIFS(Dati!$B$2:$B$46,Dati!$A$2:$A$46,$H19,Dati!$H$2:$H$46,$AH19)+SUMIFS(Dati!$I$2:$I$46,Dati!$H$2:$H$46,$H19,Dati!$A$2:$A$46,$AH19),"-")</f>
        <v>-</v>
      </c>
      <c r="AV19" s="21" t="str">
        <f>$C19</f>
        <v>Falchi Feroci-Falchiopoli FA</v>
      </c>
      <c r="AW19" s="22">
        <f>IF(AND($H19&lt;&gt;"",$Y19&lt;&gt;"",$H19&lt;&gt;$Y19,IFERROR(INDEX($J$14:$J$23,MATCH($H19,$H$14:$H$23,0)),-1)=IFERROR(INDEX($J$14:$J$23,MATCH($Y19,$H$14:$H$23,0)),-2)),SUMIFS(Dati!$D$2:$D$46,Dati!$A$2:$A$46,$H19,Dati!$H$2:$H$46,$Y19)+SUMIFS(Dati!$K$2:$K$46,Dati!$H$2:$H$46,$H19,Dati!$A$2:$A$46,$Y19)+SUMIFS(Dati!$C$2:$C$46,Dati!$A$2:$A$46,$H19,Dati!$H$2:$H$46,$Y19)+SUMIFS(Dati!$J$2:$J$46,Dati!$H$2:$H$46,$H19,Dati!$A$2:$A$46,$Y19),"-")</f>
        <v>1</v>
      </c>
      <c r="AX19" s="22" t="str">
        <f>IF(AND($H19&lt;&gt;"",$Z19&lt;&gt;"",$H19&lt;&gt;$Z19,IFERROR(INDEX($J$14:$J$23,MATCH($H19,$H$14:$H$23,0)),-1)=IFERROR(INDEX($J$14:$J$23,MATCH($Z19,$H$14:$H$23,0)),-2)),SUMIFS(Dati!$D$2:$D$46,Dati!$A$2:$A$46,$H19,Dati!$H$2:$H$46,$Z19)+SUMIFS(Dati!$K$2:$K$46,Dati!$H$2:$H$46,$H19,Dati!$A$2:$A$46,$Z19)+SUMIFS(Dati!$C$2:$C$46,Dati!$A$2:$A$46,$H19,Dati!$H$2:$H$46,$Z19)+SUMIFS(Dati!$J$2:$J$46,Dati!$H$2:$H$46,$H19,Dati!$A$2:$A$46,$Z19),"-")</f>
        <v>-</v>
      </c>
      <c r="AY19" s="22" t="str">
        <f>IF(AND($H19&lt;&gt;"",$AA19&lt;&gt;"",$H19&lt;&gt;$AA19,IFERROR(INDEX($J$14:$J$23,MATCH($H19,$H$14:$H$23,0)),-1)=IFERROR(INDEX($J$14:$J$23,MATCH($AA19,$H$14:$H$23,0)),-2)),SUMIFS(Dati!$D$2:$D$46,Dati!$A$2:$A$46,$H19,Dati!$H$2:$H$46,$AA19)+SUMIFS(Dati!$K$2:$K$46,Dati!$H$2:$H$46,$H19,Dati!$A$2:$A$46,$AA19)+SUMIFS(Dati!$C$2:$C$46,Dati!$A$2:$A$46,$H19,Dati!$H$2:$H$46,$AA19)+SUMIFS(Dati!$J$2:$J$46,Dati!$H$2:$H$46,$H19,Dati!$A$2:$A$46,$AA19),"-")</f>
        <v>-</v>
      </c>
      <c r="AZ19" s="22" t="str">
        <f>IF(AND($H19&lt;&gt;"",$AB19&lt;&gt;"",$H19&lt;&gt;$AB19,IFERROR(INDEX($J$14:$J$23,MATCH($H19,$H$14:$H$23,0)),-1)=IFERROR(INDEX($J$14:$J$23,MATCH($AB19,$H$14:$H$23,0)),-2)),SUMIFS(Dati!$D$2:$D$46,Dati!$A$2:$A$46,$H19,Dati!$H$2:$H$46,$AB19)+SUMIFS(Dati!$K$2:$K$46,Dati!$H$2:$H$46,$H19,Dati!$A$2:$A$46,$AB19)+SUMIFS(Dati!$C$2:$C$46,Dati!$A$2:$A$46,$H19,Dati!$H$2:$H$46,$AB19)+SUMIFS(Dati!$J$2:$J$46,Dati!$H$2:$H$46,$H19,Dati!$A$2:$A$46,$AB19),"-")</f>
        <v>-</v>
      </c>
      <c r="BA19" s="22" t="str">
        <f>IF(AND($H19&lt;&gt;"",$AC19&lt;&gt;"",$H19&lt;&gt;$AC19,IFERROR(INDEX($J$14:$J$23,MATCH($H19,$H$14:$H$23,0)),-1)=IFERROR(INDEX($J$14:$J$23,MATCH($AC19,$H$14:$H$23,0)),-2)),SUMIFS(Dati!$D$2:$D$46,Dati!$A$2:$A$46,$H19,Dati!$H$2:$H$46,$AC19)+SUMIFS(Dati!$K$2:$K$46,Dati!$H$2:$H$46,$H19,Dati!$A$2:$A$46,$AC19)+SUMIFS(Dati!$C$2:$C$46,Dati!$A$2:$A$46,$H19,Dati!$H$2:$H$46,$AC19)+SUMIFS(Dati!$J$2:$J$46,Dati!$H$2:$H$46,$H19,Dati!$A$2:$A$46,$AC19),"-")</f>
        <v>-</v>
      </c>
      <c r="BB19" s="22" t="str">
        <f>IF(AND($H19&lt;&gt;"",$AD19&lt;&gt;"",$H19&lt;&gt;$AD19,IFERROR(INDEX($J$14:$J$23,MATCH($H19,$H$14:$H$23,0)),-1)=IFERROR(INDEX($J$14:$J$23,MATCH($AD19,$H$14:$H$23,0)),-2)),SUMIFS(Dati!$D$2:$D$46,Dati!$A$2:$A$46,$H19,Dati!$H$2:$H$46,$AD19)+SUMIFS(Dati!$K$2:$K$46,Dati!$H$2:$H$46,$H19,Dati!$A$2:$A$46,$AD19)+SUMIFS(Dati!$C$2:$C$46,Dati!$A$2:$A$46,$H19,Dati!$H$2:$H$46,$AD19)+SUMIFS(Dati!$J$2:$J$46,Dati!$H$2:$H$46,$H19,Dati!$A$2:$A$46,$AD19),"-")</f>
        <v>-</v>
      </c>
      <c r="BC19" s="22" t="str">
        <f>IF(AND($H19&lt;&gt;"",$AE19&lt;&gt;"",$H19&lt;&gt;$AE19,IFERROR(INDEX($J$14:$J$23,MATCH($H19,$H$14:$H$23,0)),-1)=IFERROR(INDEX($J$14:$J$23,MATCH($AE19,$H$14:$H$23,0)),-2)),SUMIFS(Dati!$D$2:$D$46,Dati!$A$2:$A$46,$H19,Dati!$H$2:$H$46,$AE19)+SUMIFS(Dati!$K$2:$K$46,Dati!$H$2:$H$46,$H19,Dati!$A$2:$A$46,$AE19)+SUMIFS(Dati!$C$2:$C$46,Dati!$A$2:$A$46,$H19,Dati!$H$2:$H$46,$AE19)+SUMIFS(Dati!$J$2:$J$46,Dati!$H$2:$H$46,$H19,Dati!$A$2:$A$46,$AE19),"-")</f>
        <v>-</v>
      </c>
      <c r="BD19" s="22" t="str">
        <f>IF(AND($H19&lt;&gt;"",$AF19&lt;&gt;"",$H19&lt;&gt;$AF19,IFERROR(INDEX($J$14:$J$23,MATCH($H19,$H$14:$H$23,0)),-1)=IFERROR(INDEX($J$14:$J$23,MATCH($AF19,$H$14:$H$23,0)),-2)),SUMIFS(Dati!$D$2:$D$46,Dati!$A$2:$A$46,$H19,Dati!$H$2:$H$46,$AF19)+SUMIFS(Dati!$K$2:$K$46,Dati!$H$2:$H$46,$H19,Dati!$A$2:$A$46,$AF19)+SUMIFS(Dati!$C$2:$C$46,Dati!$A$2:$A$46,$H19,Dati!$H$2:$H$46,$AF19)+SUMIFS(Dati!$J$2:$J$46,Dati!$H$2:$H$46,$H19,Dati!$A$2:$A$46,$AF19),"-")</f>
        <v>-</v>
      </c>
      <c r="BE19" s="22">
        <f>IF(AND($H19&lt;&gt;"",$AG19&lt;&gt;"",$H19&lt;&gt;$AG19,IFERROR(INDEX($J$14:$J$23,MATCH($H19,$H$14:$H$23,0)),-1)=IFERROR(INDEX($J$14:$J$23,MATCH($AG19,$H$14:$H$23,0)),-2)),SUMIFS(Dati!$D$2:$D$46,Dati!$A$2:$A$46,$H19,Dati!$H$2:$H$46,$AG19)+SUMIFS(Dati!$K$2:$K$46,Dati!$H$2:$H$46,$H19,Dati!$A$2:$A$46,$AG19)+SUMIFS(Dati!$C$2:$C$46,Dati!$A$2:$A$46,$H19,Dati!$H$2:$H$46,$AG19)+SUMIFS(Dati!$J$2:$J$46,Dati!$H$2:$H$46,$H19,Dati!$A$2:$A$46,$AG19),"-")</f>
        <v>0</v>
      </c>
      <c r="BF19" s="22" t="str">
        <f>IF(AND($H19&lt;&gt;"",$AH19&lt;&gt;"",$H19&lt;&gt;$AH19,IFERROR(INDEX($J$14:$J$23,MATCH($H19,$H$14:$H$23,0)),-1)=IFERROR(INDEX($J$14:$J$23,MATCH($AH19,$H$14:$H$23,0)),-2)),SUMIFS(Dati!$D$2:$D$46,Dati!$A$2:$A$46,$H19,Dati!$H$2:$H$46,$AH19)+SUMIFS(Dati!$K$2:$K$46,Dati!$H$2:$H$46,$H19,Dati!$A$2:$A$46,$AH19)+SUMIFS(Dati!$C$2:$C$46,Dati!$A$2:$A$46,$H19,Dati!$H$2:$H$46,$AH19)+SUMIFS(Dati!$J$2:$J$46,Dati!$H$2:$H$46,$H19,Dati!$A$2:$A$46,$AH19),"-")</f>
        <v>-</v>
      </c>
      <c r="BH19" s="21" t="str">
        <f>$C19</f>
        <v>Falchi Feroci-Falchiopoli FA</v>
      </c>
      <c r="BI19" s="22">
        <f>IF(AND($H19&lt;&gt;"",$Y19&lt;&gt;"",$H19&lt;&gt;$Y19,IFERROR(INDEX($J$14:$J$23,MATCH($H19,$H$14:$H$23,0)),-1)=IFERROR(INDEX($J$14:$J$23,MATCH($Y19,$H$14:$H$23,0)),-2)),SUMIFS(Dati!$E$2:$E$46,Dati!$A$2:$A$46,$H19,Dati!$H$2:$H$46,$Y19)+SUMIFS(Dati!$L$2:$L$46,Dati!$H$2:$H$46,$H19,Dati!$A$2:$A$46,$Y19),"-")</f>
        <v>40</v>
      </c>
      <c r="BJ19" s="22" t="str">
        <f>IF(AND($H19&lt;&gt;"",$Z19&lt;&gt;"",$H19&lt;&gt;$Z19,IFERROR(INDEX($J$14:$J$23,MATCH($H19,$H$14:$H$23,0)),-1)=IFERROR(INDEX($J$14:$J$23,MATCH($Z19,$H$14:$H$23,0)),-2)),SUMIFS(Dati!$E$2:$E$46,Dati!$A$2:$A$46,$H19,Dati!$H$2:$H$46,$Z19)+SUMIFS(Dati!$L$2:$L$46,Dati!$H$2:$H$46,$H19,Dati!$A$2:$A$46,$Z19),"-")</f>
        <v>-</v>
      </c>
      <c r="BK19" s="22" t="str">
        <f>IF(AND($H19&lt;&gt;"",$AA19&lt;&gt;"",$H19&lt;&gt;$AA19,IFERROR(INDEX($J$14:$J$23,MATCH($H19,$H$14:$H$23,0)),-1)=IFERROR(INDEX($J$14:$J$23,MATCH($AA19,$H$14:$H$23,0)),-2)),SUMIFS(Dati!$E$2:$E$46,Dati!$A$2:$A$46,$H19,Dati!$H$2:$H$46,$AA19)+SUMIFS(Dati!$L$2:$L$46,Dati!$H$2:$H$46,$H19,Dati!$A$2:$A$46,$AA19),"-")</f>
        <v>-</v>
      </c>
      <c r="BL19" s="22" t="str">
        <f>IF(AND($H19&lt;&gt;"",$AB19&lt;&gt;"",$H19&lt;&gt;$AB19,IFERROR(INDEX($J$14:$J$23,MATCH($H19,$H$14:$H$23,0)),-1)=IFERROR(INDEX($J$14:$J$23,MATCH($AB19,$H$14:$H$23,0)),-2)),SUMIFS(Dati!$E$2:$E$46,Dati!$A$2:$A$46,$H19,Dati!$H$2:$H$46,$AB19)+SUMIFS(Dati!$L$2:$L$46,Dati!$H$2:$H$46,$H19,Dati!$A$2:$A$46,$AB19),"-")</f>
        <v>-</v>
      </c>
      <c r="BM19" s="22" t="str">
        <f>IF(AND($H19&lt;&gt;"",$AC19&lt;&gt;"",$H19&lt;&gt;$AC19,IFERROR(INDEX($J$14:$J$23,MATCH($H19,$H$14:$H$23,0)),-1)=IFERROR(INDEX($J$14:$J$23,MATCH($AC19,$H$14:$H$23,0)),-2)),SUMIFS(Dati!$E$2:$E$46,Dati!$A$2:$A$46,$H19,Dati!$H$2:$H$46,$AC19)+SUMIFS(Dati!$L$2:$L$46,Dati!$H$2:$H$46,$H19,Dati!$A$2:$A$46,$AC19),"-")</f>
        <v>-</v>
      </c>
      <c r="BN19" s="22" t="str">
        <f>IF(AND($H19&lt;&gt;"",$AD19&lt;&gt;"",$H19&lt;&gt;$AD19,IFERROR(INDEX($J$14:$J$23,MATCH($H19,$H$14:$H$23,0)),-1)=IFERROR(INDEX($J$14:$J$23,MATCH($AD19,$H$14:$H$23,0)),-2)),SUMIFS(Dati!$E$2:$E$46,Dati!$A$2:$A$46,$H19,Dati!$H$2:$H$46,$AD19)+SUMIFS(Dati!$L$2:$L$46,Dati!$H$2:$H$46,$H19,Dati!$A$2:$A$46,$AD19),"-")</f>
        <v>-</v>
      </c>
      <c r="BO19" s="22" t="str">
        <f>IF(AND($H19&lt;&gt;"",$AE19&lt;&gt;"",$H19&lt;&gt;$AE19,IFERROR(INDEX($J$14:$J$23,MATCH($H19,$H$14:$H$23,0)),-1)=IFERROR(INDEX($J$14:$J$23,MATCH($AE19,$H$14:$H$23,0)),-2)),SUMIFS(Dati!$E$2:$E$46,Dati!$A$2:$A$46,$H19,Dati!$H$2:$H$46,$AE19)+SUMIFS(Dati!$L$2:$L$46,Dati!$H$2:$H$46,$H19,Dati!$A$2:$A$46,$AE19),"-")</f>
        <v>-</v>
      </c>
      <c r="BP19" s="22" t="str">
        <f>IF(AND($H19&lt;&gt;"",$AF19&lt;&gt;"",$H19&lt;&gt;$AF19,IFERROR(INDEX($J$14:$J$23,MATCH($H19,$H$14:$H$23,0)),-1)=IFERROR(INDEX($J$14:$J$23,MATCH($AF19,$H$14:$H$23,0)),-2)),SUMIFS(Dati!$E$2:$E$46,Dati!$A$2:$A$46,$H19,Dati!$H$2:$H$46,$AF19)+SUMIFS(Dati!$L$2:$L$46,Dati!$H$2:$H$46,$H19,Dati!$A$2:$A$46,$AF19),"-")</f>
        <v>-</v>
      </c>
      <c r="BQ19" s="22">
        <f>IF(AND($H19&lt;&gt;"",$AG19&lt;&gt;"",$H19&lt;&gt;$AG19,IFERROR(INDEX($J$14:$J$23,MATCH($H19,$H$14:$H$23,0)),-1)=IFERROR(INDEX($J$14:$J$23,MATCH($AG19,$H$14:$H$23,0)),-2)),SUMIFS(Dati!$E$2:$E$46,Dati!$A$2:$A$46,$H19,Dati!$H$2:$H$46,$AG19)+SUMIFS(Dati!$L$2:$L$46,Dati!$H$2:$H$46,$H19,Dati!$A$2:$A$46,$AG19),"-")</f>
        <v>55</v>
      </c>
      <c r="BR19" s="22" t="str">
        <f>IF(AND($H19&lt;&gt;"",$AH19&lt;&gt;"",$H19&lt;&gt;$AH19,IFERROR(INDEX($J$14:$J$23,MATCH($H19,$H$14:$H$23,0)),-1)=IFERROR(INDEX($J$14:$J$23,MATCH($AH19,$H$14:$H$23,0)),-2)),SUMIFS(Dati!$E$2:$E$46,Dati!$A$2:$A$46,$H19,Dati!$H$2:$H$46,$AH19)+SUMIFS(Dati!$L$2:$L$46,Dati!$H$2:$H$46,$H19,Dati!$A$2:$A$46,$AH19),"-")</f>
        <v>-</v>
      </c>
      <c r="BT19" s="21" t="str">
        <f>$C19</f>
        <v>Falchi Feroci-Falchiopoli FA</v>
      </c>
      <c r="BU19" s="22">
        <f>IF(AND($H19&lt;&gt;"",$Y19&lt;&gt;"",$H19&lt;&gt;$Y19,IFERROR(INDEX($J$14:$J$23,MATCH($H19,$H$14:$H$23,0)),-1)=IFERROR(INDEX($J$14:$J$23,MATCH($Y19,$H$14:$H$23,0)),-2)),SUMIFS(Dati!$F$2:$F$46,Dati!$A$2:$A$46,$H19,Dati!$H$2:$H$46,$Y19)+SUMIFS(Dati!$M$2:$M$46,Dati!$H$2:$H$46,$H19,Dati!$A$2:$A$46,$Y19),"-")</f>
        <v>60</v>
      </c>
      <c r="BV19" s="22" t="str">
        <f>IF(AND($H19&lt;&gt;"",$Z19&lt;&gt;"",$H19&lt;&gt;$Z19,IFERROR(INDEX($J$14:$J$23,MATCH($H19,$H$14:$H$23,0)),-1)=IFERROR(INDEX($J$14:$J$23,MATCH($Z19,$H$14:$H$23,0)),-2)),SUMIFS(Dati!$F$2:$F$46,Dati!$A$2:$A$46,$H19,Dati!$H$2:$H$46,$Z19)+SUMIFS(Dati!$M$2:$M$46,Dati!$H$2:$H$46,$H19,Dati!$A$2:$A$46,$Z19),"-")</f>
        <v>-</v>
      </c>
      <c r="BW19" s="22" t="str">
        <f>IF(AND($H19&lt;&gt;"",$AA19&lt;&gt;"",$H19&lt;&gt;$AA19,IFERROR(INDEX($J$14:$J$23,MATCH($H19,$H$14:$H$23,0)),-1)=IFERROR(INDEX($J$14:$J$23,MATCH($AA19,$H$14:$H$23,0)),-2)),SUMIFS(Dati!$F$2:$F$46,Dati!$A$2:$A$46,$H19,Dati!$H$2:$H$46,$AA19)+SUMIFS(Dati!$M$2:$M$46,Dati!$H$2:$H$46,$H19,Dati!$A$2:$A$46,$AA19),"-")</f>
        <v>-</v>
      </c>
      <c r="BX19" s="22" t="str">
        <f>IF(AND($H19&lt;&gt;"",$AB19&lt;&gt;"",$H19&lt;&gt;$AB19,IFERROR(INDEX($J$14:$J$23,MATCH($H19,$H$14:$H$23,0)),-1)=IFERROR(INDEX($J$14:$J$23,MATCH($AB19,$H$14:$H$23,0)),-2)),SUMIFS(Dati!$F$2:$F$46,Dati!$A$2:$A$46,$H19,Dati!$H$2:$H$46,$AB19)+SUMIFS(Dati!$M$2:$M$46,Dati!$H$2:$H$46,$H19,Dati!$A$2:$A$46,$AB19),"-")</f>
        <v>-</v>
      </c>
      <c r="BY19" s="22" t="str">
        <f>IF(AND($H19&lt;&gt;"",$AC19&lt;&gt;"",$H19&lt;&gt;$AC19,IFERROR(INDEX($J$14:$J$23,MATCH($H19,$H$14:$H$23,0)),-1)=IFERROR(INDEX($J$14:$J$23,MATCH($AC19,$H$14:$H$23,0)),-2)),SUMIFS(Dati!$F$2:$F$46,Dati!$A$2:$A$46,$H19,Dati!$H$2:$H$46,$AC19)+SUMIFS(Dati!$M$2:$M$46,Dati!$H$2:$H$46,$H19,Dati!$A$2:$A$46,$AC19),"-")</f>
        <v>-</v>
      </c>
      <c r="BZ19" s="22" t="str">
        <f>IF(AND($H19&lt;&gt;"",$AD19&lt;&gt;"",$H19&lt;&gt;$AD19,IFERROR(INDEX($J$14:$J$23,MATCH($H19,$H$14:$H$23,0)),-1)=IFERROR(INDEX($J$14:$J$23,MATCH($AD19,$H$14:$H$23,0)),-2)),SUMIFS(Dati!$F$2:$F$46,Dati!$A$2:$A$46,$H19,Dati!$H$2:$H$46,$AD19)+SUMIFS(Dati!$M$2:$M$46,Dati!$H$2:$H$46,$H19,Dati!$A$2:$A$46,$AD19),"-")</f>
        <v>-</v>
      </c>
      <c r="CA19" s="22" t="str">
        <f>IF(AND($H19&lt;&gt;"",$AE19&lt;&gt;"",$H19&lt;&gt;$AE19,IFERROR(INDEX($J$14:$J$23,MATCH($H19,$H$14:$H$23,0)),-1)=IFERROR(INDEX($J$14:$J$23,MATCH($AE19,$H$14:$H$23,0)),-2)),SUMIFS(Dati!$F$2:$F$46,Dati!$A$2:$A$46,$H19,Dati!$H$2:$H$46,$AE19)+SUMIFS(Dati!$M$2:$M$46,Dati!$H$2:$H$46,$H19,Dati!$A$2:$A$46,$AE19),"-")</f>
        <v>-</v>
      </c>
      <c r="CB19" s="22" t="str">
        <f>IF(AND($H19&lt;&gt;"",$AF19&lt;&gt;"",$H19&lt;&gt;$AF19,IFERROR(INDEX($J$14:$J$23,MATCH($H19,$H$14:$H$23,0)),-1)=IFERROR(INDEX($J$14:$J$23,MATCH($AF19,$H$14:$H$23,0)),-2)),SUMIFS(Dati!$F$2:$F$46,Dati!$A$2:$A$46,$H19,Dati!$H$2:$H$46,$AF19)+SUMIFS(Dati!$M$2:$M$46,Dati!$H$2:$H$46,$H19,Dati!$A$2:$A$46,$AF19),"-")</f>
        <v>-</v>
      </c>
      <c r="CC19" s="22">
        <f>IF(AND($H19&lt;&gt;"",$AG19&lt;&gt;"",$H19&lt;&gt;$AG19,IFERROR(INDEX($J$14:$J$23,MATCH($H19,$H$14:$H$23,0)),-1)=IFERROR(INDEX($J$14:$J$23,MATCH($AG19,$H$14:$H$23,0)),-2)),SUMIFS(Dati!$F$2:$F$46,Dati!$A$2:$A$46,$H19,Dati!$H$2:$H$46,$AG19)+SUMIFS(Dati!$M$2:$M$46,Dati!$H$2:$H$46,$H19,Dati!$A$2:$A$46,$AG19),"-")</f>
        <v>50</v>
      </c>
      <c r="CD19" s="22" t="str">
        <f>IF(AND($H19&lt;&gt;"",$AH19&lt;&gt;"",$H19&lt;&gt;$AH19,IFERROR(INDEX($J$14:$J$23,MATCH($H19,$H$14:$H$23,0)),-1)=IFERROR(INDEX($J$14:$J$23,MATCH($AH19,$H$14:$H$23,0)),-2)),SUMIFS(Dati!$F$2:$F$46,Dati!$A$2:$A$46,$H19,Dati!$H$2:$H$46,$AH19)+SUMIFS(Dati!$M$2:$M$46,Dati!$H$2:$H$46,$H19,Dati!$A$2:$A$46,$AH19),"-")</f>
        <v>-</v>
      </c>
      <c r="CF19" s="22">
        <f>IF($C19="","",SUM(AK19:AT19))</f>
        <v>1</v>
      </c>
    </row>
    <row r="20">
      <c r="B20" s="12" t="inlineStr">
        <is>
          <t>A07</t>
        </is>
      </c>
      <c r="C20" s="13" t="inlineStr">
        <is>
          <t>Gazzelle Gentili-Gazzelleopoli GE</t>
        </is>
      </c>
      <c r="D20" s="14" t="n"/>
      <c r="E20" s="15" t="inlineStr">
        <is>
          <t>A</t>
        </is>
      </c>
      <c r="G20" s="16" t="str">
        <f>IF($C20="","",$E20&amp;(COUNTIFS(I$14:I$23,"&gt;"&amp;I20,E$14:E$23,"="&amp;E20,C$14:C$23,"&lt;&gt;")+COUNTIFS(I$14:I$23,"="&amp;I20,H$14:H$23,"&lt;="&amp;H20,E$14:E$23,"="&amp;E20,C$14:C$23,"&lt;&gt;")))</f>
        <v>A10</v>
      </c>
      <c r="H20" s="17" t="str">
        <f>IF($C20="","",IFERROR(LEFT($C20,FIND("-",$C20)-1),$C20))</f>
        <v>Gazzelle Gentili</v>
      </c>
      <c r="I20" s="12" t="str">
        <f>TEXT(1000000000+J20,"|0000000000|")&amp;TEXT(SUM(AK20:AT20),"0000000000|")&amp;IF(SUM(BU20:CD20)=0,"0000000000|",TEXT(ROUND(SUM(BI20:BR20)/SUM(BU20:CD20),4)*100000,"0000000000|"))&amp;IF(P20=0,"0000000000|",TEXT(ROUND(O20/P20,4)*100000,"0000000000|"))</f>
        <v>|1000000009|0000000000|0000000000|0000076030|</v>
      </c>
      <c r="J20" s="16">
        <f>L20*Campionato!$D$7+M20*Campionato!$D$8+N20*Campionato!$D$9+IF(D20="",0,D20)</f>
        <v>9</v>
      </c>
      <c r="K20" s="12">
        <f>SUM(L20:N20)</f>
        <v>9</v>
      </c>
      <c r="L20" s="12">
        <f>IF($H20="",0,SUMIF(Dati!$A$2:$A$46,$H20,Dati!$B$2:$B$46)+SUMIF(Dati!$H$2:$H$46,$H20,Dati!$I$2:$I$46))</f>
        <v>0</v>
      </c>
      <c r="M20" s="12">
        <f>IF($H20="",0,SUMIF(Dati!$A$2:$A$46,$H20,Dati!$D$2:$D$46)+SUMIF(Dati!$H$2:$H$46,$H20,Dati!$K$2:$K$46))</f>
        <v>9</v>
      </c>
      <c r="N20" s="12">
        <f>IF($H20="",0,SUMIF(Dati!$A$2:$A$46,$H20,Dati!$C$2:$C$46)+SUMIF(Dati!$H$2:$H$46,$H20,Dati!$J$2:$J$46))</f>
        <v>0</v>
      </c>
      <c r="O20" s="12">
        <f>IF($H20="",0,SUMIF(Dati!$A$2:$A$46,$H20,Dati!$E$2:$E$46)+SUMIF(Dati!$H$2:$H$46,$H20,Dati!$L$2:$L$46))</f>
        <v>425</v>
      </c>
      <c r="P20" s="12">
        <f>IF($H20="",0,SUMIF(Dati!$A$2:$A$46,$H20,Dati!$F$2:$F$46)+SUMIF(Dati!$H$2:$H$46,$H20,Dati!$M$2:$M$46))</f>
        <v>559</v>
      </c>
      <c r="Q20" s="12">
        <f>IF($H20="",0,SUMIF(Dati!$A$2:$A$46,$H20,Dati!$G$2:$G$46)+SUMIF(Dati!$H$2:$H$46,$H20,Dati!$N$2:$N$46))</f>
        <v>-134</v>
      </c>
      <c r="R20" s="12">
        <f>IF(K20=0,0,ROUND(O20/K20,2))</f>
        <v>47.22</v>
      </c>
      <c r="S20" s="12">
        <f>IF(K20=0,0,ROUND(P20/K20,2))</f>
        <v>62.11</v>
      </c>
      <c r="T20" s="12">
        <f>IF(K20=0,0,ROUND(Q20/K20,2))</f>
        <v>-14.89</v>
      </c>
      <c r="U20" s="12" t="str">
        <f>IF(COUNTIFS($E$14:$E$23,$E20,$J$14:$J$23,$J20,$C$14:$C$23,"&lt;&gt;")&lt;=1,"-",SUM(AK20:AT20)&amp;"-"&amp;SUM(AW20:BF20))</f>
        <v>-</v>
      </c>
      <c r="V20" s="18" t="str">
        <f>IF(COUNTIFS($E$14:$E$23,$E20,$J$14:$J$23,$J20,$C$14:$C$23,"&lt;&gt;",$CF$14:$CF$23,$CF20)&lt;=1,"-",IF(SUM(BU20:CD20)=0,0,ROUND(SUM(BI20:BR20)/SUM(BU20:CD20),3)))</f>
        <v>-</v>
      </c>
      <c r="W20" s="18" t="str">
        <f>IF(COUNTIFS($E$14:$E$23,$E20,$J$14:$J$23,$J20,$C$14:$C$23,"&lt;&gt;",$CF$14:$CF$23,$CF20,$V$14:$V$23,$V20)&lt;=1,"-",IF(P20=0,0,ROUND(O20/P20,3)))</f>
        <v>-</v>
      </c>
      <c r="X20" s="19" t="str">
        <f>IF($C20="","",$E20&amp;"#"&amp;COUNTIFS($E$14:$E20,$E20,$C$14:$C20,"&lt;&gt;"))</f>
        <v>A#7</v>
      </c>
      <c r="Y20" s="20" t="str">
        <f>IFERROR(INDEX($H$14:$H$23,MATCH($E20&amp;"#1",$X$14:$X$23,0)),"")</f>
        <v>Anaconde Audaci</v>
      </c>
      <c r="Z20" s="20" t="str">
        <f>IFERROR(INDEX($H$14:$H$23,MATCH($E20&amp;"#2",$X$14:$X$23,0)),"")</f>
        <v>Bufali Belligeranti</v>
      </c>
      <c r="AA20" s="20" t="str">
        <f>IFERROR(INDEX($H$14:$H$23,MATCH($E20&amp;"#3",$X$14:$X$23,0)),"")</f>
        <v>Cobra Celeri</v>
      </c>
      <c r="AB20" s="20" t="str">
        <f>IFERROR(INDEX($H$14:$H$23,MATCH($E20&amp;"#4",$X$14:$X$23,0)),"")</f>
        <v>Dingo Docili</v>
      </c>
      <c r="AC20" s="20" t="str">
        <f>IFERROR(INDEX($H$14:$H$23,MATCH($E20&amp;"#5",$X$14:$X$23,0)),"")</f>
        <v>Ermellini Eleganti</v>
      </c>
      <c r="AD20" s="20" t="str">
        <f>IFERROR(INDEX($H$14:$H$23,MATCH($E20&amp;"#6",$X$14:$X$23,0)),"")</f>
        <v>Falchi Feroci</v>
      </c>
      <c r="AE20" s="20" t="str">
        <f>IFERROR(INDEX($H$14:$H$23,MATCH($E20&amp;"#7",$X$14:$X$23,0)),"")</f>
        <v>Gazzelle Gentili</v>
      </c>
      <c r="AF20" s="20" t="str">
        <f>IFERROR(INDEX($H$14:$H$23,MATCH($E20&amp;"#8",$X$14:$X$23,0)),"")</f>
        <v>Ibis Instancabili</v>
      </c>
      <c r="AG20" s="20" t="str">
        <f>IFERROR(INDEX($H$14:$H$23,MATCH($E20&amp;"#9",$X$14:$X$23,0)),"")</f>
        <v>Lupi Leali</v>
      </c>
      <c r="AH20" s="20" t="str">
        <f>IFERROR(INDEX($H$14:$H$23,MATCH($E20&amp;"#10",$X$14:$X$23,0)),"")</f>
        <v>Marmotte Mobili</v>
      </c>
      <c r="AJ20" s="21" t="str">
        <f>$C20</f>
        <v>Gazzelle Gentili-Gazzelleopoli GE</v>
      </c>
      <c r="AK20" s="22" t="str">
        <f>IF(AND($H20&lt;&gt;"",$Y20&lt;&gt;"",$H20&lt;&gt;$Y20,IFERROR(INDEX($J$14:$J$23,MATCH($H20,$H$14:$H$23,0)),-1)=IFERROR(INDEX($J$14:$J$23,MATCH($Y20,$H$14:$H$23,0)),-2)),SUMIFS(Dati!$B$2:$B$46,Dati!$A$2:$A$46,$H20,Dati!$H$2:$H$46,$Y20)+SUMIFS(Dati!$I$2:$I$46,Dati!$H$2:$H$46,$H20,Dati!$A$2:$A$46,$Y20),"-")</f>
        <v>-</v>
      </c>
      <c r="AL20" s="22" t="str">
        <f>IF(AND($H20&lt;&gt;"",$Z20&lt;&gt;"",$H20&lt;&gt;$Z20,IFERROR(INDEX($J$14:$J$23,MATCH($H20,$H$14:$H$23,0)),-1)=IFERROR(INDEX($J$14:$J$23,MATCH($Z20,$H$14:$H$23,0)),-2)),SUMIFS(Dati!$B$2:$B$46,Dati!$A$2:$A$46,$H20,Dati!$H$2:$H$46,$Z20)+SUMIFS(Dati!$I$2:$I$46,Dati!$H$2:$H$46,$H20,Dati!$A$2:$A$46,$Z20),"-")</f>
        <v>-</v>
      </c>
      <c r="AM20" s="22" t="str">
        <f>IF(AND($H20&lt;&gt;"",$AA20&lt;&gt;"",$H20&lt;&gt;$AA20,IFERROR(INDEX($J$14:$J$23,MATCH($H20,$H$14:$H$23,0)),-1)=IFERROR(INDEX($J$14:$J$23,MATCH($AA20,$H$14:$H$23,0)),-2)),SUMIFS(Dati!$B$2:$B$46,Dati!$A$2:$A$46,$H20,Dati!$H$2:$H$46,$AA20)+SUMIFS(Dati!$I$2:$I$46,Dati!$H$2:$H$46,$H20,Dati!$A$2:$A$46,$AA20),"-")</f>
        <v>-</v>
      </c>
      <c r="AN20" s="22" t="str">
        <f>IF(AND($H20&lt;&gt;"",$AB20&lt;&gt;"",$H20&lt;&gt;$AB20,IFERROR(INDEX($J$14:$J$23,MATCH($H20,$H$14:$H$23,0)),-1)=IFERROR(INDEX($J$14:$J$23,MATCH($AB20,$H$14:$H$23,0)),-2)),SUMIFS(Dati!$B$2:$B$46,Dati!$A$2:$A$46,$H20,Dati!$H$2:$H$46,$AB20)+SUMIFS(Dati!$I$2:$I$46,Dati!$H$2:$H$46,$H20,Dati!$A$2:$A$46,$AB20),"-")</f>
        <v>-</v>
      </c>
      <c r="AO20" s="22" t="str">
        <f>IF(AND($H20&lt;&gt;"",$AC20&lt;&gt;"",$H20&lt;&gt;$AC20,IFERROR(INDEX($J$14:$J$23,MATCH($H20,$H$14:$H$23,0)),-1)=IFERROR(INDEX($J$14:$J$23,MATCH($AC20,$H$14:$H$23,0)),-2)),SUMIFS(Dati!$B$2:$B$46,Dati!$A$2:$A$46,$H20,Dati!$H$2:$H$46,$AC20)+SUMIFS(Dati!$I$2:$I$46,Dati!$H$2:$H$46,$H20,Dati!$A$2:$A$46,$AC20),"-")</f>
        <v>-</v>
      </c>
      <c r="AP20" s="22" t="str">
        <f>IF(AND($H20&lt;&gt;"",$AD20&lt;&gt;"",$H20&lt;&gt;$AD20,IFERROR(INDEX($J$14:$J$23,MATCH($H20,$H$14:$H$23,0)),-1)=IFERROR(INDEX($J$14:$J$23,MATCH($AD20,$H$14:$H$23,0)),-2)),SUMIFS(Dati!$B$2:$B$46,Dati!$A$2:$A$46,$H20,Dati!$H$2:$H$46,$AD20)+SUMIFS(Dati!$I$2:$I$46,Dati!$H$2:$H$46,$H20,Dati!$A$2:$A$46,$AD20),"-")</f>
        <v>-</v>
      </c>
      <c r="AQ20" s="22" t="str">
        <f>IF(AND($H20&lt;&gt;"",$AE20&lt;&gt;"",$H20&lt;&gt;$AE20,IFERROR(INDEX($J$14:$J$23,MATCH($H20,$H$14:$H$23,0)),-1)=IFERROR(INDEX($J$14:$J$23,MATCH($AE20,$H$14:$H$23,0)),-2)),SUMIFS(Dati!$B$2:$B$46,Dati!$A$2:$A$46,$H20,Dati!$H$2:$H$46,$AE20)+SUMIFS(Dati!$I$2:$I$46,Dati!$H$2:$H$46,$H20,Dati!$A$2:$A$46,$AE20),"-")</f>
        <v>-</v>
      </c>
      <c r="AR20" s="22" t="str">
        <f>IF(AND($H20&lt;&gt;"",$AF20&lt;&gt;"",$H20&lt;&gt;$AF20,IFERROR(INDEX($J$14:$J$23,MATCH($H20,$H$14:$H$23,0)),-1)=IFERROR(INDEX($J$14:$J$23,MATCH($AF20,$H$14:$H$23,0)),-2)),SUMIFS(Dati!$B$2:$B$46,Dati!$A$2:$A$46,$H20,Dati!$H$2:$H$46,$AF20)+SUMIFS(Dati!$I$2:$I$46,Dati!$H$2:$H$46,$H20,Dati!$A$2:$A$46,$AF20),"-")</f>
        <v>-</v>
      </c>
      <c r="AS20" s="22" t="str">
        <f>IF(AND($H20&lt;&gt;"",$AG20&lt;&gt;"",$H20&lt;&gt;$AG20,IFERROR(INDEX($J$14:$J$23,MATCH($H20,$H$14:$H$23,0)),-1)=IFERROR(INDEX($J$14:$J$23,MATCH($AG20,$H$14:$H$23,0)),-2)),SUMIFS(Dati!$B$2:$B$46,Dati!$A$2:$A$46,$H20,Dati!$H$2:$H$46,$AG20)+SUMIFS(Dati!$I$2:$I$46,Dati!$H$2:$H$46,$H20,Dati!$A$2:$A$46,$AG20),"-")</f>
        <v>-</v>
      </c>
      <c r="AT20" s="22" t="str">
        <f>IF(AND($H20&lt;&gt;"",$AH20&lt;&gt;"",$H20&lt;&gt;$AH20,IFERROR(INDEX($J$14:$J$23,MATCH($H20,$H$14:$H$23,0)),-1)=IFERROR(INDEX($J$14:$J$23,MATCH($AH20,$H$14:$H$23,0)),-2)),SUMIFS(Dati!$B$2:$B$46,Dati!$A$2:$A$46,$H20,Dati!$H$2:$H$46,$AH20)+SUMIFS(Dati!$I$2:$I$46,Dati!$H$2:$H$46,$H20,Dati!$A$2:$A$46,$AH20),"-")</f>
        <v>-</v>
      </c>
      <c r="AV20" s="21" t="str">
        <f>$C20</f>
        <v>Gazzelle Gentili-Gazzelleopoli GE</v>
      </c>
      <c r="AW20" s="22" t="str">
        <f>IF(AND($H20&lt;&gt;"",$Y20&lt;&gt;"",$H20&lt;&gt;$Y20,IFERROR(INDEX($J$14:$J$23,MATCH($H20,$H$14:$H$23,0)),-1)=IFERROR(INDEX($J$14:$J$23,MATCH($Y20,$H$14:$H$23,0)),-2)),SUMIFS(Dati!$D$2:$D$46,Dati!$A$2:$A$46,$H20,Dati!$H$2:$H$46,$Y20)+SUMIFS(Dati!$K$2:$K$46,Dati!$H$2:$H$46,$H20,Dati!$A$2:$A$46,$Y20)+SUMIFS(Dati!$C$2:$C$46,Dati!$A$2:$A$46,$H20,Dati!$H$2:$H$46,$Y20)+SUMIFS(Dati!$J$2:$J$46,Dati!$H$2:$H$46,$H20,Dati!$A$2:$A$46,$Y20),"-")</f>
        <v>-</v>
      </c>
      <c r="AX20" s="22" t="str">
        <f>IF(AND($H20&lt;&gt;"",$Z20&lt;&gt;"",$H20&lt;&gt;$Z20,IFERROR(INDEX($J$14:$J$23,MATCH($H20,$H$14:$H$23,0)),-1)=IFERROR(INDEX($J$14:$J$23,MATCH($Z20,$H$14:$H$23,0)),-2)),SUMIFS(Dati!$D$2:$D$46,Dati!$A$2:$A$46,$H20,Dati!$H$2:$H$46,$Z20)+SUMIFS(Dati!$K$2:$K$46,Dati!$H$2:$H$46,$H20,Dati!$A$2:$A$46,$Z20)+SUMIFS(Dati!$C$2:$C$46,Dati!$A$2:$A$46,$H20,Dati!$H$2:$H$46,$Z20)+SUMIFS(Dati!$J$2:$J$46,Dati!$H$2:$H$46,$H20,Dati!$A$2:$A$46,$Z20),"-")</f>
        <v>-</v>
      </c>
      <c r="AY20" s="22" t="str">
        <f>IF(AND($H20&lt;&gt;"",$AA20&lt;&gt;"",$H20&lt;&gt;$AA20,IFERROR(INDEX($J$14:$J$23,MATCH($H20,$H$14:$H$23,0)),-1)=IFERROR(INDEX($J$14:$J$23,MATCH($AA20,$H$14:$H$23,0)),-2)),SUMIFS(Dati!$D$2:$D$46,Dati!$A$2:$A$46,$H20,Dati!$H$2:$H$46,$AA20)+SUMIFS(Dati!$K$2:$K$46,Dati!$H$2:$H$46,$H20,Dati!$A$2:$A$46,$AA20)+SUMIFS(Dati!$C$2:$C$46,Dati!$A$2:$A$46,$H20,Dati!$H$2:$H$46,$AA20)+SUMIFS(Dati!$J$2:$J$46,Dati!$H$2:$H$46,$H20,Dati!$A$2:$A$46,$AA20),"-")</f>
        <v>-</v>
      </c>
      <c r="AZ20" s="22" t="str">
        <f>IF(AND($H20&lt;&gt;"",$AB20&lt;&gt;"",$H20&lt;&gt;$AB20,IFERROR(INDEX($J$14:$J$23,MATCH($H20,$H$14:$H$23,0)),-1)=IFERROR(INDEX($J$14:$J$23,MATCH($AB20,$H$14:$H$23,0)),-2)),SUMIFS(Dati!$D$2:$D$46,Dati!$A$2:$A$46,$H20,Dati!$H$2:$H$46,$AB20)+SUMIFS(Dati!$K$2:$K$46,Dati!$H$2:$H$46,$H20,Dati!$A$2:$A$46,$AB20)+SUMIFS(Dati!$C$2:$C$46,Dati!$A$2:$A$46,$H20,Dati!$H$2:$H$46,$AB20)+SUMIFS(Dati!$J$2:$J$46,Dati!$H$2:$H$46,$H20,Dati!$A$2:$A$46,$AB20),"-")</f>
        <v>-</v>
      </c>
      <c r="BA20" s="22" t="str">
        <f>IF(AND($H20&lt;&gt;"",$AC20&lt;&gt;"",$H20&lt;&gt;$AC20,IFERROR(INDEX($J$14:$J$23,MATCH($H20,$H$14:$H$23,0)),-1)=IFERROR(INDEX($J$14:$J$23,MATCH($AC20,$H$14:$H$23,0)),-2)),SUMIFS(Dati!$D$2:$D$46,Dati!$A$2:$A$46,$H20,Dati!$H$2:$H$46,$AC20)+SUMIFS(Dati!$K$2:$K$46,Dati!$H$2:$H$46,$H20,Dati!$A$2:$A$46,$AC20)+SUMIFS(Dati!$C$2:$C$46,Dati!$A$2:$A$46,$H20,Dati!$H$2:$H$46,$AC20)+SUMIFS(Dati!$J$2:$J$46,Dati!$H$2:$H$46,$H20,Dati!$A$2:$A$46,$AC20),"-")</f>
        <v>-</v>
      </c>
      <c r="BB20" s="22" t="str">
        <f>IF(AND($H20&lt;&gt;"",$AD20&lt;&gt;"",$H20&lt;&gt;$AD20,IFERROR(INDEX($J$14:$J$23,MATCH($H20,$H$14:$H$23,0)),-1)=IFERROR(INDEX($J$14:$J$23,MATCH($AD20,$H$14:$H$23,0)),-2)),SUMIFS(Dati!$D$2:$D$46,Dati!$A$2:$A$46,$H20,Dati!$H$2:$H$46,$AD20)+SUMIFS(Dati!$K$2:$K$46,Dati!$H$2:$H$46,$H20,Dati!$A$2:$A$46,$AD20)+SUMIFS(Dati!$C$2:$C$46,Dati!$A$2:$A$46,$H20,Dati!$H$2:$H$46,$AD20)+SUMIFS(Dati!$J$2:$J$46,Dati!$H$2:$H$46,$H20,Dati!$A$2:$A$46,$AD20),"-")</f>
        <v>-</v>
      </c>
      <c r="BC20" s="22" t="str">
        <f>IF(AND($H20&lt;&gt;"",$AE20&lt;&gt;"",$H20&lt;&gt;$AE20,IFERROR(INDEX($J$14:$J$23,MATCH($H20,$H$14:$H$23,0)),-1)=IFERROR(INDEX($J$14:$J$23,MATCH($AE20,$H$14:$H$23,0)),-2)),SUMIFS(Dati!$D$2:$D$46,Dati!$A$2:$A$46,$H20,Dati!$H$2:$H$46,$AE20)+SUMIFS(Dati!$K$2:$K$46,Dati!$H$2:$H$46,$H20,Dati!$A$2:$A$46,$AE20)+SUMIFS(Dati!$C$2:$C$46,Dati!$A$2:$A$46,$H20,Dati!$H$2:$H$46,$AE20)+SUMIFS(Dati!$J$2:$J$46,Dati!$H$2:$H$46,$H20,Dati!$A$2:$A$46,$AE20),"-")</f>
        <v>-</v>
      </c>
      <c r="BD20" s="22" t="str">
        <f>IF(AND($H20&lt;&gt;"",$AF20&lt;&gt;"",$H20&lt;&gt;$AF20,IFERROR(INDEX($J$14:$J$23,MATCH($H20,$H$14:$H$23,0)),-1)=IFERROR(INDEX($J$14:$J$23,MATCH($AF20,$H$14:$H$23,0)),-2)),SUMIFS(Dati!$D$2:$D$46,Dati!$A$2:$A$46,$H20,Dati!$H$2:$H$46,$AF20)+SUMIFS(Dati!$K$2:$K$46,Dati!$H$2:$H$46,$H20,Dati!$A$2:$A$46,$AF20)+SUMIFS(Dati!$C$2:$C$46,Dati!$A$2:$A$46,$H20,Dati!$H$2:$H$46,$AF20)+SUMIFS(Dati!$J$2:$J$46,Dati!$H$2:$H$46,$H20,Dati!$A$2:$A$46,$AF20),"-")</f>
        <v>-</v>
      </c>
      <c r="BE20" s="22" t="str">
        <f>IF(AND($H20&lt;&gt;"",$AG20&lt;&gt;"",$H20&lt;&gt;$AG20,IFERROR(INDEX($J$14:$J$23,MATCH($H20,$H$14:$H$23,0)),-1)=IFERROR(INDEX($J$14:$J$23,MATCH($AG20,$H$14:$H$23,0)),-2)),SUMIFS(Dati!$D$2:$D$46,Dati!$A$2:$A$46,$H20,Dati!$H$2:$H$46,$AG20)+SUMIFS(Dati!$K$2:$K$46,Dati!$H$2:$H$46,$H20,Dati!$A$2:$A$46,$AG20)+SUMIFS(Dati!$C$2:$C$46,Dati!$A$2:$A$46,$H20,Dati!$H$2:$H$46,$AG20)+SUMIFS(Dati!$J$2:$J$46,Dati!$H$2:$H$46,$H20,Dati!$A$2:$A$46,$AG20),"-")</f>
        <v>-</v>
      </c>
      <c r="BF20" s="22" t="str">
        <f>IF(AND($H20&lt;&gt;"",$AH20&lt;&gt;"",$H20&lt;&gt;$AH20,IFERROR(INDEX($J$14:$J$23,MATCH($H20,$H$14:$H$23,0)),-1)=IFERROR(INDEX($J$14:$J$23,MATCH($AH20,$H$14:$H$23,0)),-2)),SUMIFS(Dati!$D$2:$D$46,Dati!$A$2:$A$46,$H20,Dati!$H$2:$H$46,$AH20)+SUMIFS(Dati!$K$2:$K$46,Dati!$H$2:$H$46,$H20,Dati!$A$2:$A$46,$AH20)+SUMIFS(Dati!$C$2:$C$46,Dati!$A$2:$A$46,$H20,Dati!$H$2:$H$46,$AH20)+SUMIFS(Dati!$J$2:$J$46,Dati!$H$2:$H$46,$H20,Dati!$A$2:$A$46,$AH20),"-")</f>
        <v>-</v>
      </c>
      <c r="BH20" s="21" t="str">
        <f>$C20</f>
        <v>Gazzelle Gentili-Gazzelleopoli GE</v>
      </c>
      <c r="BI20" s="22" t="str">
        <f>IF(AND($H20&lt;&gt;"",$Y20&lt;&gt;"",$H20&lt;&gt;$Y20,IFERROR(INDEX($J$14:$J$23,MATCH($H20,$H$14:$H$23,0)),-1)=IFERROR(INDEX($J$14:$J$23,MATCH($Y20,$H$14:$H$23,0)),-2)),SUMIFS(Dati!$E$2:$E$46,Dati!$A$2:$A$46,$H20,Dati!$H$2:$H$46,$Y20)+SUMIFS(Dati!$L$2:$L$46,Dati!$H$2:$H$46,$H20,Dati!$A$2:$A$46,$Y20),"-")</f>
        <v>-</v>
      </c>
      <c r="BJ20" s="22" t="str">
        <f>IF(AND($H20&lt;&gt;"",$Z20&lt;&gt;"",$H20&lt;&gt;$Z20,IFERROR(INDEX($J$14:$J$23,MATCH($H20,$H$14:$H$23,0)),-1)=IFERROR(INDEX($J$14:$J$23,MATCH($Z20,$H$14:$H$23,0)),-2)),SUMIFS(Dati!$E$2:$E$46,Dati!$A$2:$A$46,$H20,Dati!$H$2:$H$46,$Z20)+SUMIFS(Dati!$L$2:$L$46,Dati!$H$2:$H$46,$H20,Dati!$A$2:$A$46,$Z20),"-")</f>
        <v>-</v>
      </c>
      <c r="BK20" s="22" t="str">
        <f>IF(AND($H20&lt;&gt;"",$AA20&lt;&gt;"",$H20&lt;&gt;$AA20,IFERROR(INDEX($J$14:$J$23,MATCH($H20,$H$14:$H$23,0)),-1)=IFERROR(INDEX($J$14:$J$23,MATCH($AA20,$H$14:$H$23,0)),-2)),SUMIFS(Dati!$E$2:$E$46,Dati!$A$2:$A$46,$H20,Dati!$H$2:$H$46,$AA20)+SUMIFS(Dati!$L$2:$L$46,Dati!$H$2:$H$46,$H20,Dati!$A$2:$A$46,$AA20),"-")</f>
        <v>-</v>
      </c>
      <c r="BL20" s="22" t="str">
        <f>IF(AND($H20&lt;&gt;"",$AB20&lt;&gt;"",$H20&lt;&gt;$AB20,IFERROR(INDEX($J$14:$J$23,MATCH($H20,$H$14:$H$23,0)),-1)=IFERROR(INDEX($J$14:$J$23,MATCH($AB20,$H$14:$H$23,0)),-2)),SUMIFS(Dati!$E$2:$E$46,Dati!$A$2:$A$46,$H20,Dati!$H$2:$H$46,$AB20)+SUMIFS(Dati!$L$2:$L$46,Dati!$H$2:$H$46,$H20,Dati!$A$2:$A$46,$AB20),"-")</f>
        <v>-</v>
      </c>
      <c r="BM20" s="22" t="str">
        <f>IF(AND($H20&lt;&gt;"",$AC20&lt;&gt;"",$H20&lt;&gt;$AC20,IFERROR(INDEX($J$14:$J$23,MATCH($H20,$H$14:$H$23,0)),-1)=IFERROR(INDEX($J$14:$J$23,MATCH($AC20,$H$14:$H$23,0)),-2)),SUMIFS(Dati!$E$2:$E$46,Dati!$A$2:$A$46,$H20,Dati!$H$2:$H$46,$AC20)+SUMIFS(Dati!$L$2:$L$46,Dati!$H$2:$H$46,$H20,Dati!$A$2:$A$46,$AC20),"-")</f>
        <v>-</v>
      </c>
      <c r="BN20" s="22" t="str">
        <f>IF(AND($H20&lt;&gt;"",$AD20&lt;&gt;"",$H20&lt;&gt;$AD20,IFERROR(INDEX($J$14:$J$23,MATCH($H20,$H$14:$H$23,0)),-1)=IFERROR(INDEX($J$14:$J$23,MATCH($AD20,$H$14:$H$23,0)),-2)),SUMIFS(Dati!$E$2:$E$46,Dati!$A$2:$A$46,$H20,Dati!$H$2:$H$46,$AD20)+SUMIFS(Dati!$L$2:$L$46,Dati!$H$2:$H$46,$H20,Dati!$A$2:$A$46,$AD20),"-")</f>
        <v>-</v>
      </c>
      <c r="BO20" s="22" t="str">
        <f>IF(AND($H20&lt;&gt;"",$AE20&lt;&gt;"",$H20&lt;&gt;$AE20,IFERROR(INDEX($J$14:$J$23,MATCH($H20,$H$14:$H$23,0)),-1)=IFERROR(INDEX($J$14:$J$23,MATCH($AE20,$H$14:$H$23,0)),-2)),SUMIFS(Dati!$E$2:$E$46,Dati!$A$2:$A$46,$H20,Dati!$H$2:$H$46,$AE20)+SUMIFS(Dati!$L$2:$L$46,Dati!$H$2:$H$46,$H20,Dati!$A$2:$A$46,$AE20),"-")</f>
        <v>-</v>
      </c>
      <c r="BP20" s="22" t="str">
        <f>IF(AND($H20&lt;&gt;"",$AF20&lt;&gt;"",$H20&lt;&gt;$AF20,IFERROR(INDEX($J$14:$J$23,MATCH($H20,$H$14:$H$23,0)),-1)=IFERROR(INDEX($J$14:$J$23,MATCH($AF20,$H$14:$H$23,0)),-2)),SUMIFS(Dati!$E$2:$E$46,Dati!$A$2:$A$46,$H20,Dati!$H$2:$H$46,$AF20)+SUMIFS(Dati!$L$2:$L$46,Dati!$H$2:$H$46,$H20,Dati!$A$2:$A$46,$AF20),"-")</f>
        <v>-</v>
      </c>
      <c r="BQ20" s="22" t="str">
        <f>IF(AND($H20&lt;&gt;"",$AG20&lt;&gt;"",$H20&lt;&gt;$AG20,IFERROR(INDEX($J$14:$J$23,MATCH($H20,$H$14:$H$23,0)),-1)=IFERROR(INDEX($J$14:$J$23,MATCH($AG20,$H$14:$H$23,0)),-2)),SUMIFS(Dati!$E$2:$E$46,Dati!$A$2:$A$46,$H20,Dati!$H$2:$H$46,$AG20)+SUMIFS(Dati!$L$2:$L$46,Dati!$H$2:$H$46,$H20,Dati!$A$2:$A$46,$AG20),"-")</f>
        <v>-</v>
      </c>
      <c r="BR20" s="22" t="str">
        <f>IF(AND($H20&lt;&gt;"",$AH20&lt;&gt;"",$H20&lt;&gt;$AH20,IFERROR(INDEX($J$14:$J$23,MATCH($H20,$H$14:$H$23,0)),-1)=IFERROR(INDEX($J$14:$J$23,MATCH($AH20,$H$14:$H$23,0)),-2)),SUMIFS(Dati!$E$2:$E$46,Dati!$A$2:$A$46,$H20,Dati!$H$2:$H$46,$AH20)+SUMIFS(Dati!$L$2:$L$46,Dati!$H$2:$H$46,$H20,Dati!$A$2:$A$46,$AH20),"-")</f>
        <v>-</v>
      </c>
      <c r="BT20" s="21" t="str">
        <f>$C20</f>
        <v>Gazzelle Gentili-Gazzelleopoli GE</v>
      </c>
      <c r="BU20" s="22" t="str">
        <f>IF(AND($H20&lt;&gt;"",$Y20&lt;&gt;"",$H20&lt;&gt;$Y20,IFERROR(INDEX($J$14:$J$23,MATCH($H20,$H$14:$H$23,0)),-1)=IFERROR(INDEX($J$14:$J$23,MATCH($Y20,$H$14:$H$23,0)),-2)),SUMIFS(Dati!$F$2:$F$46,Dati!$A$2:$A$46,$H20,Dati!$H$2:$H$46,$Y20)+SUMIFS(Dati!$M$2:$M$46,Dati!$H$2:$H$46,$H20,Dati!$A$2:$A$46,$Y20),"-")</f>
        <v>-</v>
      </c>
      <c r="BV20" s="22" t="str">
        <f>IF(AND($H20&lt;&gt;"",$Z20&lt;&gt;"",$H20&lt;&gt;$Z20,IFERROR(INDEX($J$14:$J$23,MATCH($H20,$H$14:$H$23,0)),-1)=IFERROR(INDEX($J$14:$J$23,MATCH($Z20,$H$14:$H$23,0)),-2)),SUMIFS(Dati!$F$2:$F$46,Dati!$A$2:$A$46,$H20,Dati!$H$2:$H$46,$Z20)+SUMIFS(Dati!$M$2:$M$46,Dati!$H$2:$H$46,$H20,Dati!$A$2:$A$46,$Z20),"-")</f>
        <v>-</v>
      </c>
      <c r="BW20" s="22" t="str">
        <f>IF(AND($H20&lt;&gt;"",$AA20&lt;&gt;"",$H20&lt;&gt;$AA20,IFERROR(INDEX($J$14:$J$23,MATCH($H20,$H$14:$H$23,0)),-1)=IFERROR(INDEX($J$14:$J$23,MATCH($AA20,$H$14:$H$23,0)),-2)),SUMIFS(Dati!$F$2:$F$46,Dati!$A$2:$A$46,$H20,Dati!$H$2:$H$46,$AA20)+SUMIFS(Dati!$M$2:$M$46,Dati!$H$2:$H$46,$H20,Dati!$A$2:$A$46,$AA20),"-")</f>
        <v>-</v>
      </c>
      <c r="BX20" s="22" t="str">
        <f>IF(AND($H20&lt;&gt;"",$AB20&lt;&gt;"",$H20&lt;&gt;$AB20,IFERROR(INDEX($J$14:$J$23,MATCH($H20,$H$14:$H$23,0)),-1)=IFERROR(INDEX($J$14:$J$23,MATCH($AB20,$H$14:$H$23,0)),-2)),SUMIFS(Dati!$F$2:$F$46,Dati!$A$2:$A$46,$H20,Dati!$H$2:$H$46,$AB20)+SUMIFS(Dati!$M$2:$M$46,Dati!$H$2:$H$46,$H20,Dati!$A$2:$A$46,$AB20),"-")</f>
        <v>-</v>
      </c>
      <c r="BY20" s="22" t="str">
        <f>IF(AND($H20&lt;&gt;"",$AC20&lt;&gt;"",$H20&lt;&gt;$AC20,IFERROR(INDEX($J$14:$J$23,MATCH($H20,$H$14:$H$23,0)),-1)=IFERROR(INDEX($J$14:$J$23,MATCH($AC20,$H$14:$H$23,0)),-2)),SUMIFS(Dati!$F$2:$F$46,Dati!$A$2:$A$46,$H20,Dati!$H$2:$H$46,$AC20)+SUMIFS(Dati!$M$2:$M$46,Dati!$H$2:$H$46,$H20,Dati!$A$2:$A$46,$AC20),"-")</f>
        <v>-</v>
      </c>
      <c r="BZ20" s="22" t="str">
        <f>IF(AND($H20&lt;&gt;"",$AD20&lt;&gt;"",$H20&lt;&gt;$AD20,IFERROR(INDEX($J$14:$J$23,MATCH($H20,$H$14:$H$23,0)),-1)=IFERROR(INDEX($J$14:$J$23,MATCH($AD20,$H$14:$H$23,0)),-2)),SUMIFS(Dati!$F$2:$F$46,Dati!$A$2:$A$46,$H20,Dati!$H$2:$H$46,$AD20)+SUMIFS(Dati!$M$2:$M$46,Dati!$H$2:$H$46,$H20,Dati!$A$2:$A$46,$AD20),"-")</f>
        <v>-</v>
      </c>
      <c r="CA20" s="22" t="str">
        <f>IF(AND($H20&lt;&gt;"",$AE20&lt;&gt;"",$H20&lt;&gt;$AE20,IFERROR(INDEX($J$14:$J$23,MATCH($H20,$H$14:$H$23,0)),-1)=IFERROR(INDEX($J$14:$J$23,MATCH($AE20,$H$14:$H$23,0)),-2)),SUMIFS(Dati!$F$2:$F$46,Dati!$A$2:$A$46,$H20,Dati!$H$2:$H$46,$AE20)+SUMIFS(Dati!$M$2:$M$46,Dati!$H$2:$H$46,$H20,Dati!$A$2:$A$46,$AE20),"-")</f>
        <v>-</v>
      </c>
      <c r="CB20" s="22" t="str">
        <f>IF(AND($H20&lt;&gt;"",$AF20&lt;&gt;"",$H20&lt;&gt;$AF20,IFERROR(INDEX($J$14:$J$23,MATCH($H20,$H$14:$H$23,0)),-1)=IFERROR(INDEX($J$14:$J$23,MATCH($AF20,$H$14:$H$23,0)),-2)),SUMIFS(Dati!$F$2:$F$46,Dati!$A$2:$A$46,$H20,Dati!$H$2:$H$46,$AF20)+SUMIFS(Dati!$M$2:$M$46,Dati!$H$2:$H$46,$H20,Dati!$A$2:$A$46,$AF20),"-")</f>
        <v>-</v>
      </c>
      <c r="CC20" s="22" t="str">
        <f>IF(AND($H20&lt;&gt;"",$AG20&lt;&gt;"",$H20&lt;&gt;$AG20,IFERROR(INDEX($J$14:$J$23,MATCH($H20,$H$14:$H$23,0)),-1)=IFERROR(INDEX($J$14:$J$23,MATCH($AG20,$H$14:$H$23,0)),-2)),SUMIFS(Dati!$F$2:$F$46,Dati!$A$2:$A$46,$H20,Dati!$H$2:$H$46,$AG20)+SUMIFS(Dati!$M$2:$M$46,Dati!$H$2:$H$46,$H20,Dati!$A$2:$A$46,$AG20),"-")</f>
        <v>-</v>
      </c>
      <c r="CD20" s="22" t="str">
        <f>IF(AND($H20&lt;&gt;"",$AH20&lt;&gt;"",$H20&lt;&gt;$AH20,IFERROR(INDEX($J$14:$J$23,MATCH($H20,$H$14:$H$23,0)),-1)=IFERROR(INDEX($J$14:$J$23,MATCH($AH20,$H$14:$H$23,0)),-2)),SUMIFS(Dati!$F$2:$F$46,Dati!$A$2:$A$46,$H20,Dati!$H$2:$H$46,$AH20)+SUMIFS(Dati!$M$2:$M$46,Dati!$H$2:$H$46,$H20,Dati!$A$2:$A$46,$AH20),"-")</f>
        <v>-</v>
      </c>
      <c r="CF20" s="22">
        <f>IF($C20="","",SUM(AK20:AT20))</f>
        <v>0</v>
      </c>
    </row>
    <row r="21">
      <c r="B21" s="12" t="inlineStr">
        <is>
          <t>A08</t>
        </is>
      </c>
      <c r="C21" s="13" t="inlineStr">
        <is>
          <t>Ibis Instancabili-Ibisopoli II</t>
        </is>
      </c>
      <c r="D21" s="14" t="n"/>
      <c r="E21" s="15" t="inlineStr">
        <is>
          <t>A</t>
        </is>
      </c>
      <c r="G21" s="16" t="str">
        <f>IF($C21="","",$E21&amp;(COUNTIFS(I$14:I$23,"&gt;"&amp;I21,E$14:E$23,"="&amp;E21,C$14:C$23,"&lt;&gt;")+COUNTIFS(I$14:I$23,"="&amp;I21,H$14:H$23,"&lt;="&amp;H21,E$14:E$23,"="&amp;E21,C$14:C$23,"&lt;&gt;")))</f>
        <v>A6</v>
      </c>
      <c r="H21" s="17" t="str">
        <f>IF($C21="","",IFERROR(LEFT($C21,FIND("-",$C21)-1),$C21))</f>
        <v>Ibis Instancabili</v>
      </c>
      <c r="I21" s="12" t="str">
        <f>TEXT(1000000000+J21,"|0000000000|")&amp;TEXT(SUM(AK21:AT21),"0000000000|")&amp;IF(SUM(BU21:CD21)=0,"0000000000|",TEXT(ROUND(SUM(BI21:BR21)/SUM(BU21:CD21),4)*100000,"0000000000|"))&amp;IF(P21=0,"0000000000|",TEXT(ROUND(O21/P21,4)*100000,"0000000000|"))</f>
        <v>|1000000019|0000000000|0000087930|0000110700|</v>
      </c>
      <c r="J21" s="16">
        <f>L21*Campionato!$D$7+M21*Campionato!$D$8+N21*Campionato!$D$9+IF(D21="",0,D21)</f>
        <v>19</v>
      </c>
      <c r="K21" s="12">
        <f>SUM(L21:N21)</f>
        <v>9</v>
      </c>
      <c r="L21" s="12">
        <f>IF($H21="",0,SUMIF(Dati!$A$2:$A$46,$H21,Dati!$B$2:$B$46)+SUMIF(Dati!$H$2:$H$46,$H21,Dati!$I$2:$I$46))</f>
        <v>5</v>
      </c>
      <c r="M21" s="12">
        <f>IF($H21="",0,SUMIF(Dati!$A$2:$A$46,$H21,Dati!$D$2:$D$46)+SUMIF(Dati!$H$2:$H$46,$H21,Dati!$K$2:$K$46))</f>
        <v>4</v>
      </c>
      <c r="N21" s="12">
        <f>IF($H21="",0,SUMIF(Dati!$A$2:$A$46,$H21,Dati!$C$2:$C$46)+SUMIF(Dati!$H$2:$H$46,$H21,Dati!$J$2:$J$46))</f>
        <v>0</v>
      </c>
      <c r="O21" s="12">
        <f>IF($H21="",0,SUMIF(Dati!$A$2:$A$46,$H21,Dati!$E$2:$E$46)+SUMIF(Dati!$H$2:$H$46,$H21,Dati!$L$2:$L$46))</f>
        <v>445</v>
      </c>
      <c r="P21" s="12">
        <f>IF($H21="",0,SUMIF(Dati!$A$2:$A$46,$H21,Dati!$F$2:$F$46)+SUMIF(Dati!$H$2:$H$46,$H21,Dati!$M$2:$M$46))</f>
        <v>402</v>
      </c>
      <c r="Q21" s="12">
        <f>IF($H21="",0,SUMIF(Dati!$A$2:$A$46,$H21,Dati!$G$2:$G$46)+SUMIF(Dati!$H$2:$H$46,$H21,Dati!$N$2:$N$46))</f>
        <v>43</v>
      </c>
      <c r="R21" s="12">
        <f>IF(K21=0,0,ROUND(O21/K21,2))</f>
        <v>49.44</v>
      </c>
      <c r="S21" s="12">
        <f>IF(K21=0,0,ROUND(P21/K21,2))</f>
        <v>44.67</v>
      </c>
      <c r="T21" s="12">
        <f>IF(K21=0,0,ROUND(Q21/K21,2))</f>
        <v>4.78</v>
      </c>
      <c r="U21" s="12" t="str">
        <f>IF(COUNTIFS($E$14:$E$23,$E21,$J$14:$J$23,$J21,$C$14:$C$23,"&lt;&gt;")&lt;=1,"-",SUM(AK21:AT21)&amp;"-"&amp;SUM(AW21:BF21))</f>
        <v>0-1</v>
      </c>
      <c r="V21" s="18" t="str">
        <f>IF(COUNTIFS($E$14:$E$23,$E21,$J$14:$J$23,$J21,$C$14:$C$23,"&lt;&gt;",$CF$14:$CF$23,$CF21)&lt;=1,"-",IF(SUM(BU21:CD21)=0,0,ROUND(SUM(BI21:BR21)/SUM(BU21:CD21),3)))</f>
        <v>-</v>
      </c>
      <c r="W21" s="18" t="str">
        <f>IF(COUNTIFS($E$14:$E$23,$E21,$J$14:$J$23,$J21,$C$14:$C$23,"&lt;&gt;",$CF$14:$CF$23,$CF21,$V$14:$V$23,$V21)&lt;=1,"-",IF(P21=0,0,ROUND(O21/P21,3)))</f>
        <v>-</v>
      </c>
      <c r="X21" s="19" t="str">
        <f>IF($C21="","",$E21&amp;"#"&amp;COUNTIFS($E$14:$E21,$E21,$C$14:$C21,"&lt;&gt;"))</f>
        <v>A#8</v>
      </c>
      <c r="Y21" s="20" t="str">
        <f>IFERROR(INDEX($H$14:$H$23,MATCH($E21&amp;"#1",$X$14:$X$23,0)),"")</f>
        <v>Anaconde Audaci</v>
      </c>
      <c r="Z21" s="20" t="str">
        <f>IFERROR(INDEX($H$14:$H$23,MATCH($E21&amp;"#2",$X$14:$X$23,0)),"")</f>
        <v>Bufali Belligeranti</v>
      </c>
      <c r="AA21" s="20" t="str">
        <f>IFERROR(INDEX($H$14:$H$23,MATCH($E21&amp;"#3",$X$14:$X$23,0)),"")</f>
        <v>Cobra Celeri</v>
      </c>
      <c r="AB21" s="20" t="str">
        <f>IFERROR(INDEX($H$14:$H$23,MATCH($E21&amp;"#4",$X$14:$X$23,0)),"")</f>
        <v>Dingo Docili</v>
      </c>
      <c r="AC21" s="20" t="str">
        <f>IFERROR(INDEX($H$14:$H$23,MATCH($E21&amp;"#5",$X$14:$X$23,0)),"")</f>
        <v>Ermellini Eleganti</v>
      </c>
      <c r="AD21" s="20" t="str">
        <f>IFERROR(INDEX($H$14:$H$23,MATCH($E21&amp;"#6",$X$14:$X$23,0)),"")</f>
        <v>Falchi Feroci</v>
      </c>
      <c r="AE21" s="20" t="str">
        <f>IFERROR(INDEX($H$14:$H$23,MATCH($E21&amp;"#7",$X$14:$X$23,0)),"")</f>
        <v>Gazzelle Gentili</v>
      </c>
      <c r="AF21" s="20" t="str">
        <f>IFERROR(INDEX($H$14:$H$23,MATCH($E21&amp;"#8",$X$14:$X$23,0)),"")</f>
        <v>Ibis Instancabili</v>
      </c>
      <c r="AG21" s="20" t="str">
        <f>IFERROR(INDEX($H$14:$H$23,MATCH($E21&amp;"#9",$X$14:$X$23,0)),"")</f>
        <v>Lupi Leali</v>
      </c>
      <c r="AH21" s="20" t="str">
        <f>IFERROR(INDEX($H$14:$H$23,MATCH($E21&amp;"#10",$X$14:$X$23,0)),"")</f>
        <v>Marmotte Mobili</v>
      </c>
      <c r="AJ21" s="21" t="str">
        <f>$C21</f>
        <v>Ibis Instancabili-Ibisopoli II</v>
      </c>
      <c r="AK21" s="22" t="str">
        <f>IF(AND($H21&lt;&gt;"",$Y21&lt;&gt;"",$H21&lt;&gt;$Y21,IFERROR(INDEX($J$14:$J$23,MATCH($H21,$H$14:$H$23,0)),-1)=IFERROR(INDEX($J$14:$J$23,MATCH($Y21,$H$14:$H$23,0)),-2)),SUMIFS(Dati!$B$2:$B$46,Dati!$A$2:$A$46,$H21,Dati!$H$2:$H$46,$Y21)+SUMIFS(Dati!$I$2:$I$46,Dati!$H$2:$H$46,$H21,Dati!$A$2:$A$46,$Y21),"-")</f>
        <v>-</v>
      </c>
      <c r="AL21" s="22" t="str">
        <f>IF(AND($H21&lt;&gt;"",$Z21&lt;&gt;"",$H21&lt;&gt;$Z21,IFERROR(INDEX($J$14:$J$23,MATCH($H21,$H$14:$H$23,0)),-1)=IFERROR(INDEX($J$14:$J$23,MATCH($Z21,$H$14:$H$23,0)),-2)),SUMIFS(Dati!$B$2:$B$46,Dati!$A$2:$A$46,$H21,Dati!$H$2:$H$46,$Z21)+SUMIFS(Dati!$I$2:$I$46,Dati!$H$2:$H$46,$H21,Dati!$A$2:$A$46,$Z21),"-")</f>
        <v>-</v>
      </c>
      <c r="AM21" s="22">
        <f>IF(AND($H21&lt;&gt;"",$AA21&lt;&gt;"",$H21&lt;&gt;$AA21,IFERROR(INDEX($J$14:$J$23,MATCH($H21,$H$14:$H$23,0)),-1)=IFERROR(INDEX($J$14:$J$23,MATCH($AA21,$H$14:$H$23,0)),-2)),SUMIFS(Dati!$B$2:$B$46,Dati!$A$2:$A$46,$H21,Dati!$H$2:$H$46,$AA21)+SUMIFS(Dati!$I$2:$I$46,Dati!$H$2:$H$46,$H21,Dati!$A$2:$A$46,$AA21),"-")</f>
        <v>0</v>
      </c>
      <c r="AN21" s="22" t="str">
        <f>IF(AND($H21&lt;&gt;"",$AB21&lt;&gt;"",$H21&lt;&gt;$AB21,IFERROR(INDEX($J$14:$J$23,MATCH($H21,$H$14:$H$23,0)),-1)=IFERROR(INDEX($J$14:$J$23,MATCH($AB21,$H$14:$H$23,0)),-2)),SUMIFS(Dati!$B$2:$B$46,Dati!$A$2:$A$46,$H21,Dati!$H$2:$H$46,$AB21)+SUMIFS(Dati!$I$2:$I$46,Dati!$H$2:$H$46,$H21,Dati!$A$2:$A$46,$AB21),"-")</f>
        <v>-</v>
      </c>
      <c r="AO21" s="22" t="str">
        <f>IF(AND($H21&lt;&gt;"",$AC21&lt;&gt;"",$H21&lt;&gt;$AC21,IFERROR(INDEX($J$14:$J$23,MATCH($H21,$H$14:$H$23,0)),-1)=IFERROR(INDEX($J$14:$J$23,MATCH($AC21,$H$14:$H$23,0)),-2)),SUMIFS(Dati!$B$2:$B$46,Dati!$A$2:$A$46,$H21,Dati!$H$2:$H$46,$AC21)+SUMIFS(Dati!$I$2:$I$46,Dati!$H$2:$H$46,$H21,Dati!$A$2:$A$46,$AC21),"-")</f>
        <v>-</v>
      </c>
      <c r="AP21" s="22" t="str">
        <f>IF(AND($H21&lt;&gt;"",$AD21&lt;&gt;"",$H21&lt;&gt;$AD21,IFERROR(INDEX($J$14:$J$23,MATCH($H21,$H$14:$H$23,0)),-1)=IFERROR(INDEX($J$14:$J$23,MATCH($AD21,$H$14:$H$23,0)),-2)),SUMIFS(Dati!$B$2:$B$46,Dati!$A$2:$A$46,$H21,Dati!$H$2:$H$46,$AD21)+SUMIFS(Dati!$I$2:$I$46,Dati!$H$2:$H$46,$H21,Dati!$A$2:$A$46,$AD21),"-")</f>
        <v>-</v>
      </c>
      <c r="AQ21" s="22" t="str">
        <f>IF(AND($H21&lt;&gt;"",$AE21&lt;&gt;"",$H21&lt;&gt;$AE21,IFERROR(INDEX($J$14:$J$23,MATCH($H21,$H$14:$H$23,0)),-1)=IFERROR(INDEX($J$14:$J$23,MATCH($AE21,$H$14:$H$23,0)),-2)),SUMIFS(Dati!$B$2:$B$46,Dati!$A$2:$A$46,$H21,Dati!$H$2:$H$46,$AE21)+SUMIFS(Dati!$I$2:$I$46,Dati!$H$2:$H$46,$H21,Dati!$A$2:$A$46,$AE21),"-")</f>
        <v>-</v>
      </c>
      <c r="AR21" s="22" t="str">
        <f>IF(AND($H21&lt;&gt;"",$AF21&lt;&gt;"",$H21&lt;&gt;$AF21,IFERROR(INDEX($J$14:$J$23,MATCH($H21,$H$14:$H$23,0)),-1)=IFERROR(INDEX($J$14:$J$23,MATCH($AF21,$H$14:$H$23,0)),-2)),SUMIFS(Dati!$B$2:$B$46,Dati!$A$2:$A$46,$H21,Dati!$H$2:$H$46,$AF21)+SUMIFS(Dati!$I$2:$I$46,Dati!$H$2:$H$46,$H21,Dati!$A$2:$A$46,$AF21),"-")</f>
        <v>-</v>
      </c>
      <c r="AS21" s="22" t="str">
        <f>IF(AND($H21&lt;&gt;"",$AG21&lt;&gt;"",$H21&lt;&gt;$AG21,IFERROR(INDEX($J$14:$J$23,MATCH($H21,$H$14:$H$23,0)),-1)=IFERROR(INDEX($J$14:$J$23,MATCH($AG21,$H$14:$H$23,0)),-2)),SUMIFS(Dati!$B$2:$B$46,Dati!$A$2:$A$46,$H21,Dati!$H$2:$H$46,$AG21)+SUMIFS(Dati!$I$2:$I$46,Dati!$H$2:$H$46,$H21,Dati!$A$2:$A$46,$AG21),"-")</f>
        <v>-</v>
      </c>
      <c r="AT21" s="22" t="str">
        <f>IF(AND($H21&lt;&gt;"",$AH21&lt;&gt;"",$H21&lt;&gt;$AH21,IFERROR(INDEX($J$14:$J$23,MATCH($H21,$H$14:$H$23,0)),-1)=IFERROR(INDEX($J$14:$J$23,MATCH($AH21,$H$14:$H$23,0)),-2)),SUMIFS(Dati!$B$2:$B$46,Dati!$A$2:$A$46,$H21,Dati!$H$2:$H$46,$AH21)+SUMIFS(Dati!$I$2:$I$46,Dati!$H$2:$H$46,$H21,Dati!$A$2:$A$46,$AH21),"-")</f>
        <v>-</v>
      </c>
      <c r="AV21" s="21" t="str">
        <f>$C21</f>
        <v>Ibis Instancabili-Ibisopoli II</v>
      </c>
      <c r="AW21" s="22" t="str">
        <f>IF(AND($H21&lt;&gt;"",$Y21&lt;&gt;"",$H21&lt;&gt;$Y21,IFERROR(INDEX($J$14:$J$23,MATCH($H21,$H$14:$H$23,0)),-1)=IFERROR(INDEX($J$14:$J$23,MATCH($Y21,$H$14:$H$23,0)),-2)),SUMIFS(Dati!$D$2:$D$46,Dati!$A$2:$A$46,$H21,Dati!$H$2:$H$46,$Y21)+SUMIFS(Dati!$K$2:$K$46,Dati!$H$2:$H$46,$H21,Dati!$A$2:$A$46,$Y21)+SUMIFS(Dati!$C$2:$C$46,Dati!$A$2:$A$46,$H21,Dati!$H$2:$H$46,$Y21)+SUMIFS(Dati!$J$2:$J$46,Dati!$H$2:$H$46,$H21,Dati!$A$2:$A$46,$Y21),"-")</f>
        <v>-</v>
      </c>
      <c r="AX21" s="22" t="str">
        <f>IF(AND($H21&lt;&gt;"",$Z21&lt;&gt;"",$H21&lt;&gt;$Z21,IFERROR(INDEX($J$14:$J$23,MATCH($H21,$H$14:$H$23,0)),-1)=IFERROR(INDEX($J$14:$J$23,MATCH($Z21,$H$14:$H$23,0)),-2)),SUMIFS(Dati!$D$2:$D$46,Dati!$A$2:$A$46,$H21,Dati!$H$2:$H$46,$Z21)+SUMIFS(Dati!$K$2:$K$46,Dati!$H$2:$H$46,$H21,Dati!$A$2:$A$46,$Z21)+SUMIFS(Dati!$C$2:$C$46,Dati!$A$2:$A$46,$H21,Dati!$H$2:$H$46,$Z21)+SUMIFS(Dati!$J$2:$J$46,Dati!$H$2:$H$46,$H21,Dati!$A$2:$A$46,$Z21),"-")</f>
        <v>-</v>
      </c>
      <c r="AY21" s="22">
        <f>IF(AND($H21&lt;&gt;"",$AA21&lt;&gt;"",$H21&lt;&gt;$AA21,IFERROR(INDEX($J$14:$J$23,MATCH($H21,$H$14:$H$23,0)),-1)=IFERROR(INDEX($J$14:$J$23,MATCH($AA21,$H$14:$H$23,0)),-2)),SUMIFS(Dati!$D$2:$D$46,Dati!$A$2:$A$46,$H21,Dati!$H$2:$H$46,$AA21)+SUMIFS(Dati!$K$2:$K$46,Dati!$H$2:$H$46,$H21,Dati!$A$2:$A$46,$AA21)+SUMIFS(Dati!$C$2:$C$46,Dati!$A$2:$A$46,$H21,Dati!$H$2:$H$46,$AA21)+SUMIFS(Dati!$J$2:$J$46,Dati!$H$2:$H$46,$H21,Dati!$A$2:$A$46,$AA21),"-")</f>
        <v>1</v>
      </c>
      <c r="AZ21" s="22" t="str">
        <f>IF(AND($H21&lt;&gt;"",$AB21&lt;&gt;"",$H21&lt;&gt;$AB21,IFERROR(INDEX($J$14:$J$23,MATCH($H21,$H$14:$H$23,0)),-1)=IFERROR(INDEX($J$14:$J$23,MATCH($AB21,$H$14:$H$23,0)),-2)),SUMIFS(Dati!$D$2:$D$46,Dati!$A$2:$A$46,$H21,Dati!$H$2:$H$46,$AB21)+SUMIFS(Dati!$K$2:$K$46,Dati!$H$2:$H$46,$H21,Dati!$A$2:$A$46,$AB21)+SUMIFS(Dati!$C$2:$C$46,Dati!$A$2:$A$46,$H21,Dati!$H$2:$H$46,$AB21)+SUMIFS(Dati!$J$2:$J$46,Dati!$H$2:$H$46,$H21,Dati!$A$2:$A$46,$AB21),"-")</f>
        <v>-</v>
      </c>
      <c r="BA21" s="22" t="str">
        <f>IF(AND($H21&lt;&gt;"",$AC21&lt;&gt;"",$H21&lt;&gt;$AC21,IFERROR(INDEX($J$14:$J$23,MATCH($H21,$H$14:$H$23,0)),-1)=IFERROR(INDEX($J$14:$J$23,MATCH($AC21,$H$14:$H$23,0)),-2)),SUMIFS(Dati!$D$2:$D$46,Dati!$A$2:$A$46,$H21,Dati!$H$2:$H$46,$AC21)+SUMIFS(Dati!$K$2:$K$46,Dati!$H$2:$H$46,$H21,Dati!$A$2:$A$46,$AC21)+SUMIFS(Dati!$C$2:$C$46,Dati!$A$2:$A$46,$H21,Dati!$H$2:$H$46,$AC21)+SUMIFS(Dati!$J$2:$J$46,Dati!$H$2:$H$46,$H21,Dati!$A$2:$A$46,$AC21),"-")</f>
        <v>-</v>
      </c>
      <c r="BB21" s="22" t="str">
        <f>IF(AND($H21&lt;&gt;"",$AD21&lt;&gt;"",$H21&lt;&gt;$AD21,IFERROR(INDEX($J$14:$J$23,MATCH($H21,$H$14:$H$23,0)),-1)=IFERROR(INDEX($J$14:$J$23,MATCH($AD21,$H$14:$H$23,0)),-2)),SUMIFS(Dati!$D$2:$D$46,Dati!$A$2:$A$46,$H21,Dati!$H$2:$H$46,$AD21)+SUMIFS(Dati!$K$2:$K$46,Dati!$H$2:$H$46,$H21,Dati!$A$2:$A$46,$AD21)+SUMIFS(Dati!$C$2:$C$46,Dati!$A$2:$A$46,$H21,Dati!$H$2:$H$46,$AD21)+SUMIFS(Dati!$J$2:$J$46,Dati!$H$2:$H$46,$H21,Dati!$A$2:$A$46,$AD21),"-")</f>
        <v>-</v>
      </c>
      <c r="BC21" s="22" t="str">
        <f>IF(AND($H21&lt;&gt;"",$AE21&lt;&gt;"",$H21&lt;&gt;$AE21,IFERROR(INDEX($J$14:$J$23,MATCH($H21,$H$14:$H$23,0)),-1)=IFERROR(INDEX($J$14:$J$23,MATCH($AE21,$H$14:$H$23,0)),-2)),SUMIFS(Dati!$D$2:$D$46,Dati!$A$2:$A$46,$H21,Dati!$H$2:$H$46,$AE21)+SUMIFS(Dati!$K$2:$K$46,Dati!$H$2:$H$46,$H21,Dati!$A$2:$A$46,$AE21)+SUMIFS(Dati!$C$2:$C$46,Dati!$A$2:$A$46,$H21,Dati!$H$2:$H$46,$AE21)+SUMIFS(Dati!$J$2:$J$46,Dati!$H$2:$H$46,$H21,Dati!$A$2:$A$46,$AE21),"-")</f>
        <v>-</v>
      </c>
      <c r="BD21" s="22" t="str">
        <f>IF(AND($H21&lt;&gt;"",$AF21&lt;&gt;"",$H21&lt;&gt;$AF21,IFERROR(INDEX($J$14:$J$23,MATCH($H21,$H$14:$H$23,0)),-1)=IFERROR(INDEX($J$14:$J$23,MATCH($AF21,$H$14:$H$23,0)),-2)),SUMIFS(Dati!$D$2:$D$46,Dati!$A$2:$A$46,$H21,Dati!$H$2:$H$46,$AF21)+SUMIFS(Dati!$K$2:$K$46,Dati!$H$2:$H$46,$H21,Dati!$A$2:$A$46,$AF21)+SUMIFS(Dati!$C$2:$C$46,Dati!$A$2:$A$46,$H21,Dati!$H$2:$H$46,$AF21)+SUMIFS(Dati!$J$2:$J$46,Dati!$H$2:$H$46,$H21,Dati!$A$2:$A$46,$AF21),"-")</f>
        <v>-</v>
      </c>
      <c r="BE21" s="22" t="str">
        <f>IF(AND($H21&lt;&gt;"",$AG21&lt;&gt;"",$H21&lt;&gt;$AG21,IFERROR(INDEX($J$14:$J$23,MATCH($H21,$H$14:$H$23,0)),-1)=IFERROR(INDEX($J$14:$J$23,MATCH($AG21,$H$14:$H$23,0)),-2)),SUMIFS(Dati!$D$2:$D$46,Dati!$A$2:$A$46,$H21,Dati!$H$2:$H$46,$AG21)+SUMIFS(Dati!$K$2:$K$46,Dati!$H$2:$H$46,$H21,Dati!$A$2:$A$46,$AG21)+SUMIFS(Dati!$C$2:$C$46,Dati!$A$2:$A$46,$H21,Dati!$H$2:$H$46,$AG21)+SUMIFS(Dati!$J$2:$J$46,Dati!$H$2:$H$46,$H21,Dati!$A$2:$A$46,$AG21),"-")</f>
        <v>-</v>
      </c>
      <c r="BF21" s="22" t="str">
        <f>IF(AND($H21&lt;&gt;"",$AH21&lt;&gt;"",$H21&lt;&gt;$AH21,IFERROR(INDEX($J$14:$J$23,MATCH($H21,$H$14:$H$23,0)),-1)=IFERROR(INDEX($J$14:$J$23,MATCH($AH21,$H$14:$H$23,0)),-2)),SUMIFS(Dati!$D$2:$D$46,Dati!$A$2:$A$46,$H21,Dati!$H$2:$H$46,$AH21)+SUMIFS(Dati!$K$2:$K$46,Dati!$H$2:$H$46,$H21,Dati!$A$2:$A$46,$AH21)+SUMIFS(Dati!$C$2:$C$46,Dati!$A$2:$A$46,$H21,Dati!$H$2:$H$46,$AH21)+SUMIFS(Dati!$J$2:$J$46,Dati!$H$2:$H$46,$H21,Dati!$A$2:$A$46,$AH21),"-")</f>
        <v>-</v>
      </c>
      <c r="BH21" s="21" t="str">
        <f>$C21</f>
        <v>Ibis Instancabili-Ibisopoli II</v>
      </c>
      <c r="BI21" s="22" t="str">
        <f>IF(AND($H21&lt;&gt;"",$Y21&lt;&gt;"",$H21&lt;&gt;$Y21,IFERROR(INDEX($J$14:$J$23,MATCH($H21,$H$14:$H$23,0)),-1)=IFERROR(INDEX($J$14:$J$23,MATCH($Y21,$H$14:$H$23,0)),-2)),SUMIFS(Dati!$E$2:$E$46,Dati!$A$2:$A$46,$H21,Dati!$H$2:$H$46,$Y21)+SUMIFS(Dati!$L$2:$L$46,Dati!$H$2:$H$46,$H21,Dati!$A$2:$A$46,$Y21),"-")</f>
        <v>-</v>
      </c>
      <c r="BJ21" s="22" t="str">
        <f>IF(AND($H21&lt;&gt;"",$Z21&lt;&gt;"",$H21&lt;&gt;$Z21,IFERROR(INDEX($J$14:$J$23,MATCH($H21,$H$14:$H$23,0)),-1)=IFERROR(INDEX($J$14:$J$23,MATCH($Z21,$H$14:$H$23,0)),-2)),SUMIFS(Dati!$E$2:$E$46,Dati!$A$2:$A$46,$H21,Dati!$H$2:$H$46,$Z21)+SUMIFS(Dati!$L$2:$L$46,Dati!$H$2:$H$46,$H21,Dati!$A$2:$A$46,$Z21),"-")</f>
        <v>-</v>
      </c>
      <c r="BK21" s="22">
        <f>IF(AND($H21&lt;&gt;"",$AA21&lt;&gt;"",$H21&lt;&gt;$AA21,IFERROR(INDEX($J$14:$J$23,MATCH($H21,$H$14:$H$23,0)),-1)=IFERROR(INDEX($J$14:$J$23,MATCH($AA21,$H$14:$H$23,0)),-2)),SUMIFS(Dati!$E$2:$E$46,Dati!$A$2:$A$46,$H21,Dati!$H$2:$H$46,$AA21)+SUMIFS(Dati!$L$2:$L$46,Dati!$H$2:$H$46,$H21,Dati!$A$2:$A$46,$AA21),"-")</f>
        <v>51</v>
      </c>
      <c r="BL21" s="22" t="str">
        <f>IF(AND($H21&lt;&gt;"",$AB21&lt;&gt;"",$H21&lt;&gt;$AB21,IFERROR(INDEX($J$14:$J$23,MATCH($H21,$H$14:$H$23,0)),-1)=IFERROR(INDEX($J$14:$J$23,MATCH($AB21,$H$14:$H$23,0)),-2)),SUMIFS(Dati!$E$2:$E$46,Dati!$A$2:$A$46,$H21,Dati!$H$2:$H$46,$AB21)+SUMIFS(Dati!$L$2:$L$46,Dati!$H$2:$H$46,$H21,Dati!$A$2:$A$46,$AB21),"-")</f>
        <v>-</v>
      </c>
      <c r="BM21" s="22" t="str">
        <f>IF(AND($H21&lt;&gt;"",$AC21&lt;&gt;"",$H21&lt;&gt;$AC21,IFERROR(INDEX($J$14:$J$23,MATCH($H21,$H$14:$H$23,0)),-1)=IFERROR(INDEX($J$14:$J$23,MATCH($AC21,$H$14:$H$23,0)),-2)),SUMIFS(Dati!$E$2:$E$46,Dati!$A$2:$A$46,$H21,Dati!$H$2:$H$46,$AC21)+SUMIFS(Dati!$L$2:$L$46,Dati!$H$2:$H$46,$H21,Dati!$A$2:$A$46,$AC21),"-")</f>
        <v>-</v>
      </c>
      <c r="BN21" s="22" t="str">
        <f>IF(AND($H21&lt;&gt;"",$AD21&lt;&gt;"",$H21&lt;&gt;$AD21,IFERROR(INDEX($J$14:$J$23,MATCH($H21,$H$14:$H$23,0)),-1)=IFERROR(INDEX($J$14:$J$23,MATCH($AD21,$H$14:$H$23,0)),-2)),SUMIFS(Dati!$E$2:$E$46,Dati!$A$2:$A$46,$H21,Dati!$H$2:$H$46,$AD21)+SUMIFS(Dati!$L$2:$L$46,Dati!$H$2:$H$46,$H21,Dati!$A$2:$A$46,$AD21),"-")</f>
        <v>-</v>
      </c>
      <c r="BO21" s="22" t="str">
        <f>IF(AND($H21&lt;&gt;"",$AE21&lt;&gt;"",$H21&lt;&gt;$AE21,IFERROR(INDEX($J$14:$J$23,MATCH($H21,$H$14:$H$23,0)),-1)=IFERROR(INDEX($J$14:$J$23,MATCH($AE21,$H$14:$H$23,0)),-2)),SUMIFS(Dati!$E$2:$E$46,Dati!$A$2:$A$46,$H21,Dati!$H$2:$H$46,$AE21)+SUMIFS(Dati!$L$2:$L$46,Dati!$H$2:$H$46,$H21,Dati!$A$2:$A$46,$AE21),"-")</f>
        <v>-</v>
      </c>
      <c r="BP21" s="22" t="str">
        <f>IF(AND($H21&lt;&gt;"",$AF21&lt;&gt;"",$H21&lt;&gt;$AF21,IFERROR(INDEX($J$14:$J$23,MATCH($H21,$H$14:$H$23,0)),-1)=IFERROR(INDEX($J$14:$J$23,MATCH($AF21,$H$14:$H$23,0)),-2)),SUMIFS(Dati!$E$2:$E$46,Dati!$A$2:$A$46,$H21,Dati!$H$2:$H$46,$AF21)+SUMIFS(Dati!$L$2:$L$46,Dati!$H$2:$H$46,$H21,Dati!$A$2:$A$46,$AF21),"-")</f>
        <v>-</v>
      </c>
      <c r="BQ21" s="22" t="str">
        <f>IF(AND($H21&lt;&gt;"",$AG21&lt;&gt;"",$H21&lt;&gt;$AG21,IFERROR(INDEX($J$14:$J$23,MATCH($H21,$H$14:$H$23,0)),-1)=IFERROR(INDEX($J$14:$J$23,MATCH($AG21,$H$14:$H$23,0)),-2)),SUMIFS(Dati!$E$2:$E$46,Dati!$A$2:$A$46,$H21,Dati!$H$2:$H$46,$AG21)+SUMIFS(Dati!$L$2:$L$46,Dati!$H$2:$H$46,$H21,Dati!$A$2:$A$46,$AG21),"-")</f>
        <v>-</v>
      </c>
      <c r="BR21" s="22" t="str">
        <f>IF(AND($H21&lt;&gt;"",$AH21&lt;&gt;"",$H21&lt;&gt;$AH21,IFERROR(INDEX($J$14:$J$23,MATCH($H21,$H$14:$H$23,0)),-1)=IFERROR(INDEX($J$14:$J$23,MATCH($AH21,$H$14:$H$23,0)),-2)),SUMIFS(Dati!$E$2:$E$46,Dati!$A$2:$A$46,$H21,Dati!$H$2:$H$46,$AH21)+SUMIFS(Dati!$L$2:$L$46,Dati!$H$2:$H$46,$H21,Dati!$A$2:$A$46,$AH21),"-")</f>
        <v>-</v>
      </c>
      <c r="BT21" s="21" t="str">
        <f>$C21</f>
        <v>Ibis Instancabili-Ibisopoli II</v>
      </c>
      <c r="BU21" s="22" t="str">
        <f>IF(AND($H21&lt;&gt;"",$Y21&lt;&gt;"",$H21&lt;&gt;$Y21,IFERROR(INDEX($J$14:$J$23,MATCH($H21,$H$14:$H$23,0)),-1)=IFERROR(INDEX($J$14:$J$23,MATCH($Y21,$H$14:$H$23,0)),-2)),SUMIFS(Dati!$F$2:$F$46,Dati!$A$2:$A$46,$H21,Dati!$H$2:$H$46,$Y21)+SUMIFS(Dati!$M$2:$M$46,Dati!$H$2:$H$46,$H21,Dati!$A$2:$A$46,$Y21),"-")</f>
        <v>-</v>
      </c>
      <c r="BV21" s="22" t="str">
        <f>IF(AND($H21&lt;&gt;"",$Z21&lt;&gt;"",$H21&lt;&gt;$Z21,IFERROR(INDEX($J$14:$J$23,MATCH($H21,$H$14:$H$23,0)),-1)=IFERROR(INDEX($J$14:$J$23,MATCH($Z21,$H$14:$H$23,0)),-2)),SUMIFS(Dati!$F$2:$F$46,Dati!$A$2:$A$46,$H21,Dati!$H$2:$H$46,$Z21)+SUMIFS(Dati!$M$2:$M$46,Dati!$H$2:$H$46,$H21,Dati!$A$2:$A$46,$Z21),"-")</f>
        <v>-</v>
      </c>
      <c r="BW21" s="22">
        <f>IF(AND($H21&lt;&gt;"",$AA21&lt;&gt;"",$H21&lt;&gt;$AA21,IFERROR(INDEX($J$14:$J$23,MATCH($H21,$H$14:$H$23,0)),-1)=IFERROR(INDEX($J$14:$J$23,MATCH($AA21,$H$14:$H$23,0)),-2)),SUMIFS(Dati!$F$2:$F$46,Dati!$A$2:$A$46,$H21,Dati!$H$2:$H$46,$AA21)+SUMIFS(Dati!$M$2:$M$46,Dati!$H$2:$H$46,$H21,Dati!$A$2:$A$46,$AA21),"-")</f>
        <v>58</v>
      </c>
      <c r="BX21" s="22" t="str">
        <f>IF(AND($H21&lt;&gt;"",$AB21&lt;&gt;"",$H21&lt;&gt;$AB21,IFERROR(INDEX($J$14:$J$23,MATCH($H21,$H$14:$H$23,0)),-1)=IFERROR(INDEX($J$14:$J$23,MATCH($AB21,$H$14:$H$23,0)),-2)),SUMIFS(Dati!$F$2:$F$46,Dati!$A$2:$A$46,$H21,Dati!$H$2:$H$46,$AB21)+SUMIFS(Dati!$M$2:$M$46,Dati!$H$2:$H$46,$H21,Dati!$A$2:$A$46,$AB21),"-")</f>
        <v>-</v>
      </c>
      <c r="BY21" s="22" t="str">
        <f>IF(AND($H21&lt;&gt;"",$AC21&lt;&gt;"",$H21&lt;&gt;$AC21,IFERROR(INDEX($J$14:$J$23,MATCH($H21,$H$14:$H$23,0)),-1)=IFERROR(INDEX($J$14:$J$23,MATCH($AC21,$H$14:$H$23,0)),-2)),SUMIFS(Dati!$F$2:$F$46,Dati!$A$2:$A$46,$H21,Dati!$H$2:$H$46,$AC21)+SUMIFS(Dati!$M$2:$M$46,Dati!$H$2:$H$46,$H21,Dati!$A$2:$A$46,$AC21),"-")</f>
        <v>-</v>
      </c>
      <c r="BZ21" s="22" t="str">
        <f>IF(AND($H21&lt;&gt;"",$AD21&lt;&gt;"",$H21&lt;&gt;$AD21,IFERROR(INDEX($J$14:$J$23,MATCH($H21,$H$14:$H$23,0)),-1)=IFERROR(INDEX($J$14:$J$23,MATCH($AD21,$H$14:$H$23,0)),-2)),SUMIFS(Dati!$F$2:$F$46,Dati!$A$2:$A$46,$H21,Dati!$H$2:$H$46,$AD21)+SUMIFS(Dati!$M$2:$M$46,Dati!$H$2:$H$46,$H21,Dati!$A$2:$A$46,$AD21),"-")</f>
        <v>-</v>
      </c>
      <c r="CA21" s="22" t="str">
        <f>IF(AND($H21&lt;&gt;"",$AE21&lt;&gt;"",$H21&lt;&gt;$AE21,IFERROR(INDEX($J$14:$J$23,MATCH($H21,$H$14:$H$23,0)),-1)=IFERROR(INDEX($J$14:$J$23,MATCH($AE21,$H$14:$H$23,0)),-2)),SUMIFS(Dati!$F$2:$F$46,Dati!$A$2:$A$46,$H21,Dati!$H$2:$H$46,$AE21)+SUMIFS(Dati!$M$2:$M$46,Dati!$H$2:$H$46,$H21,Dati!$A$2:$A$46,$AE21),"-")</f>
        <v>-</v>
      </c>
      <c r="CB21" s="22" t="str">
        <f>IF(AND($H21&lt;&gt;"",$AF21&lt;&gt;"",$H21&lt;&gt;$AF21,IFERROR(INDEX($J$14:$J$23,MATCH($H21,$H$14:$H$23,0)),-1)=IFERROR(INDEX($J$14:$J$23,MATCH($AF21,$H$14:$H$23,0)),-2)),SUMIFS(Dati!$F$2:$F$46,Dati!$A$2:$A$46,$H21,Dati!$H$2:$H$46,$AF21)+SUMIFS(Dati!$M$2:$M$46,Dati!$H$2:$H$46,$H21,Dati!$A$2:$A$46,$AF21),"-")</f>
        <v>-</v>
      </c>
      <c r="CC21" s="22" t="str">
        <f>IF(AND($H21&lt;&gt;"",$AG21&lt;&gt;"",$H21&lt;&gt;$AG21,IFERROR(INDEX($J$14:$J$23,MATCH($H21,$H$14:$H$23,0)),-1)=IFERROR(INDEX($J$14:$J$23,MATCH($AG21,$H$14:$H$23,0)),-2)),SUMIFS(Dati!$F$2:$F$46,Dati!$A$2:$A$46,$H21,Dati!$H$2:$H$46,$AG21)+SUMIFS(Dati!$M$2:$M$46,Dati!$H$2:$H$46,$H21,Dati!$A$2:$A$46,$AG21),"-")</f>
        <v>-</v>
      </c>
      <c r="CD21" s="22" t="str">
        <f>IF(AND($H21&lt;&gt;"",$AH21&lt;&gt;"",$H21&lt;&gt;$AH21,IFERROR(INDEX($J$14:$J$23,MATCH($H21,$H$14:$H$23,0)),-1)=IFERROR(INDEX($J$14:$J$23,MATCH($AH21,$H$14:$H$23,0)),-2)),SUMIFS(Dati!$F$2:$F$46,Dati!$A$2:$A$46,$H21,Dati!$H$2:$H$46,$AH21)+SUMIFS(Dati!$M$2:$M$46,Dati!$H$2:$H$46,$H21,Dati!$A$2:$A$46,$AH21),"-")</f>
        <v>-</v>
      </c>
      <c r="CF21" s="22">
        <f>IF($C21="","",SUM(AK21:AT21))</f>
        <v>0</v>
      </c>
    </row>
    <row r="22">
      <c r="B22" s="12" t="inlineStr">
        <is>
          <t>A09</t>
        </is>
      </c>
      <c r="C22" s="13" t="inlineStr">
        <is>
          <t>Lupi Leali-Lupiopoli LO</t>
        </is>
      </c>
      <c r="D22" s="14" t="n"/>
      <c r="E22" s="15" t="inlineStr">
        <is>
          <t>A</t>
        </is>
      </c>
      <c r="G22" s="16" t="str">
        <f>IF($C22="","",$E22&amp;(COUNTIFS(I$14:I$23,"&gt;"&amp;I22,E$14:E$23,"="&amp;E22,C$14:C$23,"&lt;&gt;")+COUNTIFS(I$14:I$23,"="&amp;I22,H$14:H$23,"&lt;="&amp;H22,E$14:E$23,"="&amp;E22,C$14:C$23,"&lt;&gt;")))</f>
        <v>A3</v>
      </c>
      <c r="H22" s="17" t="str">
        <f>IF($C22="","",IFERROR(LEFT($C22,FIND("-",$C22)-1),$C22))</f>
        <v>Lupi Leali</v>
      </c>
      <c r="I22" s="12" t="str">
        <f>TEXT(1000000000+J22,"|0000000000|")&amp;TEXT(SUM(AK22:AT22),"0000000000|")&amp;IF(SUM(BU22:CD22)=0,"0000000000|",TEXT(ROUND(SUM(BI22:BR22)/SUM(BU22:CD22),4)*100000,"0000000000|"))&amp;IF(P22=0,"0000000000|",TEXT(ROUND(O22/P22,4)*100000,"0000000000|"))</f>
        <v>|1000000021|0000000001|0000097140|0000109440|</v>
      </c>
      <c r="J22" s="16">
        <f>L22*Campionato!$D$7+M22*Campionato!$D$8+N22*Campionato!$D$9+IF(D22="",0,D22)</f>
        <v>21</v>
      </c>
      <c r="K22" s="12">
        <f>SUM(L22:N22)</f>
        <v>9</v>
      </c>
      <c r="L22" s="12">
        <f>IF($H22="",0,SUMIF(Dati!$A$2:$A$46,$H22,Dati!$B$2:$B$46)+SUMIF(Dati!$H$2:$H$46,$H22,Dati!$I$2:$I$46))</f>
        <v>6</v>
      </c>
      <c r="M22" s="12">
        <f>IF($H22="",0,SUMIF(Dati!$A$2:$A$46,$H22,Dati!$D$2:$D$46)+SUMIF(Dati!$H$2:$H$46,$H22,Dati!$K$2:$K$46))</f>
        <v>3</v>
      </c>
      <c r="N22" s="12">
        <f>IF($H22="",0,SUMIF(Dati!$A$2:$A$46,$H22,Dati!$C$2:$C$46)+SUMIF(Dati!$H$2:$H$46,$H22,Dati!$J$2:$J$46))</f>
        <v>0</v>
      </c>
      <c r="O22" s="12">
        <f>IF($H22="",0,SUMIF(Dati!$A$2:$A$46,$H22,Dati!$E$2:$E$46)+SUMIF(Dati!$H$2:$H$46,$H22,Dati!$L$2:$L$46))</f>
        <v>568</v>
      </c>
      <c r="P22" s="12">
        <f>IF($H22="",0,SUMIF(Dati!$A$2:$A$46,$H22,Dati!$F$2:$F$46)+SUMIF(Dati!$H$2:$H$46,$H22,Dati!$M$2:$M$46))</f>
        <v>519</v>
      </c>
      <c r="Q22" s="12">
        <f>IF($H22="",0,SUMIF(Dati!$A$2:$A$46,$H22,Dati!$G$2:$G$46)+SUMIF(Dati!$H$2:$H$46,$H22,Dati!$N$2:$N$46))</f>
        <v>49</v>
      </c>
      <c r="R22" s="12">
        <f>IF(K22=0,0,ROUND(O22/K22,2))</f>
        <v>63.11</v>
      </c>
      <c r="S22" s="12">
        <f>IF(K22=0,0,ROUND(P22/K22,2))</f>
        <v>57.67</v>
      </c>
      <c r="T22" s="12">
        <f>IF(K22=0,0,ROUND(Q22/K22,2))</f>
        <v>5.44</v>
      </c>
      <c r="U22" s="12" t="str">
        <f>IF(COUNTIFS($E$14:$E$23,$E22,$J$14:$J$23,$J22,$C$14:$C$23,"&lt;&gt;")&lt;=1,"-",SUM(AK22:AT22)&amp;"-"&amp;SUM(AW22:BF22))</f>
        <v>1-1</v>
      </c>
      <c r="V22" s="18">
        <f>IF(COUNTIFS($E$14:$E$23,$E22,$J$14:$J$23,$J22,$C$14:$C$23,"&lt;&gt;",$CF$14:$CF$23,$CF22)&lt;=1,"-",IF(SUM(BU22:CD22)=0,0,ROUND(SUM(BI22:BR22)/SUM(BU22:CD22),3)))</f>
        <v>0.971</v>
      </c>
      <c r="W22" s="18" t="str">
        <f>IF(COUNTIFS($E$14:$E$23,$E22,$J$14:$J$23,$J22,$C$14:$C$23,"&lt;&gt;",$CF$14:$CF$23,$CF22,$V$14:$V$23,$V22)&lt;=1,"-",IF(P22=0,0,ROUND(O22/P22,3)))</f>
        <v>-</v>
      </c>
      <c r="X22" s="19" t="str">
        <f>IF($C22="","",$E22&amp;"#"&amp;COUNTIFS($E$14:$E22,$E22,$C$14:$C22,"&lt;&gt;"))</f>
        <v>A#9</v>
      </c>
      <c r="Y22" s="20" t="str">
        <f>IFERROR(INDEX($H$14:$H$23,MATCH($E22&amp;"#1",$X$14:$X$23,0)),"")</f>
        <v>Anaconde Audaci</v>
      </c>
      <c r="Z22" s="20" t="str">
        <f>IFERROR(INDEX($H$14:$H$23,MATCH($E22&amp;"#2",$X$14:$X$23,0)),"")</f>
        <v>Bufali Belligeranti</v>
      </c>
      <c r="AA22" s="20" t="str">
        <f>IFERROR(INDEX($H$14:$H$23,MATCH($E22&amp;"#3",$X$14:$X$23,0)),"")</f>
        <v>Cobra Celeri</v>
      </c>
      <c r="AB22" s="20" t="str">
        <f>IFERROR(INDEX($H$14:$H$23,MATCH($E22&amp;"#4",$X$14:$X$23,0)),"")</f>
        <v>Dingo Docili</v>
      </c>
      <c r="AC22" s="20" t="str">
        <f>IFERROR(INDEX($H$14:$H$23,MATCH($E22&amp;"#5",$X$14:$X$23,0)),"")</f>
        <v>Ermellini Eleganti</v>
      </c>
      <c r="AD22" s="20" t="str">
        <f>IFERROR(INDEX($H$14:$H$23,MATCH($E22&amp;"#6",$X$14:$X$23,0)),"")</f>
        <v>Falchi Feroci</v>
      </c>
      <c r="AE22" s="20" t="str">
        <f>IFERROR(INDEX($H$14:$H$23,MATCH($E22&amp;"#7",$X$14:$X$23,0)),"")</f>
        <v>Gazzelle Gentili</v>
      </c>
      <c r="AF22" s="20" t="str">
        <f>IFERROR(INDEX($H$14:$H$23,MATCH($E22&amp;"#8",$X$14:$X$23,0)),"")</f>
        <v>Ibis Instancabili</v>
      </c>
      <c r="AG22" s="20" t="str">
        <f>IFERROR(INDEX($H$14:$H$23,MATCH($E22&amp;"#9",$X$14:$X$23,0)),"")</f>
        <v>Lupi Leali</v>
      </c>
      <c r="AH22" s="20" t="str">
        <f>IFERROR(INDEX($H$14:$H$23,MATCH($E22&amp;"#10",$X$14:$X$23,0)),"")</f>
        <v>Marmotte Mobili</v>
      </c>
      <c r="AJ22" s="21" t="str">
        <f>$C22</f>
        <v>Lupi Leali-Lupiopoli LO</v>
      </c>
      <c r="AK22" s="22">
        <f>IF(AND($H22&lt;&gt;"",$Y22&lt;&gt;"",$H22&lt;&gt;$Y22,IFERROR(INDEX($J$14:$J$23,MATCH($H22,$H$14:$H$23,0)),-1)=IFERROR(INDEX($J$14:$J$23,MATCH($Y22,$H$14:$H$23,0)),-2)),SUMIFS(Dati!$B$2:$B$46,Dati!$A$2:$A$46,$H22,Dati!$H$2:$H$46,$Y22)+SUMIFS(Dati!$I$2:$I$46,Dati!$H$2:$H$46,$H22,Dati!$A$2:$A$46,$Y22),"-")</f>
        <v>1</v>
      </c>
      <c r="AL22" s="22" t="str">
        <f>IF(AND($H22&lt;&gt;"",$Z22&lt;&gt;"",$H22&lt;&gt;$Z22,IFERROR(INDEX($J$14:$J$23,MATCH($H22,$H$14:$H$23,0)),-1)=IFERROR(INDEX($J$14:$J$23,MATCH($Z22,$H$14:$H$23,0)),-2)),SUMIFS(Dati!$B$2:$B$46,Dati!$A$2:$A$46,$H22,Dati!$H$2:$H$46,$Z22)+SUMIFS(Dati!$I$2:$I$46,Dati!$H$2:$H$46,$H22,Dati!$A$2:$A$46,$Z22),"-")</f>
        <v>-</v>
      </c>
      <c r="AM22" s="22" t="str">
        <f>IF(AND($H22&lt;&gt;"",$AA22&lt;&gt;"",$H22&lt;&gt;$AA22,IFERROR(INDEX($J$14:$J$23,MATCH($H22,$H$14:$H$23,0)),-1)=IFERROR(INDEX($J$14:$J$23,MATCH($AA22,$H$14:$H$23,0)),-2)),SUMIFS(Dati!$B$2:$B$46,Dati!$A$2:$A$46,$H22,Dati!$H$2:$H$46,$AA22)+SUMIFS(Dati!$I$2:$I$46,Dati!$H$2:$H$46,$H22,Dati!$A$2:$A$46,$AA22),"-")</f>
        <v>-</v>
      </c>
      <c r="AN22" s="22" t="str">
        <f>IF(AND($H22&lt;&gt;"",$AB22&lt;&gt;"",$H22&lt;&gt;$AB22,IFERROR(INDEX($J$14:$J$23,MATCH($H22,$H$14:$H$23,0)),-1)=IFERROR(INDEX($J$14:$J$23,MATCH($AB22,$H$14:$H$23,0)),-2)),SUMIFS(Dati!$B$2:$B$46,Dati!$A$2:$A$46,$H22,Dati!$H$2:$H$46,$AB22)+SUMIFS(Dati!$I$2:$I$46,Dati!$H$2:$H$46,$H22,Dati!$A$2:$A$46,$AB22),"-")</f>
        <v>-</v>
      </c>
      <c r="AO22" s="22" t="str">
        <f>IF(AND($H22&lt;&gt;"",$AC22&lt;&gt;"",$H22&lt;&gt;$AC22,IFERROR(INDEX($J$14:$J$23,MATCH($H22,$H$14:$H$23,0)),-1)=IFERROR(INDEX($J$14:$J$23,MATCH($AC22,$H$14:$H$23,0)),-2)),SUMIFS(Dati!$B$2:$B$46,Dati!$A$2:$A$46,$H22,Dati!$H$2:$H$46,$AC22)+SUMIFS(Dati!$I$2:$I$46,Dati!$H$2:$H$46,$H22,Dati!$A$2:$A$46,$AC22),"-")</f>
        <v>-</v>
      </c>
      <c r="AP22" s="22">
        <f>IF(AND($H22&lt;&gt;"",$AD22&lt;&gt;"",$H22&lt;&gt;$AD22,IFERROR(INDEX($J$14:$J$23,MATCH($H22,$H$14:$H$23,0)),-1)=IFERROR(INDEX($J$14:$J$23,MATCH($AD22,$H$14:$H$23,0)),-2)),SUMIFS(Dati!$B$2:$B$46,Dati!$A$2:$A$46,$H22,Dati!$H$2:$H$46,$AD22)+SUMIFS(Dati!$I$2:$I$46,Dati!$H$2:$H$46,$H22,Dati!$A$2:$A$46,$AD22),"-")</f>
        <v>0</v>
      </c>
      <c r="AQ22" s="22" t="str">
        <f>IF(AND($H22&lt;&gt;"",$AE22&lt;&gt;"",$H22&lt;&gt;$AE22,IFERROR(INDEX($J$14:$J$23,MATCH($H22,$H$14:$H$23,0)),-1)=IFERROR(INDEX($J$14:$J$23,MATCH($AE22,$H$14:$H$23,0)),-2)),SUMIFS(Dati!$B$2:$B$46,Dati!$A$2:$A$46,$H22,Dati!$H$2:$H$46,$AE22)+SUMIFS(Dati!$I$2:$I$46,Dati!$H$2:$H$46,$H22,Dati!$A$2:$A$46,$AE22),"-")</f>
        <v>-</v>
      </c>
      <c r="AR22" s="22" t="str">
        <f>IF(AND($H22&lt;&gt;"",$AF22&lt;&gt;"",$H22&lt;&gt;$AF22,IFERROR(INDEX($J$14:$J$23,MATCH($H22,$H$14:$H$23,0)),-1)=IFERROR(INDEX($J$14:$J$23,MATCH($AF22,$H$14:$H$23,0)),-2)),SUMIFS(Dati!$B$2:$B$46,Dati!$A$2:$A$46,$H22,Dati!$H$2:$H$46,$AF22)+SUMIFS(Dati!$I$2:$I$46,Dati!$H$2:$H$46,$H22,Dati!$A$2:$A$46,$AF22),"-")</f>
        <v>-</v>
      </c>
      <c r="AS22" s="22" t="str">
        <f>IF(AND($H22&lt;&gt;"",$AG22&lt;&gt;"",$H22&lt;&gt;$AG22,IFERROR(INDEX($J$14:$J$23,MATCH($H22,$H$14:$H$23,0)),-1)=IFERROR(INDEX($J$14:$J$23,MATCH($AG22,$H$14:$H$23,0)),-2)),SUMIFS(Dati!$B$2:$B$46,Dati!$A$2:$A$46,$H22,Dati!$H$2:$H$46,$AG22)+SUMIFS(Dati!$I$2:$I$46,Dati!$H$2:$H$46,$H22,Dati!$A$2:$A$46,$AG22),"-")</f>
        <v>-</v>
      </c>
      <c r="AT22" s="22" t="str">
        <f>IF(AND($H22&lt;&gt;"",$AH22&lt;&gt;"",$H22&lt;&gt;$AH22,IFERROR(INDEX($J$14:$J$23,MATCH($H22,$H$14:$H$23,0)),-1)=IFERROR(INDEX($J$14:$J$23,MATCH($AH22,$H$14:$H$23,0)),-2)),SUMIFS(Dati!$B$2:$B$46,Dati!$A$2:$A$46,$H22,Dati!$H$2:$H$46,$AH22)+SUMIFS(Dati!$I$2:$I$46,Dati!$H$2:$H$46,$H22,Dati!$A$2:$A$46,$AH22),"-")</f>
        <v>-</v>
      </c>
      <c r="AV22" s="21" t="str">
        <f>$C22</f>
        <v>Lupi Leali-Lupiopoli LO</v>
      </c>
      <c r="AW22" s="22">
        <f>IF(AND($H22&lt;&gt;"",$Y22&lt;&gt;"",$H22&lt;&gt;$Y22,IFERROR(INDEX($J$14:$J$23,MATCH($H22,$H$14:$H$23,0)),-1)=IFERROR(INDEX($J$14:$J$23,MATCH($Y22,$H$14:$H$23,0)),-2)),SUMIFS(Dati!$D$2:$D$46,Dati!$A$2:$A$46,$H22,Dati!$H$2:$H$46,$Y22)+SUMIFS(Dati!$K$2:$K$46,Dati!$H$2:$H$46,$H22,Dati!$A$2:$A$46,$Y22)+SUMIFS(Dati!$C$2:$C$46,Dati!$A$2:$A$46,$H22,Dati!$H$2:$H$46,$Y22)+SUMIFS(Dati!$J$2:$J$46,Dati!$H$2:$H$46,$H22,Dati!$A$2:$A$46,$Y22),"-")</f>
        <v>0</v>
      </c>
      <c r="AX22" s="22" t="str">
        <f>IF(AND($H22&lt;&gt;"",$Z22&lt;&gt;"",$H22&lt;&gt;$Z22,IFERROR(INDEX($J$14:$J$23,MATCH($H22,$H$14:$H$23,0)),-1)=IFERROR(INDEX($J$14:$J$23,MATCH($Z22,$H$14:$H$23,0)),-2)),SUMIFS(Dati!$D$2:$D$46,Dati!$A$2:$A$46,$H22,Dati!$H$2:$H$46,$Z22)+SUMIFS(Dati!$K$2:$K$46,Dati!$H$2:$H$46,$H22,Dati!$A$2:$A$46,$Z22)+SUMIFS(Dati!$C$2:$C$46,Dati!$A$2:$A$46,$H22,Dati!$H$2:$H$46,$Z22)+SUMIFS(Dati!$J$2:$J$46,Dati!$H$2:$H$46,$H22,Dati!$A$2:$A$46,$Z22),"-")</f>
        <v>-</v>
      </c>
      <c r="AY22" s="22" t="str">
        <f>IF(AND($H22&lt;&gt;"",$AA22&lt;&gt;"",$H22&lt;&gt;$AA22,IFERROR(INDEX($J$14:$J$23,MATCH($H22,$H$14:$H$23,0)),-1)=IFERROR(INDEX($J$14:$J$23,MATCH($AA22,$H$14:$H$23,0)),-2)),SUMIFS(Dati!$D$2:$D$46,Dati!$A$2:$A$46,$H22,Dati!$H$2:$H$46,$AA22)+SUMIFS(Dati!$K$2:$K$46,Dati!$H$2:$H$46,$H22,Dati!$A$2:$A$46,$AA22)+SUMIFS(Dati!$C$2:$C$46,Dati!$A$2:$A$46,$H22,Dati!$H$2:$H$46,$AA22)+SUMIFS(Dati!$J$2:$J$46,Dati!$H$2:$H$46,$H22,Dati!$A$2:$A$46,$AA22),"-")</f>
        <v>-</v>
      </c>
      <c r="AZ22" s="22" t="str">
        <f>IF(AND($H22&lt;&gt;"",$AB22&lt;&gt;"",$H22&lt;&gt;$AB22,IFERROR(INDEX($J$14:$J$23,MATCH($H22,$H$14:$H$23,0)),-1)=IFERROR(INDEX($J$14:$J$23,MATCH($AB22,$H$14:$H$23,0)),-2)),SUMIFS(Dati!$D$2:$D$46,Dati!$A$2:$A$46,$H22,Dati!$H$2:$H$46,$AB22)+SUMIFS(Dati!$K$2:$K$46,Dati!$H$2:$H$46,$H22,Dati!$A$2:$A$46,$AB22)+SUMIFS(Dati!$C$2:$C$46,Dati!$A$2:$A$46,$H22,Dati!$H$2:$H$46,$AB22)+SUMIFS(Dati!$J$2:$J$46,Dati!$H$2:$H$46,$H22,Dati!$A$2:$A$46,$AB22),"-")</f>
        <v>-</v>
      </c>
      <c r="BA22" s="22" t="str">
        <f>IF(AND($H22&lt;&gt;"",$AC22&lt;&gt;"",$H22&lt;&gt;$AC22,IFERROR(INDEX($J$14:$J$23,MATCH($H22,$H$14:$H$23,0)),-1)=IFERROR(INDEX($J$14:$J$23,MATCH($AC22,$H$14:$H$23,0)),-2)),SUMIFS(Dati!$D$2:$D$46,Dati!$A$2:$A$46,$H22,Dati!$H$2:$H$46,$AC22)+SUMIFS(Dati!$K$2:$K$46,Dati!$H$2:$H$46,$H22,Dati!$A$2:$A$46,$AC22)+SUMIFS(Dati!$C$2:$C$46,Dati!$A$2:$A$46,$H22,Dati!$H$2:$H$46,$AC22)+SUMIFS(Dati!$J$2:$J$46,Dati!$H$2:$H$46,$H22,Dati!$A$2:$A$46,$AC22),"-")</f>
        <v>-</v>
      </c>
      <c r="BB22" s="22">
        <f>IF(AND($H22&lt;&gt;"",$AD22&lt;&gt;"",$H22&lt;&gt;$AD22,IFERROR(INDEX($J$14:$J$23,MATCH($H22,$H$14:$H$23,0)),-1)=IFERROR(INDEX($J$14:$J$23,MATCH($AD22,$H$14:$H$23,0)),-2)),SUMIFS(Dati!$D$2:$D$46,Dati!$A$2:$A$46,$H22,Dati!$H$2:$H$46,$AD22)+SUMIFS(Dati!$K$2:$K$46,Dati!$H$2:$H$46,$H22,Dati!$A$2:$A$46,$AD22)+SUMIFS(Dati!$C$2:$C$46,Dati!$A$2:$A$46,$H22,Dati!$H$2:$H$46,$AD22)+SUMIFS(Dati!$J$2:$J$46,Dati!$H$2:$H$46,$H22,Dati!$A$2:$A$46,$AD22),"-")</f>
        <v>1</v>
      </c>
      <c r="BC22" s="22" t="str">
        <f>IF(AND($H22&lt;&gt;"",$AE22&lt;&gt;"",$H22&lt;&gt;$AE22,IFERROR(INDEX($J$14:$J$23,MATCH($H22,$H$14:$H$23,0)),-1)=IFERROR(INDEX($J$14:$J$23,MATCH($AE22,$H$14:$H$23,0)),-2)),SUMIFS(Dati!$D$2:$D$46,Dati!$A$2:$A$46,$H22,Dati!$H$2:$H$46,$AE22)+SUMIFS(Dati!$K$2:$K$46,Dati!$H$2:$H$46,$H22,Dati!$A$2:$A$46,$AE22)+SUMIFS(Dati!$C$2:$C$46,Dati!$A$2:$A$46,$H22,Dati!$H$2:$H$46,$AE22)+SUMIFS(Dati!$J$2:$J$46,Dati!$H$2:$H$46,$H22,Dati!$A$2:$A$46,$AE22),"-")</f>
        <v>-</v>
      </c>
      <c r="BD22" s="22" t="str">
        <f>IF(AND($H22&lt;&gt;"",$AF22&lt;&gt;"",$H22&lt;&gt;$AF22,IFERROR(INDEX($J$14:$J$23,MATCH($H22,$H$14:$H$23,0)),-1)=IFERROR(INDEX($J$14:$J$23,MATCH($AF22,$H$14:$H$23,0)),-2)),SUMIFS(Dati!$D$2:$D$46,Dati!$A$2:$A$46,$H22,Dati!$H$2:$H$46,$AF22)+SUMIFS(Dati!$K$2:$K$46,Dati!$H$2:$H$46,$H22,Dati!$A$2:$A$46,$AF22)+SUMIFS(Dati!$C$2:$C$46,Dati!$A$2:$A$46,$H22,Dati!$H$2:$H$46,$AF22)+SUMIFS(Dati!$J$2:$J$46,Dati!$H$2:$H$46,$H22,Dati!$A$2:$A$46,$AF22),"-")</f>
        <v>-</v>
      </c>
      <c r="BE22" s="22" t="str">
        <f>IF(AND($H22&lt;&gt;"",$AG22&lt;&gt;"",$H22&lt;&gt;$AG22,IFERROR(INDEX($J$14:$J$23,MATCH($H22,$H$14:$H$23,0)),-1)=IFERROR(INDEX($J$14:$J$23,MATCH($AG22,$H$14:$H$23,0)),-2)),SUMIFS(Dati!$D$2:$D$46,Dati!$A$2:$A$46,$H22,Dati!$H$2:$H$46,$AG22)+SUMIFS(Dati!$K$2:$K$46,Dati!$H$2:$H$46,$H22,Dati!$A$2:$A$46,$AG22)+SUMIFS(Dati!$C$2:$C$46,Dati!$A$2:$A$46,$H22,Dati!$H$2:$H$46,$AG22)+SUMIFS(Dati!$J$2:$J$46,Dati!$H$2:$H$46,$H22,Dati!$A$2:$A$46,$AG22),"-")</f>
        <v>-</v>
      </c>
      <c r="BF22" s="22" t="str">
        <f>IF(AND($H22&lt;&gt;"",$AH22&lt;&gt;"",$H22&lt;&gt;$AH22,IFERROR(INDEX($J$14:$J$23,MATCH($H22,$H$14:$H$23,0)),-1)=IFERROR(INDEX($J$14:$J$23,MATCH($AH22,$H$14:$H$23,0)),-2)),SUMIFS(Dati!$D$2:$D$46,Dati!$A$2:$A$46,$H22,Dati!$H$2:$H$46,$AH22)+SUMIFS(Dati!$K$2:$K$46,Dati!$H$2:$H$46,$H22,Dati!$A$2:$A$46,$AH22)+SUMIFS(Dati!$C$2:$C$46,Dati!$A$2:$A$46,$H22,Dati!$H$2:$H$46,$AH22)+SUMIFS(Dati!$J$2:$J$46,Dati!$H$2:$H$46,$H22,Dati!$A$2:$A$46,$AH22),"-")</f>
        <v>-</v>
      </c>
      <c r="BH22" s="21" t="str">
        <f>$C22</f>
        <v>Lupi Leali-Lupiopoli LO</v>
      </c>
      <c r="BI22" s="22">
        <f>IF(AND($H22&lt;&gt;"",$Y22&lt;&gt;"",$H22&lt;&gt;$Y22,IFERROR(INDEX($J$14:$J$23,MATCH($H22,$H$14:$H$23,0)),-1)=IFERROR(INDEX($J$14:$J$23,MATCH($Y22,$H$14:$H$23,0)),-2)),SUMIFS(Dati!$E$2:$E$46,Dati!$A$2:$A$46,$H22,Dati!$H$2:$H$46,$Y22)+SUMIFS(Dati!$L$2:$L$46,Dati!$H$2:$H$46,$H22,Dati!$A$2:$A$46,$Y22),"-")</f>
        <v>52</v>
      </c>
      <c r="BJ22" s="22" t="str">
        <f>IF(AND($H22&lt;&gt;"",$Z22&lt;&gt;"",$H22&lt;&gt;$Z22,IFERROR(INDEX($J$14:$J$23,MATCH($H22,$H$14:$H$23,0)),-1)=IFERROR(INDEX($J$14:$J$23,MATCH($Z22,$H$14:$H$23,0)),-2)),SUMIFS(Dati!$E$2:$E$46,Dati!$A$2:$A$46,$H22,Dati!$H$2:$H$46,$Z22)+SUMIFS(Dati!$L$2:$L$46,Dati!$H$2:$H$46,$H22,Dati!$A$2:$A$46,$Z22),"-")</f>
        <v>-</v>
      </c>
      <c r="BK22" s="22" t="str">
        <f>IF(AND($H22&lt;&gt;"",$AA22&lt;&gt;"",$H22&lt;&gt;$AA22,IFERROR(INDEX($J$14:$J$23,MATCH($H22,$H$14:$H$23,0)),-1)=IFERROR(INDEX($J$14:$J$23,MATCH($AA22,$H$14:$H$23,0)),-2)),SUMIFS(Dati!$E$2:$E$46,Dati!$A$2:$A$46,$H22,Dati!$H$2:$H$46,$AA22)+SUMIFS(Dati!$L$2:$L$46,Dati!$H$2:$H$46,$H22,Dati!$A$2:$A$46,$AA22),"-")</f>
        <v>-</v>
      </c>
      <c r="BL22" s="22" t="str">
        <f>IF(AND($H22&lt;&gt;"",$AB22&lt;&gt;"",$H22&lt;&gt;$AB22,IFERROR(INDEX($J$14:$J$23,MATCH($H22,$H$14:$H$23,0)),-1)=IFERROR(INDEX($J$14:$J$23,MATCH($AB22,$H$14:$H$23,0)),-2)),SUMIFS(Dati!$E$2:$E$46,Dati!$A$2:$A$46,$H22,Dati!$H$2:$H$46,$AB22)+SUMIFS(Dati!$L$2:$L$46,Dati!$H$2:$H$46,$H22,Dati!$A$2:$A$46,$AB22),"-")</f>
        <v>-</v>
      </c>
      <c r="BM22" s="22" t="str">
        <f>IF(AND($H22&lt;&gt;"",$AC22&lt;&gt;"",$H22&lt;&gt;$AC22,IFERROR(INDEX($J$14:$J$23,MATCH($H22,$H$14:$H$23,0)),-1)=IFERROR(INDEX($J$14:$J$23,MATCH($AC22,$H$14:$H$23,0)),-2)),SUMIFS(Dati!$E$2:$E$46,Dati!$A$2:$A$46,$H22,Dati!$H$2:$H$46,$AC22)+SUMIFS(Dati!$L$2:$L$46,Dati!$H$2:$H$46,$H22,Dati!$A$2:$A$46,$AC22),"-")</f>
        <v>-</v>
      </c>
      <c r="BN22" s="22">
        <f>IF(AND($H22&lt;&gt;"",$AD22&lt;&gt;"",$H22&lt;&gt;$AD22,IFERROR(INDEX($J$14:$J$23,MATCH($H22,$H$14:$H$23,0)),-1)=IFERROR(INDEX($J$14:$J$23,MATCH($AD22,$H$14:$H$23,0)),-2)),SUMIFS(Dati!$E$2:$E$46,Dati!$A$2:$A$46,$H22,Dati!$H$2:$H$46,$AD22)+SUMIFS(Dati!$L$2:$L$46,Dati!$H$2:$H$46,$H22,Dati!$A$2:$A$46,$AD22),"-")</f>
        <v>50</v>
      </c>
      <c r="BO22" s="22" t="str">
        <f>IF(AND($H22&lt;&gt;"",$AE22&lt;&gt;"",$H22&lt;&gt;$AE22,IFERROR(INDEX($J$14:$J$23,MATCH($H22,$H$14:$H$23,0)),-1)=IFERROR(INDEX($J$14:$J$23,MATCH($AE22,$H$14:$H$23,0)),-2)),SUMIFS(Dati!$E$2:$E$46,Dati!$A$2:$A$46,$H22,Dati!$H$2:$H$46,$AE22)+SUMIFS(Dati!$L$2:$L$46,Dati!$H$2:$H$46,$H22,Dati!$A$2:$A$46,$AE22),"-")</f>
        <v>-</v>
      </c>
      <c r="BP22" s="22" t="str">
        <f>IF(AND($H22&lt;&gt;"",$AF22&lt;&gt;"",$H22&lt;&gt;$AF22,IFERROR(INDEX($J$14:$J$23,MATCH($H22,$H$14:$H$23,0)),-1)=IFERROR(INDEX($J$14:$J$23,MATCH($AF22,$H$14:$H$23,0)),-2)),SUMIFS(Dati!$E$2:$E$46,Dati!$A$2:$A$46,$H22,Dati!$H$2:$H$46,$AF22)+SUMIFS(Dati!$L$2:$L$46,Dati!$H$2:$H$46,$H22,Dati!$A$2:$A$46,$AF22),"-")</f>
        <v>-</v>
      </c>
      <c r="BQ22" s="22" t="str">
        <f>IF(AND($H22&lt;&gt;"",$AG22&lt;&gt;"",$H22&lt;&gt;$AG22,IFERROR(INDEX($J$14:$J$23,MATCH($H22,$H$14:$H$23,0)),-1)=IFERROR(INDEX($J$14:$J$23,MATCH($AG22,$H$14:$H$23,0)),-2)),SUMIFS(Dati!$E$2:$E$46,Dati!$A$2:$A$46,$H22,Dati!$H$2:$H$46,$AG22)+SUMIFS(Dati!$L$2:$L$46,Dati!$H$2:$H$46,$H22,Dati!$A$2:$A$46,$AG22),"-")</f>
        <v>-</v>
      </c>
      <c r="BR22" s="22" t="str">
        <f>IF(AND($H22&lt;&gt;"",$AH22&lt;&gt;"",$H22&lt;&gt;$AH22,IFERROR(INDEX($J$14:$J$23,MATCH($H22,$H$14:$H$23,0)),-1)=IFERROR(INDEX($J$14:$J$23,MATCH($AH22,$H$14:$H$23,0)),-2)),SUMIFS(Dati!$E$2:$E$46,Dati!$A$2:$A$46,$H22,Dati!$H$2:$H$46,$AH22)+SUMIFS(Dati!$L$2:$L$46,Dati!$H$2:$H$46,$H22,Dati!$A$2:$A$46,$AH22),"-")</f>
        <v>-</v>
      </c>
      <c r="BT22" s="21" t="str">
        <f>$C22</f>
        <v>Lupi Leali-Lupiopoli LO</v>
      </c>
      <c r="BU22" s="22">
        <f>IF(AND($H22&lt;&gt;"",$Y22&lt;&gt;"",$H22&lt;&gt;$Y22,IFERROR(INDEX($J$14:$J$23,MATCH($H22,$H$14:$H$23,0)),-1)=IFERROR(INDEX($J$14:$J$23,MATCH($Y22,$H$14:$H$23,0)),-2)),SUMIFS(Dati!$F$2:$F$46,Dati!$A$2:$A$46,$H22,Dati!$H$2:$H$46,$Y22)+SUMIFS(Dati!$M$2:$M$46,Dati!$H$2:$H$46,$H22,Dati!$A$2:$A$46,$Y22),"-")</f>
        <v>50</v>
      </c>
      <c r="BV22" s="22" t="str">
        <f>IF(AND($H22&lt;&gt;"",$Z22&lt;&gt;"",$H22&lt;&gt;$Z22,IFERROR(INDEX($J$14:$J$23,MATCH($H22,$H$14:$H$23,0)),-1)=IFERROR(INDEX($J$14:$J$23,MATCH($Z22,$H$14:$H$23,0)),-2)),SUMIFS(Dati!$F$2:$F$46,Dati!$A$2:$A$46,$H22,Dati!$H$2:$H$46,$Z22)+SUMIFS(Dati!$M$2:$M$46,Dati!$H$2:$H$46,$H22,Dati!$A$2:$A$46,$Z22),"-")</f>
        <v>-</v>
      </c>
      <c r="BW22" s="22" t="str">
        <f>IF(AND($H22&lt;&gt;"",$AA22&lt;&gt;"",$H22&lt;&gt;$AA22,IFERROR(INDEX($J$14:$J$23,MATCH($H22,$H$14:$H$23,0)),-1)=IFERROR(INDEX($J$14:$J$23,MATCH($AA22,$H$14:$H$23,0)),-2)),SUMIFS(Dati!$F$2:$F$46,Dati!$A$2:$A$46,$H22,Dati!$H$2:$H$46,$AA22)+SUMIFS(Dati!$M$2:$M$46,Dati!$H$2:$H$46,$H22,Dati!$A$2:$A$46,$AA22),"-")</f>
        <v>-</v>
      </c>
      <c r="BX22" s="22" t="str">
        <f>IF(AND($H22&lt;&gt;"",$AB22&lt;&gt;"",$H22&lt;&gt;$AB22,IFERROR(INDEX($J$14:$J$23,MATCH($H22,$H$14:$H$23,0)),-1)=IFERROR(INDEX($J$14:$J$23,MATCH($AB22,$H$14:$H$23,0)),-2)),SUMIFS(Dati!$F$2:$F$46,Dati!$A$2:$A$46,$H22,Dati!$H$2:$H$46,$AB22)+SUMIFS(Dati!$M$2:$M$46,Dati!$H$2:$H$46,$H22,Dati!$A$2:$A$46,$AB22),"-")</f>
        <v>-</v>
      </c>
      <c r="BY22" s="22" t="str">
        <f>IF(AND($H22&lt;&gt;"",$AC22&lt;&gt;"",$H22&lt;&gt;$AC22,IFERROR(INDEX($J$14:$J$23,MATCH($H22,$H$14:$H$23,0)),-1)=IFERROR(INDEX($J$14:$J$23,MATCH($AC22,$H$14:$H$23,0)),-2)),SUMIFS(Dati!$F$2:$F$46,Dati!$A$2:$A$46,$H22,Dati!$H$2:$H$46,$AC22)+SUMIFS(Dati!$M$2:$M$46,Dati!$H$2:$H$46,$H22,Dati!$A$2:$A$46,$AC22),"-")</f>
        <v>-</v>
      </c>
      <c r="BZ22" s="22">
        <f>IF(AND($H22&lt;&gt;"",$AD22&lt;&gt;"",$H22&lt;&gt;$AD22,IFERROR(INDEX($J$14:$J$23,MATCH($H22,$H$14:$H$23,0)),-1)=IFERROR(INDEX($J$14:$J$23,MATCH($AD22,$H$14:$H$23,0)),-2)),SUMIFS(Dati!$F$2:$F$46,Dati!$A$2:$A$46,$H22,Dati!$H$2:$H$46,$AD22)+SUMIFS(Dati!$M$2:$M$46,Dati!$H$2:$H$46,$H22,Dati!$A$2:$A$46,$AD22),"-")</f>
        <v>55</v>
      </c>
      <c r="CA22" s="22" t="str">
        <f>IF(AND($H22&lt;&gt;"",$AE22&lt;&gt;"",$H22&lt;&gt;$AE22,IFERROR(INDEX($J$14:$J$23,MATCH($H22,$H$14:$H$23,0)),-1)=IFERROR(INDEX($J$14:$J$23,MATCH($AE22,$H$14:$H$23,0)),-2)),SUMIFS(Dati!$F$2:$F$46,Dati!$A$2:$A$46,$H22,Dati!$H$2:$H$46,$AE22)+SUMIFS(Dati!$M$2:$M$46,Dati!$H$2:$H$46,$H22,Dati!$A$2:$A$46,$AE22),"-")</f>
        <v>-</v>
      </c>
      <c r="CB22" s="22" t="str">
        <f>IF(AND($H22&lt;&gt;"",$AF22&lt;&gt;"",$H22&lt;&gt;$AF22,IFERROR(INDEX($J$14:$J$23,MATCH($H22,$H$14:$H$23,0)),-1)=IFERROR(INDEX($J$14:$J$23,MATCH($AF22,$H$14:$H$23,0)),-2)),SUMIFS(Dati!$F$2:$F$46,Dati!$A$2:$A$46,$H22,Dati!$H$2:$H$46,$AF22)+SUMIFS(Dati!$M$2:$M$46,Dati!$H$2:$H$46,$H22,Dati!$A$2:$A$46,$AF22),"-")</f>
        <v>-</v>
      </c>
      <c r="CC22" s="22" t="str">
        <f>IF(AND($H22&lt;&gt;"",$AG22&lt;&gt;"",$H22&lt;&gt;$AG22,IFERROR(INDEX($J$14:$J$23,MATCH($H22,$H$14:$H$23,0)),-1)=IFERROR(INDEX($J$14:$J$23,MATCH($AG22,$H$14:$H$23,0)),-2)),SUMIFS(Dati!$F$2:$F$46,Dati!$A$2:$A$46,$H22,Dati!$H$2:$H$46,$AG22)+SUMIFS(Dati!$M$2:$M$46,Dati!$H$2:$H$46,$H22,Dati!$A$2:$A$46,$AG22),"-")</f>
        <v>-</v>
      </c>
      <c r="CD22" s="22" t="str">
        <f>IF(AND($H22&lt;&gt;"",$AH22&lt;&gt;"",$H22&lt;&gt;$AH22,IFERROR(INDEX($J$14:$J$23,MATCH($H22,$H$14:$H$23,0)),-1)=IFERROR(INDEX($J$14:$J$23,MATCH($AH22,$H$14:$H$23,0)),-2)),SUMIFS(Dati!$F$2:$F$46,Dati!$A$2:$A$46,$H22,Dati!$H$2:$H$46,$AH22)+SUMIFS(Dati!$M$2:$M$46,Dati!$H$2:$H$46,$H22,Dati!$A$2:$A$46,$AH22),"-")</f>
        <v>-</v>
      </c>
      <c r="CF22" s="22">
        <f>IF($C22="","",SUM(AK22:AT22))</f>
        <v>1</v>
      </c>
    </row>
    <row r="23">
      <c r="B23" s="12" t="inlineStr">
        <is>
          <t>A10</t>
        </is>
      </c>
      <c r="C23" s="13" t="inlineStr">
        <is>
          <t>Marmotte Mobili-Marmotteopoli MU</t>
        </is>
      </c>
      <c r="D23" s="14" t="n"/>
      <c r="E23" s="15" t="inlineStr">
        <is>
          <t>A</t>
        </is>
      </c>
      <c r="G23" s="16" t="str">
        <f>IF($C23="","",$E23&amp;(COUNTIFS(I$14:I$23,"&gt;"&amp;I23,E$14:E$23,"="&amp;E23,C$14:C$23,"&lt;&gt;")+COUNTIFS(I$14:I$23,"="&amp;I23,H$14:H$23,"&lt;="&amp;H23,E$14:E$23,"="&amp;E23,C$14:C$23,"&lt;&gt;")))</f>
        <v>A8</v>
      </c>
      <c r="H23" s="17" t="str">
        <f>IF($C23="","",IFERROR(LEFT($C23,FIND("-",$C23)-1),$C23))</f>
        <v>Marmotte Mobili</v>
      </c>
      <c r="I23" s="12" t="str">
        <f>TEXT(1000000000+J23,"|0000000000|")&amp;TEXT(SUM(AK23:AT23),"0000000000|")&amp;IF(SUM(BU23:CD23)=0,"0000000000|",TEXT(ROUND(SUM(BI23:BR23)/SUM(BU23:CD23),4)*100000,"0000000000|"))&amp;IF(P23=0,"0000000000|",TEXT(ROUND(O23/P23,4)*100000,"0000000000|"))</f>
        <v>|1000000015|0000000001|0000100000|0000087840|</v>
      </c>
      <c r="J23" s="16">
        <f>L23*Campionato!$D$7+M23*Campionato!$D$8+N23*Campionato!$D$9+IF(D23="",0,D23)</f>
        <v>15</v>
      </c>
      <c r="K23" s="12">
        <f>SUM(L23:N23)</f>
        <v>9</v>
      </c>
      <c r="L23" s="12">
        <f>IF($H23="",0,SUMIF(Dati!$A$2:$A$46,$H23,Dati!$B$2:$B$46)+SUMIF(Dati!$H$2:$H$46,$H23,Dati!$I$2:$I$46))</f>
        <v>3</v>
      </c>
      <c r="M23" s="12">
        <f>IF($H23="",0,SUMIF(Dati!$A$2:$A$46,$H23,Dati!$D$2:$D$46)+SUMIF(Dati!$H$2:$H$46,$H23,Dati!$K$2:$K$46))</f>
        <v>6</v>
      </c>
      <c r="N23" s="12">
        <f>IF($H23="",0,SUMIF(Dati!$A$2:$A$46,$H23,Dati!$C$2:$C$46)+SUMIF(Dati!$H$2:$H$46,$H23,Dati!$J$2:$J$46))</f>
        <v>0</v>
      </c>
      <c r="O23" s="12">
        <f>IF($H23="",0,SUMIF(Dati!$A$2:$A$46,$H23,Dati!$E$2:$E$46)+SUMIF(Dati!$H$2:$H$46,$H23,Dati!$L$2:$L$46))</f>
        <v>455</v>
      </c>
      <c r="P23" s="12">
        <f>IF($H23="",0,SUMIF(Dati!$A$2:$A$46,$H23,Dati!$F$2:$F$46)+SUMIF(Dati!$H$2:$H$46,$H23,Dati!$M$2:$M$46))</f>
        <v>518</v>
      </c>
      <c r="Q23" s="12">
        <f>IF($H23="",0,SUMIF(Dati!$A$2:$A$46,$H23,Dati!$G$2:$G$46)+SUMIF(Dati!$H$2:$H$46,$H23,Dati!$N$2:$N$46))</f>
        <v>-63</v>
      </c>
      <c r="R23" s="12">
        <f>IF(K23=0,0,ROUND(O23/K23,2))</f>
        <v>50.56</v>
      </c>
      <c r="S23" s="12">
        <f>IF(K23=0,0,ROUND(P23/K23,2))</f>
        <v>57.56</v>
      </c>
      <c r="T23" s="12">
        <f>IF(K23=0,0,ROUND(Q23/K23,2))</f>
        <v>-7</v>
      </c>
      <c r="U23" s="12" t="str">
        <f>IF(COUNTIFS($E$14:$E$23,$E23,$J$14:$J$23,$J23,$C$14:$C$23,"&lt;&gt;")&lt;=1,"-",SUM(AK23:AT23)&amp;"-"&amp;SUM(AW23:BF23))</f>
        <v>1-1</v>
      </c>
      <c r="V23" s="18">
        <f>IF(COUNTIFS($E$14:$E$23,$E23,$J$14:$J$23,$J23,$C$14:$C$23,"&lt;&gt;",$CF$14:$CF$23,$CF23)&lt;=1,"-",IF(SUM(BU23:CD23)=0,0,ROUND(SUM(BI23:BR23)/SUM(BU23:CD23),3)))</f>
        <v>1</v>
      </c>
      <c r="W23" s="18">
        <f>IF(COUNTIFS($E$14:$E$23,$E23,$J$14:$J$23,$J23,$C$14:$C$23,"&lt;&gt;",$CF$14:$CF$23,$CF23,$V$14:$V$23,$V23)&lt;=1,"-",IF(P23=0,0,ROUND(O23/P23,3)))</f>
        <v>0.878</v>
      </c>
      <c r="X23" s="19" t="str">
        <f>IF($C23="","",$E23&amp;"#"&amp;COUNTIFS($E$14:$E23,$E23,$C$14:$C23,"&lt;&gt;"))</f>
        <v>A#10</v>
      </c>
      <c r="Y23" s="20" t="str">
        <f>IFERROR(INDEX($H$14:$H$23,MATCH($E23&amp;"#1",$X$14:$X$23,0)),"")</f>
        <v>Anaconde Audaci</v>
      </c>
      <c r="Z23" s="20" t="str">
        <f>IFERROR(INDEX($H$14:$H$23,MATCH($E23&amp;"#2",$X$14:$X$23,0)),"")</f>
        <v>Bufali Belligeranti</v>
      </c>
      <c r="AA23" s="20" t="str">
        <f>IFERROR(INDEX($H$14:$H$23,MATCH($E23&amp;"#3",$X$14:$X$23,0)),"")</f>
        <v>Cobra Celeri</v>
      </c>
      <c r="AB23" s="20" t="str">
        <f>IFERROR(INDEX($H$14:$H$23,MATCH($E23&amp;"#4",$X$14:$X$23,0)),"")</f>
        <v>Dingo Docili</v>
      </c>
      <c r="AC23" s="20" t="str">
        <f>IFERROR(INDEX($H$14:$H$23,MATCH($E23&amp;"#5",$X$14:$X$23,0)),"")</f>
        <v>Ermellini Eleganti</v>
      </c>
      <c r="AD23" s="20" t="str">
        <f>IFERROR(INDEX($H$14:$H$23,MATCH($E23&amp;"#6",$X$14:$X$23,0)),"")</f>
        <v>Falchi Feroci</v>
      </c>
      <c r="AE23" s="20" t="str">
        <f>IFERROR(INDEX($H$14:$H$23,MATCH($E23&amp;"#7",$X$14:$X$23,0)),"")</f>
        <v>Gazzelle Gentili</v>
      </c>
      <c r="AF23" s="20" t="str">
        <f>IFERROR(INDEX($H$14:$H$23,MATCH($E23&amp;"#8",$X$14:$X$23,0)),"")</f>
        <v>Ibis Instancabili</v>
      </c>
      <c r="AG23" s="20" t="str">
        <f>IFERROR(INDEX($H$14:$H$23,MATCH($E23&amp;"#9",$X$14:$X$23,0)),"")</f>
        <v>Lupi Leali</v>
      </c>
      <c r="AH23" s="20" t="str">
        <f>IFERROR(INDEX($H$14:$H$23,MATCH($E23&amp;"#10",$X$14:$X$23,0)),"")</f>
        <v>Marmotte Mobili</v>
      </c>
      <c r="AJ23" s="21" t="str">
        <f>$C23</f>
        <v>Marmotte Mobili-Marmotteopoli MU</v>
      </c>
      <c r="AK23" s="22" t="str">
        <f>IF(AND($H23&lt;&gt;"",$Y23&lt;&gt;"",$H23&lt;&gt;$Y23,IFERROR(INDEX($J$14:$J$23,MATCH($H23,$H$14:$H$23,0)),-1)=IFERROR(INDEX($J$14:$J$23,MATCH($Y23,$H$14:$H$23,0)),-2)),SUMIFS(Dati!$B$2:$B$46,Dati!$A$2:$A$46,$H23,Dati!$H$2:$H$46,$Y23)+SUMIFS(Dati!$I$2:$I$46,Dati!$H$2:$H$46,$H23,Dati!$A$2:$A$46,$Y23),"-")</f>
        <v>-</v>
      </c>
      <c r="AL23" s="22">
        <f>IF(AND($H23&lt;&gt;"",$Z23&lt;&gt;"",$H23&lt;&gt;$Z23,IFERROR(INDEX($J$14:$J$23,MATCH($H23,$H$14:$H$23,0)),-1)=IFERROR(INDEX($J$14:$J$23,MATCH($Z23,$H$14:$H$23,0)),-2)),SUMIFS(Dati!$B$2:$B$46,Dati!$A$2:$A$46,$H23,Dati!$H$2:$H$46,$Z23)+SUMIFS(Dati!$I$2:$I$46,Dati!$H$2:$H$46,$H23,Dati!$A$2:$A$46,$Z23),"-")</f>
        <v>1</v>
      </c>
      <c r="AM23" s="22" t="str">
        <f>IF(AND($H23&lt;&gt;"",$AA23&lt;&gt;"",$H23&lt;&gt;$AA23,IFERROR(INDEX($J$14:$J$23,MATCH($H23,$H$14:$H$23,0)),-1)=IFERROR(INDEX($J$14:$J$23,MATCH($AA23,$H$14:$H$23,0)),-2)),SUMIFS(Dati!$B$2:$B$46,Dati!$A$2:$A$46,$H23,Dati!$H$2:$H$46,$AA23)+SUMIFS(Dati!$I$2:$I$46,Dati!$H$2:$H$46,$H23,Dati!$A$2:$A$46,$AA23),"-")</f>
        <v>-</v>
      </c>
      <c r="AN23" s="22" t="str">
        <f>IF(AND($H23&lt;&gt;"",$AB23&lt;&gt;"",$H23&lt;&gt;$AB23,IFERROR(INDEX($J$14:$J$23,MATCH($H23,$H$14:$H$23,0)),-1)=IFERROR(INDEX($J$14:$J$23,MATCH($AB23,$H$14:$H$23,0)),-2)),SUMIFS(Dati!$B$2:$B$46,Dati!$A$2:$A$46,$H23,Dati!$H$2:$H$46,$AB23)+SUMIFS(Dati!$I$2:$I$46,Dati!$H$2:$H$46,$H23,Dati!$A$2:$A$46,$AB23),"-")</f>
        <v>-</v>
      </c>
      <c r="AO23" s="22">
        <f>IF(AND($H23&lt;&gt;"",$AC23&lt;&gt;"",$H23&lt;&gt;$AC23,IFERROR(INDEX($J$14:$J$23,MATCH($H23,$H$14:$H$23,0)),-1)=IFERROR(INDEX($J$14:$J$23,MATCH($AC23,$H$14:$H$23,0)),-2)),SUMIFS(Dati!$B$2:$B$46,Dati!$A$2:$A$46,$H23,Dati!$H$2:$H$46,$AC23)+SUMIFS(Dati!$I$2:$I$46,Dati!$H$2:$H$46,$H23,Dati!$A$2:$A$46,$AC23),"-")</f>
        <v>0</v>
      </c>
      <c r="AP23" s="22" t="str">
        <f>IF(AND($H23&lt;&gt;"",$AD23&lt;&gt;"",$H23&lt;&gt;$AD23,IFERROR(INDEX($J$14:$J$23,MATCH($H23,$H$14:$H$23,0)),-1)=IFERROR(INDEX($J$14:$J$23,MATCH($AD23,$H$14:$H$23,0)),-2)),SUMIFS(Dati!$B$2:$B$46,Dati!$A$2:$A$46,$H23,Dati!$H$2:$H$46,$AD23)+SUMIFS(Dati!$I$2:$I$46,Dati!$H$2:$H$46,$H23,Dati!$A$2:$A$46,$AD23),"-")</f>
        <v>-</v>
      </c>
      <c r="AQ23" s="22" t="str">
        <f>IF(AND($H23&lt;&gt;"",$AE23&lt;&gt;"",$H23&lt;&gt;$AE23,IFERROR(INDEX($J$14:$J$23,MATCH($H23,$H$14:$H$23,0)),-1)=IFERROR(INDEX($J$14:$J$23,MATCH($AE23,$H$14:$H$23,0)),-2)),SUMIFS(Dati!$B$2:$B$46,Dati!$A$2:$A$46,$H23,Dati!$H$2:$H$46,$AE23)+SUMIFS(Dati!$I$2:$I$46,Dati!$H$2:$H$46,$H23,Dati!$A$2:$A$46,$AE23),"-")</f>
        <v>-</v>
      </c>
      <c r="AR23" s="22" t="str">
        <f>IF(AND($H23&lt;&gt;"",$AF23&lt;&gt;"",$H23&lt;&gt;$AF23,IFERROR(INDEX($J$14:$J$23,MATCH($H23,$H$14:$H$23,0)),-1)=IFERROR(INDEX($J$14:$J$23,MATCH($AF23,$H$14:$H$23,0)),-2)),SUMIFS(Dati!$B$2:$B$46,Dati!$A$2:$A$46,$H23,Dati!$H$2:$H$46,$AF23)+SUMIFS(Dati!$I$2:$I$46,Dati!$H$2:$H$46,$H23,Dati!$A$2:$A$46,$AF23),"-")</f>
        <v>-</v>
      </c>
      <c r="AS23" s="22" t="str">
        <f>IF(AND($H23&lt;&gt;"",$AG23&lt;&gt;"",$H23&lt;&gt;$AG23,IFERROR(INDEX($J$14:$J$23,MATCH($H23,$H$14:$H$23,0)),-1)=IFERROR(INDEX($J$14:$J$23,MATCH($AG23,$H$14:$H$23,0)),-2)),SUMIFS(Dati!$B$2:$B$46,Dati!$A$2:$A$46,$H23,Dati!$H$2:$H$46,$AG23)+SUMIFS(Dati!$I$2:$I$46,Dati!$H$2:$H$46,$H23,Dati!$A$2:$A$46,$AG23),"-")</f>
        <v>-</v>
      </c>
      <c r="AT23" s="22" t="str">
        <f>IF(AND($H23&lt;&gt;"",$AH23&lt;&gt;"",$H23&lt;&gt;$AH23,IFERROR(INDEX($J$14:$J$23,MATCH($H23,$H$14:$H$23,0)),-1)=IFERROR(INDEX($J$14:$J$23,MATCH($AH23,$H$14:$H$23,0)),-2)),SUMIFS(Dati!$B$2:$B$46,Dati!$A$2:$A$46,$H23,Dati!$H$2:$H$46,$AH23)+SUMIFS(Dati!$I$2:$I$46,Dati!$H$2:$H$46,$H23,Dati!$A$2:$A$46,$AH23),"-")</f>
        <v>-</v>
      </c>
      <c r="AV23" s="21" t="str">
        <f>$C23</f>
        <v>Marmotte Mobili-Marmotteopoli MU</v>
      </c>
      <c r="AW23" s="22" t="str">
        <f>IF(AND($H23&lt;&gt;"",$Y23&lt;&gt;"",$H23&lt;&gt;$Y23,IFERROR(INDEX($J$14:$J$23,MATCH($H23,$H$14:$H$23,0)),-1)=IFERROR(INDEX($J$14:$J$23,MATCH($Y23,$H$14:$H$23,0)),-2)),SUMIFS(Dati!$D$2:$D$46,Dati!$A$2:$A$46,$H23,Dati!$H$2:$H$46,$Y23)+SUMIFS(Dati!$K$2:$K$46,Dati!$H$2:$H$46,$H23,Dati!$A$2:$A$46,$Y23)+SUMIFS(Dati!$C$2:$C$46,Dati!$A$2:$A$46,$H23,Dati!$H$2:$H$46,$Y23)+SUMIFS(Dati!$J$2:$J$46,Dati!$H$2:$H$46,$H23,Dati!$A$2:$A$46,$Y23),"-")</f>
        <v>-</v>
      </c>
      <c r="AX23" s="22">
        <f>IF(AND($H23&lt;&gt;"",$Z23&lt;&gt;"",$H23&lt;&gt;$Z23,IFERROR(INDEX($J$14:$J$23,MATCH($H23,$H$14:$H$23,0)),-1)=IFERROR(INDEX($J$14:$J$23,MATCH($Z23,$H$14:$H$23,0)),-2)),SUMIFS(Dati!$D$2:$D$46,Dati!$A$2:$A$46,$H23,Dati!$H$2:$H$46,$Z23)+SUMIFS(Dati!$K$2:$K$46,Dati!$H$2:$H$46,$H23,Dati!$A$2:$A$46,$Z23)+SUMIFS(Dati!$C$2:$C$46,Dati!$A$2:$A$46,$H23,Dati!$H$2:$H$46,$Z23)+SUMIFS(Dati!$J$2:$J$46,Dati!$H$2:$H$46,$H23,Dati!$A$2:$A$46,$Z23),"-")</f>
        <v>0</v>
      </c>
      <c r="AY23" s="22" t="str">
        <f>IF(AND($H23&lt;&gt;"",$AA23&lt;&gt;"",$H23&lt;&gt;$AA23,IFERROR(INDEX($J$14:$J$23,MATCH($H23,$H$14:$H$23,0)),-1)=IFERROR(INDEX($J$14:$J$23,MATCH($AA23,$H$14:$H$23,0)),-2)),SUMIFS(Dati!$D$2:$D$46,Dati!$A$2:$A$46,$H23,Dati!$H$2:$H$46,$AA23)+SUMIFS(Dati!$K$2:$K$46,Dati!$H$2:$H$46,$H23,Dati!$A$2:$A$46,$AA23)+SUMIFS(Dati!$C$2:$C$46,Dati!$A$2:$A$46,$H23,Dati!$H$2:$H$46,$AA23)+SUMIFS(Dati!$J$2:$J$46,Dati!$H$2:$H$46,$H23,Dati!$A$2:$A$46,$AA23),"-")</f>
        <v>-</v>
      </c>
      <c r="AZ23" s="22" t="str">
        <f>IF(AND($H23&lt;&gt;"",$AB23&lt;&gt;"",$H23&lt;&gt;$AB23,IFERROR(INDEX($J$14:$J$23,MATCH($H23,$H$14:$H$23,0)),-1)=IFERROR(INDEX($J$14:$J$23,MATCH($AB23,$H$14:$H$23,0)),-2)),SUMIFS(Dati!$D$2:$D$46,Dati!$A$2:$A$46,$H23,Dati!$H$2:$H$46,$AB23)+SUMIFS(Dati!$K$2:$K$46,Dati!$H$2:$H$46,$H23,Dati!$A$2:$A$46,$AB23)+SUMIFS(Dati!$C$2:$C$46,Dati!$A$2:$A$46,$H23,Dati!$H$2:$H$46,$AB23)+SUMIFS(Dati!$J$2:$J$46,Dati!$H$2:$H$46,$H23,Dati!$A$2:$A$46,$AB23),"-")</f>
        <v>-</v>
      </c>
      <c r="BA23" s="22">
        <f>IF(AND($H23&lt;&gt;"",$AC23&lt;&gt;"",$H23&lt;&gt;$AC23,IFERROR(INDEX($J$14:$J$23,MATCH($H23,$H$14:$H$23,0)),-1)=IFERROR(INDEX($J$14:$J$23,MATCH($AC23,$H$14:$H$23,0)),-2)),SUMIFS(Dati!$D$2:$D$46,Dati!$A$2:$A$46,$H23,Dati!$H$2:$H$46,$AC23)+SUMIFS(Dati!$K$2:$K$46,Dati!$H$2:$H$46,$H23,Dati!$A$2:$A$46,$AC23)+SUMIFS(Dati!$C$2:$C$46,Dati!$A$2:$A$46,$H23,Dati!$H$2:$H$46,$AC23)+SUMIFS(Dati!$J$2:$J$46,Dati!$H$2:$H$46,$H23,Dati!$A$2:$A$46,$AC23),"-")</f>
        <v>1</v>
      </c>
      <c r="BB23" s="22" t="str">
        <f>IF(AND($H23&lt;&gt;"",$AD23&lt;&gt;"",$H23&lt;&gt;$AD23,IFERROR(INDEX($J$14:$J$23,MATCH($H23,$H$14:$H$23,0)),-1)=IFERROR(INDEX($J$14:$J$23,MATCH($AD23,$H$14:$H$23,0)),-2)),SUMIFS(Dati!$D$2:$D$46,Dati!$A$2:$A$46,$H23,Dati!$H$2:$H$46,$AD23)+SUMIFS(Dati!$K$2:$K$46,Dati!$H$2:$H$46,$H23,Dati!$A$2:$A$46,$AD23)+SUMIFS(Dati!$C$2:$C$46,Dati!$A$2:$A$46,$H23,Dati!$H$2:$H$46,$AD23)+SUMIFS(Dati!$J$2:$J$46,Dati!$H$2:$H$46,$H23,Dati!$A$2:$A$46,$AD23),"-")</f>
        <v>-</v>
      </c>
      <c r="BC23" s="22" t="str">
        <f>IF(AND($H23&lt;&gt;"",$AE23&lt;&gt;"",$H23&lt;&gt;$AE23,IFERROR(INDEX($J$14:$J$23,MATCH($H23,$H$14:$H$23,0)),-1)=IFERROR(INDEX($J$14:$J$23,MATCH($AE23,$H$14:$H$23,0)),-2)),SUMIFS(Dati!$D$2:$D$46,Dati!$A$2:$A$46,$H23,Dati!$H$2:$H$46,$AE23)+SUMIFS(Dati!$K$2:$K$46,Dati!$H$2:$H$46,$H23,Dati!$A$2:$A$46,$AE23)+SUMIFS(Dati!$C$2:$C$46,Dati!$A$2:$A$46,$H23,Dati!$H$2:$H$46,$AE23)+SUMIFS(Dati!$J$2:$J$46,Dati!$H$2:$H$46,$H23,Dati!$A$2:$A$46,$AE23),"-")</f>
        <v>-</v>
      </c>
      <c r="BD23" s="22" t="str">
        <f>IF(AND($H23&lt;&gt;"",$AF23&lt;&gt;"",$H23&lt;&gt;$AF23,IFERROR(INDEX($J$14:$J$23,MATCH($H23,$H$14:$H$23,0)),-1)=IFERROR(INDEX($J$14:$J$23,MATCH($AF23,$H$14:$H$23,0)),-2)),SUMIFS(Dati!$D$2:$D$46,Dati!$A$2:$A$46,$H23,Dati!$H$2:$H$46,$AF23)+SUMIFS(Dati!$K$2:$K$46,Dati!$H$2:$H$46,$H23,Dati!$A$2:$A$46,$AF23)+SUMIFS(Dati!$C$2:$C$46,Dati!$A$2:$A$46,$H23,Dati!$H$2:$H$46,$AF23)+SUMIFS(Dati!$J$2:$J$46,Dati!$H$2:$H$46,$H23,Dati!$A$2:$A$46,$AF23),"-")</f>
        <v>-</v>
      </c>
      <c r="BE23" s="22" t="str">
        <f>IF(AND($H23&lt;&gt;"",$AG23&lt;&gt;"",$H23&lt;&gt;$AG23,IFERROR(INDEX($J$14:$J$23,MATCH($H23,$H$14:$H$23,0)),-1)=IFERROR(INDEX($J$14:$J$23,MATCH($AG23,$H$14:$H$23,0)),-2)),SUMIFS(Dati!$D$2:$D$46,Dati!$A$2:$A$46,$H23,Dati!$H$2:$H$46,$AG23)+SUMIFS(Dati!$K$2:$K$46,Dati!$H$2:$H$46,$H23,Dati!$A$2:$A$46,$AG23)+SUMIFS(Dati!$C$2:$C$46,Dati!$A$2:$A$46,$H23,Dati!$H$2:$H$46,$AG23)+SUMIFS(Dati!$J$2:$J$46,Dati!$H$2:$H$46,$H23,Dati!$A$2:$A$46,$AG23),"-")</f>
        <v>-</v>
      </c>
      <c r="BF23" s="22" t="str">
        <f>IF(AND($H23&lt;&gt;"",$AH23&lt;&gt;"",$H23&lt;&gt;$AH23,IFERROR(INDEX($J$14:$J$23,MATCH($H23,$H$14:$H$23,0)),-1)=IFERROR(INDEX($J$14:$J$23,MATCH($AH23,$H$14:$H$23,0)),-2)),SUMIFS(Dati!$D$2:$D$46,Dati!$A$2:$A$46,$H23,Dati!$H$2:$H$46,$AH23)+SUMIFS(Dati!$K$2:$K$46,Dati!$H$2:$H$46,$H23,Dati!$A$2:$A$46,$AH23)+SUMIFS(Dati!$C$2:$C$46,Dati!$A$2:$A$46,$H23,Dati!$H$2:$H$46,$AH23)+SUMIFS(Dati!$J$2:$J$46,Dati!$H$2:$H$46,$H23,Dati!$A$2:$A$46,$AH23),"-")</f>
        <v>-</v>
      </c>
      <c r="BH23" s="21" t="str">
        <f>$C23</f>
        <v>Marmotte Mobili-Marmotteopoli MU</v>
      </c>
      <c r="BI23" s="22" t="str">
        <f>IF(AND($H23&lt;&gt;"",$Y23&lt;&gt;"",$H23&lt;&gt;$Y23,IFERROR(INDEX($J$14:$J$23,MATCH($H23,$H$14:$H$23,0)),-1)=IFERROR(INDEX($J$14:$J$23,MATCH($Y23,$H$14:$H$23,0)),-2)),SUMIFS(Dati!$E$2:$E$46,Dati!$A$2:$A$46,$H23,Dati!$H$2:$H$46,$Y23)+SUMIFS(Dati!$L$2:$L$46,Dati!$H$2:$H$46,$H23,Dati!$A$2:$A$46,$Y23),"-")</f>
        <v>-</v>
      </c>
      <c r="BJ23" s="22">
        <f>IF(AND($H23&lt;&gt;"",$Z23&lt;&gt;"",$H23&lt;&gt;$Z23,IFERROR(INDEX($J$14:$J$23,MATCH($H23,$H$14:$H$23,0)),-1)=IFERROR(INDEX($J$14:$J$23,MATCH($Z23,$H$14:$H$23,0)),-2)),SUMIFS(Dati!$E$2:$E$46,Dati!$A$2:$A$46,$H23,Dati!$H$2:$H$46,$Z23)+SUMIFS(Dati!$L$2:$L$46,Dati!$H$2:$H$46,$H23,Dati!$A$2:$A$46,$Z23),"-")</f>
        <v>50</v>
      </c>
      <c r="BK23" s="22" t="str">
        <f>IF(AND($H23&lt;&gt;"",$AA23&lt;&gt;"",$H23&lt;&gt;$AA23,IFERROR(INDEX($J$14:$J$23,MATCH($H23,$H$14:$H$23,0)),-1)=IFERROR(INDEX($J$14:$J$23,MATCH($AA23,$H$14:$H$23,0)),-2)),SUMIFS(Dati!$E$2:$E$46,Dati!$A$2:$A$46,$H23,Dati!$H$2:$H$46,$AA23)+SUMIFS(Dati!$L$2:$L$46,Dati!$H$2:$H$46,$H23,Dati!$A$2:$A$46,$AA23),"-")</f>
        <v>-</v>
      </c>
      <c r="BL23" s="22" t="str">
        <f>IF(AND($H23&lt;&gt;"",$AB23&lt;&gt;"",$H23&lt;&gt;$AB23,IFERROR(INDEX($J$14:$J$23,MATCH($H23,$H$14:$H$23,0)),-1)=IFERROR(INDEX($J$14:$J$23,MATCH($AB23,$H$14:$H$23,0)),-2)),SUMIFS(Dati!$E$2:$E$46,Dati!$A$2:$A$46,$H23,Dati!$H$2:$H$46,$AB23)+SUMIFS(Dati!$L$2:$L$46,Dati!$H$2:$H$46,$H23,Dati!$A$2:$A$46,$AB23),"-")</f>
        <v>-</v>
      </c>
      <c r="BM23" s="22">
        <f>IF(AND($H23&lt;&gt;"",$AC23&lt;&gt;"",$H23&lt;&gt;$AC23,IFERROR(INDEX($J$14:$J$23,MATCH($H23,$H$14:$H$23,0)),-1)=IFERROR(INDEX($J$14:$J$23,MATCH($AC23,$H$14:$H$23,0)),-2)),SUMIFS(Dati!$E$2:$E$46,Dati!$A$2:$A$46,$H23,Dati!$H$2:$H$46,$AC23)+SUMIFS(Dati!$L$2:$L$46,Dati!$H$2:$H$46,$H23,Dati!$A$2:$A$46,$AC23),"-")</f>
        <v>40</v>
      </c>
      <c r="BN23" s="22" t="str">
        <f>IF(AND($H23&lt;&gt;"",$AD23&lt;&gt;"",$H23&lt;&gt;$AD23,IFERROR(INDEX($J$14:$J$23,MATCH($H23,$H$14:$H$23,0)),-1)=IFERROR(INDEX($J$14:$J$23,MATCH($AD23,$H$14:$H$23,0)),-2)),SUMIFS(Dati!$E$2:$E$46,Dati!$A$2:$A$46,$H23,Dati!$H$2:$H$46,$AD23)+SUMIFS(Dati!$L$2:$L$46,Dati!$H$2:$H$46,$H23,Dati!$A$2:$A$46,$AD23),"-")</f>
        <v>-</v>
      </c>
      <c r="BO23" s="22" t="str">
        <f>IF(AND($H23&lt;&gt;"",$AE23&lt;&gt;"",$H23&lt;&gt;$AE23,IFERROR(INDEX($J$14:$J$23,MATCH($H23,$H$14:$H$23,0)),-1)=IFERROR(INDEX($J$14:$J$23,MATCH($AE23,$H$14:$H$23,0)),-2)),SUMIFS(Dati!$E$2:$E$46,Dati!$A$2:$A$46,$H23,Dati!$H$2:$H$46,$AE23)+SUMIFS(Dati!$L$2:$L$46,Dati!$H$2:$H$46,$H23,Dati!$A$2:$A$46,$AE23),"-")</f>
        <v>-</v>
      </c>
      <c r="BP23" s="22" t="str">
        <f>IF(AND($H23&lt;&gt;"",$AF23&lt;&gt;"",$H23&lt;&gt;$AF23,IFERROR(INDEX($J$14:$J$23,MATCH($H23,$H$14:$H$23,0)),-1)=IFERROR(INDEX($J$14:$J$23,MATCH($AF23,$H$14:$H$23,0)),-2)),SUMIFS(Dati!$E$2:$E$46,Dati!$A$2:$A$46,$H23,Dati!$H$2:$H$46,$AF23)+SUMIFS(Dati!$L$2:$L$46,Dati!$H$2:$H$46,$H23,Dati!$A$2:$A$46,$AF23),"-")</f>
        <v>-</v>
      </c>
      <c r="BQ23" s="22" t="str">
        <f>IF(AND($H23&lt;&gt;"",$AG23&lt;&gt;"",$H23&lt;&gt;$AG23,IFERROR(INDEX($J$14:$J$23,MATCH($H23,$H$14:$H$23,0)),-1)=IFERROR(INDEX($J$14:$J$23,MATCH($AG23,$H$14:$H$23,0)),-2)),SUMIFS(Dati!$E$2:$E$46,Dati!$A$2:$A$46,$H23,Dati!$H$2:$H$46,$AG23)+SUMIFS(Dati!$L$2:$L$46,Dati!$H$2:$H$46,$H23,Dati!$A$2:$A$46,$AG23),"-")</f>
        <v>-</v>
      </c>
      <c r="BR23" s="22" t="str">
        <f>IF(AND($H23&lt;&gt;"",$AH23&lt;&gt;"",$H23&lt;&gt;$AH23,IFERROR(INDEX($J$14:$J$23,MATCH($H23,$H$14:$H$23,0)),-1)=IFERROR(INDEX($J$14:$J$23,MATCH($AH23,$H$14:$H$23,0)),-2)),SUMIFS(Dati!$E$2:$E$46,Dati!$A$2:$A$46,$H23,Dati!$H$2:$H$46,$AH23)+SUMIFS(Dati!$L$2:$L$46,Dati!$H$2:$H$46,$H23,Dati!$A$2:$A$46,$AH23),"-")</f>
        <v>-</v>
      </c>
      <c r="BT23" s="21" t="str">
        <f>$C23</f>
        <v>Marmotte Mobili-Marmotteopoli MU</v>
      </c>
      <c r="BU23" s="22" t="str">
        <f>IF(AND($H23&lt;&gt;"",$Y23&lt;&gt;"",$H23&lt;&gt;$Y23,IFERROR(INDEX($J$14:$J$23,MATCH($H23,$H$14:$H$23,0)),-1)=IFERROR(INDEX($J$14:$J$23,MATCH($Y23,$H$14:$H$23,0)),-2)),SUMIFS(Dati!$F$2:$F$46,Dati!$A$2:$A$46,$H23,Dati!$H$2:$H$46,$Y23)+SUMIFS(Dati!$M$2:$M$46,Dati!$H$2:$H$46,$H23,Dati!$A$2:$A$46,$Y23),"-")</f>
        <v>-</v>
      </c>
      <c r="BV23" s="22">
        <f>IF(AND($H23&lt;&gt;"",$Z23&lt;&gt;"",$H23&lt;&gt;$Z23,IFERROR(INDEX($J$14:$J$23,MATCH($H23,$H$14:$H$23,0)),-1)=IFERROR(INDEX($J$14:$J$23,MATCH($Z23,$H$14:$H$23,0)),-2)),SUMIFS(Dati!$F$2:$F$46,Dati!$A$2:$A$46,$H23,Dati!$H$2:$H$46,$Z23)+SUMIFS(Dati!$M$2:$M$46,Dati!$H$2:$H$46,$H23,Dati!$A$2:$A$46,$Z23),"-")</f>
        <v>40</v>
      </c>
      <c r="BW23" s="22" t="str">
        <f>IF(AND($H23&lt;&gt;"",$AA23&lt;&gt;"",$H23&lt;&gt;$AA23,IFERROR(INDEX($J$14:$J$23,MATCH($H23,$H$14:$H$23,0)),-1)=IFERROR(INDEX($J$14:$J$23,MATCH($AA23,$H$14:$H$23,0)),-2)),SUMIFS(Dati!$F$2:$F$46,Dati!$A$2:$A$46,$H23,Dati!$H$2:$H$46,$AA23)+SUMIFS(Dati!$M$2:$M$46,Dati!$H$2:$H$46,$H23,Dati!$A$2:$A$46,$AA23),"-")</f>
        <v>-</v>
      </c>
      <c r="BX23" s="22" t="str">
        <f>IF(AND($H23&lt;&gt;"",$AB23&lt;&gt;"",$H23&lt;&gt;$AB23,IFERROR(INDEX($J$14:$J$23,MATCH($H23,$H$14:$H$23,0)),-1)=IFERROR(INDEX($J$14:$J$23,MATCH($AB23,$H$14:$H$23,0)),-2)),SUMIFS(Dati!$F$2:$F$46,Dati!$A$2:$A$46,$H23,Dati!$H$2:$H$46,$AB23)+SUMIFS(Dati!$M$2:$M$46,Dati!$H$2:$H$46,$H23,Dati!$A$2:$A$46,$AB23),"-")</f>
        <v>-</v>
      </c>
      <c r="BY23" s="22">
        <f>IF(AND($H23&lt;&gt;"",$AC23&lt;&gt;"",$H23&lt;&gt;$AC23,IFERROR(INDEX($J$14:$J$23,MATCH($H23,$H$14:$H$23,0)),-1)=IFERROR(INDEX($J$14:$J$23,MATCH($AC23,$H$14:$H$23,0)),-2)),SUMIFS(Dati!$F$2:$F$46,Dati!$A$2:$A$46,$H23,Dati!$H$2:$H$46,$AC23)+SUMIFS(Dati!$M$2:$M$46,Dati!$H$2:$H$46,$H23,Dati!$A$2:$A$46,$AC23),"-")</f>
        <v>50</v>
      </c>
      <c r="BZ23" s="22" t="str">
        <f>IF(AND($H23&lt;&gt;"",$AD23&lt;&gt;"",$H23&lt;&gt;$AD23,IFERROR(INDEX($J$14:$J$23,MATCH($H23,$H$14:$H$23,0)),-1)=IFERROR(INDEX($J$14:$J$23,MATCH($AD23,$H$14:$H$23,0)),-2)),SUMIFS(Dati!$F$2:$F$46,Dati!$A$2:$A$46,$H23,Dati!$H$2:$H$46,$AD23)+SUMIFS(Dati!$M$2:$M$46,Dati!$H$2:$H$46,$H23,Dati!$A$2:$A$46,$AD23),"-")</f>
        <v>-</v>
      </c>
      <c r="CA23" s="22" t="str">
        <f>IF(AND($H23&lt;&gt;"",$AE23&lt;&gt;"",$H23&lt;&gt;$AE23,IFERROR(INDEX($J$14:$J$23,MATCH($H23,$H$14:$H$23,0)),-1)=IFERROR(INDEX($J$14:$J$23,MATCH($AE23,$H$14:$H$23,0)),-2)),SUMIFS(Dati!$F$2:$F$46,Dati!$A$2:$A$46,$H23,Dati!$H$2:$H$46,$AE23)+SUMIFS(Dati!$M$2:$M$46,Dati!$H$2:$H$46,$H23,Dati!$A$2:$A$46,$AE23),"-")</f>
        <v>-</v>
      </c>
      <c r="CB23" s="22" t="str">
        <f>IF(AND($H23&lt;&gt;"",$AF23&lt;&gt;"",$H23&lt;&gt;$AF23,IFERROR(INDEX($J$14:$J$23,MATCH($H23,$H$14:$H$23,0)),-1)=IFERROR(INDEX($J$14:$J$23,MATCH($AF23,$H$14:$H$23,0)),-2)),SUMIFS(Dati!$F$2:$F$46,Dati!$A$2:$A$46,$H23,Dati!$H$2:$H$46,$AF23)+SUMIFS(Dati!$M$2:$M$46,Dati!$H$2:$H$46,$H23,Dati!$A$2:$A$46,$AF23),"-")</f>
        <v>-</v>
      </c>
      <c r="CC23" s="22" t="str">
        <f>IF(AND($H23&lt;&gt;"",$AG23&lt;&gt;"",$H23&lt;&gt;$AG23,IFERROR(INDEX($J$14:$J$23,MATCH($H23,$H$14:$H$23,0)),-1)=IFERROR(INDEX($J$14:$J$23,MATCH($AG23,$H$14:$H$23,0)),-2)),SUMIFS(Dati!$F$2:$F$46,Dati!$A$2:$A$46,$H23,Dati!$H$2:$H$46,$AG23)+SUMIFS(Dati!$M$2:$M$46,Dati!$H$2:$H$46,$H23,Dati!$A$2:$A$46,$AG23),"-")</f>
        <v>-</v>
      </c>
      <c r="CD23" s="22" t="str">
        <f>IF(AND($H23&lt;&gt;"",$AH23&lt;&gt;"",$H23&lt;&gt;$AH23,IFERROR(INDEX($J$14:$J$23,MATCH($H23,$H$14:$H$23,0)),-1)=IFERROR(INDEX($J$14:$J$23,MATCH($AH23,$H$14:$H$23,0)),-2)),SUMIFS(Dati!$F$2:$F$46,Dati!$A$2:$A$46,$H23,Dati!$H$2:$H$46,$AH23)+SUMIFS(Dati!$M$2:$M$46,Dati!$H$2:$H$46,$H23,Dati!$A$2:$A$46,$AH23),"-")</f>
        <v>-</v>
      </c>
      <c r="CF23" s="22">
        <f>IF($C23="","",SUM(AK23:AT23))</f>
        <v>1</v>
      </c>
    </row>
    <row r="25" ht="20" customHeight="1">
      <c r="B25" s="41" t="inlineStr">
        <is>
          <t>CAMPI</t>
        </is>
      </c>
      <c r="C25" s="9" t="n"/>
      <c r="D25" s="10" t="n"/>
    </row>
    <row r="26">
      <c r="B26" s="43" t="inlineStr">
        <is>
          <t>#</t>
        </is>
      </c>
      <c r="C26" s="43" t="inlineStr">
        <is>
          <t>Nome Campo</t>
        </is>
      </c>
      <c r="D26" s="43" t="inlineStr">
        <is>
          <t>Link Mappa Campo</t>
        </is>
      </c>
    </row>
    <row r="27">
      <c r="B27" s="12" t="inlineStr">
        <is>
          <t>A01</t>
        </is>
      </c>
      <c r="C27" s="13" t="inlineStr">
        <is>
          <t>PalaAnaconde, Via dello Sport 1, Anacondeopoli AA</t>
        </is>
      </c>
      <c r="D27" s="44" t="inlineStr">
        <is>
          <t>https://maps.example.org/campo/a01</t>
        </is>
      </c>
    </row>
    <row r="28">
      <c r="B28" s="12" t="inlineStr">
        <is>
          <t>A02</t>
        </is>
      </c>
      <c r="C28" s="13" t="inlineStr">
        <is>
          <t>PalaBufali, Via dello Sport 2, Bufaliopoli BE</t>
        </is>
      </c>
      <c r="D28" s="44" t="inlineStr">
        <is>
          <t>https://maps.example.org/campo/a02</t>
        </is>
      </c>
    </row>
    <row r="29">
      <c r="B29" s="12" t="inlineStr">
        <is>
          <t>A03</t>
        </is>
      </c>
      <c r="C29" s="13" t="inlineStr">
        <is>
          <t>PalaCobra, Via dello Sport 3, Cobraopoli CI</t>
        </is>
      </c>
      <c r="D29" s="44" t="inlineStr">
        <is>
          <t>https://maps.example.org/campo/a03</t>
        </is>
      </c>
    </row>
    <row r="30">
      <c r="B30" s="12" t="inlineStr">
        <is>
          <t>A04</t>
        </is>
      </c>
      <c r="C30" s="13" t="inlineStr">
        <is>
          <t>PalaDingo, Via dello Sport 4, Dingoopoli DO</t>
        </is>
      </c>
      <c r="D30" s="44" t="inlineStr">
        <is>
          <t>https://maps.example.org/campo/a04</t>
        </is>
      </c>
    </row>
    <row r="31">
      <c r="B31" s="12" t="inlineStr">
        <is>
          <t>A05</t>
        </is>
      </c>
      <c r="C31" s="13" t="inlineStr">
        <is>
          <t>PalaErmellini, Via dello Sport 5, Ermelliniopoli EU</t>
        </is>
      </c>
      <c r="D31" s="44" t="inlineStr">
        <is>
          <t>https://maps.example.org/campo/a05</t>
        </is>
      </c>
    </row>
    <row r="32">
      <c r="B32" s="12" t="inlineStr">
        <is>
          <t>A06</t>
        </is>
      </c>
      <c r="C32" s="13" t="inlineStr">
        <is>
          <t>PalaFalchi, Via dello Sport 6, Falchiopoli FA</t>
        </is>
      </c>
      <c r="D32" s="44" t="inlineStr">
        <is>
          <t>https://maps.example.org/campo/a06</t>
        </is>
      </c>
    </row>
    <row r="33">
      <c r="B33" s="12" t="inlineStr">
        <is>
          <t>A07</t>
        </is>
      </c>
      <c r="C33" s="13" t="inlineStr">
        <is>
          <t>PalaGazzelle, Via dello Sport 7, Gazzelleopoli GE</t>
        </is>
      </c>
      <c r="D33" s="44" t="inlineStr">
        <is>
          <t>https://maps.example.org/campo/a07</t>
        </is>
      </c>
    </row>
    <row r="34">
      <c r="B34" s="12" t="inlineStr">
        <is>
          <t>A08</t>
        </is>
      </c>
      <c r="C34" s="13" t="inlineStr">
        <is>
          <t>PalaIbis, Via dello Sport 8, Ibisopoli II</t>
        </is>
      </c>
      <c r="D34" s="44" t="inlineStr">
        <is>
          <t>https://maps.example.org/campo/a08</t>
        </is>
      </c>
    </row>
    <row r="35">
      <c r="B35" s="12" t="inlineStr">
        <is>
          <t>A09</t>
        </is>
      </c>
      <c r="C35" s="13" t="inlineStr">
        <is>
          <t>PalaLupi, Via dello Sport 9, Lupiopoli LO</t>
        </is>
      </c>
      <c r="D35" s="44" t="inlineStr">
        <is>
          <t>https://maps.example.org/campo/a09</t>
        </is>
      </c>
    </row>
    <row r="36">
      <c r="B36" s="12" t="inlineStr">
        <is>
          <t>A10</t>
        </is>
      </c>
      <c r="C36" s="13" t="inlineStr">
        <is>
          <t>PalaMarmotte, Via dello Sport 10, Marmotteopoli MU</t>
        </is>
      </c>
      <c r="D36" s="44" t="inlineStr">
        <is>
          <t>https://maps.example.org/campo/a10</t>
        </is>
      </c>
    </row>
    <row r="37">
      <c r="B37" s="45" t="inlineStr">
        <is>
          <t>PO1</t>
        </is>
      </c>
      <c r="C37" s="46" t="inlineStr">
        <is>
          <t>PalaCentrale, Viale dello Sport 1, Mediopoli MD</t>
        </is>
      </c>
      <c r="D37" s="47" t="inlineStr">
        <is>
          <t>https://maps.example.org/campo/po1</t>
        </is>
      </c>
    </row>
    <row r="38">
      <c r="B38" s="45" t="inlineStr">
        <is>
          <t>PO2</t>
        </is>
      </c>
      <c r="C38" s="46" t="inlineStr">
        <is>
          <t>PalaMagnifico, Viale dello Sport 2, Mediopoli MD</t>
        </is>
      </c>
      <c r="D38" s="47" t="inlineStr">
        <is>
          <t>https://maps.example.org/campo/po2</t>
        </is>
      </c>
    </row>
    <row r="39">
      <c r="B39" s="45" t="inlineStr">
        <is>
          <t>PO3</t>
        </is>
      </c>
      <c r="C39" s="46" t="inlineStr">
        <is>
          <t>PalaCapitale, Viale dello Sport 3, Mediopoli MD</t>
        </is>
      </c>
      <c r="D39" s="47" t="inlineStr">
        <is>
          <t>https://maps.example.org/campo/po3</t>
        </is>
      </c>
    </row>
    <row r="40">
      <c r="B40" s="45" t="inlineStr">
        <is>
          <t>PO4</t>
        </is>
      </c>
      <c r="C40" s="46" t="inlineStr">
        <is>
          <t>PalaDelta, Viale dello Sport 4, Finalopoli FN</t>
        </is>
      </c>
      <c r="D40" s="47" t="inlineStr">
        <is>
          <t>https://maps.example.org/campo/po4</t>
        </is>
      </c>
    </row>
    <row r="41">
      <c r="B41" s="45" t="inlineStr">
        <is>
          <t>PO5</t>
        </is>
      </c>
      <c r="C41" s="46" t="inlineStr">
        <is>
          <t>PalaEuropa, Viale dello Sport 5, Finalopoli FN</t>
        </is>
      </c>
      <c r="D41" s="47" t="inlineStr">
        <is>
          <t>https://maps.example.org/campo/po5</t>
        </is>
      </c>
    </row>
    <row r="42">
      <c r="B42" s="45" t="inlineStr">
        <is>
          <t>PO6</t>
        </is>
      </c>
      <c r="C42" s="46" t="inlineStr">
        <is>
          <t>PalaFenice, Viale dello Sport 6, Finalopoli FN</t>
        </is>
      </c>
      <c r="D42" s="47" t="inlineStr">
        <is>
          <t>https://maps.example.org/campo/po6</t>
        </is>
      </c>
    </row>
    <row r="43">
      <c r="B43" s="45" t="inlineStr">
        <is>
          <t>PO7</t>
        </is>
      </c>
      <c r="C43" s="46" t="inlineStr">
        <is>
          <t>PalaGlobo, Viale dello Sport 7, Finalopoli FN</t>
        </is>
      </c>
      <c r="D43" s="47" t="inlineStr">
        <is>
          <t>https://maps.example.org/campo/po7</t>
        </is>
      </c>
    </row>
    <row r="44">
      <c r="B44" s="45" t="inlineStr">
        <is>
          <t>PO8</t>
        </is>
      </c>
      <c r="C44" s="46" t="inlineStr">
        <is>
          <t>PalaFinale, Viale dello Sport 8, Finalopoli FN</t>
        </is>
      </c>
      <c r="D44" s="47" t="inlineStr">
        <is>
          <t>https://maps.example.org/campo/po8</t>
        </is>
      </c>
    </row>
    <row r="45">
      <c r="B45" s="48" t="inlineStr">
        <is>
          <t>TBD</t>
        </is>
      </c>
      <c r="C45" s="49" t="inlineStr">
        <is>
          <t>DA DEFINIRE</t>
        </is>
      </c>
      <c r="D45" s="50" t="n"/>
    </row>
    <row r="47">
      <c r="C47" s="51" t="inlineStr">
        <is>
          <t>Sfondo azzurro: campi neutri (codici PO1-PO8), non appartenenti ad alcuna squadra, usati per la fase a eliminazione diretta.</t>
        </is>
      </c>
    </row>
    <row r="48">
      <c r="C48" s="51" t="inlineStr">
        <is>
          <t>Sfondo verde: campo ancora da definire (codice TBD).</t>
        </is>
      </c>
    </row>
  </sheetData>
  <mergeCells count="18">
    <mergeCell ref="B6:C6"/>
    <mergeCell ref="AW12:BF12"/>
    <mergeCell ref="B2:C2"/>
    <mergeCell ref="B7:C7"/>
    <mergeCell ref="B11:C11"/>
    <mergeCell ref="B3:C3"/>
    <mergeCell ref="B5:C5"/>
    <mergeCell ref="B1:D1"/>
    <mergeCell ref="B25:D25"/>
    <mergeCell ref="B10:C10"/>
    <mergeCell ref="Y12:AH12"/>
    <mergeCell ref="AK12:AT12"/>
    <mergeCell ref="B9:C9"/>
    <mergeCell ref="B8:C8"/>
    <mergeCell ref="B12:W12"/>
    <mergeCell ref="B4:C4"/>
    <mergeCell ref="BI12:BR12"/>
    <mergeCell ref="BU12:CD12"/>
  </mergeCells>
  <dataValidations count="1">
    <dataValidation sqref="E14:E23" showDropDown="0" showInputMessage="0" showErrorMessage="0" allowBlank="1" errorTitle="Girone non valido" error="Usare una delle lettere elencate nel parametro Gironi." type="list">
      <formula1>"A"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162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 t="str">
        <f>Campionato!$D$2&amp;""</f>
        <v>Campionato Baskin Demo - ESEMPIO 10 Squadre</v>
      </c>
      <c r="E1" t="str">
        <f>IFERROR(IMAGE(Campionato!$D$3),"")</f>
        <v/>
      </c>
      <c r="I1" t="str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 t="str">
        <f>"GIRONE "&amp;UPPER($O$3)&amp;" - Stagione "&amp;Campionato!$D$6</f>
        <v>GIRONE GOLD - Stagione 2026/2027</v>
      </c>
      <c r="M3" t="str">
        <f>RIGHT($A$8,1)</f>
        <v>A</v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>1</v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>Gold</v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 t="str">
        <f>"GIORNATA "&amp;ROMAN(VALUE(LEFT(A8,LEN(A8)-1)))&amp;" - GIRONE "&amp;UPPER($O$3)</f>
        <v>GIORNATA I - GIRONE GOLD</v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 t="str">
        <f>IF(C10="","",IFERROR(VLOOKUP(C10,Campionato!$B$14:$H$23,7,FALSE),""))</f>
        <v>Anaconde Audaci</v>
      </c>
      <c r="C10" s="62" t="inlineStr">
        <is>
          <t>A01</t>
        </is>
      </c>
      <c r="D10" s="61" t="str">
        <f>IF(E10="","",IFERROR(VLOOKUP(E10,Campionato!$B$14:$H$23,7,FALSE),""))</f>
        <v>Marmotte Mobili</v>
      </c>
      <c r="E10" s="62" t="inlineStr">
        <is>
          <t>A10</t>
        </is>
      </c>
      <c r="F10" s="63" t="n">
        <v>46313.39583333334</v>
      </c>
      <c r="G10" s="9" t="n"/>
      <c r="H10" s="9" t="n"/>
      <c r="I10" s="10" t="n"/>
      <c r="J10" s="65" t="n">
        <v>42</v>
      </c>
      <c r="K10" s="66" t="inlineStr">
        <is>
          <t>-</t>
        </is>
      </c>
      <c r="L10" s="65" t="n">
        <v>53</v>
      </c>
      <c r="M10" s="67" t="str">
        <f>IF($B10="","(Squadra A)",$B10)</f>
        <v>Anaconde Audaci</v>
      </c>
      <c r="N10" s="67">
        <f>IF($J10+$L10=0,,IF($J10&gt;$L10,1,0))</f>
        <v>0</v>
      </c>
      <c r="O10" s="67">
        <f>IF($J10+$L10=0,,IF($J10&lt;$L10,IF($J10&amp;"-"&amp;$L10=MID(Campionato!$D$10,FIND("-",Campionato!$D$10)+1,LEN(Campionato!$D$10))&amp;"-"&amp;LEFT(Campionato!$D$10,FIND("-",Campionato!$D$10)-1),1,0),0))</f>
        <v>0</v>
      </c>
      <c r="P10" s="67">
        <f>IF($J10+$L10=0,,IF($J10&lt;$L10,IF($J10&amp;"-"&amp;$L10&lt;&gt;MID(Campionato!$D$10,FIND("-",Campionato!$D$10)+1,LEN(Campionato!$D$10))&amp;"-"&amp;LEFT(Campionato!$D$10,FIND("-",Campionato!$D$10)-1),1,0),0))</f>
        <v>1</v>
      </c>
      <c r="Q10" s="67">
        <f>IF($J10+$L10=0,,$J10)</f>
        <v>42</v>
      </c>
      <c r="R10" s="67">
        <f>IF($J10+$L10=0,,$L10)</f>
        <v>53</v>
      </c>
      <c r="S10" s="67">
        <f>IF($J10+$L10=0,,$J10-$L10)</f>
        <v>-11</v>
      </c>
      <c r="T10" s="67" t="str">
        <f>IF($D10="","(Squadra B)",$D10)</f>
        <v>Marmotte Mobili</v>
      </c>
      <c r="U10" s="67">
        <f>IF($J10+$L10=0,,IF($L10&gt;$J10,1,0))</f>
        <v>1</v>
      </c>
      <c r="V10" s="67">
        <f>IF($J10+$L10=0,,IF($L10&lt;$J10,IF($J10&amp;"-"&amp;$L10=Campionato!$D$10,1,0),0))</f>
        <v>0</v>
      </c>
      <c r="W10" s="67">
        <f>IF($J10+$L10=0,,IF($L10&lt;$J10,IF($J10&amp;"-"&amp;$L10&lt;&gt;Campionato!$D$10,1,0),0))</f>
        <v>0</v>
      </c>
      <c r="X10" s="67">
        <f>IF($J10+$L10=0,,$L10)</f>
        <v>53</v>
      </c>
      <c r="Y10" s="67">
        <f>IF($J10+$L10=0,,$J10)</f>
        <v>42</v>
      </c>
      <c r="Z10" s="67">
        <f>IF($J10+$L10=0,,$L10-$J10)</f>
        <v>11</v>
      </c>
      <c r="AA10" s="67" t="str">
        <f>IF($J10+$L10=0,"(Vincente)",IF($J10&gt;$L10,$B10,$D10))</f>
        <v>Marmotte Mobili</v>
      </c>
      <c r="AB10" s="67" t="str">
        <f>IF($J10+$L10=0,"(Perdente)",IF($J10&lt;$L10,$B10,$D10))</f>
        <v>Anaconde Audaci</v>
      </c>
      <c r="AC10" s="68" t="str">
        <f>IF($C10="","","[Girone "&amp;IFERROR(INDEX(Campionato!$E$14:$E$23,MATCH($C10,Campionato!$B$14:$B$23,0)),"?")&amp;"]")</f>
        <v>[Girone A]</v>
      </c>
    </row>
    <row r="11" ht="16" customHeight="1">
      <c r="A11" s="141" t="n"/>
      <c r="B11" s="69" t="str">
        <f>IF(I11="","",HYPERLINK(VLOOKUP(I11,Campionato!$B$27:$D$45,3,FALSE),VLOOKUP(I11,Campionato!$B$27:$D$45,2,FALSE)))</f>
        <v>PalaAnaconde, Via dello Sport 1, Anacondeopoli AA</v>
      </c>
      <c r="C11" s="9" t="n"/>
      <c r="D11" s="9" t="n"/>
      <c r="E11" s="9" t="n"/>
      <c r="F11" s="9" t="n"/>
      <c r="G11" s="9" t="n"/>
      <c r="H11" s="10" t="n"/>
      <c r="I11" s="62" t="inlineStr">
        <is>
          <t>A01</t>
        </is>
      </c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>2</v>
      </c>
      <c r="B13" s="61" t="str">
        <f>IF(C13="","",IFERROR(VLOOKUP(C13,Campionato!$B$14:$H$23,7,FALSE),""))</f>
        <v>Lupi Leali</v>
      </c>
      <c r="C13" s="62" t="inlineStr">
        <is>
          <t>A09</t>
        </is>
      </c>
      <c r="D13" s="61" t="str">
        <f>IF(E13="","",IFERROR(VLOOKUP(E13,Campionato!$B$14:$H$23,7,FALSE),""))</f>
        <v>Bufali Belligeranti</v>
      </c>
      <c r="E13" s="62" t="inlineStr">
        <is>
          <t>A02</t>
        </is>
      </c>
      <c r="F13" s="63" t="n">
        <v>46313.45833333334</v>
      </c>
      <c r="G13" s="9" t="n"/>
      <c r="H13" s="9" t="n"/>
      <c r="I13" s="10" t="n"/>
      <c r="J13" s="65" t="n">
        <v>66</v>
      </c>
      <c r="K13" s="66" t="inlineStr">
        <is>
          <t>-</t>
        </is>
      </c>
      <c r="L13" s="65" t="n">
        <v>49</v>
      </c>
      <c r="M13" s="67" t="str">
        <f>IF($B13="","(Squadra A)",$B13)</f>
        <v>Lupi Leali</v>
      </c>
      <c r="N13" s="67">
        <f>IF($J13+$L13=0,,IF($J13&gt;$L13,1,0))</f>
        <v>1</v>
      </c>
      <c r="O13" s="67">
        <f>IF($J13+$L13=0,,IF($J13&lt;$L13,IF($J13&amp;"-"&amp;$L13=MID(Campionato!$D$10,FIND("-",Campionato!$D$10)+1,LEN(Campionato!$D$10))&amp;"-"&amp;LEFT(Campionato!$D$10,FIND("-",Campionato!$D$10)-1),1,0),0))</f>
        <v>0</v>
      </c>
      <c r="P13" s="67">
        <f>IF($J13+$L13=0,,IF($J13&lt;$L13,IF($J13&amp;"-"&amp;$L13&lt;&gt;MID(Campionato!$D$10,FIND("-",Campionato!$D$10)+1,LEN(Campionato!$D$10))&amp;"-"&amp;LEFT(Campionato!$D$10,FIND("-",Campionato!$D$10)-1),1,0),0))</f>
        <v>0</v>
      </c>
      <c r="Q13" s="67">
        <f>IF($J13+$L13=0,,$J13)</f>
        <v>66</v>
      </c>
      <c r="R13" s="67">
        <f>IF($J13+$L13=0,,$L13)</f>
        <v>49</v>
      </c>
      <c r="S13" s="67">
        <f>IF($J13+$L13=0,,$J13-$L13)</f>
        <v>17</v>
      </c>
      <c r="T13" s="67" t="str">
        <f>IF($D13="","(Squadra B)",$D13)</f>
        <v>Bufali Belligeranti</v>
      </c>
      <c r="U13" s="67">
        <f>IF($J13+$L13=0,,IF($L13&gt;$J13,1,0))</f>
        <v>0</v>
      </c>
      <c r="V13" s="67">
        <f>IF($J13+$L13=0,,IF($L13&lt;$J13,IF($J13&amp;"-"&amp;$L13=Campionato!$D$10,1,0),0))</f>
        <v>0</v>
      </c>
      <c r="W13" s="67">
        <f>IF($J13+$L13=0,,IF($L13&lt;$J13,IF($J13&amp;"-"&amp;$L13&lt;&gt;Campionato!$D$10,1,0),0))</f>
        <v>1</v>
      </c>
      <c r="X13" s="67">
        <f>IF($J13+$L13=0,,$L13)</f>
        <v>49</v>
      </c>
      <c r="Y13" s="67">
        <f>IF($J13+$L13=0,,$J13)</f>
        <v>66</v>
      </c>
      <c r="Z13" s="67">
        <f>IF($J13+$L13=0,,$L13-$J13)</f>
        <v>-17</v>
      </c>
      <c r="AA13" s="67" t="str">
        <f>IF($J13+$L13=0,"(Vincente)",IF($J13&gt;$L13,$B13,$D13))</f>
        <v>Lupi Leali</v>
      </c>
      <c r="AB13" s="67" t="str">
        <f>IF($J13+$L13=0,"(Perdente)",IF($J13&lt;$L13,$B13,$D13))</f>
        <v>Bufali Belligeranti</v>
      </c>
      <c r="AC13" s="68" t="str">
        <f>IF($C13="","","[Girone "&amp;IFERROR(INDEX(Campionato!$E$14:$E$23,MATCH($C13,Campionato!$B$14:$B$23,0)),"?")&amp;"]")</f>
        <v>[Girone A]</v>
      </c>
    </row>
    <row r="14" ht="16" customHeight="1">
      <c r="A14" s="141" t="n"/>
      <c r="B14" s="69" t="str">
        <f>IF(I14="","",HYPERLINK(VLOOKUP(I14,Campionato!$B$27:$D$45,3,FALSE),VLOOKUP(I14,Campionato!$B$27:$D$45,2,FALSE)))</f>
        <v>PalaAnaconde, Via dello Sport 1, Anacondeopoli AA</v>
      </c>
      <c r="C14" s="9" t="n"/>
      <c r="D14" s="9" t="n"/>
      <c r="E14" s="9" t="n"/>
      <c r="F14" s="9" t="n"/>
      <c r="G14" s="9" t="n"/>
      <c r="H14" s="10" t="n"/>
      <c r="I14" s="62" t="inlineStr">
        <is>
          <t>A01</t>
        </is>
      </c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>3</v>
      </c>
      <c r="B16" s="61" t="str">
        <f>IF(C16="","",IFERROR(VLOOKUP(C16,Campionato!$B$14:$H$23,7,FALSE),""))</f>
        <v>Cobra Celeri</v>
      </c>
      <c r="C16" s="62" t="inlineStr">
        <is>
          <t>A03</t>
        </is>
      </c>
      <c r="D16" s="61" t="str">
        <f>IF(E16="","",IFERROR(VLOOKUP(E16,Campionato!$B$14:$H$23,7,FALSE),""))</f>
        <v>Ibis Instancabili</v>
      </c>
      <c r="E16" s="62" t="inlineStr">
        <is>
          <t>A08</t>
        </is>
      </c>
      <c r="F16" s="63" t="n">
        <v>46313.60416666666</v>
      </c>
      <c r="G16" s="9" t="n"/>
      <c r="H16" s="9" t="n"/>
      <c r="I16" s="10" t="n"/>
      <c r="J16" s="65" t="n">
        <v>58</v>
      </c>
      <c r="K16" s="66" t="inlineStr">
        <is>
          <t>-</t>
        </is>
      </c>
      <c r="L16" s="65" t="n">
        <v>51</v>
      </c>
      <c r="M16" s="67" t="str">
        <f>IF($B16="","(Squadra A)",$B16)</f>
        <v>Cobra Celeri</v>
      </c>
      <c r="N16" s="67">
        <f>IF($J16+$L16=0,,IF($J16&gt;$L16,1,0))</f>
        <v>1</v>
      </c>
      <c r="O16" s="67">
        <f>IF($J16+$L16=0,,IF($J16&lt;$L16,IF($J16&amp;"-"&amp;$L16=MID(Campionato!$D$10,FIND("-",Campionato!$D$10)+1,LEN(Campionato!$D$10))&amp;"-"&amp;LEFT(Campionato!$D$10,FIND("-",Campionato!$D$10)-1),1,0),0))</f>
        <v>0</v>
      </c>
      <c r="P16" s="67">
        <f>IF($J16+$L16=0,,IF($J16&lt;$L16,IF($J16&amp;"-"&amp;$L16&lt;&gt;MID(Campionato!$D$10,FIND("-",Campionato!$D$10)+1,LEN(Campionato!$D$10))&amp;"-"&amp;LEFT(Campionato!$D$10,FIND("-",Campionato!$D$10)-1),1,0),0))</f>
        <v>0</v>
      </c>
      <c r="Q16" s="67">
        <f>IF($J16+$L16=0,,$J16)</f>
        <v>58</v>
      </c>
      <c r="R16" s="67">
        <f>IF($J16+$L16=0,,$L16)</f>
        <v>51</v>
      </c>
      <c r="S16" s="67">
        <f>IF($J16+$L16=0,,$J16-$L16)</f>
        <v>7</v>
      </c>
      <c r="T16" s="67" t="str">
        <f>IF($D16="","(Squadra B)",$D16)</f>
        <v>Ibis Instancabili</v>
      </c>
      <c r="U16" s="67">
        <f>IF($J16+$L16=0,,IF($L16&gt;$J16,1,0))</f>
        <v>0</v>
      </c>
      <c r="V16" s="67">
        <f>IF($J16+$L16=0,,IF($L16&lt;$J16,IF($J16&amp;"-"&amp;$L16=Campionato!$D$10,1,0),0))</f>
        <v>0</v>
      </c>
      <c r="W16" s="67">
        <f>IF($J16+$L16=0,,IF($L16&lt;$J16,IF($J16&amp;"-"&amp;$L16&lt;&gt;Campionato!$D$10,1,0),0))</f>
        <v>1</v>
      </c>
      <c r="X16" s="67">
        <f>IF($J16+$L16=0,,$L16)</f>
        <v>51</v>
      </c>
      <c r="Y16" s="67">
        <f>IF($J16+$L16=0,,$J16)</f>
        <v>58</v>
      </c>
      <c r="Z16" s="67">
        <f>IF($J16+$L16=0,,$L16-$J16)</f>
        <v>-7</v>
      </c>
      <c r="AA16" s="67" t="str">
        <f>IF($J16+$L16=0,"(Vincente)",IF($J16&gt;$L16,$B16,$D16))</f>
        <v>Cobra Celeri</v>
      </c>
      <c r="AB16" s="67" t="str">
        <f>IF($J16+$L16=0,"(Perdente)",IF($J16&lt;$L16,$B16,$D16))</f>
        <v>Ibis Instancabili</v>
      </c>
      <c r="AC16" s="68" t="str">
        <f>IF($C16="","","[Girone "&amp;IFERROR(INDEX(Campionato!$E$14:$E$23,MATCH($C16,Campionato!$B$14:$B$23,0)),"?")&amp;"]")</f>
        <v>[Girone A]</v>
      </c>
    </row>
    <row r="17" ht="16" customHeight="1">
      <c r="A17" s="141" t="n"/>
      <c r="B17" s="69" t="str">
        <f>IF(I17="","",HYPERLINK(VLOOKUP(I17,Campionato!$B$27:$D$45,3,FALSE),VLOOKUP(I17,Campionato!$B$27:$D$45,2,FALSE)))</f>
        <v>PalaAnaconde, Via dello Sport 1, Anacondeopoli AA</v>
      </c>
      <c r="C17" s="9" t="n"/>
      <c r="D17" s="9" t="n"/>
      <c r="E17" s="9" t="n"/>
      <c r="F17" s="9" t="n"/>
      <c r="G17" s="9" t="n"/>
      <c r="H17" s="10" t="n"/>
      <c r="I17" s="62" t="inlineStr">
        <is>
          <t>A01</t>
        </is>
      </c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>4</v>
      </c>
      <c r="B19" s="61" t="str">
        <f>IF(C19="","",IFERROR(VLOOKUP(C19,Campionato!$B$14:$H$23,7,FALSE),""))</f>
        <v>Gazzelle Gentili</v>
      </c>
      <c r="C19" s="62" t="inlineStr">
        <is>
          <t>A07</t>
        </is>
      </c>
      <c r="D19" s="61" t="str">
        <f>IF(E19="","",IFERROR(VLOOKUP(E19,Campionato!$B$14:$H$23,7,FALSE),""))</f>
        <v>Dingo Docili</v>
      </c>
      <c r="E19" s="62" t="inlineStr">
        <is>
          <t>A04</t>
        </is>
      </c>
      <c r="F19" s="63" t="n">
        <v>46313.66666666666</v>
      </c>
      <c r="G19" s="9" t="n"/>
      <c r="H19" s="9" t="n"/>
      <c r="I19" s="10" t="n"/>
      <c r="J19" s="65" t="n">
        <v>46</v>
      </c>
      <c r="K19" s="66" t="inlineStr">
        <is>
          <t>-</t>
        </is>
      </c>
      <c r="L19" s="65" t="n">
        <v>70</v>
      </c>
      <c r="M19" s="67" t="str">
        <f>IF($B19="","(Squadra A)",$B19)</f>
        <v>Gazzelle Gentili</v>
      </c>
      <c r="N19" s="67">
        <f>IF($J19+$L19=0,,IF($J19&gt;$L19,1,0))</f>
        <v>0</v>
      </c>
      <c r="O19" s="67">
        <f>IF($J19+$L19=0,,IF($J19&lt;$L19,IF($J19&amp;"-"&amp;$L19=MID(Campionato!$D$10,FIND("-",Campionato!$D$10)+1,LEN(Campionato!$D$10))&amp;"-"&amp;LEFT(Campionato!$D$10,FIND("-",Campionato!$D$10)-1),1,0),0))</f>
        <v>0</v>
      </c>
      <c r="P19" s="67">
        <f>IF($J19+$L19=0,,IF($J19&lt;$L19,IF($J19&amp;"-"&amp;$L19&lt;&gt;MID(Campionato!$D$10,FIND("-",Campionato!$D$10)+1,LEN(Campionato!$D$10))&amp;"-"&amp;LEFT(Campionato!$D$10,FIND("-",Campionato!$D$10)-1),1,0),0))</f>
        <v>1</v>
      </c>
      <c r="Q19" s="67">
        <f>IF($J19+$L19=0,,$J19)</f>
        <v>46</v>
      </c>
      <c r="R19" s="67">
        <f>IF($J19+$L19=0,,$L19)</f>
        <v>70</v>
      </c>
      <c r="S19" s="67">
        <f>IF($J19+$L19=0,,$J19-$L19)</f>
        <v>-24</v>
      </c>
      <c r="T19" s="67" t="str">
        <f>IF($D19="","(Squadra B)",$D19)</f>
        <v>Dingo Docili</v>
      </c>
      <c r="U19" s="67">
        <f>IF($J19+$L19=0,,IF($L19&gt;$J19,1,0))</f>
        <v>1</v>
      </c>
      <c r="V19" s="67">
        <f>IF($J19+$L19=0,,IF($L19&lt;$J19,IF($J19&amp;"-"&amp;$L19=Campionato!$D$10,1,0),0))</f>
        <v>0</v>
      </c>
      <c r="W19" s="67">
        <f>IF($J19+$L19=0,,IF($L19&lt;$J19,IF($J19&amp;"-"&amp;$L19&lt;&gt;Campionato!$D$10,1,0),0))</f>
        <v>0</v>
      </c>
      <c r="X19" s="67">
        <f>IF($J19+$L19=0,,$L19)</f>
        <v>70</v>
      </c>
      <c r="Y19" s="67">
        <f>IF($J19+$L19=0,,$J19)</f>
        <v>46</v>
      </c>
      <c r="Z19" s="67">
        <f>IF($J19+$L19=0,,$L19-$J19)</f>
        <v>24</v>
      </c>
      <c r="AA19" s="67" t="str">
        <f>IF($J19+$L19=0,"(Vincente)",IF($J19&gt;$L19,$B19,$D19))</f>
        <v>Dingo Docili</v>
      </c>
      <c r="AB19" s="67" t="str">
        <f>IF($J19+$L19=0,"(Perdente)",IF($J19&lt;$L19,$B19,$D19))</f>
        <v>Gazzelle Gentili</v>
      </c>
      <c r="AC19" s="68" t="str">
        <f>IF($C19="","","[Girone "&amp;IFERROR(INDEX(Campionato!$E$14:$E$23,MATCH($C19,Campionato!$B$14:$B$23,0)),"?")&amp;"]")</f>
        <v>[Girone A]</v>
      </c>
    </row>
    <row r="20" ht="16" customHeight="1">
      <c r="A20" s="141" t="n"/>
      <c r="B20" s="69" t="str">
        <f>IF(I20="","",HYPERLINK(VLOOKUP(I20,Campionato!$B$27:$D$45,3,FALSE),VLOOKUP(I20,Campionato!$B$27:$D$45,2,FALSE)))</f>
        <v>PalaAnaconde, Via dello Sport 1, Anacondeopoli AA</v>
      </c>
      <c r="C20" s="9" t="n"/>
      <c r="D20" s="9" t="n"/>
      <c r="E20" s="9" t="n"/>
      <c r="F20" s="9" t="n"/>
      <c r="G20" s="9" t="n"/>
      <c r="H20" s="10" t="n"/>
      <c r="I20" s="62" t="inlineStr">
        <is>
          <t>A01</t>
        </is>
      </c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>5</v>
      </c>
      <c r="B22" s="61" t="str">
        <f>IF(C22="","",IFERROR(VLOOKUP(C22,Campionato!$B$14:$H$23,7,FALSE),""))</f>
        <v>Ermellini Eleganti</v>
      </c>
      <c r="C22" s="62" t="inlineStr">
        <is>
          <t>A05</t>
        </is>
      </c>
      <c r="D22" s="61" t="str">
        <f>IF(E22="","",IFERROR(VLOOKUP(E22,Campionato!$B$14:$H$23,7,FALSE),""))</f>
        <v>Falchi Feroci</v>
      </c>
      <c r="E22" s="62" t="inlineStr">
        <is>
          <t>A06</t>
        </is>
      </c>
      <c r="F22" s="63" t="n">
        <v>46313.72916666666</v>
      </c>
      <c r="G22" s="9" t="n"/>
      <c r="H22" s="9" t="n"/>
      <c r="I22" s="10" t="n"/>
      <c r="J22" s="65" t="n">
        <v>41</v>
      </c>
      <c r="K22" s="66" t="inlineStr">
        <is>
          <t>-</t>
        </is>
      </c>
      <c r="L22" s="65" t="n">
        <v>65</v>
      </c>
      <c r="M22" s="67" t="str">
        <f>IF($B22="","(Squadra A)",$B22)</f>
        <v>Ermellini Eleganti</v>
      </c>
      <c r="N22" s="67">
        <f>IF($J22+$L22=0,,IF($J22&gt;$L22,1,0))</f>
        <v>0</v>
      </c>
      <c r="O22" s="67">
        <f>IF($J22+$L22=0,,IF($J22&lt;$L22,IF($J22&amp;"-"&amp;$L22=MID(Campionato!$D$10,FIND("-",Campionato!$D$10)+1,LEN(Campionato!$D$10))&amp;"-"&amp;LEFT(Campionato!$D$10,FIND("-",Campionato!$D$10)-1),1,0),0))</f>
        <v>0</v>
      </c>
      <c r="P22" s="67">
        <f>IF($J22+$L22=0,,IF($J22&lt;$L22,IF($J22&amp;"-"&amp;$L22&lt;&gt;MID(Campionato!$D$10,FIND("-",Campionato!$D$10)+1,LEN(Campionato!$D$10))&amp;"-"&amp;LEFT(Campionato!$D$10,FIND("-",Campionato!$D$10)-1),1,0),0))</f>
        <v>1</v>
      </c>
      <c r="Q22" s="67">
        <f>IF($J22+$L22=0,,$J22)</f>
        <v>41</v>
      </c>
      <c r="R22" s="67">
        <f>IF($J22+$L22=0,,$L22)</f>
        <v>65</v>
      </c>
      <c r="S22" s="67">
        <f>IF($J22+$L22=0,,$J22-$L22)</f>
        <v>-24</v>
      </c>
      <c r="T22" s="67" t="str">
        <f>IF($D22="","(Squadra B)",$D22)</f>
        <v>Falchi Feroci</v>
      </c>
      <c r="U22" s="67">
        <f>IF($J22+$L22=0,,IF($L22&gt;$J22,1,0))</f>
        <v>1</v>
      </c>
      <c r="V22" s="67">
        <f>IF($J22+$L22=0,,IF($L22&lt;$J22,IF($J22&amp;"-"&amp;$L22=Campionato!$D$10,1,0),0))</f>
        <v>0</v>
      </c>
      <c r="W22" s="67">
        <f>IF($J22+$L22=0,,IF($L22&lt;$J22,IF($J22&amp;"-"&amp;$L22&lt;&gt;Campionato!$D$10,1,0),0))</f>
        <v>0</v>
      </c>
      <c r="X22" s="67">
        <f>IF($J22+$L22=0,,$L22)</f>
        <v>65</v>
      </c>
      <c r="Y22" s="67">
        <f>IF($J22+$L22=0,,$J22)</f>
        <v>41</v>
      </c>
      <c r="Z22" s="67">
        <f>IF($J22+$L22=0,,$L22-$J22)</f>
        <v>24</v>
      </c>
      <c r="AA22" s="67" t="str">
        <f>IF($J22+$L22=0,"(Vincente)",IF($J22&gt;$L22,$B22,$D22))</f>
        <v>Falchi Feroci</v>
      </c>
      <c r="AB22" s="67" t="str">
        <f>IF($J22+$L22=0,"(Perdente)",IF($J22&lt;$L22,$B22,$D22))</f>
        <v>Ermellini Eleganti</v>
      </c>
      <c r="AC22" s="68" t="str">
        <f>IF($C22="","","[Girone "&amp;IFERROR(INDEX(Campionato!$E$14:$E$23,MATCH($C22,Campionato!$B$14:$B$23,0)),"?")&amp;"]")</f>
        <v>[Girone A]</v>
      </c>
    </row>
    <row r="23" ht="16" customHeight="1">
      <c r="A23" s="141" t="n"/>
      <c r="B23" s="69" t="str">
        <f>IF(I23="","",HYPERLINK(VLOOKUP(I23,Campionato!$B$27:$D$45,3,FALSE),VLOOKUP(I23,Campionato!$B$27:$D$45,2,FALSE)))</f>
        <v>PalaAnaconde, Via dello Sport 1, Anacondeopoli AA</v>
      </c>
      <c r="C23" s="9" t="n"/>
      <c r="D23" s="9" t="n"/>
      <c r="E23" s="9" t="n"/>
      <c r="F23" s="9" t="n"/>
      <c r="G23" s="9" t="n"/>
      <c r="H23" s="10" t="n"/>
      <c r="I23" s="62" t="inlineStr">
        <is>
          <t>A01</t>
        </is>
      </c>
      <c r="J23" s="141" t="n"/>
      <c r="K23" s="141" t="n"/>
      <c r="L23" s="141" t="n"/>
    </row>
    <row r="24" ht="8" customHeight="1"/>
    <row r="25" ht="20" customHeight="1">
      <c r="A25" s="55" t="inlineStr">
        <is>
          <t>2A</t>
        </is>
      </c>
      <c r="B25" s="56" t="str">
        <f>"GIORNATA "&amp;ROMAN(VALUE(LEFT(A25,LEN(A25)-1)))&amp;" - GIRONE "&amp;UPPER($O$3)</f>
        <v>GIORNATA II - GIRONE GOLD</v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58" t="inlineStr">
        <is>
          <t>Gara N.</t>
        </is>
      </c>
      <c r="B26" s="58" t="inlineStr">
        <is>
          <t>Squadra A</t>
        </is>
      </c>
      <c r="C26" s="10" t="n"/>
      <c r="D26" s="58" t="inlineStr">
        <is>
          <t>Squadra B</t>
        </is>
      </c>
      <c r="E26" s="10" t="n"/>
      <c r="F26" s="58" t="inlineStr">
        <is>
          <t>Giorno</t>
        </is>
      </c>
      <c r="G26" s="58" t="inlineStr">
        <is>
          <t>Data</t>
        </is>
      </c>
      <c r="H26" s="58" t="inlineStr">
        <is>
          <t>Ora</t>
        </is>
      </c>
      <c r="I26" s="10" t="n"/>
      <c r="J26" s="58" t="inlineStr">
        <is>
          <t>Risultato</t>
        </is>
      </c>
      <c r="K26" s="9" t="n"/>
      <c r="L26" s="10" t="n"/>
    </row>
    <row r="27" ht="24" customHeight="1">
      <c r="A27" s="60">
        <f>MAX(A$10:A26)+1</f>
        <v>6</v>
      </c>
      <c r="B27" s="61" t="str">
        <f>IF(C27="","",IFERROR(VLOOKUP(C27,Campionato!$B$14:$H$23,7,FALSE),""))</f>
        <v>Cobra Celeri</v>
      </c>
      <c r="C27" s="62" t="inlineStr">
        <is>
          <t>A03</t>
        </is>
      </c>
      <c r="D27" s="61" t="str">
        <f>IF(E27="","",IFERROR(VLOOKUP(E27,Campionato!$B$14:$H$23,7,FALSE),""))</f>
        <v>Anaconde Audaci</v>
      </c>
      <c r="E27" s="62" t="inlineStr">
        <is>
          <t>A01</t>
        </is>
      </c>
      <c r="F27" s="63" t="n">
        <v>46320.39583333334</v>
      </c>
      <c r="G27" s="9" t="n"/>
      <c r="H27" s="9" t="n"/>
      <c r="I27" s="10" t="n"/>
      <c r="J27" s="65" t="n">
        <v>37</v>
      </c>
      <c r="K27" s="66" t="inlineStr">
        <is>
          <t>-</t>
        </is>
      </c>
      <c r="L27" s="65" t="n">
        <v>47</v>
      </c>
      <c r="M27" s="67" t="str">
        <f>IF($B27="","(Squadra A)",$B27)</f>
        <v>Cobra Celeri</v>
      </c>
      <c r="N27" s="67">
        <f>IF($J27+$L27=0,,IF($J27&gt;$L27,1,0))</f>
        <v>0</v>
      </c>
      <c r="O27" s="67">
        <f>IF($J27+$L27=0,,IF($J27&lt;$L27,IF($J27&amp;"-"&amp;$L27=MID(Campionato!$D$10,FIND("-",Campionato!$D$10)+1,LEN(Campionato!$D$10))&amp;"-"&amp;LEFT(Campionato!$D$10,FIND("-",Campionato!$D$10)-1),1,0),0))</f>
        <v>0</v>
      </c>
      <c r="P27" s="67">
        <f>IF($J27+$L27=0,,IF($J27&lt;$L27,IF($J27&amp;"-"&amp;$L27&lt;&gt;MID(Campionato!$D$10,FIND("-",Campionato!$D$10)+1,LEN(Campionato!$D$10))&amp;"-"&amp;LEFT(Campionato!$D$10,FIND("-",Campionato!$D$10)-1),1,0),0))</f>
        <v>1</v>
      </c>
      <c r="Q27" s="67">
        <f>IF($J27+$L27=0,,$J27)</f>
        <v>37</v>
      </c>
      <c r="R27" s="67">
        <f>IF($J27+$L27=0,,$L27)</f>
        <v>47</v>
      </c>
      <c r="S27" s="67">
        <f>IF($J27+$L27=0,,$J27-$L27)</f>
        <v>-10</v>
      </c>
      <c r="T27" s="67" t="str">
        <f>IF($D27="","(Squadra B)",$D27)</f>
        <v>Anaconde Audaci</v>
      </c>
      <c r="U27" s="67">
        <f>IF($J27+$L27=0,,IF($L27&gt;$J27,1,0))</f>
        <v>1</v>
      </c>
      <c r="V27" s="67">
        <f>IF($J27+$L27=0,,IF($L27&lt;$J27,IF($J27&amp;"-"&amp;$L27=Campionato!$D$10,1,0),0))</f>
        <v>0</v>
      </c>
      <c r="W27" s="67">
        <f>IF($J27+$L27=0,,IF($L27&lt;$J27,IF($J27&amp;"-"&amp;$L27&lt;&gt;Campionato!$D$10,1,0),0))</f>
        <v>0</v>
      </c>
      <c r="X27" s="67">
        <f>IF($J27+$L27=0,,$L27)</f>
        <v>47</v>
      </c>
      <c r="Y27" s="67">
        <f>IF($J27+$L27=0,,$J27)</f>
        <v>37</v>
      </c>
      <c r="Z27" s="67">
        <f>IF($J27+$L27=0,,$L27-$J27)</f>
        <v>10</v>
      </c>
      <c r="AA27" s="67" t="str">
        <f>IF($J27+$L27=0,"(Vincente)",IF($J27&gt;$L27,$B27,$D27))</f>
        <v>Anaconde Audaci</v>
      </c>
      <c r="AB27" s="67" t="str">
        <f>IF($J27+$L27=0,"(Perdente)",IF($J27&lt;$L27,$B27,$D27))</f>
        <v>Cobra Celeri</v>
      </c>
      <c r="AC27" s="68" t="str">
        <f>IF($C27="","","[Girone "&amp;IFERROR(INDEX(Campionato!$E$14:$E$23,MATCH($C27,Campionato!$B$14:$B$23,0)),"?")&amp;"]")</f>
        <v>[Girone A]</v>
      </c>
    </row>
    <row r="28" ht="16" customHeight="1">
      <c r="A28" s="141" t="n"/>
      <c r="B28" s="69" t="str">
        <f>IF(I28="","",HYPERLINK(VLOOKUP(I28,Campionato!$B$27:$D$45,3,FALSE),VLOOKUP(I28,Campionato!$B$27:$D$45,2,FALSE)))</f>
        <v>PalaCobra, Via dello Sport 3, Cobraopoli CI</v>
      </c>
      <c r="C28" s="9" t="n"/>
      <c r="D28" s="9" t="n"/>
      <c r="E28" s="9" t="n"/>
      <c r="F28" s="9" t="n"/>
      <c r="G28" s="9" t="n"/>
      <c r="H28" s="10" t="n"/>
      <c r="I28" s="62" t="inlineStr">
        <is>
          <t>A03</t>
        </is>
      </c>
      <c r="J28" s="141" t="n"/>
      <c r="K28" s="141" t="n"/>
      <c r="L28" s="141" t="n"/>
    </row>
    <row r="29" ht="13" customHeight="1">
      <c r="A29" s="58" t="inlineStr">
        <is>
          <t>Gara N.</t>
        </is>
      </c>
      <c r="B29" s="58" t="inlineStr">
        <is>
          <t>Squadra A</t>
        </is>
      </c>
      <c r="C29" s="10" t="n"/>
      <c r="D29" s="58" t="inlineStr">
        <is>
          <t>Squadra B</t>
        </is>
      </c>
      <c r="E29" s="10" t="n"/>
      <c r="F29" s="58" t="inlineStr">
        <is>
          <t>Giorno</t>
        </is>
      </c>
      <c r="G29" s="58" t="inlineStr">
        <is>
          <t>Data</t>
        </is>
      </c>
      <c r="H29" s="58" t="inlineStr">
        <is>
          <t>Ora</t>
        </is>
      </c>
      <c r="I29" s="10" t="n"/>
      <c r="J29" s="58" t="inlineStr">
        <is>
          <t>Risultato</t>
        </is>
      </c>
      <c r="K29" s="9" t="n"/>
      <c r="L29" s="10" t="n"/>
    </row>
    <row r="30" ht="24" customHeight="1">
      <c r="A30" s="60">
        <f>MAX(A$10:A29)+1</f>
        <v>7</v>
      </c>
      <c r="B30" s="61" t="str">
        <f>IF(C30="","",IFERROR(VLOOKUP(C30,Campionato!$B$14:$H$23,7,FALSE),""))</f>
        <v>Marmotte Mobili</v>
      </c>
      <c r="C30" s="62" t="inlineStr">
        <is>
          <t>A10</t>
        </is>
      </c>
      <c r="D30" s="61" t="str">
        <f>IF(E30="","",IFERROR(VLOOKUP(E30,Campionato!$B$14:$H$23,7,FALSE),""))</f>
        <v>Bufali Belligeranti</v>
      </c>
      <c r="E30" s="62" t="inlineStr">
        <is>
          <t>A02</t>
        </is>
      </c>
      <c r="F30" s="63" t="n">
        <v>46320.45833333334</v>
      </c>
      <c r="G30" s="9" t="n"/>
      <c r="H30" s="9" t="n"/>
      <c r="I30" s="10" t="n"/>
      <c r="J30" s="65" t="n">
        <v>50</v>
      </c>
      <c r="K30" s="66" t="inlineStr">
        <is>
          <t>-</t>
        </is>
      </c>
      <c r="L30" s="65" t="n">
        <v>40</v>
      </c>
      <c r="M30" s="67" t="str">
        <f>IF($B30="","(Squadra A)",$B30)</f>
        <v>Marmotte Mobili</v>
      </c>
      <c r="N30" s="67">
        <f>IF($J30+$L30=0,,IF($J30&gt;$L30,1,0))</f>
        <v>1</v>
      </c>
      <c r="O30" s="67">
        <f>IF($J30+$L30=0,,IF($J30&lt;$L30,IF($J30&amp;"-"&amp;$L30=MID(Campionato!$D$10,FIND("-",Campionato!$D$10)+1,LEN(Campionato!$D$10))&amp;"-"&amp;LEFT(Campionato!$D$10,FIND("-",Campionato!$D$10)-1),1,0),0))</f>
        <v>0</v>
      </c>
      <c r="P30" s="67">
        <f>IF($J30+$L30=0,,IF($J30&lt;$L30,IF($J30&amp;"-"&amp;$L30&lt;&gt;MID(Campionato!$D$10,FIND("-",Campionato!$D$10)+1,LEN(Campionato!$D$10))&amp;"-"&amp;LEFT(Campionato!$D$10,FIND("-",Campionato!$D$10)-1),1,0),0))</f>
        <v>0</v>
      </c>
      <c r="Q30" s="67">
        <f>IF($J30+$L30=0,,$J30)</f>
        <v>50</v>
      </c>
      <c r="R30" s="67">
        <f>IF($J30+$L30=0,,$L30)</f>
        <v>40</v>
      </c>
      <c r="S30" s="67">
        <f>IF($J30+$L30=0,,$J30-$L30)</f>
        <v>10</v>
      </c>
      <c r="T30" s="67" t="str">
        <f>IF($D30="","(Squadra B)",$D30)</f>
        <v>Bufali Belligeranti</v>
      </c>
      <c r="U30" s="67">
        <f>IF($J30+$L30=0,,IF($L30&gt;$J30,1,0))</f>
        <v>0</v>
      </c>
      <c r="V30" s="67">
        <f>IF($J30+$L30=0,,IF($L30&lt;$J30,IF($J30&amp;"-"&amp;$L30=Campionato!$D$10,1,0),0))</f>
        <v>0</v>
      </c>
      <c r="W30" s="67">
        <f>IF($J30+$L30=0,,IF($L30&lt;$J30,IF($J30&amp;"-"&amp;$L30&lt;&gt;Campionato!$D$10,1,0),0))</f>
        <v>1</v>
      </c>
      <c r="X30" s="67">
        <f>IF($J30+$L30=0,,$L30)</f>
        <v>40</v>
      </c>
      <c r="Y30" s="67">
        <f>IF($J30+$L30=0,,$J30)</f>
        <v>50</v>
      </c>
      <c r="Z30" s="67">
        <f>IF($J30+$L30=0,,$L30-$J30)</f>
        <v>-10</v>
      </c>
      <c r="AA30" s="67" t="str">
        <f>IF($J30+$L30=0,"(Vincente)",IF($J30&gt;$L30,$B30,$D30))</f>
        <v>Marmotte Mobili</v>
      </c>
      <c r="AB30" s="67" t="str">
        <f>IF($J30+$L30=0,"(Perdente)",IF($J30&lt;$L30,$B30,$D30))</f>
        <v>Bufali Belligeranti</v>
      </c>
      <c r="AC30" s="68" t="str">
        <f>IF($C30="","","[Girone "&amp;IFERROR(INDEX(Campionato!$E$14:$E$23,MATCH($C30,Campionato!$B$14:$B$23,0)),"?")&amp;"]")</f>
        <v>[Girone A]</v>
      </c>
    </row>
    <row r="31" ht="16" customHeight="1">
      <c r="A31" s="141" t="n"/>
      <c r="B31" s="69" t="str">
        <f>IF(I31="","",HYPERLINK(VLOOKUP(I31,Campionato!$B$27:$D$45,3,FALSE),VLOOKUP(I31,Campionato!$B$27:$D$45,2,FALSE)))</f>
        <v>PalaCobra, Via dello Sport 3, Cobraopoli CI</v>
      </c>
      <c r="C31" s="9" t="n"/>
      <c r="D31" s="9" t="n"/>
      <c r="E31" s="9" t="n"/>
      <c r="F31" s="9" t="n"/>
      <c r="G31" s="9" t="n"/>
      <c r="H31" s="10" t="n"/>
      <c r="I31" s="62" t="inlineStr">
        <is>
          <t>A03</t>
        </is>
      </c>
      <c r="J31" s="141" t="n"/>
      <c r="K31" s="141" t="n"/>
      <c r="L31" s="141" t="n"/>
    </row>
    <row r="32" ht="13" customHeight="1">
      <c r="A32" s="58" t="inlineStr">
        <is>
          <t>Gara N.</t>
        </is>
      </c>
      <c r="B32" s="58" t="inlineStr">
        <is>
          <t>Squadra A</t>
        </is>
      </c>
      <c r="C32" s="10" t="n"/>
      <c r="D32" s="58" t="inlineStr">
        <is>
          <t>Squadra B</t>
        </is>
      </c>
      <c r="E32" s="10" t="n"/>
      <c r="F32" s="58" t="inlineStr">
        <is>
          <t>Giorno</t>
        </is>
      </c>
      <c r="G32" s="58" t="inlineStr">
        <is>
          <t>Data</t>
        </is>
      </c>
      <c r="H32" s="58" t="inlineStr">
        <is>
          <t>Ora</t>
        </is>
      </c>
      <c r="I32" s="10" t="n"/>
      <c r="J32" s="58" t="inlineStr">
        <is>
          <t>Risultato</t>
        </is>
      </c>
      <c r="K32" s="9" t="n"/>
      <c r="L32" s="10" t="n"/>
    </row>
    <row r="33" ht="24" customHeight="1">
      <c r="A33" s="60">
        <f>MAX(A$10:A32)+1</f>
        <v>8</v>
      </c>
      <c r="B33" s="61" t="str">
        <f>IF(C33="","",IFERROR(VLOOKUP(C33,Campionato!$B$14:$H$23,7,FALSE),""))</f>
        <v>Lupi Leali</v>
      </c>
      <c r="C33" s="62" t="inlineStr">
        <is>
          <t>A09</t>
        </is>
      </c>
      <c r="D33" s="61" t="str">
        <f>IF(E33="","",IFERROR(VLOOKUP(E33,Campionato!$B$14:$H$23,7,FALSE),""))</f>
        <v>Dingo Docili</v>
      </c>
      <c r="E33" s="62" t="inlineStr">
        <is>
          <t>A04</t>
        </is>
      </c>
      <c r="F33" s="63" t="n">
        <v>46320.60416666666</v>
      </c>
      <c r="G33" s="9" t="n"/>
      <c r="H33" s="9" t="n"/>
      <c r="I33" s="10" t="n"/>
      <c r="J33" s="65" t="n">
        <v>64</v>
      </c>
      <c r="K33" s="66" t="inlineStr">
        <is>
          <t>-</t>
        </is>
      </c>
      <c r="L33" s="65" t="n">
        <v>76</v>
      </c>
      <c r="M33" s="67" t="str">
        <f>IF($B33="","(Squadra A)",$B33)</f>
        <v>Lupi Leali</v>
      </c>
      <c r="N33" s="67">
        <f>IF($J33+$L33=0,,IF($J33&gt;$L33,1,0))</f>
        <v>0</v>
      </c>
      <c r="O33" s="67">
        <f>IF($J33+$L33=0,,IF($J33&lt;$L33,IF($J33&amp;"-"&amp;$L33=MID(Campionato!$D$10,FIND("-",Campionato!$D$10)+1,LEN(Campionato!$D$10))&amp;"-"&amp;LEFT(Campionato!$D$10,FIND("-",Campionato!$D$10)-1),1,0),0))</f>
        <v>0</v>
      </c>
      <c r="P33" s="67">
        <f>IF($J33+$L33=0,,IF($J33&lt;$L33,IF($J33&amp;"-"&amp;$L33&lt;&gt;MID(Campionato!$D$10,FIND("-",Campionato!$D$10)+1,LEN(Campionato!$D$10))&amp;"-"&amp;LEFT(Campionato!$D$10,FIND("-",Campionato!$D$10)-1),1,0),0))</f>
        <v>1</v>
      </c>
      <c r="Q33" s="67">
        <f>IF($J33+$L33=0,,$J33)</f>
        <v>64</v>
      </c>
      <c r="R33" s="67">
        <f>IF($J33+$L33=0,,$L33)</f>
        <v>76</v>
      </c>
      <c r="S33" s="67">
        <f>IF($J33+$L33=0,,$J33-$L33)</f>
        <v>-12</v>
      </c>
      <c r="T33" s="67" t="str">
        <f>IF($D33="","(Squadra B)",$D33)</f>
        <v>Dingo Docili</v>
      </c>
      <c r="U33" s="67">
        <f>IF($J33+$L33=0,,IF($L33&gt;$J33,1,0))</f>
        <v>1</v>
      </c>
      <c r="V33" s="67">
        <f>IF($J33+$L33=0,,IF($L33&lt;$J33,IF($J33&amp;"-"&amp;$L33=Campionato!$D$10,1,0),0))</f>
        <v>0</v>
      </c>
      <c r="W33" s="67">
        <f>IF($J33+$L33=0,,IF($L33&lt;$J33,IF($J33&amp;"-"&amp;$L33&lt;&gt;Campionato!$D$10,1,0),0))</f>
        <v>0</v>
      </c>
      <c r="X33" s="67">
        <f>IF($J33+$L33=0,,$L33)</f>
        <v>76</v>
      </c>
      <c r="Y33" s="67">
        <f>IF($J33+$L33=0,,$J33)</f>
        <v>64</v>
      </c>
      <c r="Z33" s="67">
        <f>IF($J33+$L33=0,,$L33-$J33)</f>
        <v>12</v>
      </c>
      <c r="AA33" s="67" t="str">
        <f>IF($J33+$L33=0,"(Vincente)",IF($J33&gt;$L33,$B33,$D33))</f>
        <v>Dingo Docili</v>
      </c>
      <c r="AB33" s="67" t="str">
        <f>IF($J33+$L33=0,"(Perdente)",IF($J33&lt;$L33,$B33,$D33))</f>
        <v>Lupi Leali</v>
      </c>
      <c r="AC33" s="68" t="str">
        <f>IF($C33="","","[Girone "&amp;IFERROR(INDEX(Campionato!$E$14:$E$23,MATCH($C33,Campionato!$B$14:$B$23,0)),"?")&amp;"]")</f>
        <v>[Girone A]</v>
      </c>
    </row>
    <row r="34" ht="16" customHeight="1">
      <c r="A34" s="141" t="n"/>
      <c r="B34" s="69" t="str">
        <f>IF(I34="","",HYPERLINK(VLOOKUP(I34,Campionato!$B$27:$D$45,3,FALSE),VLOOKUP(I34,Campionato!$B$27:$D$45,2,FALSE)))</f>
        <v>PalaCobra, Via dello Sport 3, Cobraopoli CI</v>
      </c>
      <c r="C34" s="9" t="n"/>
      <c r="D34" s="9" t="n"/>
      <c r="E34" s="9" t="n"/>
      <c r="F34" s="9" t="n"/>
      <c r="G34" s="9" t="n"/>
      <c r="H34" s="10" t="n"/>
      <c r="I34" s="62" t="inlineStr">
        <is>
          <t>A03</t>
        </is>
      </c>
      <c r="J34" s="141" t="n"/>
      <c r="K34" s="141" t="n"/>
      <c r="L34" s="141" t="n"/>
    </row>
    <row r="35" ht="13" customHeight="1">
      <c r="A35" s="58" t="inlineStr">
        <is>
          <t>Gara N.</t>
        </is>
      </c>
      <c r="B35" s="58" t="inlineStr">
        <is>
          <t>Squadra A</t>
        </is>
      </c>
      <c r="C35" s="10" t="n"/>
      <c r="D35" s="58" t="inlineStr">
        <is>
          <t>Squadra B</t>
        </is>
      </c>
      <c r="E35" s="10" t="n"/>
      <c r="F35" s="58" t="inlineStr">
        <is>
          <t>Giorno</t>
        </is>
      </c>
      <c r="G35" s="58" t="inlineStr">
        <is>
          <t>Data</t>
        </is>
      </c>
      <c r="H35" s="58" t="inlineStr">
        <is>
          <t>Ora</t>
        </is>
      </c>
      <c r="I35" s="10" t="n"/>
      <c r="J35" s="58" t="inlineStr">
        <is>
          <t>Risultato</t>
        </is>
      </c>
      <c r="K35" s="9" t="n"/>
      <c r="L35" s="10" t="n"/>
    </row>
    <row r="36" ht="24" customHeight="1">
      <c r="A36" s="60">
        <f>MAX(A$10:A35)+1</f>
        <v>9</v>
      </c>
      <c r="B36" s="61" t="str">
        <f>IF(C36="","",IFERROR(VLOOKUP(C36,Campionato!$B$14:$H$23,7,FALSE),""))</f>
        <v>Ermellini Eleganti</v>
      </c>
      <c r="C36" s="62" t="inlineStr">
        <is>
          <t>A05</t>
        </is>
      </c>
      <c r="D36" s="61" t="str">
        <f>IF(E36="","",IFERROR(VLOOKUP(E36,Campionato!$B$14:$H$23,7,FALSE),""))</f>
        <v>Ibis Instancabili</v>
      </c>
      <c r="E36" s="62" t="inlineStr">
        <is>
          <t>A08</t>
        </is>
      </c>
      <c r="F36" s="63" t="n">
        <v>46320.66666666666</v>
      </c>
      <c r="G36" s="9" t="n"/>
      <c r="H36" s="9" t="n"/>
      <c r="I36" s="10" t="n"/>
      <c r="J36" s="65" t="n">
        <v>59</v>
      </c>
      <c r="K36" s="66" t="inlineStr">
        <is>
          <t>-</t>
        </is>
      </c>
      <c r="L36" s="65" t="n">
        <v>50</v>
      </c>
      <c r="M36" s="67" t="str">
        <f>IF($B36="","(Squadra A)",$B36)</f>
        <v>Ermellini Eleganti</v>
      </c>
      <c r="N36" s="67">
        <f>IF($J36+$L36=0,,IF($J36&gt;$L36,1,0))</f>
        <v>1</v>
      </c>
      <c r="O36" s="67">
        <f>IF($J36+$L36=0,,IF($J36&lt;$L36,IF($J36&amp;"-"&amp;$L36=MID(Campionato!$D$10,FIND("-",Campionato!$D$10)+1,LEN(Campionato!$D$10))&amp;"-"&amp;LEFT(Campionato!$D$10,FIND("-",Campionato!$D$10)-1),1,0),0))</f>
        <v>0</v>
      </c>
      <c r="P36" s="67">
        <f>IF($J36+$L36=0,,IF($J36&lt;$L36,IF($J36&amp;"-"&amp;$L36&lt;&gt;MID(Campionato!$D$10,FIND("-",Campionato!$D$10)+1,LEN(Campionato!$D$10))&amp;"-"&amp;LEFT(Campionato!$D$10,FIND("-",Campionato!$D$10)-1),1,0),0))</f>
        <v>0</v>
      </c>
      <c r="Q36" s="67">
        <f>IF($J36+$L36=0,,$J36)</f>
        <v>59</v>
      </c>
      <c r="R36" s="67">
        <f>IF($J36+$L36=0,,$L36)</f>
        <v>50</v>
      </c>
      <c r="S36" s="67">
        <f>IF($J36+$L36=0,,$J36-$L36)</f>
        <v>9</v>
      </c>
      <c r="T36" s="67" t="str">
        <f>IF($D36="","(Squadra B)",$D36)</f>
        <v>Ibis Instancabili</v>
      </c>
      <c r="U36" s="67">
        <f>IF($J36+$L36=0,,IF($L36&gt;$J36,1,0))</f>
        <v>0</v>
      </c>
      <c r="V36" s="67">
        <f>IF($J36+$L36=0,,IF($L36&lt;$J36,IF($J36&amp;"-"&amp;$L36=Campionato!$D$10,1,0),0))</f>
        <v>0</v>
      </c>
      <c r="W36" s="67">
        <f>IF($J36+$L36=0,,IF($L36&lt;$J36,IF($J36&amp;"-"&amp;$L36&lt;&gt;Campionato!$D$10,1,0),0))</f>
        <v>1</v>
      </c>
      <c r="X36" s="67">
        <f>IF($J36+$L36=0,,$L36)</f>
        <v>50</v>
      </c>
      <c r="Y36" s="67">
        <f>IF($J36+$L36=0,,$J36)</f>
        <v>59</v>
      </c>
      <c r="Z36" s="67">
        <f>IF($J36+$L36=0,,$L36-$J36)</f>
        <v>-9</v>
      </c>
      <c r="AA36" s="67" t="str">
        <f>IF($J36+$L36=0,"(Vincente)",IF($J36&gt;$L36,$B36,$D36))</f>
        <v>Ermellini Eleganti</v>
      </c>
      <c r="AB36" s="67" t="str">
        <f>IF($J36+$L36=0,"(Perdente)",IF($J36&lt;$L36,$B36,$D36))</f>
        <v>Ibis Instancabili</v>
      </c>
      <c r="AC36" s="68" t="str">
        <f>IF($C36="","","[Girone "&amp;IFERROR(INDEX(Campionato!$E$14:$E$23,MATCH($C36,Campionato!$B$14:$B$23,0)),"?")&amp;"]")</f>
        <v>[Girone A]</v>
      </c>
    </row>
    <row r="37" ht="16" customHeight="1">
      <c r="A37" s="141" t="n"/>
      <c r="B37" s="69" t="str">
        <f>IF(I37="","",HYPERLINK(VLOOKUP(I37,Campionato!$B$27:$D$45,3,FALSE),VLOOKUP(I37,Campionato!$B$27:$D$45,2,FALSE)))</f>
        <v>PalaCobra, Via dello Sport 3, Cobraopoli CI</v>
      </c>
      <c r="C37" s="9" t="n"/>
      <c r="D37" s="9" t="n"/>
      <c r="E37" s="9" t="n"/>
      <c r="F37" s="9" t="n"/>
      <c r="G37" s="9" t="n"/>
      <c r="H37" s="10" t="n"/>
      <c r="I37" s="62" t="inlineStr">
        <is>
          <t>A03</t>
        </is>
      </c>
      <c r="J37" s="141" t="n"/>
      <c r="K37" s="141" t="n"/>
      <c r="L37" s="141" t="n"/>
    </row>
    <row r="38" ht="13" customHeight="1">
      <c r="A38" s="58" t="inlineStr">
        <is>
          <t>Gara N.</t>
        </is>
      </c>
      <c r="B38" s="58" t="inlineStr">
        <is>
          <t>Squadra A</t>
        </is>
      </c>
      <c r="C38" s="10" t="n"/>
      <c r="D38" s="58" t="inlineStr">
        <is>
          <t>Squadra B</t>
        </is>
      </c>
      <c r="E38" s="10" t="n"/>
      <c r="F38" s="58" t="inlineStr">
        <is>
          <t>Giorno</t>
        </is>
      </c>
      <c r="G38" s="58" t="inlineStr">
        <is>
          <t>Data</t>
        </is>
      </c>
      <c r="H38" s="58" t="inlineStr">
        <is>
          <t>Ora</t>
        </is>
      </c>
      <c r="I38" s="10" t="n"/>
      <c r="J38" s="58" t="inlineStr">
        <is>
          <t>Risultato</t>
        </is>
      </c>
      <c r="K38" s="9" t="n"/>
      <c r="L38" s="10" t="n"/>
    </row>
    <row r="39" ht="24" customHeight="1">
      <c r="A39" s="60">
        <f>MAX(A$10:A38)+1</f>
        <v>10</v>
      </c>
      <c r="B39" s="61" t="str">
        <f>IF(C39="","",IFERROR(VLOOKUP(C39,Campionato!$B$14:$H$23,7,FALSE),""))</f>
        <v>Gazzelle Gentili</v>
      </c>
      <c r="C39" s="62" t="inlineStr">
        <is>
          <t>A07</t>
        </is>
      </c>
      <c r="D39" s="61" t="str">
        <f>IF(E39="","",IFERROR(VLOOKUP(E39,Campionato!$B$14:$H$23,7,FALSE),""))</f>
        <v>Falchi Feroci</v>
      </c>
      <c r="E39" s="62" t="inlineStr">
        <is>
          <t>A06</t>
        </is>
      </c>
      <c r="F39" s="63" t="n">
        <v>46320.72916666666</v>
      </c>
      <c r="G39" s="9" t="n"/>
      <c r="H39" s="9" t="n"/>
      <c r="I39" s="10" t="n"/>
      <c r="J39" s="65" t="n">
        <v>69</v>
      </c>
      <c r="K39" s="66" t="inlineStr">
        <is>
          <t>-</t>
        </is>
      </c>
      <c r="L39" s="65" t="n">
        <v>73</v>
      </c>
      <c r="M39" s="67" t="str">
        <f>IF($B39="","(Squadra A)",$B39)</f>
        <v>Gazzelle Gentili</v>
      </c>
      <c r="N39" s="67">
        <f>IF($J39+$L39=0,,IF($J39&gt;$L39,1,0))</f>
        <v>0</v>
      </c>
      <c r="O39" s="67">
        <f>IF($J39+$L39=0,,IF($J39&lt;$L39,IF($J39&amp;"-"&amp;$L39=MID(Campionato!$D$10,FIND("-",Campionato!$D$10)+1,LEN(Campionato!$D$10))&amp;"-"&amp;LEFT(Campionato!$D$10,FIND("-",Campionato!$D$10)-1),1,0),0))</f>
        <v>0</v>
      </c>
      <c r="P39" s="67">
        <f>IF($J39+$L39=0,,IF($J39&lt;$L39,IF($J39&amp;"-"&amp;$L39&lt;&gt;MID(Campionato!$D$10,FIND("-",Campionato!$D$10)+1,LEN(Campionato!$D$10))&amp;"-"&amp;LEFT(Campionato!$D$10,FIND("-",Campionato!$D$10)-1),1,0),0))</f>
        <v>1</v>
      </c>
      <c r="Q39" s="67">
        <f>IF($J39+$L39=0,,$J39)</f>
        <v>69</v>
      </c>
      <c r="R39" s="67">
        <f>IF($J39+$L39=0,,$L39)</f>
        <v>73</v>
      </c>
      <c r="S39" s="67">
        <f>IF($J39+$L39=0,,$J39-$L39)</f>
        <v>-4</v>
      </c>
      <c r="T39" s="67" t="str">
        <f>IF($D39="","(Squadra B)",$D39)</f>
        <v>Falchi Feroci</v>
      </c>
      <c r="U39" s="67">
        <f>IF($J39+$L39=0,,IF($L39&gt;$J39,1,0))</f>
        <v>1</v>
      </c>
      <c r="V39" s="67">
        <f>IF($J39+$L39=0,,IF($L39&lt;$J39,IF($J39&amp;"-"&amp;$L39=Campionato!$D$10,1,0),0))</f>
        <v>0</v>
      </c>
      <c r="W39" s="67">
        <f>IF($J39+$L39=0,,IF($L39&lt;$J39,IF($J39&amp;"-"&amp;$L39&lt;&gt;Campionato!$D$10,1,0),0))</f>
        <v>0</v>
      </c>
      <c r="X39" s="67">
        <f>IF($J39+$L39=0,,$L39)</f>
        <v>73</v>
      </c>
      <c r="Y39" s="67">
        <f>IF($J39+$L39=0,,$J39)</f>
        <v>69</v>
      </c>
      <c r="Z39" s="67">
        <f>IF($J39+$L39=0,,$L39-$J39)</f>
        <v>4</v>
      </c>
      <c r="AA39" s="67" t="str">
        <f>IF($J39+$L39=0,"(Vincente)",IF($J39&gt;$L39,$B39,$D39))</f>
        <v>Falchi Feroci</v>
      </c>
      <c r="AB39" s="67" t="str">
        <f>IF($J39+$L39=0,"(Perdente)",IF($J39&lt;$L39,$B39,$D39))</f>
        <v>Gazzelle Gentili</v>
      </c>
      <c r="AC39" s="68" t="str">
        <f>IF($C39="","","[Girone "&amp;IFERROR(INDEX(Campionato!$E$14:$E$23,MATCH($C39,Campionato!$B$14:$B$23,0)),"?")&amp;"]")</f>
        <v>[Girone A]</v>
      </c>
    </row>
    <row r="40" ht="16" customHeight="1">
      <c r="A40" s="141" t="n"/>
      <c r="B40" s="69" t="str">
        <f>IF(I40="","",HYPERLINK(VLOOKUP(I40,Campionato!$B$27:$D$45,3,FALSE),VLOOKUP(I40,Campionato!$B$27:$D$45,2,FALSE)))</f>
        <v>PalaCobra, Via dello Sport 3, Cobraopoli CI</v>
      </c>
      <c r="C40" s="9" t="n"/>
      <c r="D40" s="9" t="n"/>
      <c r="E40" s="9" t="n"/>
      <c r="F40" s="9" t="n"/>
      <c r="G40" s="9" t="n"/>
      <c r="H40" s="10" t="n"/>
      <c r="I40" s="62" t="inlineStr">
        <is>
          <t>A03</t>
        </is>
      </c>
      <c r="J40" s="141" t="n"/>
      <c r="K40" s="141" t="n"/>
      <c r="L40" s="141" t="n"/>
    </row>
    <row r="41" ht="8" customHeight="1"/>
    <row r="42" ht="20" customHeight="1">
      <c r="A42" s="55" t="inlineStr">
        <is>
          <t>3A</t>
        </is>
      </c>
      <c r="B42" s="56" t="str">
        <f>"GIORNATA "&amp;ROMAN(VALUE(LEFT(A42,LEN(A42)-1)))&amp;" - GIRONE "&amp;UPPER($O$3)</f>
        <v>GIORNATA III - GIRONE GOLD</v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58" t="inlineStr">
        <is>
          <t>Gara N.</t>
        </is>
      </c>
      <c r="B43" s="58" t="inlineStr">
        <is>
          <t>Squadra A</t>
        </is>
      </c>
      <c r="C43" s="10" t="n"/>
      <c r="D43" s="58" t="inlineStr">
        <is>
          <t>Squadra B</t>
        </is>
      </c>
      <c r="E43" s="10" t="n"/>
      <c r="F43" s="58" t="inlineStr">
        <is>
          <t>Giorno</t>
        </is>
      </c>
      <c r="G43" s="58" t="inlineStr">
        <is>
          <t>Data</t>
        </is>
      </c>
      <c r="H43" s="58" t="inlineStr">
        <is>
          <t>Ora</t>
        </is>
      </c>
      <c r="I43" s="10" t="n"/>
      <c r="J43" s="58" t="inlineStr">
        <is>
          <t>Risultato</t>
        </is>
      </c>
      <c r="K43" s="9" t="n"/>
      <c r="L43" s="10" t="n"/>
    </row>
    <row r="44" ht="24" customHeight="1">
      <c r="A44" s="60">
        <f>MAX(A$10:A43)+1</f>
        <v>11</v>
      </c>
      <c r="B44" s="61" t="str">
        <f>IF(C44="","",IFERROR(VLOOKUP(C44,Campionato!$B$14:$H$23,7,FALSE),""))</f>
        <v>Ermellini Eleganti</v>
      </c>
      <c r="C44" s="62" t="inlineStr">
        <is>
          <t>A05</t>
        </is>
      </c>
      <c r="D44" s="61" t="str">
        <f>IF(E44="","",IFERROR(VLOOKUP(E44,Campionato!$B$14:$H$23,7,FALSE),""))</f>
        <v>Anaconde Audaci</v>
      </c>
      <c r="E44" s="62" t="inlineStr">
        <is>
          <t>A01</t>
        </is>
      </c>
      <c r="F44" s="63" t="n">
        <v>46327.39583333334</v>
      </c>
      <c r="G44" s="9" t="n"/>
      <c r="H44" s="9" t="n"/>
      <c r="I44" s="10" t="n"/>
      <c r="J44" s="65" t="n">
        <v>59</v>
      </c>
      <c r="K44" s="66" t="inlineStr">
        <is>
          <t>-</t>
        </is>
      </c>
      <c r="L44" s="65" t="n">
        <v>70</v>
      </c>
      <c r="M44" s="67" t="str">
        <f>IF($B44="","(Squadra A)",$B44)</f>
        <v>Ermellini Eleganti</v>
      </c>
      <c r="N44" s="67">
        <f>IF($J44+$L44=0,,IF($J44&gt;$L44,1,0))</f>
        <v>0</v>
      </c>
      <c r="O44" s="67">
        <f>IF($J44+$L44=0,,IF($J44&lt;$L44,IF($J44&amp;"-"&amp;$L44=MID(Campionato!$D$10,FIND("-",Campionato!$D$10)+1,LEN(Campionato!$D$10))&amp;"-"&amp;LEFT(Campionato!$D$10,FIND("-",Campionato!$D$10)-1),1,0),0))</f>
        <v>0</v>
      </c>
      <c r="P44" s="67">
        <f>IF($J44+$L44=0,,IF($J44&lt;$L44,IF($J44&amp;"-"&amp;$L44&lt;&gt;MID(Campionato!$D$10,FIND("-",Campionato!$D$10)+1,LEN(Campionato!$D$10))&amp;"-"&amp;LEFT(Campionato!$D$10,FIND("-",Campionato!$D$10)-1),1,0),0))</f>
        <v>1</v>
      </c>
      <c r="Q44" s="67">
        <f>IF($J44+$L44=0,,$J44)</f>
        <v>59</v>
      </c>
      <c r="R44" s="67">
        <f>IF($J44+$L44=0,,$L44)</f>
        <v>70</v>
      </c>
      <c r="S44" s="67">
        <f>IF($J44+$L44=0,,$J44-$L44)</f>
        <v>-11</v>
      </c>
      <c r="T44" s="67" t="str">
        <f>IF($D44="","(Squadra B)",$D44)</f>
        <v>Anaconde Audaci</v>
      </c>
      <c r="U44" s="67">
        <f>IF($J44+$L44=0,,IF($L44&gt;$J44,1,0))</f>
        <v>1</v>
      </c>
      <c r="V44" s="67">
        <f>IF($J44+$L44=0,,IF($L44&lt;$J44,IF($J44&amp;"-"&amp;$L44=Campionato!$D$10,1,0),0))</f>
        <v>0</v>
      </c>
      <c r="W44" s="67">
        <f>IF($J44+$L44=0,,IF($L44&lt;$J44,IF($J44&amp;"-"&amp;$L44&lt;&gt;Campionato!$D$10,1,0),0))</f>
        <v>0</v>
      </c>
      <c r="X44" s="67">
        <f>IF($J44+$L44=0,,$L44)</f>
        <v>70</v>
      </c>
      <c r="Y44" s="67">
        <f>IF($J44+$L44=0,,$J44)</f>
        <v>59</v>
      </c>
      <c r="Z44" s="67">
        <f>IF($J44+$L44=0,,$L44-$J44)</f>
        <v>11</v>
      </c>
      <c r="AA44" s="67" t="str">
        <f>IF($J44+$L44=0,"(Vincente)",IF($J44&gt;$L44,$B44,$D44))</f>
        <v>Anaconde Audaci</v>
      </c>
      <c r="AB44" s="67" t="str">
        <f>IF($J44+$L44=0,"(Perdente)",IF($J44&lt;$L44,$B44,$D44))</f>
        <v>Ermellini Eleganti</v>
      </c>
      <c r="AC44" s="68" t="str">
        <f>IF($C44="","","[Girone "&amp;IFERROR(INDEX(Campionato!$E$14:$E$23,MATCH($C44,Campionato!$B$14:$B$23,0)),"?")&amp;"]")</f>
        <v>[Girone A]</v>
      </c>
    </row>
    <row r="45" ht="16" customHeight="1">
      <c r="A45" s="141" t="n"/>
      <c r="B45" s="69" t="str">
        <f>IF(I45="","",HYPERLINK(VLOOKUP(I45,Campionato!$B$27:$D$45,3,FALSE),VLOOKUP(I45,Campionato!$B$27:$D$45,2,FALSE)))</f>
        <v>PalaErmellini, Via dello Sport 5, Ermelliniopoli EU</v>
      </c>
      <c r="C45" s="9" t="n"/>
      <c r="D45" s="9" t="n"/>
      <c r="E45" s="9" t="n"/>
      <c r="F45" s="9" t="n"/>
      <c r="G45" s="9" t="n"/>
      <c r="H45" s="10" t="n"/>
      <c r="I45" s="62" t="inlineStr">
        <is>
          <t>A05</t>
        </is>
      </c>
      <c r="J45" s="141" t="n"/>
      <c r="K45" s="141" t="n"/>
      <c r="L45" s="141" t="n"/>
    </row>
    <row r="46" ht="13" customHeight="1">
      <c r="A46" s="58" t="inlineStr">
        <is>
          <t>Gara N.</t>
        </is>
      </c>
      <c r="B46" s="58" t="inlineStr">
        <is>
          <t>Squadra A</t>
        </is>
      </c>
      <c r="C46" s="10" t="n"/>
      <c r="D46" s="58" t="inlineStr">
        <is>
          <t>Squadra B</t>
        </is>
      </c>
      <c r="E46" s="10" t="n"/>
      <c r="F46" s="58" t="inlineStr">
        <is>
          <t>Giorno</t>
        </is>
      </c>
      <c r="G46" s="58" t="inlineStr">
        <is>
          <t>Data</t>
        </is>
      </c>
      <c r="H46" s="58" t="inlineStr">
        <is>
          <t>Ora</t>
        </is>
      </c>
      <c r="I46" s="10" t="n"/>
      <c r="J46" s="58" t="inlineStr">
        <is>
          <t>Risultato</t>
        </is>
      </c>
      <c r="K46" s="9" t="n"/>
      <c r="L46" s="10" t="n"/>
    </row>
    <row r="47" ht="24" customHeight="1">
      <c r="A47" s="60">
        <f>MAX(A$10:A46)+1</f>
        <v>12</v>
      </c>
      <c r="B47" s="61" t="str">
        <f>IF(C47="","",IFERROR(VLOOKUP(C47,Campionato!$B$14:$H$23,7,FALSE),""))</f>
        <v>Cobra Celeri</v>
      </c>
      <c r="C47" s="62" t="inlineStr">
        <is>
          <t>A03</t>
        </is>
      </c>
      <c r="D47" s="61" t="str">
        <f>IF(E47="","",IFERROR(VLOOKUP(E47,Campionato!$B$14:$H$23,7,FALSE),""))</f>
        <v>Marmotte Mobili</v>
      </c>
      <c r="E47" s="62" t="inlineStr">
        <is>
          <t>A10</t>
        </is>
      </c>
      <c r="F47" s="63" t="n">
        <v>46327.45833333334</v>
      </c>
      <c r="G47" s="9" t="n"/>
      <c r="H47" s="9" t="n"/>
      <c r="I47" s="10" t="n"/>
      <c r="J47" s="65" t="n">
        <v>78</v>
      </c>
      <c r="K47" s="66" t="inlineStr">
        <is>
          <t>-</t>
        </is>
      </c>
      <c r="L47" s="65" t="n">
        <v>68</v>
      </c>
      <c r="M47" s="67" t="str">
        <f>IF($B47="","(Squadra A)",$B47)</f>
        <v>Cobra Celeri</v>
      </c>
      <c r="N47" s="67">
        <f>IF($J47+$L47=0,,IF($J47&gt;$L47,1,0))</f>
        <v>1</v>
      </c>
      <c r="O47" s="67">
        <f>IF($J47+$L47=0,,IF($J47&lt;$L47,IF($J47&amp;"-"&amp;$L47=MID(Campionato!$D$10,FIND("-",Campionato!$D$10)+1,LEN(Campionato!$D$10))&amp;"-"&amp;LEFT(Campionato!$D$10,FIND("-",Campionato!$D$10)-1),1,0),0))</f>
        <v>0</v>
      </c>
      <c r="P47" s="67">
        <f>IF($J47+$L47=0,,IF($J47&lt;$L47,IF($J47&amp;"-"&amp;$L47&lt;&gt;MID(Campionato!$D$10,FIND("-",Campionato!$D$10)+1,LEN(Campionato!$D$10))&amp;"-"&amp;LEFT(Campionato!$D$10,FIND("-",Campionato!$D$10)-1),1,0),0))</f>
        <v>0</v>
      </c>
      <c r="Q47" s="67">
        <f>IF($J47+$L47=0,,$J47)</f>
        <v>78</v>
      </c>
      <c r="R47" s="67">
        <f>IF($J47+$L47=0,,$L47)</f>
        <v>68</v>
      </c>
      <c r="S47" s="67">
        <f>IF($J47+$L47=0,,$J47-$L47)</f>
        <v>10</v>
      </c>
      <c r="T47" s="67" t="str">
        <f>IF($D47="","(Squadra B)",$D47)</f>
        <v>Marmotte Mobili</v>
      </c>
      <c r="U47" s="67">
        <f>IF($J47+$L47=0,,IF($L47&gt;$J47,1,0))</f>
        <v>0</v>
      </c>
      <c r="V47" s="67">
        <f>IF($J47+$L47=0,,IF($L47&lt;$J47,IF($J47&amp;"-"&amp;$L47=Campionato!$D$10,1,0),0))</f>
        <v>0</v>
      </c>
      <c r="W47" s="67">
        <f>IF($J47+$L47=0,,IF($L47&lt;$J47,IF($J47&amp;"-"&amp;$L47&lt;&gt;Campionato!$D$10,1,0),0))</f>
        <v>1</v>
      </c>
      <c r="X47" s="67">
        <f>IF($J47+$L47=0,,$L47)</f>
        <v>68</v>
      </c>
      <c r="Y47" s="67">
        <f>IF($J47+$L47=0,,$J47)</f>
        <v>78</v>
      </c>
      <c r="Z47" s="67">
        <f>IF($J47+$L47=0,,$L47-$J47)</f>
        <v>-10</v>
      </c>
      <c r="AA47" s="67" t="str">
        <f>IF($J47+$L47=0,"(Vincente)",IF($J47&gt;$L47,$B47,$D47))</f>
        <v>Cobra Celeri</v>
      </c>
      <c r="AB47" s="67" t="str">
        <f>IF($J47+$L47=0,"(Perdente)",IF($J47&lt;$L47,$B47,$D47))</f>
        <v>Marmotte Mobili</v>
      </c>
      <c r="AC47" s="68" t="str">
        <f>IF($C47="","","[Girone "&amp;IFERROR(INDEX(Campionato!$E$14:$E$23,MATCH($C47,Campionato!$B$14:$B$23,0)),"?")&amp;"]")</f>
        <v>[Girone A]</v>
      </c>
    </row>
    <row r="48" ht="16" customHeight="1">
      <c r="A48" s="141" t="n"/>
      <c r="B48" s="69" t="str">
        <f>IF(I48="","",HYPERLINK(VLOOKUP(I48,Campionato!$B$27:$D$45,3,FALSE),VLOOKUP(I48,Campionato!$B$27:$D$45,2,FALSE)))</f>
        <v>PalaErmellini, Via dello Sport 5, Ermelliniopoli EU</v>
      </c>
      <c r="C48" s="9" t="n"/>
      <c r="D48" s="9" t="n"/>
      <c r="E48" s="9" t="n"/>
      <c r="F48" s="9" t="n"/>
      <c r="G48" s="9" t="n"/>
      <c r="H48" s="10" t="n"/>
      <c r="I48" s="62" t="inlineStr">
        <is>
          <t>A05</t>
        </is>
      </c>
      <c r="J48" s="141" t="n"/>
      <c r="K48" s="141" t="n"/>
      <c r="L48" s="141" t="n"/>
    </row>
    <row r="49" ht="13" customHeight="1">
      <c r="A49" s="58" t="inlineStr">
        <is>
          <t>Gara N.</t>
        </is>
      </c>
      <c r="B49" s="58" t="inlineStr">
        <is>
          <t>Squadra A</t>
        </is>
      </c>
      <c r="C49" s="10" t="n"/>
      <c r="D49" s="58" t="inlineStr">
        <is>
          <t>Squadra B</t>
        </is>
      </c>
      <c r="E49" s="10" t="n"/>
      <c r="F49" s="58" t="inlineStr">
        <is>
          <t>Giorno</t>
        </is>
      </c>
      <c r="G49" s="58" t="inlineStr">
        <is>
          <t>Data</t>
        </is>
      </c>
      <c r="H49" s="58" t="inlineStr">
        <is>
          <t>Ora</t>
        </is>
      </c>
      <c r="I49" s="10" t="n"/>
      <c r="J49" s="58" t="inlineStr">
        <is>
          <t>Risultato</t>
        </is>
      </c>
      <c r="K49" s="9" t="n"/>
      <c r="L49" s="10" t="n"/>
    </row>
    <row r="50" ht="24" customHeight="1">
      <c r="A50" s="60">
        <f>MAX(A$10:A49)+1</f>
        <v>13</v>
      </c>
      <c r="B50" s="61" t="str">
        <f>IF(C50="","",IFERROR(VLOOKUP(C50,Campionato!$B$14:$H$23,7,FALSE),""))</f>
        <v>Bufali Belligeranti</v>
      </c>
      <c r="C50" s="62" t="inlineStr">
        <is>
          <t>A02</t>
        </is>
      </c>
      <c r="D50" s="61" t="str">
        <f>IF(E50="","",IFERROR(VLOOKUP(E50,Campionato!$B$14:$H$23,7,FALSE),""))</f>
        <v>Dingo Docili</v>
      </c>
      <c r="E50" s="62" t="inlineStr">
        <is>
          <t>A04</t>
        </is>
      </c>
      <c r="F50" s="63" t="n">
        <v>46327.60416666666</v>
      </c>
      <c r="G50" s="9" t="n"/>
      <c r="H50" s="9" t="n"/>
      <c r="I50" s="10" t="n"/>
      <c r="J50" s="65" t="n">
        <v>42</v>
      </c>
      <c r="K50" s="66" t="inlineStr">
        <is>
          <t>-</t>
        </is>
      </c>
      <c r="L50" s="65" t="n">
        <v>61</v>
      </c>
      <c r="M50" s="67" t="str">
        <f>IF($B50="","(Squadra A)",$B50)</f>
        <v>Bufali Belligeranti</v>
      </c>
      <c r="N50" s="67">
        <f>IF($J50+$L50=0,,IF($J50&gt;$L50,1,0))</f>
        <v>0</v>
      </c>
      <c r="O50" s="67">
        <f>IF($J50+$L50=0,,IF($J50&lt;$L50,IF($J50&amp;"-"&amp;$L50=MID(Campionato!$D$10,FIND("-",Campionato!$D$10)+1,LEN(Campionato!$D$10))&amp;"-"&amp;LEFT(Campionato!$D$10,FIND("-",Campionato!$D$10)-1),1,0),0))</f>
        <v>0</v>
      </c>
      <c r="P50" s="67">
        <f>IF($J50+$L50=0,,IF($J50&lt;$L50,IF($J50&amp;"-"&amp;$L50&lt;&gt;MID(Campionato!$D$10,FIND("-",Campionato!$D$10)+1,LEN(Campionato!$D$10))&amp;"-"&amp;LEFT(Campionato!$D$10,FIND("-",Campionato!$D$10)-1),1,0),0))</f>
        <v>1</v>
      </c>
      <c r="Q50" s="67">
        <f>IF($J50+$L50=0,,$J50)</f>
        <v>42</v>
      </c>
      <c r="R50" s="67">
        <f>IF($J50+$L50=0,,$L50)</f>
        <v>61</v>
      </c>
      <c r="S50" s="67">
        <f>IF($J50+$L50=0,,$J50-$L50)</f>
        <v>-19</v>
      </c>
      <c r="T50" s="67" t="str">
        <f>IF($D50="","(Squadra B)",$D50)</f>
        <v>Dingo Docili</v>
      </c>
      <c r="U50" s="67">
        <f>IF($J50+$L50=0,,IF($L50&gt;$J50,1,0))</f>
        <v>1</v>
      </c>
      <c r="V50" s="67">
        <f>IF($J50+$L50=0,,IF($L50&lt;$J50,IF($J50&amp;"-"&amp;$L50=Campionato!$D$10,1,0),0))</f>
        <v>0</v>
      </c>
      <c r="W50" s="67">
        <f>IF($J50+$L50=0,,IF($L50&lt;$J50,IF($J50&amp;"-"&amp;$L50&lt;&gt;Campionato!$D$10,1,0),0))</f>
        <v>0</v>
      </c>
      <c r="X50" s="67">
        <f>IF($J50+$L50=0,,$L50)</f>
        <v>61</v>
      </c>
      <c r="Y50" s="67">
        <f>IF($J50+$L50=0,,$J50)</f>
        <v>42</v>
      </c>
      <c r="Z50" s="67">
        <f>IF($J50+$L50=0,,$L50-$J50)</f>
        <v>19</v>
      </c>
      <c r="AA50" s="67" t="str">
        <f>IF($J50+$L50=0,"(Vincente)",IF($J50&gt;$L50,$B50,$D50))</f>
        <v>Dingo Docili</v>
      </c>
      <c r="AB50" s="67" t="str">
        <f>IF($J50+$L50=0,"(Perdente)",IF($J50&lt;$L50,$B50,$D50))</f>
        <v>Bufali Belligeranti</v>
      </c>
      <c r="AC50" s="68" t="str">
        <f>IF($C50="","","[Girone "&amp;IFERROR(INDEX(Campionato!$E$14:$E$23,MATCH($C50,Campionato!$B$14:$B$23,0)),"?")&amp;"]")</f>
        <v>[Girone A]</v>
      </c>
    </row>
    <row r="51" ht="16" customHeight="1">
      <c r="A51" s="141" t="n"/>
      <c r="B51" s="69" t="str">
        <f>IF(I51="","",HYPERLINK(VLOOKUP(I51,Campionato!$B$27:$D$45,3,FALSE),VLOOKUP(I51,Campionato!$B$27:$D$45,2,FALSE)))</f>
        <v>PalaErmellini, Via dello Sport 5, Ermelliniopoli EU</v>
      </c>
      <c r="C51" s="9" t="n"/>
      <c r="D51" s="9" t="n"/>
      <c r="E51" s="9" t="n"/>
      <c r="F51" s="9" t="n"/>
      <c r="G51" s="9" t="n"/>
      <c r="H51" s="10" t="n"/>
      <c r="I51" s="62" t="inlineStr">
        <is>
          <t>A05</t>
        </is>
      </c>
      <c r="J51" s="141" t="n"/>
      <c r="K51" s="141" t="n"/>
      <c r="L51" s="141" t="n"/>
    </row>
    <row r="52" ht="13" customHeight="1">
      <c r="A52" s="58" t="inlineStr">
        <is>
          <t>Gara N.</t>
        </is>
      </c>
      <c r="B52" s="58" t="inlineStr">
        <is>
          <t>Squadra A</t>
        </is>
      </c>
      <c r="C52" s="10" t="n"/>
      <c r="D52" s="58" t="inlineStr">
        <is>
          <t>Squadra B</t>
        </is>
      </c>
      <c r="E52" s="10" t="n"/>
      <c r="F52" s="58" t="inlineStr">
        <is>
          <t>Giorno</t>
        </is>
      </c>
      <c r="G52" s="58" t="inlineStr">
        <is>
          <t>Data</t>
        </is>
      </c>
      <c r="H52" s="58" t="inlineStr">
        <is>
          <t>Ora</t>
        </is>
      </c>
      <c r="I52" s="10" t="n"/>
      <c r="J52" s="58" t="inlineStr">
        <is>
          <t>Risultato</t>
        </is>
      </c>
      <c r="K52" s="9" t="n"/>
      <c r="L52" s="10" t="n"/>
    </row>
    <row r="53" ht="24" customHeight="1">
      <c r="A53" s="60">
        <f>MAX(A$10:A52)+1</f>
        <v>14</v>
      </c>
      <c r="B53" s="61" t="str">
        <f>IF(C53="","",IFERROR(VLOOKUP(C53,Campionato!$B$14:$H$23,7,FALSE),""))</f>
        <v>Lupi Leali</v>
      </c>
      <c r="C53" s="62" t="inlineStr">
        <is>
          <t>A09</t>
        </is>
      </c>
      <c r="D53" s="61" t="str">
        <f>IF(E53="","",IFERROR(VLOOKUP(E53,Campionato!$B$14:$H$23,7,FALSE),""))</f>
        <v>Falchi Feroci</v>
      </c>
      <c r="E53" s="62" t="inlineStr">
        <is>
          <t>A06</t>
        </is>
      </c>
      <c r="F53" s="63" t="n">
        <v>46327.66666666666</v>
      </c>
      <c r="G53" s="9" t="n"/>
      <c r="H53" s="9" t="n"/>
      <c r="I53" s="10" t="n"/>
      <c r="J53" s="65" t="n">
        <v>50</v>
      </c>
      <c r="K53" s="66" t="inlineStr">
        <is>
          <t>-</t>
        </is>
      </c>
      <c r="L53" s="65" t="n">
        <v>55</v>
      </c>
      <c r="M53" s="67" t="str">
        <f>IF($B53="","(Squadra A)",$B53)</f>
        <v>Lupi Leali</v>
      </c>
      <c r="N53" s="67">
        <f>IF($J53+$L53=0,,IF($J53&gt;$L53,1,0))</f>
        <v>0</v>
      </c>
      <c r="O53" s="67">
        <f>IF($J53+$L53=0,,IF($J53&lt;$L53,IF($J53&amp;"-"&amp;$L53=MID(Campionato!$D$10,FIND("-",Campionato!$D$10)+1,LEN(Campionato!$D$10))&amp;"-"&amp;LEFT(Campionato!$D$10,FIND("-",Campionato!$D$10)-1),1,0),0))</f>
        <v>0</v>
      </c>
      <c r="P53" s="67">
        <f>IF($J53+$L53=0,,IF($J53&lt;$L53,IF($J53&amp;"-"&amp;$L53&lt;&gt;MID(Campionato!$D$10,FIND("-",Campionato!$D$10)+1,LEN(Campionato!$D$10))&amp;"-"&amp;LEFT(Campionato!$D$10,FIND("-",Campionato!$D$10)-1),1,0),0))</f>
        <v>1</v>
      </c>
      <c r="Q53" s="67">
        <f>IF($J53+$L53=0,,$J53)</f>
        <v>50</v>
      </c>
      <c r="R53" s="67">
        <f>IF($J53+$L53=0,,$L53)</f>
        <v>55</v>
      </c>
      <c r="S53" s="67">
        <f>IF($J53+$L53=0,,$J53-$L53)</f>
        <v>-5</v>
      </c>
      <c r="T53" s="67" t="str">
        <f>IF($D53="","(Squadra B)",$D53)</f>
        <v>Falchi Feroci</v>
      </c>
      <c r="U53" s="67">
        <f>IF($J53+$L53=0,,IF($L53&gt;$J53,1,0))</f>
        <v>1</v>
      </c>
      <c r="V53" s="67">
        <f>IF($J53+$L53=0,,IF($L53&lt;$J53,IF($J53&amp;"-"&amp;$L53=Campionato!$D$10,1,0),0))</f>
        <v>0</v>
      </c>
      <c r="W53" s="67">
        <f>IF($J53+$L53=0,,IF($L53&lt;$J53,IF($J53&amp;"-"&amp;$L53&lt;&gt;Campionato!$D$10,1,0),0))</f>
        <v>0</v>
      </c>
      <c r="X53" s="67">
        <f>IF($J53+$L53=0,,$L53)</f>
        <v>55</v>
      </c>
      <c r="Y53" s="67">
        <f>IF($J53+$L53=0,,$J53)</f>
        <v>50</v>
      </c>
      <c r="Z53" s="67">
        <f>IF($J53+$L53=0,,$L53-$J53)</f>
        <v>5</v>
      </c>
      <c r="AA53" s="67" t="str">
        <f>IF($J53+$L53=0,"(Vincente)",IF($J53&gt;$L53,$B53,$D53))</f>
        <v>Falchi Feroci</v>
      </c>
      <c r="AB53" s="67" t="str">
        <f>IF($J53+$L53=0,"(Perdente)",IF($J53&lt;$L53,$B53,$D53))</f>
        <v>Lupi Leali</v>
      </c>
      <c r="AC53" s="68" t="str">
        <f>IF($C53="","","[Girone "&amp;IFERROR(INDEX(Campionato!$E$14:$E$23,MATCH($C53,Campionato!$B$14:$B$23,0)),"?")&amp;"]")</f>
        <v>[Girone A]</v>
      </c>
    </row>
    <row r="54" ht="16" customHeight="1">
      <c r="A54" s="141" t="n"/>
      <c r="B54" s="69" t="str">
        <f>IF(I54="","",HYPERLINK(VLOOKUP(I54,Campionato!$B$27:$D$45,3,FALSE),VLOOKUP(I54,Campionato!$B$27:$D$45,2,FALSE)))</f>
        <v>PalaErmellini, Via dello Sport 5, Ermelliniopoli EU</v>
      </c>
      <c r="C54" s="9" t="n"/>
      <c r="D54" s="9" t="n"/>
      <c r="E54" s="9" t="n"/>
      <c r="F54" s="9" t="n"/>
      <c r="G54" s="9" t="n"/>
      <c r="H54" s="10" t="n"/>
      <c r="I54" s="62" t="inlineStr">
        <is>
          <t>A05</t>
        </is>
      </c>
      <c r="J54" s="141" t="n"/>
      <c r="K54" s="141" t="n"/>
      <c r="L54" s="141" t="n"/>
    </row>
    <row r="55" ht="13" customHeight="1">
      <c r="A55" s="58" t="inlineStr">
        <is>
          <t>Gara N.</t>
        </is>
      </c>
      <c r="B55" s="58" t="inlineStr">
        <is>
          <t>Squadra A</t>
        </is>
      </c>
      <c r="C55" s="10" t="n"/>
      <c r="D55" s="58" t="inlineStr">
        <is>
          <t>Squadra B</t>
        </is>
      </c>
      <c r="E55" s="10" t="n"/>
      <c r="F55" s="58" t="inlineStr">
        <is>
          <t>Giorno</t>
        </is>
      </c>
      <c r="G55" s="58" t="inlineStr">
        <is>
          <t>Data</t>
        </is>
      </c>
      <c r="H55" s="58" t="inlineStr">
        <is>
          <t>Ora</t>
        </is>
      </c>
      <c r="I55" s="10" t="n"/>
      <c r="J55" s="58" t="inlineStr">
        <is>
          <t>Risultato</t>
        </is>
      </c>
      <c r="K55" s="9" t="n"/>
      <c r="L55" s="10" t="n"/>
    </row>
    <row r="56" ht="24" customHeight="1">
      <c r="A56" s="60">
        <f>MAX(A$10:A55)+1</f>
        <v>15</v>
      </c>
      <c r="B56" s="61" t="str">
        <f>IF(C56="","",IFERROR(VLOOKUP(C56,Campionato!$B$14:$H$23,7,FALSE),""))</f>
        <v>Gazzelle Gentili</v>
      </c>
      <c r="C56" s="62" t="inlineStr">
        <is>
          <t>A07</t>
        </is>
      </c>
      <c r="D56" s="61" t="str">
        <f>IF(E56="","",IFERROR(VLOOKUP(E56,Campionato!$B$14:$H$23,7,FALSE),""))</f>
        <v>Ibis Instancabili</v>
      </c>
      <c r="E56" s="62" t="inlineStr">
        <is>
          <t>A08</t>
        </is>
      </c>
      <c r="F56" s="63" t="n">
        <v>46327.72916666666</v>
      </c>
      <c r="G56" s="9" t="n"/>
      <c r="H56" s="9" t="n"/>
      <c r="I56" s="10" t="n"/>
      <c r="J56" s="65" t="n">
        <v>40</v>
      </c>
      <c r="K56" s="66" t="inlineStr">
        <is>
          <t>-</t>
        </is>
      </c>
      <c r="L56" s="65" t="n">
        <v>51</v>
      </c>
      <c r="M56" s="67" t="str">
        <f>IF($B56="","(Squadra A)",$B56)</f>
        <v>Gazzelle Gentili</v>
      </c>
      <c r="N56" s="67">
        <f>IF($J56+$L56=0,,IF($J56&gt;$L56,1,0))</f>
        <v>0</v>
      </c>
      <c r="O56" s="67">
        <f>IF($J56+$L56=0,,IF($J56&lt;$L56,IF($J56&amp;"-"&amp;$L56=MID(Campionato!$D$10,FIND("-",Campionato!$D$10)+1,LEN(Campionato!$D$10))&amp;"-"&amp;LEFT(Campionato!$D$10,FIND("-",Campionato!$D$10)-1),1,0),0))</f>
        <v>0</v>
      </c>
      <c r="P56" s="67">
        <f>IF($J56+$L56=0,,IF($J56&lt;$L56,IF($J56&amp;"-"&amp;$L56&lt;&gt;MID(Campionato!$D$10,FIND("-",Campionato!$D$10)+1,LEN(Campionato!$D$10))&amp;"-"&amp;LEFT(Campionato!$D$10,FIND("-",Campionato!$D$10)-1),1,0),0))</f>
        <v>1</v>
      </c>
      <c r="Q56" s="67">
        <f>IF($J56+$L56=0,,$J56)</f>
        <v>40</v>
      </c>
      <c r="R56" s="67">
        <f>IF($J56+$L56=0,,$L56)</f>
        <v>51</v>
      </c>
      <c r="S56" s="67">
        <f>IF($J56+$L56=0,,$J56-$L56)</f>
        <v>-11</v>
      </c>
      <c r="T56" s="67" t="str">
        <f>IF($D56="","(Squadra B)",$D56)</f>
        <v>Ibis Instancabili</v>
      </c>
      <c r="U56" s="67">
        <f>IF($J56+$L56=0,,IF($L56&gt;$J56,1,0))</f>
        <v>1</v>
      </c>
      <c r="V56" s="67">
        <f>IF($J56+$L56=0,,IF($L56&lt;$J56,IF($J56&amp;"-"&amp;$L56=Campionato!$D$10,1,0),0))</f>
        <v>0</v>
      </c>
      <c r="W56" s="67">
        <f>IF($J56+$L56=0,,IF($L56&lt;$J56,IF($J56&amp;"-"&amp;$L56&lt;&gt;Campionato!$D$10,1,0),0))</f>
        <v>0</v>
      </c>
      <c r="X56" s="67">
        <f>IF($J56+$L56=0,,$L56)</f>
        <v>51</v>
      </c>
      <c r="Y56" s="67">
        <f>IF($J56+$L56=0,,$J56)</f>
        <v>40</v>
      </c>
      <c r="Z56" s="67">
        <f>IF($J56+$L56=0,,$L56-$J56)</f>
        <v>11</v>
      </c>
      <c r="AA56" s="67" t="str">
        <f>IF($J56+$L56=0,"(Vincente)",IF($J56&gt;$L56,$B56,$D56))</f>
        <v>Ibis Instancabili</v>
      </c>
      <c r="AB56" s="67" t="str">
        <f>IF($J56+$L56=0,"(Perdente)",IF($J56&lt;$L56,$B56,$D56))</f>
        <v>Gazzelle Gentili</v>
      </c>
      <c r="AC56" s="68" t="str">
        <f>IF($C56="","","[Girone "&amp;IFERROR(INDEX(Campionato!$E$14:$E$23,MATCH($C56,Campionato!$B$14:$B$23,0)),"?")&amp;"]")</f>
        <v>[Girone A]</v>
      </c>
    </row>
    <row r="57" ht="16" customHeight="1">
      <c r="A57" s="141" t="n"/>
      <c r="B57" s="69" t="str">
        <f>IF(I57="","",HYPERLINK(VLOOKUP(I57,Campionato!$B$27:$D$45,3,FALSE),VLOOKUP(I57,Campionato!$B$27:$D$45,2,FALSE)))</f>
        <v>PalaErmellini, Via dello Sport 5, Ermelliniopoli EU</v>
      </c>
      <c r="C57" s="9" t="n"/>
      <c r="D57" s="9" t="n"/>
      <c r="E57" s="9" t="n"/>
      <c r="F57" s="9" t="n"/>
      <c r="G57" s="9" t="n"/>
      <c r="H57" s="10" t="n"/>
      <c r="I57" s="62" t="inlineStr">
        <is>
          <t>A05</t>
        </is>
      </c>
      <c r="J57" s="141" t="n"/>
      <c r="K57" s="141" t="n"/>
      <c r="L57" s="141" t="n"/>
    </row>
    <row r="58" ht="8" customHeight="1"/>
    <row r="59" ht="20" customHeight="1">
      <c r="A59" s="55" t="inlineStr">
        <is>
          <t>4A</t>
        </is>
      </c>
      <c r="B59" s="56" t="str">
        <f>"GIORNATA "&amp;ROMAN(VALUE(LEFT(A59,LEN(A59)-1)))&amp;" - GIRONE "&amp;UPPER($O$3)</f>
        <v>GIORNATA IV - GIRONE GOLD</v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58" t="inlineStr">
        <is>
          <t>Gara N.</t>
        </is>
      </c>
      <c r="B60" s="58" t="inlineStr">
        <is>
          <t>Squadra A</t>
        </is>
      </c>
      <c r="C60" s="10" t="n"/>
      <c r="D60" s="58" t="inlineStr">
        <is>
          <t>Squadra B</t>
        </is>
      </c>
      <c r="E60" s="10" t="n"/>
      <c r="F60" s="58" t="inlineStr">
        <is>
          <t>Giorno</t>
        </is>
      </c>
      <c r="G60" s="58" t="inlineStr">
        <is>
          <t>Data</t>
        </is>
      </c>
      <c r="H60" s="58" t="inlineStr">
        <is>
          <t>Ora</t>
        </is>
      </c>
      <c r="I60" s="10" t="n"/>
      <c r="J60" s="58" t="inlineStr">
        <is>
          <t>Risultato</t>
        </is>
      </c>
      <c r="K60" s="9" t="n"/>
      <c r="L60" s="10" t="n"/>
    </row>
    <row r="61" ht="24" customHeight="1">
      <c r="A61" s="60">
        <f>MAX(A$10:A60)+1</f>
        <v>16</v>
      </c>
      <c r="B61" s="61" t="str">
        <f>IF(C61="","",IFERROR(VLOOKUP(C61,Campionato!$B$14:$H$23,7,FALSE),""))</f>
        <v>Gazzelle Gentili</v>
      </c>
      <c r="C61" s="62" t="inlineStr">
        <is>
          <t>A07</t>
        </is>
      </c>
      <c r="D61" s="61" t="str">
        <f>IF(E61="","",IFERROR(VLOOKUP(E61,Campionato!$B$14:$H$23,7,FALSE),""))</f>
        <v>Anaconde Audaci</v>
      </c>
      <c r="E61" s="62" t="inlineStr">
        <is>
          <t>A01</t>
        </is>
      </c>
      <c r="F61" s="63" t="n">
        <v>46334.39583333334</v>
      </c>
      <c r="G61" s="9" t="n"/>
      <c r="H61" s="9" t="n"/>
      <c r="I61" s="10" t="n"/>
      <c r="J61" s="65" t="n">
        <v>62</v>
      </c>
      <c r="K61" s="66" t="inlineStr">
        <is>
          <t>-</t>
        </is>
      </c>
      <c r="L61" s="65" t="n">
        <v>75</v>
      </c>
      <c r="M61" s="67" t="str">
        <f>IF($B61="","(Squadra A)",$B61)</f>
        <v>Gazzelle Gentili</v>
      </c>
      <c r="N61" s="67">
        <f>IF($J61+$L61=0,,IF($J61&gt;$L61,1,0))</f>
        <v>0</v>
      </c>
      <c r="O61" s="67">
        <f>IF($J61+$L61=0,,IF($J61&lt;$L61,IF($J61&amp;"-"&amp;$L61=MID(Campionato!$D$10,FIND("-",Campionato!$D$10)+1,LEN(Campionato!$D$10))&amp;"-"&amp;LEFT(Campionato!$D$10,FIND("-",Campionato!$D$10)-1),1,0),0))</f>
        <v>0</v>
      </c>
      <c r="P61" s="67">
        <f>IF($J61+$L61=0,,IF($J61&lt;$L61,IF($J61&amp;"-"&amp;$L61&lt;&gt;MID(Campionato!$D$10,FIND("-",Campionato!$D$10)+1,LEN(Campionato!$D$10))&amp;"-"&amp;LEFT(Campionato!$D$10,FIND("-",Campionato!$D$10)-1),1,0),0))</f>
        <v>1</v>
      </c>
      <c r="Q61" s="67">
        <f>IF($J61+$L61=0,,$J61)</f>
        <v>62</v>
      </c>
      <c r="R61" s="67">
        <f>IF($J61+$L61=0,,$L61)</f>
        <v>75</v>
      </c>
      <c r="S61" s="67">
        <f>IF($J61+$L61=0,,$J61-$L61)</f>
        <v>-13</v>
      </c>
      <c r="T61" s="67" t="str">
        <f>IF($D61="","(Squadra B)",$D61)</f>
        <v>Anaconde Audaci</v>
      </c>
      <c r="U61" s="67">
        <f>IF($J61+$L61=0,,IF($L61&gt;$J61,1,0))</f>
        <v>1</v>
      </c>
      <c r="V61" s="67">
        <f>IF($J61+$L61=0,,IF($L61&lt;$J61,IF($J61&amp;"-"&amp;$L61=Campionato!$D$10,1,0),0))</f>
        <v>0</v>
      </c>
      <c r="W61" s="67">
        <f>IF($J61+$L61=0,,IF($L61&lt;$J61,IF($J61&amp;"-"&amp;$L61&lt;&gt;Campionato!$D$10,1,0),0))</f>
        <v>0</v>
      </c>
      <c r="X61" s="67">
        <f>IF($J61+$L61=0,,$L61)</f>
        <v>75</v>
      </c>
      <c r="Y61" s="67">
        <f>IF($J61+$L61=0,,$J61)</f>
        <v>62</v>
      </c>
      <c r="Z61" s="67">
        <f>IF($J61+$L61=0,,$L61-$J61)</f>
        <v>13</v>
      </c>
      <c r="AA61" s="67" t="str">
        <f>IF($J61+$L61=0,"(Vincente)",IF($J61&gt;$L61,$B61,$D61))</f>
        <v>Anaconde Audaci</v>
      </c>
      <c r="AB61" s="67" t="str">
        <f>IF($J61+$L61=0,"(Perdente)",IF($J61&lt;$L61,$B61,$D61))</f>
        <v>Gazzelle Gentili</v>
      </c>
      <c r="AC61" s="68" t="str">
        <f>IF($C61="","","[Girone "&amp;IFERROR(INDEX(Campionato!$E$14:$E$23,MATCH($C61,Campionato!$B$14:$B$23,0)),"?")&amp;"]")</f>
        <v>[Girone A]</v>
      </c>
    </row>
    <row r="62" ht="16" customHeight="1">
      <c r="A62" s="141" t="n"/>
      <c r="B62" s="69" t="str">
        <f>IF(I62="","",HYPERLINK(VLOOKUP(I62,Campionato!$B$27:$D$45,3,FALSE),VLOOKUP(I62,Campionato!$B$27:$D$45,2,FALSE)))</f>
        <v>PalaGazzelle, Via dello Sport 7, Gazzelleopoli GE</v>
      </c>
      <c r="C62" s="9" t="n"/>
      <c r="D62" s="9" t="n"/>
      <c r="E62" s="9" t="n"/>
      <c r="F62" s="9" t="n"/>
      <c r="G62" s="9" t="n"/>
      <c r="H62" s="10" t="n"/>
      <c r="I62" s="62" t="inlineStr">
        <is>
          <t>A07</t>
        </is>
      </c>
      <c r="J62" s="141" t="n"/>
      <c r="K62" s="141" t="n"/>
      <c r="L62" s="141" t="n"/>
    </row>
    <row r="63" ht="13" customHeight="1">
      <c r="A63" s="58" t="inlineStr">
        <is>
          <t>Gara N.</t>
        </is>
      </c>
      <c r="B63" s="58" t="inlineStr">
        <is>
          <t>Squadra A</t>
        </is>
      </c>
      <c r="C63" s="10" t="n"/>
      <c r="D63" s="58" t="inlineStr">
        <is>
          <t>Squadra B</t>
        </is>
      </c>
      <c r="E63" s="10" t="n"/>
      <c r="F63" s="58" t="inlineStr">
        <is>
          <t>Giorno</t>
        </is>
      </c>
      <c r="G63" s="58" t="inlineStr">
        <is>
          <t>Data</t>
        </is>
      </c>
      <c r="H63" s="58" t="inlineStr">
        <is>
          <t>Ora</t>
        </is>
      </c>
      <c r="I63" s="10" t="n"/>
      <c r="J63" s="58" t="inlineStr">
        <is>
          <t>Risultato</t>
        </is>
      </c>
      <c r="K63" s="9" t="n"/>
      <c r="L63" s="10" t="n"/>
    </row>
    <row r="64" ht="24" customHeight="1">
      <c r="A64" s="60">
        <f>MAX(A$10:A63)+1</f>
        <v>17</v>
      </c>
      <c r="B64" s="61" t="str">
        <f>IF(C64="","",IFERROR(VLOOKUP(C64,Campionato!$B$14:$H$23,7,FALSE),""))</f>
        <v>Marmotte Mobili</v>
      </c>
      <c r="C64" s="62" t="inlineStr">
        <is>
          <t>A10</t>
        </is>
      </c>
      <c r="D64" s="61" t="str">
        <f>IF(E64="","",IFERROR(VLOOKUP(E64,Campionato!$B$14:$H$23,7,FALSE),""))</f>
        <v>Dingo Docili</v>
      </c>
      <c r="E64" s="62" t="inlineStr">
        <is>
          <t>A04</t>
        </is>
      </c>
      <c r="F64" s="63" t="n">
        <v>46334.45833333334</v>
      </c>
      <c r="G64" s="9" t="n"/>
      <c r="H64" s="9" t="n"/>
      <c r="I64" s="10" t="n"/>
      <c r="J64" s="65" t="n">
        <v>35</v>
      </c>
      <c r="K64" s="66" t="inlineStr">
        <is>
          <t>-</t>
        </is>
      </c>
      <c r="L64" s="65" t="n">
        <v>60</v>
      </c>
      <c r="M64" s="67" t="str">
        <f>IF($B64="","(Squadra A)",$B64)</f>
        <v>Marmotte Mobili</v>
      </c>
      <c r="N64" s="67">
        <f>IF($J64+$L64=0,,IF($J64&gt;$L64,1,0))</f>
        <v>0</v>
      </c>
      <c r="O64" s="67">
        <f>IF($J64+$L64=0,,IF($J64&lt;$L64,IF($J64&amp;"-"&amp;$L64=MID(Campionato!$D$10,FIND("-",Campionato!$D$10)+1,LEN(Campionato!$D$10))&amp;"-"&amp;LEFT(Campionato!$D$10,FIND("-",Campionato!$D$10)-1),1,0),0))</f>
        <v>0</v>
      </c>
      <c r="P64" s="67">
        <f>IF($J64+$L64=0,,IF($J64&lt;$L64,IF($J64&amp;"-"&amp;$L64&lt;&gt;MID(Campionato!$D$10,FIND("-",Campionato!$D$10)+1,LEN(Campionato!$D$10))&amp;"-"&amp;LEFT(Campionato!$D$10,FIND("-",Campionato!$D$10)-1),1,0),0))</f>
        <v>1</v>
      </c>
      <c r="Q64" s="67">
        <f>IF($J64+$L64=0,,$J64)</f>
        <v>35</v>
      </c>
      <c r="R64" s="67">
        <f>IF($J64+$L64=0,,$L64)</f>
        <v>60</v>
      </c>
      <c r="S64" s="67">
        <f>IF($J64+$L64=0,,$J64-$L64)</f>
        <v>-25</v>
      </c>
      <c r="T64" s="67" t="str">
        <f>IF($D64="","(Squadra B)",$D64)</f>
        <v>Dingo Docili</v>
      </c>
      <c r="U64" s="67">
        <f>IF($J64+$L64=0,,IF($L64&gt;$J64,1,0))</f>
        <v>1</v>
      </c>
      <c r="V64" s="67">
        <f>IF($J64+$L64=0,,IF($L64&lt;$J64,IF($J64&amp;"-"&amp;$L64=Campionato!$D$10,1,0),0))</f>
        <v>0</v>
      </c>
      <c r="W64" s="67">
        <f>IF($J64+$L64=0,,IF($L64&lt;$J64,IF($J64&amp;"-"&amp;$L64&lt;&gt;Campionato!$D$10,1,0),0))</f>
        <v>0</v>
      </c>
      <c r="X64" s="67">
        <f>IF($J64+$L64=0,,$L64)</f>
        <v>60</v>
      </c>
      <c r="Y64" s="67">
        <f>IF($J64+$L64=0,,$J64)</f>
        <v>35</v>
      </c>
      <c r="Z64" s="67">
        <f>IF($J64+$L64=0,,$L64-$J64)</f>
        <v>25</v>
      </c>
      <c r="AA64" s="67" t="str">
        <f>IF($J64+$L64=0,"(Vincente)",IF($J64&gt;$L64,$B64,$D64))</f>
        <v>Dingo Docili</v>
      </c>
      <c r="AB64" s="67" t="str">
        <f>IF($J64+$L64=0,"(Perdente)",IF($J64&lt;$L64,$B64,$D64))</f>
        <v>Marmotte Mobili</v>
      </c>
      <c r="AC64" s="68" t="str">
        <f>IF($C64="","","[Girone "&amp;IFERROR(INDEX(Campionato!$E$14:$E$23,MATCH($C64,Campionato!$B$14:$B$23,0)),"?")&amp;"]")</f>
        <v>[Girone A]</v>
      </c>
    </row>
    <row r="65" ht="16" customHeight="1">
      <c r="A65" s="141" t="n"/>
      <c r="B65" s="69" t="str">
        <f>IF(I65="","",HYPERLINK(VLOOKUP(I65,Campionato!$B$27:$D$45,3,FALSE),VLOOKUP(I65,Campionato!$B$27:$D$45,2,FALSE)))</f>
        <v>PalaGazzelle, Via dello Sport 7, Gazzelleopoli GE</v>
      </c>
      <c r="C65" s="9" t="n"/>
      <c r="D65" s="9" t="n"/>
      <c r="E65" s="9" t="n"/>
      <c r="F65" s="9" t="n"/>
      <c r="G65" s="9" t="n"/>
      <c r="H65" s="10" t="n"/>
      <c r="I65" s="62" t="inlineStr">
        <is>
          <t>A07</t>
        </is>
      </c>
      <c r="J65" s="141" t="n"/>
      <c r="K65" s="141" t="n"/>
      <c r="L65" s="141" t="n"/>
    </row>
    <row r="66" ht="13" customHeight="1">
      <c r="A66" s="58" t="inlineStr">
        <is>
          <t>Gara N.</t>
        </is>
      </c>
      <c r="B66" s="58" t="inlineStr">
        <is>
          <t>Squadra A</t>
        </is>
      </c>
      <c r="C66" s="10" t="n"/>
      <c r="D66" s="58" t="inlineStr">
        <is>
          <t>Squadra B</t>
        </is>
      </c>
      <c r="E66" s="10" t="n"/>
      <c r="F66" s="58" t="inlineStr">
        <is>
          <t>Giorno</t>
        </is>
      </c>
      <c r="G66" s="58" t="inlineStr">
        <is>
          <t>Data</t>
        </is>
      </c>
      <c r="H66" s="58" t="inlineStr">
        <is>
          <t>Ora</t>
        </is>
      </c>
      <c r="I66" s="10" t="n"/>
      <c r="J66" s="58" t="inlineStr">
        <is>
          <t>Risultato</t>
        </is>
      </c>
      <c r="K66" s="9" t="n"/>
      <c r="L66" s="10" t="n"/>
    </row>
    <row r="67" ht="24" customHeight="1">
      <c r="A67" s="60">
        <f>MAX(A$10:A66)+1</f>
        <v>18</v>
      </c>
      <c r="B67" s="61" t="str">
        <f>IF(C67="","",IFERROR(VLOOKUP(C67,Campionato!$B$14:$H$23,7,FALSE),""))</f>
        <v>Ermellini Eleganti</v>
      </c>
      <c r="C67" s="62" t="inlineStr">
        <is>
          <t>A05</t>
        </is>
      </c>
      <c r="D67" s="61" t="str">
        <f>IF(E67="","",IFERROR(VLOOKUP(E67,Campionato!$B$14:$H$23,7,FALSE),""))</f>
        <v>Cobra Celeri</v>
      </c>
      <c r="E67" s="62" t="inlineStr">
        <is>
          <t>A03</t>
        </is>
      </c>
      <c r="F67" s="63" t="n">
        <v>46334.60416666666</v>
      </c>
      <c r="G67" s="9" t="n"/>
      <c r="H67" s="9" t="n"/>
      <c r="I67" s="10" t="n"/>
      <c r="J67" s="65" t="n">
        <v>52</v>
      </c>
      <c r="K67" s="66" t="inlineStr">
        <is>
          <t>-</t>
        </is>
      </c>
      <c r="L67" s="65" t="n">
        <v>67</v>
      </c>
      <c r="M67" s="67" t="str">
        <f>IF($B67="","(Squadra A)",$B67)</f>
        <v>Ermellini Eleganti</v>
      </c>
      <c r="N67" s="67">
        <f>IF($J67+$L67=0,,IF($J67&gt;$L67,1,0))</f>
        <v>0</v>
      </c>
      <c r="O67" s="67">
        <f>IF($J67+$L67=0,,IF($J67&lt;$L67,IF($J67&amp;"-"&amp;$L67=MID(Campionato!$D$10,FIND("-",Campionato!$D$10)+1,LEN(Campionato!$D$10))&amp;"-"&amp;LEFT(Campionato!$D$10,FIND("-",Campionato!$D$10)-1),1,0),0))</f>
        <v>0</v>
      </c>
      <c r="P67" s="67">
        <f>IF($J67+$L67=0,,IF($J67&lt;$L67,IF($J67&amp;"-"&amp;$L67&lt;&gt;MID(Campionato!$D$10,FIND("-",Campionato!$D$10)+1,LEN(Campionato!$D$10))&amp;"-"&amp;LEFT(Campionato!$D$10,FIND("-",Campionato!$D$10)-1),1,0),0))</f>
        <v>1</v>
      </c>
      <c r="Q67" s="67">
        <f>IF($J67+$L67=0,,$J67)</f>
        <v>52</v>
      </c>
      <c r="R67" s="67">
        <f>IF($J67+$L67=0,,$L67)</f>
        <v>67</v>
      </c>
      <c r="S67" s="67">
        <f>IF($J67+$L67=0,,$J67-$L67)</f>
        <v>-15</v>
      </c>
      <c r="T67" s="67" t="str">
        <f>IF($D67="","(Squadra B)",$D67)</f>
        <v>Cobra Celeri</v>
      </c>
      <c r="U67" s="67">
        <f>IF($J67+$L67=0,,IF($L67&gt;$J67,1,0))</f>
        <v>1</v>
      </c>
      <c r="V67" s="67">
        <f>IF($J67+$L67=0,,IF($L67&lt;$J67,IF($J67&amp;"-"&amp;$L67=Campionato!$D$10,1,0),0))</f>
        <v>0</v>
      </c>
      <c r="W67" s="67">
        <f>IF($J67+$L67=0,,IF($L67&lt;$J67,IF($J67&amp;"-"&amp;$L67&lt;&gt;Campionato!$D$10,1,0),0))</f>
        <v>0</v>
      </c>
      <c r="X67" s="67">
        <f>IF($J67+$L67=0,,$L67)</f>
        <v>67</v>
      </c>
      <c r="Y67" s="67">
        <f>IF($J67+$L67=0,,$J67)</f>
        <v>52</v>
      </c>
      <c r="Z67" s="67">
        <f>IF($J67+$L67=0,,$L67-$J67)</f>
        <v>15</v>
      </c>
      <c r="AA67" s="67" t="str">
        <f>IF($J67+$L67=0,"(Vincente)",IF($J67&gt;$L67,$B67,$D67))</f>
        <v>Cobra Celeri</v>
      </c>
      <c r="AB67" s="67" t="str">
        <f>IF($J67+$L67=0,"(Perdente)",IF($J67&lt;$L67,$B67,$D67))</f>
        <v>Ermellini Eleganti</v>
      </c>
      <c r="AC67" s="68" t="str">
        <f>IF($C67="","","[Girone "&amp;IFERROR(INDEX(Campionato!$E$14:$E$23,MATCH($C67,Campionato!$B$14:$B$23,0)),"?")&amp;"]")</f>
        <v>[Girone A]</v>
      </c>
    </row>
    <row r="68" ht="16" customHeight="1">
      <c r="A68" s="141" t="n"/>
      <c r="B68" s="69" t="str">
        <f>IF(I68="","",HYPERLINK(VLOOKUP(I68,Campionato!$B$27:$D$45,3,FALSE),VLOOKUP(I68,Campionato!$B$27:$D$45,2,FALSE)))</f>
        <v>PalaGazzelle, Via dello Sport 7, Gazzelleopoli GE</v>
      </c>
      <c r="C68" s="9" t="n"/>
      <c r="D68" s="9" t="n"/>
      <c r="E68" s="9" t="n"/>
      <c r="F68" s="9" t="n"/>
      <c r="G68" s="9" t="n"/>
      <c r="H68" s="10" t="n"/>
      <c r="I68" s="62" t="inlineStr">
        <is>
          <t>A07</t>
        </is>
      </c>
      <c r="J68" s="141" t="n"/>
      <c r="K68" s="141" t="n"/>
      <c r="L68" s="141" t="n"/>
    </row>
    <row r="69" ht="13" customHeight="1">
      <c r="A69" s="58" t="inlineStr">
        <is>
          <t>Gara N.</t>
        </is>
      </c>
      <c r="B69" s="58" t="inlineStr">
        <is>
          <t>Squadra A</t>
        </is>
      </c>
      <c r="C69" s="10" t="n"/>
      <c r="D69" s="58" t="inlineStr">
        <is>
          <t>Squadra B</t>
        </is>
      </c>
      <c r="E69" s="10" t="n"/>
      <c r="F69" s="58" t="inlineStr">
        <is>
          <t>Giorno</t>
        </is>
      </c>
      <c r="G69" s="58" t="inlineStr">
        <is>
          <t>Data</t>
        </is>
      </c>
      <c r="H69" s="58" t="inlineStr">
        <is>
          <t>Ora</t>
        </is>
      </c>
      <c r="I69" s="10" t="n"/>
      <c r="J69" s="58" t="inlineStr">
        <is>
          <t>Risultato</t>
        </is>
      </c>
      <c r="K69" s="9" t="n"/>
      <c r="L69" s="10" t="n"/>
    </row>
    <row r="70" ht="24" customHeight="1">
      <c r="A70" s="60">
        <f>MAX(A$10:A69)+1</f>
        <v>19</v>
      </c>
      <c r="B70" s="61" t="str">
        <f>IF(C70="","",IFERROR(VLOOKUP(C70,Campionato!$B$14:$H$23,7,FALSE),""))</f>
        <v>Bufali Belligeranti</v>
      </c>
      <c r="C70" s="62" t="inlineStr">
        <is>
          <t>A02</t>
        </is>
      </c>
      <c r="D70" s="61" t="str">
        <f>IF(E70="","",IFERROR(VLOOKUP(E70,Campionato!$B$14:$H$23,7,FALSE),""))</f>
        <v>Falchi Feroci</v>
      </c>
      <c r="E70" s="62" t="inlineStr">
        <is>
          <t>A06</t>
        </is>
      </c>
      <c r="F70" s="63" t="n">
        <v>46334.66666666666</v>
      </c>
      <c r="G70" s="9" t="n"/>
      <c r="H70" s="9" t="n"/>
      <c r="I70" s="10" t="n"/>
      <c r="J70" s="65" t="n">
        <v>43</v>
      </c>
      <c r="K70" s="66" t="inlineStr">
        <is>
          <t>-</t>
        </is>
      </c>
      <c r="L70" s="65" t="n">
        <v>54</v>
      </c>
      <c r="M70" s="67" t="str">
        <f>IF($B70="","(Squadra A)",$B70)</f>
        <v>Bufali Belligeranti</v>
      </c>
      <c r="N70" s="67">
        <f>IF($J70+$L70=0,,IF($J70&gt;$L70,1,0))</f>
        <v>0</v>
      </c>
      <c r="O70" s="67">
        <f>IF($J70+$L70=0,,IF($J70&lt;$L70,IF($J70&amp;"-"&amp;$L70=MID(Campionato!$D$10,FIND("-",Campionato!$D$10)+1,LEN(Campionato!$D$10))&amp;"-"&amp;LEFT(Campionato!$D$10,FIND("-",Campionato!$D$10)-1),1,0),0))</f>
        <v>0</v>
      </c>
      <c r="P70" s="67">
        <f>IF($J70+$L70=0,,IF($J70&lt;$L70,IF($J70&amp;"-"&amp;$L70&lt;&gt;MID(Campionato!$D$10,FIND("-",Campionato!$D$10)+1,LEN(Campionato!$D$10))&amp;"-"&amp;LEFT(Campionato!$D$10,FIND("-",Campionato!$D$10)-1),1,0),0))</f>
        <v>1</v>
      </c>
      <c r="Q70" s="67">
        <f>IF($J70+$L70=0,,$J70)</f>
        <v>43</v>
      </c>
      <c r="R70" s="67">
        <f>IF($J70+$L70=0,,$L70)</f>
        <v>54</v>
      </c>
      <c r="S70" s="67">
        <f>IF($J70+$L70=0,,$J70-$L70)</f>
        <v>-11</v>
      </c>
      <c r="T70" s="67" t="str">
        <f>IF($D70="","(Squadra B)",$D70)</f>
        <v>Falchi Feroci</v>
      </c>
      <c r="U70" s="67">
        <f>IF($J70+$L70=0,,IF($L70&gt;$J70,1,0))</f>
        <v>1</v>
      </c>
      <c r="V70" s="67">
        <f>IF($J70+$L70=0,,IF($L70&lt;$J70,IF($J70&amp;"-"&amp;$L70=Campionato!$D$10,1,0),0))</f>
        <v>0</v>
      </c>
      <c r="W70" s="67">
        <f>IF($J70+$L70=0,,IF($L70&lt;$J70,IF($J70&amp;"-"&amp;$L70&lt;&gt;Campionato!$D$10,1,0),0))</f>
        <v>0</v>
      </c>
      <c r="X70" s="67">
        <f>IF($J70+$L70=0,,$L70)</f>
        <v>54</v>
      </c>
      <c r="Y70" s="67">
        <f>IF($J70+$L70=0,,$J70)</f>
        <v>43</v>
      </c>
      <c r="Z70" s="67">
        <f>IF($J70+$L70=0,,$L70-$J70)</f>
        <v>11</v>
      </c>
      <c r="AA70" s="67" t="str">
        <f>IF($J70+$L70=0,"(Vincente)",IF($J70&gt;$L70,$B70,$D70))</f>
        <v>Falchi Feroci</v>
      </c>
      <c r="AB70" s="67" t="str">
        <f>IF($J70+$L70=0,"(Perdente)",IF($J70&lt;$L70,$B70,$D70))</f>
        <v>Bufali Belligeranti</v>
      </c>
      <c r="AC70" s="68" t="str">
        <f>IF($C70="","","[Girone "&amp;IFERROR(INDEX(Campionato!$E$14:$E$23,MATCH($C70,Campionato!$B$14:$B$23,0)),"?")&amp;"]")</f>
        <v>[Girone A]</v>
      </c>
    </row>
    <row r="71" ht="16" customHeight="1">
      <c r="A71" s="141" t="n"/>
      <c r="B71" s="69" t="str">
        <f>IF(I71="","",HYPERLINK(VLOOKUP(I71,Campionato!$B$27:$D$45,3,FALSE),VLOOKUP(I71,Campionato!$B$27:$D$45,2,FALSE)))</f>
        <v>PalaGazzelle, Via dello Sport 7, Gazzelleopoli GE</v>
      </c>
      <c r="C71" s="9" t="n"/>
      <c r="D71" s="9" t="n"/>
      <c r="E71" s="9" t="n"/>
      <c r="F71" s="9" t="n"/>
      <c r="G71" s="9" t="n"/>
      <c r="H71" s="10" t="n"/>
      <c r="I71" s="62" t="inlineStr">
        <is>
          <t>A07</t>
        </is>
      </c>
      <c r="J71" s="141" t="n"/>
      <c r="K71" s="141" t="n"/>
      <c r="L71" s="141" t="n"/>
    </row>
    <row r="72" ht="13" customHeight="1">
      <c r="A72" s="58" t="inlineStr">
        <is>
          <t>Gara N.</t>
        </is>
      </c>
      <c r="B72" s="58" t="inlineStr">
        <is>
          <t>Squadra A</t>
        </is>
      </c>
      <c r="C72" s="10" t="n"/>
      <c r="D72" s="58" t="inlineStr">
        <is>
          <t>Squadra B</t>
        </is>
      </c>
      <c r="E72" s="10" t="n"/>
      <c r="F72" s="58" t="inlineStr">
        <is>
          <t>Giorno</t>
        </is>
      </c>
      <c r="G72" s="58" t="inlineStr">
        <is>
          <t>Data</t>
        </is>
      </c>
      <c r="H72" s="58" t="inlineStr">
        <is>
          <t>Ora</t>
        </is>
      </c>
      <c r="I72" s="10" t="n"/>
      <c r="J72" s="58" t="inlineStr">
        <is>
          <t>Risultato</t>
        </is>
      </c>
      <c r="K72" s="9" t="n"/>
      <c r="L72" s="10" t="n"/>
    </row>
    <row r="73" ht="24" customHeight="1">
      <c r="A73" s="60">
        <f>MAX(A$10:A72)+1</f>
        <v>20</v>
      </c>
      <c r="B73" s="61" t="str">
        <f>IF(C73="","",IFERROR(VLOOKUP(C73,Campionato!$B$14:$H$23,7,FALSE),""))</f>
        <v>Lupi Leali</v>
      </c>
      <c r="C73" s="62" t="inlineStr">
        <is>
          <t>A09</t>
        </is>
      </c>
      <c r="D73" s="61" t="str">
        <f>IF(E73="","",IFERROR(VLOOKUP(E73,Campionato!$B$14:$H$23,7,FALSE),""))</f>
        <v>Ibis Instancabili</v>
      </c>
      <c r="E73" s="62" t="inlineStr">
        <is>
          <t>A08</t>
        </is>
      </c>
      <c r="F73" s="63" t="n">
        <v>46334.72916666666</v>
      </c>
      <c r="G73" s="9" t="n"/>
      <c r="H73" s="9" t="n"/>
      <c r="I73" s="10" t="n"/>
      <c r="J73" s="65" t="n">
        <v>47</v>
      </c>
      <c r="K73" s="66" t="inlineStr">
        <is>
          <t>-</t>
        </is>
      </c>
      <c r="L73" s="65" t="n">
        <v>66</v>
      </c>
      <c r="M73" s="67" t="str">
        <f>IF($B73="","(Squadra A)",$B73)</f>
        <v>Lupi Leali</v>
      </c>
      <c r="N73" s="67">
        <f>IF($J73+$L73=0,,IF($J73&gt;$L73,1,0))</f>
        <v>0</v>
      </c>
      <c r="O73" s="67">
        <f>IF($J73+$L73=0,,IF($J73&lt;$L73,IF($J73&amp;"-"&amp;$L73=MID(Campionato!$D$10,FIND("-",Campionato!$D$10)+1,LEN(Campionato!$D$10))&amp;"-"&amp;LEFT(Campionato!$D$10,FIND("-",Campionato!$D$10)-1),1,0),0))</f>
        <v>0</v>
      </c>
      <c r="P73" s="67">
        <f>IF($J73+$L73=0,,IF($J73&lt;$L73,IF($J73&amp;"-"&amp;$L73&lt;&gt;MID(Campionato!$D$10,FIND("-",Campionato!$D$10)+1,LEN(Campionato!$D$10))&amp;"-"&amp;LEFT(Campionato!$D$10,FIND("-",Campionato!$D$10)-1),1,0),0))</f>
        <v>1</v>
      </c>
      <c r="Q73" s="67">
        <f>IF($J73+$L73=0,,$J73)</f>
        <v>47</v>
      </c>
      <c r="R73" s="67">
        <f>IF($J73+$L73=0,,$L73)</f>
        <v>66</v>
      </c>
      <c r="S73" s="67">
        <f>IF($J73+$L73=0,,$J73-$L73)</f>
        <v>-19</v>
      </c>
      <c r="T73" s="67" t="str">
        <f>IF($D73="","(Squadra B)",$D73)</f>
        <v>Ibis Instancabili</v>
      </c>
      <c r="U73" s="67">
        <f>IF($J73+$L73=0,,IF($L73&gt;$J73,1,0))</f>
        <v>1</v>
      </c>
      <c r="V73" s="67">
        <f>IF($J73+$L73=0,,IF($L73&lt;$J73,IF($J73&amp;"-"&amp;$L73=Campionato!$D$10,1,0),0))</f>
        <v>0</v>
      </c>
      <c r="W73" s="67">
        <f>IF($J73+$L73=0,,IF($L73&lt;$J73,IF($J73&amp;"-"&amp;$L73&lt;&gt;Campionato!$D$10,1,0),0))</f>
        <v>0</v>
      </c>
      <c r="X73" s="67">
        <f>IF($J73+$L73=0,,$L73)</f>
        <v>66</v>
      </c>
      <c r="Y73" s="67">
        <f>IF($J73+$L73=0,,$J73)</f>
        <v>47</v>
      </c>
      <c r="Z73" s="67">
        <f>IF($J73+$L73=0,,$L73-$J73)</f>
        <v>19</v>
      </c>
      <c r="AA73" s="67" t="str">
        <f>IF($J73+$L73=0,"(Vincente)",IF($J73&gt;$L73,$B73,$D73))</f>
        <v>Ibis Instancabili</v>
      </c>
      <c r="AB73" s="67" t="str">
        <f>IF($J73+$L73=0,"(Perdente)",IF($J73&lt;$L73,$B73,$D73))</f>
        <v>Lupi Leali</v>
      </c>
      <c r="AC73" s="68" t="str">
        <f>IF($C73="","","[Girone "&amp;IFERROR(INDEX(Campionato!$E$14:$E$23,MATCH($C73,Campionato!$B$14:$B$23,0)),"?")&amp;"]")</f>
        <v>[Girone A]</v>
      </c>
    </row>
    <row r="74" ht="16" customHeight="1">
      <c r="A74" s="141" t="n"/>
      <c r="B74" s="69" t="str">
        <f>IF(I74="","",HYPERLINK(VLOOKUP(I74,Campionato!$B$27:$D$45,3,FALSE),VLOOKUP(I74,Campionato!$B$27:$D$45,2,FALSE)))</f>
        <v>PalaGazzelle, Via dello Sport 7, Gazzelleopoli GE</v>
      </c>
      <c r="C74" s="9" t="n"/>
      <c r="D74" s="9" t="n"/>
      <c r="E74" s="9" t="n"/>
      <c r="F74" s="9" t="n"/>
      <c r="G74" s="9" t="n"/>
      <c r="H74" s="10" t="n"/>
      <c r="I74" s="62" t="inlineStr">
        <is>
          <t>A07</t>
        </is>
      </c>
      <c r="J74" s="141" t="n"/>
      <c r="K74" s="141" t="n"/>
      <c r="L74" s="141" t="n"/>
    </row>
    <row r="75" ht="8" customHeight="1"/>
    <row r="76" ht="20" customHeight="1">
      <c r="A76" s="55" t="inlineStr">
        <is>
          <t>5A</t>
        </is>
      </c>
      <c r="B76" s="56" t="str">
        <f>"GIORNATA "&amp;ROMAN(VALUE(LEFT(A76,LEN(A76)-1)))&amp;" - GIRONE "&amp;UPPER($O$3)</f>
        <v>GIORNATA V - GIRONE GOLD</v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58" t="inlineStr">
        <is>
          <t>Gara N.</t>
        </is>
      </c>
      <c r="B77" s="58" t="inlineStr">
        <is>
          <t>Squadra A</t>
        </is>
      </c>
      <c r="C77" s="10" t="n"/>
      <c r="D77" s="58" t="inlineStr">
        <is>
          <t>Squadra B</t>
        </is>
      </c>
      <c r="E77" s="10" t="n"/>
      <c r="F77" s="58" t="inlineStr">
        <is>
          <t>Giorno</t>
        </is>
      </c>
      <c r="G77" s="58" t="inlineStr">
        <is>
          <t>Data</t>
        </is>
      </c>
      <c r="H77" s="58" t="inlineStr">
        <is>
          <t>Ora</t>
        </is>
      </c>
      <c r="I77" s="10" t="n"/>
      <c r="J77" s="58" t="inlineStr">
        <is>
          <t>Risultato</t>
        </is>
      </c>
      <c r="K77" s="9" t="n"/>
      <c r="L77" s="10" t="n"/>
    </row>
    <row r="78" ht="24" customHeight="1">
      <c r="A78" s="60">
        <f>MAX(A$10:A77)+1</f>
        <v>21</v>
      </c>
      <c r="B78" s="61" t="str">
        <f>IF(C78="","",IFERROR(VLOOKUP(C78,Campionato!$B$14:$H$23,7,FALSE),""))</f>
        <v>Lupi Leali</v>
      </c>
      <c r="C78" s="62" t="inlineStr">
        <is>
          <t>A09</t>
        </is>
      </c>
      <c r="D78" s="61" t="str">
        <f>IF(E78="","",IFERROR(VLOOKUP(E78,Campionato!$B$14:$H$23,7,FALSE),""))</f>
        <v>Anaconde Audaci</v>
      </c>
      <c r="E78" s="62" t="inlineStr">
        <is>
          <t>A01</t>
        </is>
      </c>
      <c r="F78" s="63" t="n">
        <v>46341.39583333334</v>
      </c>
      <c r="G78" s="9" t="n"/>
      <c r="H78" s="9" t="n"/>
      <c r="I78" s="10" t="n"/>
      <c r="J78" s="65" t="n">
        <v>52</v>
      </c>
      <c r="K78" s="66" t="inlineStr">
        <is>
          <t>-</t>
        </is>
      </c>
      <c r="L78" s="65" t="n">
        <v>50</v>
      </c>
      <c r="M78" s="67" t="str">
        <f>IF($B78="","(Squadra A)",$B78)</f>
        <v>Lupi Leali</v>
      </c>
      <c r="N78" s="67">
        <f>IF($J78+$L78=0,,IF($J78&gt;$L78,1,0))</f>
        <v>1</v>
      </c>
      <c r="O78" s="67">
        <f>IF($J78+$L78=0,,IF($J78&lt;$L78,IF($J78&amp;"-"&amp;$L78=MID(Campionato!$D$10,FIND("-",Campionato!$D$10)+1,LEN(Campionato!$D$10))&amp;"-"&amp;LEFT(Campionato!$D$10,FIND("-",Campionato!$D$10)-1),1,0),0))</f>
        <v>0</v>
      </c>
      <c r="P78" s="67">
        <f>IF($J78+$L78=0,,IF($J78&lt;$L78,IF($J78&amp;"-"&amp;$L78&lt;&gt;MID(Campionato!$D$10,FIND("-",Campionato!$D$10)+1,LEN(Campionato!$D$10))&amp;"-"&amp;LEFT(Campionato!$D$10,FIND("-",Campionato!$D$10)-1),1,0),0))</f>
        <v>0</v>
      </c>
      <c r="Q78" s="67">
        <f>IF($J78+$L78=0,,$J78)</f>
        <v>52</v>
      </c>
      <c r="R78" s="67">
        <f>IF($J78+$L78=0,,$L78)</f>
        <v>50</v>
      </c>
      <c r="S78" s="67">
        <f>IF($J78+$L78=0,,$J78-$L78)</f>
        <v>2</v>
      </c>
      <c r="T78" s="67" t="str">
        <f>IF($D78="","(Squadra B)",$D78)</f>
        <v>Anaconde Audaci</v>
      </c>
      <c r="U78" s="67">
        <f>IF($J78+$L78=0,,IF($L78&gt;$J78,1,0))</f>
        <v>0</v>
      </c>
      <c r="V78" s="67">
        <f>IF($J78+$L78=0,,IF($L78&lt;$J78,IF($J78&amp;"-"&amp;$L78=Campionato!$D$10,1,0),0))</f>
        <v>0</v>
      </c>
      <c r="W78" s="67">
        <f>IF($J78+$L78=0,,IF($L78&lt;$J78,IF($J78&amp;"-"&amp;$L78&lt;&gt;Campionato!$D$10,1,0),0))</f>
        <v>1</v>
      </c>
      <c r="X78" s="67">
        <f>IF($J78+$L78=0,,$L78)</f>
        <v>50</v>
      </c>
      <c r="Y78" s="67">
        <f>IF($J78+$L78=0,,$J78)</f>
        <v>52</v>
      </c>
      <c r="Z78" s="67">
        <f>IF($J78+$L78=0,,$L78-$J78)</f>
        <v>-2</v>
      </c>
      <c r="AA78" s="67" t="str">
        <f>IF($J78+$L78=0,"(Vincente)",IF($J78&gt;$L78,$B78,$D78))</f>
        <v>Lupi Leali</v>
      </c>
      <c r="AB78" s="67" t="str">
        <f>IF($J78+$L78=0,"(Perdente)",IF($J78&lt;$L78,$B78,$D78))</f>
        <v>Anaconde Audaci</v>
      </c>
      <c r="AC78" s="68" t="str">
        <f>IF($C78="","","[Girone "&amp;IFERROR(INDEX(Campionato!$E$14:$E$23,MATCH($C78,Campionato!$B$14:$B$23,0)),"?")&amp;"]")</f>
        <v>[Girone A]</v>
      </c>
    </row>
    <row r="79" ht="16" customHeight="1">
      <c r="A79" s="141" t="n"/>
      <c r="B79" s="69" t="str">
        <f>IF(I79="","",HYPERLINK(VLOOKUP(I79,Campionato!$B$27:$D$45,3,FALSE),VLOOKUP(I79,Campionato!$B$27:$D$45,2,FALSE)))</f>
        <v>PalaLupi, Via dello Sport 9, Lupiopoli LO</v>
      </c>
      <c r="C79" s="9" t="n"/>
      <c r="D79" s="9" t="n"/>
      <c r="E79" s="9" t="n"/>
      <c r="F79" s="9" t="n"/>
      <c r="G79" s="9" t="n"/>
      <c r="H79" s="10" t="n"/>
      <c r="I79" s="62" t="inlineStr">
        <is>
          <t>A09</t>
        </is>
      </c>
      <c r="J79" s="141" t="n"/>
      <c r="K79" s="141" t="n"/>
      <c r="L79" s="141" t="n"/>
    </row>
    <row r="80" ht="13" customHeight="1">
      <c r="A80" s="58" t="inlineStr">
        <is>
          <t>Gara N.</t>
        </is>
      </c>
      <c r="B80" s="58" t="inlineStr">
        <is>
          <t>Squadra A</t>
        </is>
      </c>
      <c r="C80" s="10" t="n"/>
      <c r="D80" s="58" t="inlineStr">
        <is>
          <t>Squadra B</t>
        </is>
      </c>
      <c r="E80" s="10" t="n"/>
      <c r="F80" s="58" t="inlineStr">
        <is>
          <t>Giorno</t>
        </is>
      </c>
      <c r="G80" s="58" t="inlineStr">
        <is>
          <t>Data</t>
        </is>
      </c>
      <c r="H80" s="58" t="inlineStr">
        <is>
          <t>Ora</t>
        </is>
      </c>
      <c r="I80" s="10" t="n"/>
      <c r="J80" s="58" t="inlineStr">
        <is>
          <t>Risultato</t>
        </is>
      </c>
      <c r="K80" s="9" t="n"/>
      <c r="L80" s="10" t="n"/>
    </row>
    <row r="81" ht="24" customHeight="1">
      <c r="A81" s="60">
        <f>MAX(A$10:A80)+1</f>
        <v>22</v>
      </c>
      <c r="B81" s="61" t="str">
        <f>IF(C81="","",IFERROR(VLOOKUP(C81,Campionato!$B$14:$H$23,7,FALSE),""))</f>
        <v>Ermellini Eleganti</v>
      </c>
      <c r="C81" s="62" t="inlineStr">
        <is>
          <t>A05</t>
        </is>
      </c>
      <c r="D81" s="61" t="str">
        <f>IF(E81="","",IFERROR(VLOOKUP(E81,Campionato!$B$14:$H$23,7,FALSE),""))</f>
        <v>Marmotte Mobili</v>
      </c>
      <c r="E81" s="62" t="inlineStr">
        <is>
          <t>A10</t>
        </is>
      </c>
      <c r="F81" s="63" t="n">
        <v>46341.45833333334</v>
      </c>
      <c r="G81" s="9" t="n"/>
      <c r="H81" s="9" t="n"/>
      <c r="I81" s="10" t="n"/>
      <c r="J81" s="65" t="n">
        <v>50</v>
      </c>
      <c r="K81" s="66" t="inlineStr">
        <is>
          <t>-</t>
        </is>
      </c>
      <c r="L81" s="65" t="n">
        <v>40</v>
      </c>
      <c r="M81" s="67" t="str">
        <f>IF($B81="","(Squadra A)",$B81)</f>
        <v>Ermellini Eleganti</v>
      </c>
      <c r="N81" s="67">
        <f>IF($J81+$L81=0,,IF($J81&gt;$L81,1,0))</f>
        <v>1</v>
      </c>
      <c r="O81" s="67">
        <f>IF($J81+$L81=0,,IF($J81&lt;$L81,IF($J81&amp;"-"&amp;$L81=MID(Campionato!$D$10,FIND("-",Campionato!$D$10)+1,LEN(Campionato!$D$10))&amp;"-"&amp;LEFT(Campionato!$D$10,FIND("-",Campionato!$D$10)-1),1,0),0))</f>
        <v>0</v>
      </c>
      <c r="P81" s="67">
        <f>IF($J81+$L81=0,,IF($J81&lt;$L81,IF($J81&amp;"-"&amp;$L81&lt;&gt;MID(Campionato!$D$10,FIND("-",Campionato!$D$10)+1,LEN(Campionato!$D$10))&amp;"-"&amp;LEFT(Campionato!$D$10,FIND("-",Campionato!$D$10)-1),1,0),0))</f>
        <v>0</v>
      </c>
      <c r="Q81" s="67">
        <f>IF($J81+$L81=0,,$J81)</f>
        <v>50</v>
      </c>
      <c r="R81" s="67">
        <f>IF($J81+$L81=0,,$L81)</f>
        <v>40</v>
      </c>
      <c r="S81" s="67">
        <f>IF($J81+$L81=0,,$J81-$L81)</f>
        <v>10</v>
      </c>
      <c r="T81" s="67" t="str">
        <f>IF($D81="","(Squadra B)",$D81)</f>
        <v>Marmotte Mobili</v>
      </c>
      <c r="U81" s="67">
        <f>IF($J81+$L81=0,,IF($L81&gt;$J81,1,0))</f>
        <v>0</v>
      </c>
      <c r="V81" s="67">
        <f>IF($J81+$L81=0,,IF($L81&lt;$J81,IF($J81&amp;"-"&amp;$L81=Campionato!$D$10,1,0),0))</f>
        <v>0</v>
      </c>
      <c r="W81" s="67">
        <f>IF($J81+$L81=0,,IF($L81&lt;$J81,IF($J81&amp;"-"&amp;$L81&lt;&gt;Campionato!$D$10,1,0),0))</f>
        <v>1</v>
      </c>
      <c r="X81" s="67">
        <f>IF($J81+$L81=0,,$L81)</f>
        <v>40</v>
      </c>
      <c r="Y81" s="67">
        <f>IF($J81+$L81=0,,$J81)</f>
        <v>50</v>
      </c>
      <c r="Z81" s="67">
        <f>IF($J81+$L81=0,,$L81-$J81)</f>
        <v>-10</v>
      </c>
      <c r="AA81" s="67" t="str">
        <f>IF($J81+$L81=0,"(Vincente)",IF($J81&gt;$L81,$B81,$D81))</f>
        <v>Ermellini Eleganti</v>
      </c>
      <c r="AB81" s="67" t="str">
        <f>IF($J81+$L81=0,"(Perdente)",IF($J81&lt;$L81,$B81,$D81))</f>
        <v>Marmotte Mobili</v>
      </c>
      <c r="AC81" s="68" t="str">
        <f>IF($C81="","","[Girone "&amp;IFERROR(INDEX(Campionato!$E$14:$E$23,MATCH($C81,Campionato!$B$14:$B$23,0)),"?")&amp;"]")</f>
        <v>[Girone A]</v>
      </c>
    </row>
    <row r="82" ht="16" customHeight="1">
      <c r="A82" s="141" t="n"/>
      <c r="B82" s="69" t="str">
        <f>IF(I82="","",HYPERLINK(VLOOKUP(I82,Campionato!$B$27:$D$45,3,FALSE),VLOOKUP(I82,Campionato!$B$27:$D$45,2,FALSE)))</f>
        <v>PalaLupi, Via dello Sport 9, Lupiopoli LO</v>
      </c>
      <c r="C82" s="9" t="n"/>
      <c r="D82" s="9" t="n"/>
      <c r="E82" s="9" t="n"/>
      <c r="F82" s="9" t="n"/>
      <c r="G82" s="9" t="n"/>
      <c r="H82" s="10" t="n"/>
      <c r="I82" s="62" t="inlineStr">
        <is>
          <t>A09</t>
        </is>
      </c>
      <c r="J82" s="141" t="n"/>
      <c r="K82" s="141" t="n"/>
      <c r="L82" s="141" t="n"/>
    </row>
    <row r="83" ht="13" customHeight="1">
      <c r="A83" s="58" t="inlineStr">
        <is>
          <t>Gara N.</t>
        </is>
      </c>
      <c r="B83" s="58" t="inlineStr">
        <is>
          <t>Squadra A</t>
        </is>
      </c>
      <c r="C83" s="10" t="n"/>
      <c r="D83" s="58" t="inlineStr">
        <is>
          <t>Squadra B</t>
        </is>
      </c>
      <c r="E83" s="10" t="n"/>
      <c r="F83" s="58" t="inlineStr">
        <is>
          <t>Giorno</t>
        </is>
      </c>
      <c r="G83" s="58" t="inlineStr">
        <is>
          <t>Data</t>
        </is>
      </c>
      <c r="H83" s="58" t="inlineStr">
        <is>
          <t>Ora</t>
        </is>
      </c>
      <c r="I83" s="10" t="n"/>
      <c r="J83" s="58" t="inlineStr">
        <is>
          <t>Risultato</t>
        </is>
      </c>
      <c r="K83" s="9" t="n"/>
      <c r="L83" s="10" t="n"/>
    </row>
    <row r="84" ht="24" customHeight="1">
      <c r="A84" s="60">
        <f>MAX(A$10:A83)+1</f>
        <v>23</v>
      </c>
      <c r="B84" s="61" t="str">
        <f>IF(C84="","",IFERROR(VLOOKUP(C84,Campionato!$B$14:$H$23,7,FALSE),""))</f>
        <v>Dingo Docili</v>
      </c>
      <c r="C84" s="62" t="inlineStr">
        <is>
          <t>A04</t>
        </is>
      </c>
      <c r="D84" s="61" t="str">
        <f>IF(E84="","",IFERROR(VLOOKUP(E84,Campionato!$B$14:$H$23,7,FALSE),""))</f>
        <v>Falchi Feroci</v>
      </c>
      <c r="E84" s="62" t="inlineStr">
        <is>
          <t>A06</t>
        </is>
      </c>
      <c r="F84" s="63" t="n">
        <v>46341.60416666666</v>
      </c>
      <c r="G84" s="9" t="n"/>
      <c r="H84" s="9" t="n"/>
      <c r="I84" s="10" t="n"/>
      <c r="J84" s="65" t="n">
        <v>45</v>
      </c>
      <c r="K84" s="66" t="inlineStr">
        <is>
          <t>-</t>
        </is>
      </c>
      <c r="L84" s="65" t="n">
        <v>41</v>
      </c>
      <c r="M84" s="67" t="str">
        <f>IF($B84="","(Squadra A)",$B84)</f>
        <v>Dingo Docili</v>
      </c>
      <c r="N84" s="67">
        <f>IF($J84+$L84=0,,IF($J84&gt;$L84,1,0))</f>
        <v>1</v>
      </c>
      <c r="O84" s="67">
        <f>IF($J84+$L84=0,,IF($J84&lt;$L84,IF($J84&amp;"-"&amp;$L84=MID(Campionato!$D$10,FIND("-",Campionato!$D$10)+1,LEN(Campionato!$D$10))&amp;"-"&amp;LEFT(Campionato!$D$10,FIND("-",Campionato!$D$10)-1),1,0),0))</f>
        <v>0</v>
      </c>
      <c r="P84" s="67">
        <f>IF($J84+$L84=0,,IF($J84&lt;$L84,IF($J84&amp;"-"&amp;$L84&lt;&gt;MID(Campionato!$D$10,FIND("-",Campionato!$D$10)+1,LEN(Campionato!$D$10))&amp;"-"&amp;LEFT(Campionato!$D$10,FIND("-",Campionato!$D$10)-1),1,0),0))</f>
        <v>0</v>
      </c>
      <c r="Q84" s="67">
        <f>IF($J84+$L84=0,,$J84)</f>
        <v>45</v>
      </c>
      <c r="R84" s="67">
        <f>IF($J84+$L84=0,,$L84)</f>
        <v>41</v>
      </c>
      <c r="S84" s="67">
        <f>IF($J84+$L84=0,,$J84-$L84)</f>
        <v>4</v>
      </c>
      <c r="T84" s="67" t="str">
        <f>IF($D84="","(Squadra B)",$D84)</f>
        <v>Falchi Feroci</v>
      </c>
      <c r="U84" s="67">
        <f>IF($J84+$L84=0,,IF($L84&gt;$J84,1,0))</f>
        <v>0</v>
      </c>
      <c r="V84" s="67">
        <f>IF($J84+$L84=0,,IF($L84&lt;$J84,IF($J84&amp;"-"&amp;$L84=Campionato!$D$10,1,0),0))</f>
        <v>0</v>
      </c>
      <c r="W84" s="67">
        <f>IF($J84+$L84=0,,IF($L84&lt;$J84,IF($J84&amp;"-"&amp;$L84&lt;&gt;Campionato!$D$10,1,0),0))</f>
        <v>1</v>
      </c>
      <c r="X84" s="67">
        <f>IF($J84+$L84=0,,$L84)</f>
        <v>41</v>
      </c>
      <c r="Y84" s="67">
        <f>IF($J84+$L84=0,,$J84)</f>
        <v>45</v>
      </c>
      <c r="Z84" s="67">
        <f>IF($J84+$L84=0,,$L84-$J84)</f>
        <v>-4</v>
      </c>
      <c r="AA84" s="67" t="str">
        <f>IF($J84+$L84=0,"(Vincente)",IF($J84&gt;$L84,$B84,$D84))</f>
        <v>Dingo Docili</v>
      </c>
      <c r="AB84" s="67" t="str">
        <f>IF($J84+$L84=0,"(Perdente)",IF($J84&lt;$L84,$B84,$D84))</f>
        <v>Falchi Feroci</v>
      </c>
      <c r="AC84" s="68" t="str">
        <f>IF($C84="","","[Girone "&amp;IFERROR(INDEX(Campionato!$E$14:$E$23,MATCH($C84,Campionato!$B$14:$B$23,0)),"?")&amp;"]")</f>
        <v>[Girone A]</v>
      </c>
    </row>
    <row r="85" ht="16" customHeight="1">
      <c r="A85" s="141" t="n"/>
      <c r="B85" s="69" t="str">
        <f>IF(I85="","",HYPERLINK(VLOOKUP(I85,Campionato!$B$27:$D$45,3,FALSE),VLOOKUP(I85,Campionato!$B$27:$D$45,2,FALSE)))</f>
        <v>PalaLupi, Via dello Sport 9, Lupiopoli LO</v>
      </c>
      <c r="C85" s="9" t="n"/>
      <c r="D85" s="9" t="n"/>
      <c r="E85" s="9" t="n"/>
      <c r="F85" s="9" t="n"/>
      <c r="G85" s="9" t="n"/>
      <c r="H85" s="10" t="n"/>
      <c r="I85" s="62" t="inlineStr">
        <is>
          <t>A09</t>
        </is>
      </c>
      <c r="J85" s="141" t="n"/>
      <c r="K85" s="141" t="n"/>
      <c r="L85" s="141" t="n"/>
    </row>
    <row r="86" ht="13" customHeight="1">
      <c r="A86" s="58" t="inlineStr">
        <is>
          <t>Gara N.</t>
        </is>
      </c>
      <c r="B86" s="58" t="inlineStr">
        <is>
          <t>Squadra A</t>
        </is>
      </c>
      <c r="C86" s="10" t="n"/>
      <c r="D86" s="58" t="inlineStr">
        <is>
          <t>Squadra B</t>
        </is>
      </c>
      <c r="E86" s="10" t="n"/>
      <c r="F86" s="58" t="inlineStr">
        <is>
          <t>Giorno</t>
        </is>
      </c>
      <c r="G86" s="58" t="inlineStr">
        <is>
          <t>Data</t>
        </is>
      </c>
      <c r="H86" s="58" t="inlineStr">
        <is>
          <t>Ora</t>
        </is>
      </c>
      <c r="I86" s="10" t="n"/>
      <c r="J86" s="58" t="inlineStr">
        <is>
          <t>Risultato</t>
        </is>
      </c>
      <c r="K86" s="9" t="n"/>
      <c r="L86" s="10" t="n"/>
    </row>
    <row r="87" ht="24" customHeight="1">
      <c r="A87" s="60">
        <f>MAX(A$10:A86)+1</f>
        <v>24</v>
      </c>
      <c r="B87" s="61" t="str">
        <f>IF(C87="","",IFERROR(VLOOKUP(C87,Campionato!$B$14:$H$23,7,FALSE),""))</f>
        <v>Gazzelle Gentili</v>
      </c>
      <c r="C87" s="62" t="inlineStr">
        <is>
          <t>A07</t>
        </is>
      </c>
      <c r="D87" s="61" t="str">
        <f>IF(E87="","",IFERROR(VLOOKUP(E87,Campionato!$B$14:$H$23,7,FALSE),""))</f>
        <v>Cobra Celeri</v>
      </c>
      <c r="E87" s="62" t="inlineStr">
        <is>
          <t>A03</t>
        </is>
      </c>
      <c r="F87" s="63" t="n">
        <v>46341.66666666666</v>
      </c>
      <c r="G87" s="9" t="n"/>
      <c r="H87" s="9" t="n"/>
      <c r="I87" s="10" t="n"/>
      <c r="J87" s="65" t="n">
        <v>39</v>
      </c>
      <c r="K87" s="66" t="inlineStr">
        <is>
          <t>-</t>
        </is>
      </c>
      <c r="L87" s="65" t="n">
        <v>58</v>
      </c>
      <c r="M87" s="67" t="str">
        <f>IF($B87="","(Squadra A)",$B87)</f>
        <v>Gazzelle Gentili</v>
      </c>
      <c r="N87" s="67">
        <f>IF($J87+$L87=0,,IF($J87&gt;$L87,1,0))</f>
        <v>0</v>
      </c>
      <c r="O87" s="67">
        <f>IF($J87+$L87=0,,IF($J87&lt;$L87,IF($J87&amp;"-"&amp;$L87=MID(Campionato!$D$10,FIND("-",Campionato!$D$10)+1,LEN(Campionato!$D$10))&amp;"-"&amp;LEFT(Campionato!$D$10,FIND("-",Campionato!$D$10)-1),1,0),0))</f>
        <v>0</v>
      </c>
      <c r="P87" s="67">
        <f>IF($J87+$L87=0,,IF($J87&lt;$L87,IF($J87&amp;"-"&amp;$L87&lt;&gt;MID(Campionato!$D$10,FIND("-",Campionato!$D$10)+1,LEN(Campionato!$D$10))&amp;"-"&amp;LEFT(Campionato!$D$10,FIND("-",Campionato!$D$10)-1),1,0),0))</f>
        <v>1</v>
      </c>
      <c r="Q87" s="67">
        <f>IF($J87+$L87=0,,$J87)</f>
        <v>39</v>
      </c>
      <c r="R87" s="67">
        <f>IF($J87+$L87=0,,$L87)</f>
        <v>58</v>
      </c>
      <c r="S87" s="67">
        <f>IF($J87+$L87=0,,$J87-$L87)</f>
        <v>-19</v>
      </c>
      <c r="T87" s="67" t="str">
        <f>IF($D87="","(Squadra B)",$D87)</f>
        <v>Cobra Celeri</v>
      </c>
      <c r="U87" s="67">
        <f>IF($J87+$L87=0,,IF($L87&gt;$J87,1,0))</f>
        <v>1</v>
      </c>
      <c r="V87" s="67">
        <f>IF($J87+$L87=0,,IF($L87&lt;$J87,IF($J87&amp;"-"&amp;$L87=Campionato!$D$10,1,0),0))</f>
        <v>0</v>
      </c>
      <c r="W87" s="67">
        <f>IF($J87+$L87=0,,IF($L87&lt;$J87,IF($J87&amp;"-"&amp;$L87&lt;&gt;Campionato!$D$10,1,0),0))</f>
        <v>0</v>
      </c>
      <c r="X87" s="67">
        <f>IF($J87+$L87=0,,$L87)</f>
        <v>58</v>
      </c>
      <c r="Y87" s="67">
        <f>IF($J87+$L87=0,,$J87)</f>
        <v>39</v>
      </c>
      <c r="Z87" s="67">
        <f>IF($J87+$L87=0,,$L87-$J87)</f>
        <v>19</v>
      </c>
      <c r="AA87" s="67" t="str">
        <f>IF($J87+$L87=0,"(Vincente)",IF($J87&gt;$L87,$B87,$D87))</f>
        <v>Cobra Celeri</v>
      </c>
      <c r="AB87" s="67" t="str">
        <f>IF($J87+$L87=0,"(Perdente)",IF($J87&lt;$L87,$B87,$D87))</f>
        <v>Gazzelle Gentili</v>
      </c>
      <c r="AC87" s="68" t="str">
        <f>IF($C87="","","[Girone "&amp;IFERROR(INDEX(Campionato!$E$14:$E$23,MATCH($C87,Campionato!$B$14:$B$23,0)),"?")&amp;"]")</f>
        <v>[Girone A]</v>
      </c>
    </row>
    <row r="88" ht="16" customHeight="1">
      <c r="A88" s="141" t="n"/>
      <c r="B88" s="69" t="str">
        <f>IF(I88="","",HYPERLINK(VLOOKUP(I88,Campionato!$B$27:$D$45,3,FALSE),VLOOKUP(I88,Campionato!$B$27:$D$45,2,FALSE)))</f>
        <v>PalaLupi, Via dello Sport 9, Lupiopoli LO</v>
      </c>
      <c r="C88" s="9" t="n"/>
      <c r="D88" s="9" t="n"/>
      <c r="E88" s="9" t="n"/>
      <c r="F88" s="9" t="n"/>
      <c r="G88" s="9" t="n"/>
      <c r="H88" s="10" t="n"/>
      <c r="I88" s="62" t="inlineStr">
        <is>
          <t>A09</t>
        </is>
      </c>
      <c r="J88" s="141" t="n"/>
      <c r="K88" s="141" t="n"/>
      <c r="L88" s="141" t="n"/>
    </row>
    <row r="89" ht="13" customHeight="1">
      <c r="A89" s="58" t="inlineStr">
        <is>
          <t>Gara N.</t>
        </is>
      </c>
      <c r="B89" s="58" t="inlineStr">
        <is>
          <t>Squadra A</t>
        </is>
      </c>
      <c r="C89" s="10" t="n"/>
      <c r="D89" s="58" t="inlineStr">
        <is>
          <t>Squadra B</t>
        </is>
      </c>
      <c r="E89" s="10" t="n"/>
      <c r="F89" s="58" t="inlineStr">
        <is>
          <t>Giorno</t>
        </is>
      </c>
      <c r="G89" s="58" t="inlineStr">
        <is>
          <t>Data</t>
        </is>
      </c>
      <c r="H89" s="58" t="inlineStr">
        <is>
          <t>Ora</t>
        </is>
      </c>
      <c r="I89" s="10" t="n"/>
      <c r="J89" s="58" t="inlineStr">
        <is>
          <t>Risultato</t>
        </is>
      </c>
      <c r="K89" s="9" t="n"/>
      <c r="L89" s="10" t="n"/>
    </row>
    <row r="90" ht="24" customHeight="1">
      <c r="A90" s="60">
        <f>MAX(A$10:A89)+1</f>
        <v>25</v>
      </c>
      <c r="B90" s="61" t="str">
        <f>IF(C90="","",IFERROR(VLOOKUP(C90,Campionato!$B$14:$H$23,7,FALSE),""))</f>
        <v>Bufali Belligeranti</v>
      </c>
      <c r="C90" s="62" t="inlineStr">
        <is>
          <t>A02</t>
        </is>
      </c>
      <c r="D90" s="61" t="str">
        <f>IF(E90="","",IFERROR(VLOOKUP(E90,Campionato!$B$14:$H$23,7,FALSE),""))</f>
        <v>Ibis Instancabili</v>
      </c>
      <c r="E90" s="62" t="inlineStr">
        <is>
          <t>A08</t>
        </is>
      </c>
      <c r="F90" s="63" t="n">
        <v>46341.72916666666</v>
      </c>
      <c r="G90" s="9" t="n"/>
      <c r="H90" s="9" t="n"/>
      <c r="I90" s="10" t="n"/>
      <c r="J90" s="65" t="n">
        <v>26</v>
      </c>
      <c r="K90" s="66" t="inlineStr">
        <is>
          <t>-</t>
        </is>
      </c>
      <c r="L90" s="65" t="n">
        <v>49</v>
      </c>
      <c r="M90" s="67" t="str">
        <f>IF($B90="","(Squadra A)",$B90)</f>
        <v>Bufali Belligeranti</v>
      </c>
      <c r="N90" s="67">
        <f>IF($J90+$L90=0,,IF($J90&gt;$L90,1,0))</f>
        <v>0</v>
      </c>
      <c r="O90" s="67">
        <f>IF($J90+$L90=0,,IF($J90&lt;$L90,IF($J90&amp;"-"&amp;$L90=MID(Campionato!$D$10,FIND("-",Campionato!$D$10)+1,LEN(Campionato!$D$10))&amp;"-"&amp;LEFT(Campionato!$D$10,FIND("-",Campionato!$D$10)-1),1,0),0))</f>
        <v>0</v>
      </c>
      <c r="P90" s="67">
        <f>IF($J90+$L90=0,,IF($J90&lt;$L90,IF($J90&amp;"-"&amp;$L90&lt;&gt;MID(Campionato!$D$10,FIND("-",Campionato!$D$10)+1,LEN(Campionato!$D$10))&amp;"-"&amp;LEFT(Campionato!$D$10,FIND("-",Campionato!$D$10)-1),1,0),0))</f>
        <v>1</v>
      </c>
      <c r="Q90" s="67">
        <f>IF($J90+$L90=0,,$J90)</f>
        <v>26</v>
      </c>
      <c r="R90" s="67">
        <f>IF($J90+$L90=0,,$L90)</f>
        <v>49</v>
      </c>
      <c r="S90" s="67">
        <f>IF($J90+$L90=0,,$J90-$L90)</f>
        <v>-23</v>
      </c>
      <c r="T90" s="67" t="str">
        <f>IF($D90="","(Squadra B)",$D90)</f>
        <v>Ibis Instancabili</v>
      </c>
      <c r="U90" s="67">
        <f>IF($J90+$L90=0,,IF($L90&gt;$J90,1,0))</f>
        <v>1</v>
      </c>
      <c r="V90" s="67">
        <f>IF($J90+$L90=0,,IF($L90&lt;$J90,IF($J90&amp;"-"&amp;$L90=Campionato!$D$10,1,0),0))</f>
        <v>0</v>
      </c>
      <c r="W90" s="67">
        <f>IF($J90+$L90=0,,IF($L90&lt;$J90,IF($J90&amp;"-"&amp;$L90&lt;&gt;Campionato!$D$10,1,0),0))</f>
        <v>0</v>
      </c>
      <c r="X90" s="67">
        <f>IF($J90+$L90=0,,$L90)</f>
        <v>49</v>
      </c>
      <c r="Y90" s="67">
        <f>IF($J90+$L90=0,,$J90)</f>
        <v>26</v>
      </c>
      <c r="Z90" s="67">
        <f>IF($J90+$L90=0,,$L90-$J90)</f>
        <v>23</v>
      </c>
      <c r="AA90" s="67" t="str">
        <f>IF($J90+$L90=0,"(Vincente)",IF($J90&gt;$L90,$B90,$D90))</f>
        <v>Ibis Instancabili</v>
      </c>
      <c r="AB90" s="67" t="str">
        <f>IF($J90+$L90=0,"(Perdente)",IF($J90&lt;$L90,$B90,$D90))</f>
        <v>Bufali Belligeranti</v>
      </c>
      <c r="AC90" s="68" t="str">
        <f>IF($C90="","","[Girone "&amp;IFERROR(INDEX(Campionato!$E$14:$E$23,MATCH($C90,Campionato!$B$14:$B$23,0)),"?")&amp;"]")</f>
        <v>[Girone A]</v>
      </c>
    </row>
    <row r="91" ht="16" customHeight="1">
      <c r="A91" s="141" t="n"/>
      <c r="B91" s="69" t="str">
        <f>IF(I91="","",HYPERLINK(VLOOKUP(I91,Campionato!$B$27:$D$45,3,FALSE),VLOOKUP(I91,Campionato!$B$27:$D$45,2,FALSE)))</f>
        <v>PalaLupi, Via dello Sport 9, Lupiopoli LO</v>
      </c>
      <c r="C91" s="9" t="n"/>
      <c r="D91" s="9" t="n"/>
      <c r="E91" s="9" t="n"/>
      <c r="F91" s="9" t="n"/>
      <c r="G91" s="9" t="n"/>
      <c r="H91" s="10" t="n"/>
      <c r="I91" s="62" t="inlineStr">
        <is>
          <t>A09</t>
        </is>
      </c>
      <c r="J91" s="141" t="n"/>
      <c r="K91" s="141" t="n"/>
      <c r="L91" s="141" t="n"/>
    </row>
    <row r="92" ht="8" customHeight="1"/>
    <row r="93" ht="20" customHeight="1">
      <c r="A93" s="55" t="inlineStr">
        <is>
          <t>6A</t>
        </is>
      </c>
      <c r="B93" s="56" t="str">
        <f>"GIORNATA "&amp;ROMAN(VALUE(LEFT(A93,LEN(A93)-1)))&amp;" - GIRONE "&amp;UPPER($O$3)</f>
        <v>GIORNATA VI - GIRONE GOLD</v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>26</v>
      </c>
      <c r="B95" s="61" t="str">
        <f>IF(C95="","",IFERROR(VLOOKUP(C95,Campionato!$B$14:$H$23,7,FALSE),""))</f>
        <v>Bufali Belligeranti</v>
      </c>
      <c r="C95" s="62" t="inlineStr">
        <is>
          <t>A02</t>
        </is>
      </c>
      <c r="D95" s="61" t="str">
        <f>IF(E95="","",IFERROR(VLOOKUP(E95,Campionato!$B$14:$H$23,7,FALSE),""))</f>
        <v>Anaconde Audaci</v>
      </c>
      <c r="E95" s="62" t="inlineStr">
        <is>
          <t>A01</t>
        </is>
      </c>
      <c r="F95" s="63" t="n">
        <v>46348.39583333334</v>
      </c>
      <c r="G95" s="9" t="n"/>
      <c r="H95" s="9" t="n"/>
      <c r="I95" s="10" t="n"/>
      <c r="J95" s="65" t="n">
        <v>54</v>
      </c>
      <c r="K95" s="66" t="inlineStr">
        <is>
          <t>-</t>
        </is>
      </c>
      <c r="L95" s="65" t="n">
        <v>69</v>
      </c>
      <c r="M95" s="67" t="str">
        <f>IF($B95="","(Squadra A)",$B95)</f>
        <v>Bufali Belligeranti</v>
      </c>
      <c r="N95" s="67">
        <f>IF($J95+$L95=0,,IF($J95&gt;$L95,1,0))</f>
        <v>0</v>
      </c>
      <c r="O95" s="67">
        <f>IF($J95+$L95=0,,IF($J95&lt;$L95,IF($J95&amp;"-"&amp;$L95=MID(Campionato!$D$10,FIND("-",Campionato!$D$10)+1,LEN(Campionato!$D$10))&amp;"-"&amp;LEFT(Campionato!$D$10,FIND("-",Campionato!$D$10)-1),1,0),0))</f>
        <v>0</v>
      </c>
      <c r="P95" s="67">
        <f>IF($J95+$L95=0,,IF($J95&lt;$L95,IF($J95&amp;"-"&amp;$L95&lt;&gt;MID(Campionato!$D$10,FIND("-",Campionato!$D$10)+1,LEN(Campionato!$D$10))&amp;"-"&amp;LEFT(Campionato!$D$10,FIND("-",Campionato!$D$10)-1),1,0),0))</f>
        <v>1</v>
      </c>
      <c r="Q95" s="67">
        <f>IF($J95+$L95=0,,$J95)</f>
        <v>54</v>
      </c>
      <c r="R95" s="67">
        <f>IF($J95+$L95=0,,$L95)</f>
        <v>69</v>
      </c>
      <c r="S95" s="67">
        <f>IF($J95+$L95=0,,$J95-$L95)</f>
        <v>-15</v>
      </c>
      <c r="T95" s="67" t="str">
        <f>IF($D95="","(Squadra B)",$D95)</f>
        <v>Anaconde Audaci</v>
      </c>
      <c r="U95" s="67">
        <f>IF($J95+$L95=0,,IF($L95&gt;$J95,1,0))</f>
        <v>1</v>
      </c>
      <c r="V95" s="67">
        <f>IF($J95+$L95=0,,IF($L95&lt;$J95,IF($J95&amp;"-"&amp;$L95=Campionato!$D$10,1,0),0))</f>
        <v>0</v>
      </c>
      <c r="W95" s="67">
        <f>IF($J95+$L95=0,,IF($L95&lt;$J95,IF($J95&amp;"-"&amp;$L95&lt;&gt;Campionato!$D$10,1,0),0))</f>
        <v>0</v>
      </c>
      <c r="X95" s="67">
        <f>IF($J95+$L95=0,,$L95)</f>
        <v>69</v>
      </c>
      <c r="Y95" s="67">
        <f>IF($J95+$L95=0,,$J95)</f>
        <v>54</v>
      </c>
      <c r="Z95" s="67">
        <f>IF($J95+$L95=0,,$L95-$J95)</f>
        <v>15</v>
      </c>
      <c r="AA95" s="67" t="str">
        <f>IF($J95+$L95=0,"(Vincente)",IF($J95&gt;$L95,$B95,$D95))</f>
        <v>Anaconde Audaci</v>
      </c>
      <c r="AB95" s="67" t="str">
        <f>IF($J95+$L95=0,"(Perdente)",IF($J95&lt;$L95,$B95,$D95))</f>
        <v>Bufali Belligeranti</v>
      </c>
      <c r="AC95" s="68" t="str">
        <f>IF($C95="","","[Girone "&amp;IFERROR(INDEX(Campionato!$E$14:$E$23,MATCH($C95,Campionato!$B$14:$B$23,0)),"?")&amp;"]")</f>
        <v>[Girone A]</v>
      </c>
    </row>
    <row r="96" ht="16" customHeight="1">
      <c r="A96" s="141" t="n"/>
      <c r="B96" s="69" t="str">
        <f>IF(I96="","",HYPERLINK(VLOOKUP(I96,Campionato!$B$27:$D$45,3,FALSE),VLOOKUP(I96,Campionato!$B$27:$D$45,2,FALSE)))</f>
        <v>PalaAnaconde, Via dello Sport 1, Anacondeopoli AA</v>
      </c>
      <c r="C96" s="9" t="n"/>
      <c r="D96" s="9" t="n"/>
      <c r="E96" s="9" t="n"/>
      <c r="F96" s="9" t="n"/>
      <c r="G96" s="9" t="n"/>
      <c r="H96" s="10" t="n"/>
      <c r="I96" s="62" t="inlineStr">
        <is>
          <t>A01</t>
        </is>
      </c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>27</v>
      </c>
      <c r="B98" s="61" t="str">
        <f>IF(C98="","",IFERROR(VLOOKUP(C98,Campionato!$B$14:$H$23,7,FALSE),""))</f>
        <v>Marmotte Mobili</v>
      </c>
      <c r="C98" s="62" t="inlineStr">
        <is>
          <t>A10</t>
        </is>
      </c>
      <c r="D98" s="61" t="str">
        <f>IF(E98="","",IFERROR(VLOOKUP(E98,Campionato!$B$14:$H$23,7,FALSE),""))</f>
        <v>Falchi Feroci</v>
      </c>
      <c r="E98" s="62" t="inlineStr">
        <is>
          <t>A06</t>
        </is>
      </c>
      <c r="F98" s="63" t="n">
        <v>46348.45833333334</v>
      </c>
      <c r="G98" s="9" t="n"/>
      <c r="H98" s="9" t="n"/>
      <c r="I98" s="10" t="n"/>
      <c r="J98" s="65" t="n">
        <v>60</v>
      </c>
      <c r="K98" s="66" t="inlineStr">
        <is>
          <t>-</t>
        </is>
      </c>
      <c r="L98" s="65" t="n">
        <v>77</v>
      </c>
      <c r="M98" s="67" t="str">
        <f>IF($B98="","(Squadra A)",$B98)</f>
        <v>Marmotte Mobili</v>
      </c>
      <c r="N98" s="67">
        <f>IF($J98+$L98=0,,IF($J98&gt;$L98,1,0))</f>
        <v>0</v>
      </c>
      <c r="O98" s="67">
        <f>IF($J98+$L98=0,,IF($J98&lt;$L98,IF($J98&amp;"-"&amp;$L98=MID(Campionato!$D$10,FIND("-",Campionato!$D$10)+1,LEN(Campionato!$D$10))&amp;"-"&amp;LEFT(Campionato!$D$10,FIND("-",Campionato!$D$10)-1),1,0),0))</f>
        <v>0</v>
      </c>
      <c r="P98" s="67">
        <f>IF($J98+$L98=0,,IF($J98&lt;$L98,IF($J98&amp;"-"&amp;$L98&lt;&gt;MID(Campionato!$D$10,FIND("-",Campionato!$D$10)+1,LEN(Campionato!$D$10))&amp;"-"&amp;LEFT(Campionato!$D$10,FIND("-",Campionato!$D$10)-1),1,0),0))</f>
        <v>1</v>
      </c>
      <c r="Q98" s="67">
        <f>IF($J98+$L98=0,,$J98)</f>
        <v>60</v>
      </c>
      <c r="R98" s="67">
        <f>IF($J98+$L98=0,,$L98)</f>
        <v>77</v>
      </c>
      <c r="S98" s="67">
        <f>IF($J98+$L98=0,,$J98-$L98)</f>
        <v>-17</v>
      </c>
      <c r="T98" s="67" t="str">
        <f>IF($D98="","(Squadra B)",$D98)</f>
        <v>Falchi Feroci</v>
      </c>
      <c r="U98" s="67">
        <f>IF($J98+$L98=0,,IF($L98&gt;$J98,1,0))</f>
        <v>1</v>
      </c>
      <c r="V98" s="67">
        <f>IF($J98+$L98=0,,IF($L98&lt;$J98,IF($J98&amp;"-"&amp;$L98=Campionato!$D$10,1,0),0))</f>
        <v>0</v>
      </c>
      <c r="W98" s="67">
        <f>IF($J98+$L98=0,,IF($L98&lt;$J98,IF($J98&amp;"-"&amp;$L98&lt;&gt;Campionato!$D$10,1,0),0))</f>
        <v>0</v>
      </c>
      <c r="X98" s="67">
        <f>IF($J98+$L98=0,,$L98)</f>
        <v>77</v>
      </c>
      <c r="Y98" s="67">
        <f>IF($J98+$L98=0,,$J98)</f>
        <v>60</v>
      </c>
      <c r="Z98" s="67">
        <f>IF($J98+$L98=0,,$L98-$J98)</f>
        <v>17</v>
      </c>
      <c r="AA98" s="67" t="str">
        <f>IF($J98+$L98=0,"(Vincente)",IF($J98&gt;$L98,$B98,$D98))</f>
        <v>Falchi Feroci</v>
      </c>
      <c r="AB98" s="67" t="str">
        <f>IF($J98+$L98=0,"(Perdente)",IF($J98&lt;$L98,$B98,$D98))</f>
        <v>Marmotte Mobili</v>
      </c>
      <c r="AC98" s="68" t="str">
        <f>IF($C98="","","[Girone "&amp;IFERROR(INDEX(Campionato!$E$14:$E$23,MATCH($C98,Campionato!$B$14:$B$23,0)),"?")&amp;"]")</f>
        <v>[Girone A]</v>
      </c>
    </row>
    <row r="99" ht="16" customHeight="1">
      <c r="A99" s="141" t="n"/>
      <c r="B99" s="69" t="str">
        <f>IF(I99="","",HYPERLINK(VLOOKUP(I99,Campionato!$B$27:$D$45,3,FALSE),VLOOKUP(I99,Campionato!$B$27:$D$45,2,FALSE)))</f>
        <v>PalaAnaconde, Via dello Sport 1, Anacondeopoli AA</v>
      </c>
      <c r="C99" s="9" t="n"/>
      <c r="D99" s="9" t="n"/>
      <c r="E99" s="9" t="n"/>
      <c r="F99" s="9" t="n"/>
      <c r="G99" s="9" t="n"/>
      <c r="H99" s="10" t="n"/>
      <c r="I99" s="62" t="inlineStr">
        <is>
          <t>A01</t>
        </is>
      </c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>28</v>
      </c>
      <c r="B101" s="61" t="str">
        <f>IF(C101="","",IFERROR(VLOOKUP(C101,Campionato!$B$14:$H$23,7,FALSE),""))</f>
        <v>Gazzelle Gentili</v>
      </c>
      <c r="C101" s="62" t="inlineStr">
        <is>
          <t>A07</t>
        </is>
      </c>
      <c r="D101" s="61" t="str">
        <f>IF(E101="","",IFERROR(VLOOKUP(E101,Campionato!$B$14:$H$23,7,FALSE),""))</f>
        <v>Ermellini Eleganti</v>
      </c>
      <c r="E101" s="62" t="inlineStr">
        <is>
          <t>A05</t>
        </is>
      </c>
      <c r="F101" s="63" t="n">
        <v>46348.60416666666</v>
      </c>
      <c r="G101" s="9" t="n"/>
      <c r="H101" s="9" t="n"/>
      <c r="I101" s="10" t="n"/>
      <c r="J101" s="65" t="n">
        <v>41</v>
      </c>
      <c r="K101" s="66" t="inlineStr">
        <is>
          <t>-</t>
        </is>
      </c>
      <c r="L101" s="65" t="n">
        <v>49</v>
      </c>
      <c r="M101" s="67" t="str">
        <f>IF($B101="","(Squadra A)",$B101)</f>
        <v>Gazzelle Gentili</v>
      </c>
      <c r="N101" s="67">
        <f>IF($J101+$L101=0,,IF($J101&gt;$L101,1,0))</f>
        <v>0</v>
      </c>
      <c r="O101" s="67">
        <f>IF($J101+$L101=0,,IF($J101&lt;$L101,IF($J101&amp;"-"&amp;$L101=MID(Campionato!$D$10,FIND("-",Campionato!$D$10)+1,LEN(Campionato!$D$10))&amp;"-"&amp;LEFT(Campionato!$D$10,FIND("-",Campionato!$D$10)-1),1,0),0))</f>
        <v>0</v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>1</v>
      </c>
      <c r="Q101" s="67">
        <f>IF($J101+$L101=0,,$J101)</f>
        <v>41</v>
      </c>
      <c r="R101" s="67">
        <f>IF($J101+$L101=0,,$L101)</f>
        <v>49</v>
      </c>
      <c r="S101" s="67">
        <f>IF($J101+$L101=0,,$J101-$L101)</f>
        <v>-8</v>
      </c>
      <c r="T101" s="67" t="str">
        <f>IF($D101="","(Squadra B)",$D101)</f>
        <v>Ermellini Eleganti</v>
      </c>
      <c r="U101" s="67">
        <f>IF($J101+$L101=0,,IF($L101&gt;$J101,1,0))</f>
        <v>1</v>
      </c>
      <c r="V101" s="67">
        <f>IF($J101+$L101=0,,IF($L101&lt;$J101,IF($J101&amp;"-"&amp;$L101=Campionato!$D$10,1,0),0))</f>
        <v>0</v>
      </c>
      <c r="W101" s="67">
        <f>IF($J101+$L101=0,,IF($L101&lt;$J101,IF($J101&amp;"-"&amp;$L101&lt;&gt;Campionato!$D$10,1,0),0))</f>
        <v>0</v>
      </c>
      <c r="X101" s="67">
        <f>IF($J101+$L101=0,,$L101)</f>
        <v>49</v>
      </c>
      <c r="Y101" s="67">
        <f>IF($J101+$L101=0,,$J101)</f>
        <v>41</v>
      </c>
      <c r="Z101" s="67">
        <f>IF($J101+$L101=0,,$L101-$J101)</f>
        <v>8</v>
      </c>
      <c r="AA101" s="67" t="str">
        <f>IF($J101+$L101=0,"(Vincente)",IF($J101&gt;$L101,$B101,$D101))</f>
        <v>Ermellini Eleganti</v>
      </c>
      <c r="AB101" s="67" t="str">
        <f>IF($J101+$L101=0,"(Perdente)",IF($J101&lt;$L101,$B101,$D101))</f>
        <v>Gazzelle Gentili</v>
      </c>
      <c r="AC101" s="68" t="str">
        <f>IF($C101="","","[Girone "&amp;IFERROR(INDEX(Campionato!$E$14:$E$23,MATCH($C101,Campionato!$B$14:$B$23,0)),"?")&amp;"]")</f>
        <v>[Girone A]</v>
      </c>
    </row>
    <row r="102" ht="16" customHeight="1">
      <c r="A102" s="141" t="n"/>
      <c r="B102" s="69" t="str">
        <f>IF(I102="","",HYPERLINK(VLOOKUP(I102,Campionato!$B$27:$D$45,3,FALSE),VLOOKUP(I102,Campionato!$B$27:$D$45,2,FALSE)))</f>
        <v>PalaAnaconde, Via dello Sport 1, Anacondeopoli AA</v>
      </c>
      <c r="C102" s="9" t="n"/>
      <c r="D102" s="9" t="n"/>
      <c r="E102" s="9" t="n"/>
      <c r="F102" s="9" t="n"/>
      <c r="G102" s="9" t="n"/>
      <c r="H102" s="10" t="n"/>
      <c r="I102" s="62" t="inlineStr">
        <is>
          <t>A01</t>
        </is>
      </c>
      <c r="J102" s="141" t="n"/>
      <c r="K102" s="141" t="n"/>
      <c r="L102" s="141" t="n"/>
    </row>
    <row r="103" ht="13" customHeight="1">
      <c r="A103" s="58" t="inlineStr">
        <is>
          <t>Gara N.</t>
        </is>
      </c>
      <c r="B103" s="58" t="inlineStr">
        <is>
          <t>Squadra A</t>
        </is>
      </c>
      <c r="C103" s="10" t="n"/>
      <c r="D103" s="58" t="inlineStr">
        <is>
          <t>Squadra B</t>
        </is>
      </c>
      <c r="E103" s="10" t="n"/>
      <c r="F103" s="58" t="inlineStr">
        <is>
          <t>Giorno</t>
        </is>
      </c>
      <c r="G103" s="58" t="inlineStr">
        <is>
          <t>Data</t>
        </is>
      </c>
      <c r="H103" s="58" t="inlineStr">
        <is>
          <t>Ora</t>
        </is>
      </c>
      <c r="I103" s="10" t="n"/>
      <c r="J103" s="58" t="inlineStr">
        <is>
          <t>Risultato</t>
        </is>
      </c>
      <c r="K103" s="9" t="n"/>
      <c r="L103" s="10" t="n"/>
    </row>
    <row r="104" ht="24" customHeight="1">
      <c r="A104" s="60">
        <f>MAX(A$10:A103)+1</f>
        <v>29</v>
      </c>
      <c r="B104" s="61" t="str">
        <f>IF(C104="","",IFERROR(VLOOKUP(C104,Campionato!$B$14:$H$23,7,FALSE),""))</f>
        <v>Dingo Docili</v>
      </c>
      <c r="C104" s="62" t="inlineStr">
        <is>
          <t>A04</t>
        </is>
      </c>
      <c r="D104" s="61" t="str">
        <f>IF(E104="","",IFERROR(VLOOKUP(E104,Campionato!$B$14:$H$23,7,FALSE),""))</f>
        <v>Ibis Instancabili</v>
      </c>
      <c r="E104" s="62" t="inlineStr">
        <is>
          <t>A08</t>
        </is>
      </c>
      <c r="F104" s="63" t="n">
        <v>46348.66666666666</v>
      </c>
      <c r="G104" s="9" t="n"/>
      <c r="H104" s="9" t="n"/>
      <c r="I104" s="10" t="n"/>
      <c r="J104" s="65" t="n">
        <v>45</v>
      </c>
      <c r="K104" s="66" t="inlineStr">
        <is>
          <t>-</t>
        </is>
      </c>
      <c r="L104" s="65" t="n">
        <v>24</v>
      </c>
      <c r="M104" s="67" t="str">
        <f>IF($B104="","(Squadra A)",$B104)</f>
        <v>Dingo Docili</v>
      </c>
      <c r="N104" s="67">
        <f>IF($J104+$L104=0,,IF($J104&gt;$L104,1,0))</f>
        <v>1</v>
      </c>
      <c r="O104" s="67">
        <f>IF($J104+$L104=0,,IF($J104&lt;$L104,IF($J104&amp;"-"&amp;$L104=MID(Campionato!$D$10,FIND("-",Campionato!$D$10)+1,LEN(Campionato!$D$10))&amp;"-"&amp;LEFT(Campionato!$D$10,FIND("-",Campionato!$D$10)-1),1,0),0))</f>
        <v>0</v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>0</v>
      </c>
      <c r="Q104" s="67">
        <f>IF($J104+$L104=0,,$J104)</f>
        <v>45</v>
      </c>
      <c r="R104" s="67">
        <f>IF($J104+$L104=0,,$L104)</f>
        <v>24</v>
      </c>
      <c r="S104" s="67">
        <f>IF($J104+$L104=0,,$J104-$L104)</f>
        <v>21</v>
      </c>
      <c r="T104" s="67" t="str">
        <f>IF($D104="","(Squadra B)",$D104)</f>
        <v>Ibis Instancabili</v>
      </c>
      <c r="U104" s="67">
        <f>IF($J104+$L104=0,,IF($L104&gt;$J104,1,0))</f>
        <v>0</v>
      </c>
      <c r="V104" s="67">
        <f>IF($J104+$L104=0,,IF($L104&lt;$J104,IF($J104&amp;"-"&amp;$L104=Campionato!$D$10,1,0),0))</f>
        <v>0</v>
      </c>
      <c r="W104" s="67">
        <f>IF($J104+$L104=0,,IF($L104&lt;$J104,IF($J104&amp;"-"&amp;$L104&lt;&gt;Campionato!$D$10,1,0),0))</f>
        <v>1</v>
      </c>
      <c r="X104" s="67">
        <f>IF($J104+$L104=0,,$L104)</f>
        <v>24</v>
      </c>
      <c r="Y104" s="67">
        <f>IF($J104+$L104=0,,$J104)</f>
        <v>45</v>
      </c>
      <c r="Z104" s="67">
        <f>IF($J104+$L104=0,,$L104-$J104)</f>
        <v>-21</v>
      </c>
      <c r="AA104" s="67" t="str">
        <f>IF($J104+$L104=0,"(Vincente)",IF($J104&gt;$L104,$B104,$D104))</f>
        <v>Dingo Docili</v>
      </c>
      <c r="AB104" s="67" t="str">
        <f>IF($J104+$L104=0,"(Perdente)",IF($J104&lt;$L104,$B104,$D104))</f>
        <v>Ibis Instancabili</v>
      </c>
      <c r="AC104" s="68" t="str">
        <f>IF($C104="","","[Girone "&amp;IFERROR(INDEX(Campionato!$E$14:$E$23,MATCH($C104,Campionato!$B$14:$B$23,0)),"?")&amp;"]")</f>
        <v>[Girone A]</v>
      </c>
    </row>
    <row r="105" ht="16" customHeight="1">
      <c r="A105" s="141" t="n"/>
      <c r="B105" s="69" t="str">
        <f>IF(I105="","",HYPERLINK(VLOOKUP(I105,Campionato!$B$27:$D$45,3,FALSE),VLOOKUP(I105,Campionato!$B$27:$D$45,2,FALSE)))</f>
        <v>PalaAnaconde, Via dello Sport 1, Anacondeopoli AA</v>
      </c>
      <c r="C105" s="9" t="n"/>
      <c r="D105" s="9" t="n"/>
      <c r="E105" s="9" t="n"/>
      <c r="F105" s="9" t="n"/>
      <c r="G105" s="9" t="n"/>
      <c r="H105" s="10" t="n"/>
      <c r="I105" s="62" t="inlineStr">
        <is>
          <t>A01</t>
        </is>
      </c>
      <c r="J105" s="141" t="n"/>
      <c r="K105" s="141" t="n"/>
      <c r="L105" s="141" t="n"/>
    </row>
    <row r="106" ht="13" customHeight="1">
      <c r="A106" s="58" t="inlineStr">
        <is>
          <t>Gara N.</t>
        </is>
      </c>
      <c r="B106" s="58" t="inlineStr">
        <is>
          <t>Squadra A</t>
        </is>
      </c>
      <c r="C106" s="10" t="n"/>
      <c r="D106" s="58" t="inlineStr">
        <is>
          <t>Squadra B</t>
        </is>
      </c>
      <c r="E106" s="10" t="n"/>
      <c r="F106" s="58" t="inlineStr">
        <is>
          <t>Giorno</t>
        </is>
      </c>
      <c r="G106" s="58" t="inlineStr">
        <is>
          <t>Data</t>
        </is>
      </c>
      <c r="H106" s="58" t="inlineStr">
        <is>
          <t>Ora</t>
        </is>
      </c>
      <c r="I106" s="10" t="n"/>
      <c r="J106" s="58" t="inlineStr">
        <is>
          <t>Risultato</t>
        </is>
      </c>
      <c r="K106" s="9" t="n"/>
      <c r="L106" s="10" t="n"/>
    </row>
    <row r="107" ht="24" customHeight="1">
      <c r="A107" s="60">
        <f>MAX(A$10:A106)+1</f>
        <v>30</v>
      </c>
      <c r="B107" s="61" t="str">
        <f>IF(C107="","",IFERROR(VLOOKUP(C107,Campionato!$B$14:$H$23,7,FALSE),""))</f>
        <v>Lupi Leali</v>
      </c>
      <c r="C107" s="62" t="inlineStr">
        <is>
          <t>A09</t>
        </is>
      </c>
      <c r="D107" s="61" t="str">
        <f>IF(E107="","",IFERROR(VLOOKUP(E107,Campionato!$B$14:$H$23,7,FALSE),""))</f>
        <v>Cobra Celeri</v>
      </c>
      <c r="E107" s="62" t="inlineStr">
        <is>
          <t>A03</t>
        </is>
      </c>
      <c r="F107" s="63" t="n">
        <v>46348.72916666666</v>
      </c>
      <c r="G107" s="9" t="n"/>
      <c r="H107" s="9" t="n"/>
      <c r="I107" s="10" t="n"/>
      <c r="J107" s="65" t="n">
        <v>75</v>
      </c>
      <c r="K107" s="66" t="inlineStr">
        <is>
          <t>-</t>
        </is>
      </c>
      <c r="L107" s="65" t="n">
        <v>59</v>
      </c>
      <c r="M107" s="67" t="str">
        <f>IF($B107="","(Squadra A)",$B107)</f>
        <v>Lupi Leali</v>
      </c>
      <c r="N107" s="67">
        <f>IF($J107+$L107=0,,IF($J107&gt;$L107,1,0))</f>
        <v>1</v>
      </c>
      <c r="O107" s="67">
        <f>IF($J107+$L107=0,,IF($J107&lt;$L107,IF($J107&amp;"-"&amp;$L107=MID(Campionato!$D$10,FIND("-",Campionato!$D$10)+1,LEN(Campionato!$D$10))&amp;"-"&amp;LEFT(Campionato!$D$10,FIND("-",Campionato!$D$10)-1),1,0),0))</f>
        <v>0</v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>0</v>
      </c>
      <c r="Q107" s="67">
        <f>IF($J107+$L107=0,,$J107)</f>
        <v>75</v>
      </c>
      <c r="R107" s="67">
        <f>IF($J107+$L107=0,,$L107)</f>
        <v>59</v>
      </c>
      <c r="S107" s="67">
        <f>IF($J107+$L107=0,,$J107-$L107)</f>
        <v>16</v>
      </c>
      <c r="T107" s="67" t="str">
        <f>IF($D107="","(Squadra B)",$D107)</f>
        <v>Cobra Celeri</v>
      </c>
      <c r="U107" s="67">
        <f>IF($J107+$L107=0,,IF($L107&gt;$J107,1,0))</f>
        <v>0</v>
      </c>
      <c r="V107" s="67">
        <f>IF($J107+$L107=0,,IF($L107&lt;$J107,IF($J107&amp;"-"&amp;$L107=Campionato!$D$10,1,0),0))</f>
        <v>0</v>
      </c>
      <c r="W107" s="67">
        <f>IF($J107+$L107=0,,IF($L107&lt;$J107,IF($J107&amp;"-"&amp;$L107&lt;&gt;Campionato!$D$10,1,0),0))</f>
        <v>1</v>
      </c>
      <c r="X107" s="67">
        <f>IF($J107+$L107=0,,$L107)</f>
        <v>59</v>
      </c>
      <c r="Y107" s="67">
        <f>IF($J107+$L107=0,,$J107)</f>
        <v>75</v>
      </c>
      <c r="Z107" s="67">
        <f>IF($J107+$L107=0,,$L107-$J107)</f>
        <v>-16</v>
      </c>
      <c r="AA107" s="67" t="str">
        <f>IF($J107+$L107=0,"(Vincente)",IF($J107&gt;$L107,$B107,$D107))</f>
        <v>Lupi Leali</v>
      </c>
      <c r="AB107" s="67" t="str">
        <f>IF($J107+$L107=0,"(Perdente)",IF($J107&lt;$L107,$B107,$D107))</f>
        <v>Cobra Celeri</v>
      </c>
      <c r="AC107" s="68" t="str">
        <f>IF($C107="","","[Girone "&amp;IFERROR(INDEX(Campionato!$E$14:$E$23,MATCH($C107,Campionato!$B$14:$B$23,0)),"?")&amp;"]")</f>
        <v>[Girone A]</v>
      </c>
    </row>
    <row r="108" ht="16" customHeight="1">
      <c r="A108" s="141" t="n"/>
      <c r="B108" s="69" t="str">
        <f>IF(I108="","",HYPERLINK(VLOOKUP(I108,Campionato!$B$27:$D$45,3,FALSE),VLOOKUP(I108,Campionato!$B$27:$D$45,2,FALSE)))</f>
        <v>PalaAnaconde, Via dello Sport 1, Anacondeopoli AA</v>
      </c>
      <c r="C108" s="9" t="n"/>
      <c r="D108" s="9" t="n"/>
      <c r="E108" s="9" t="n"/>
      <c r="F108" s="9" t="n"/>
      <c r="G108" s="9" t="n"/>
      <c r="H108" s="10" t="n"/>
      <c r="I108" s="62" t="inlineStr">
        <is>
          <t>A01</t>
        </is>
      </c>
      <c r="J108" s="141" t="n"/>
      <c r="K108" s="141" t="n"/>
      <c r="L108" s="141" t="n"/>
    </row>
    <row r="109" ht="8" customHeight="1"/>
    <row r="110" ht="20" customHeight="1">
      <c r="A110" s="55" t="inlineStr">
        <is>
          <t>7A</t>
        </is>
      </c>
      <c r="B110" s="56" t="str">
        <f>"GIORNATA "&amp;ROMAN(VALUE(LEFT(A110,LEN(A110)-1)))&amp;" - GIRONE "&amp;UPPER($O$3)</f>
        <v>GIORNATA VII - GIRONE GOLD</v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>31</v>
      </c>
      <c r="B112" s="61" t="str">
        <f>IF(C112="","",IFERROR(VLOOKUP(C112,Campionato!$B$14:$H$23,7,FALSE),""))</f>
        <v>Bufali Belligeranti</v>
      </c>
      <c r="C112" s="62" t="inlineStr">
        <is>
          <t>A02</t>
        </is>
      </c>
      <c r="D112" s="61" t="str">
        <f>IF(E112="","",IFERROR(VLOOKUP(E112,Campionato!$B$14:$H$23,7,FALSE),""))</f>
        <v>Cobra Celeri</v>
      </c>
      <c r="E112" s="62" t="inlineStr">
        <is>
          <t>A03</t>
        </is>
      </c>
      <c r="F112" s="63" t="n">
        <v>46355.39583333334</v>
      </c>
      <c r="G112" s="9" t="n"/>
      <c r="H112" s="9" t="n"/>
      <c r="I112" s="10" t="n"/>
      <c r="J112" s="65" t="n">
        <v>53</v>
      </c>
      <c r="K112" s="66" t="inlineStr">
        <is>
          <t>-</t>
        </is>
      </c>
      <c r="L112" s="65" t="n">
        <v>48</v>
      </c>
      <c r="M112" s="67" t="str">
        <f>IF($B112="","(Squadra A)",$B112)</f>
        <v>Bufali Belligeranti</v>
      </c>
      <c r="N112" s="67">
        <f>IF($J112+$L112=0,,IF($J112&gt;$L112,1,0))</f>
        <v>1</v>
      </c>
      <c r="O112" s="67">
        <f>IF($J112+$L112=0,,IF($J112&lt;$L112,IF($J112&amp;"-"&amp;$L112=MID(Campionato!$D$10,FIND("-",Campionato!$D$10)+1,LEN(Campionato!$D$10))&amp;"-"&amp;LEFT(Campionato!$D$10,FIND("-",Campionato!$D$10)-1),1,0),0))</f>
        <v>0</v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>0</v>
      </c>
      <c r="Q112" s="67">
        <f>IF($J112+$L112=0,,$J112)</f>
        <v>53</v>
      </c>
      <c r="R112" s="67">
        <f>IF($J112+$L112=0,,$L112)</f>
        <v>48</v>
      </c>
      <c r="S112" s="67">
        <f>IF($J112+$L112=0,,$J112-$L112)</f>
        <v>5</v>
      </c>
      <c r="T112" s="67" t="str">
        <f>IF($D112="","(Squadra B)",$D112)</f>
        <v>Cobra Celeri</v>
      </c>
      <c r="U112" s="67">
        <f>IF($J112+$L112=0,,IF($L112&gt;$J112,1,0))</f>
        <v>0</v>
      </c>
      <c r="V112" s="67">
        <f>IF($J112+$L112=0,,IF($L112&lt;$J112,IF($J112&amp;"-"&amp;$L112=Campionato!$D$10,1,0),0))</f>
        <v>0</v>
      </c>
      <c r="W112" s="67">
        <f>IF($J112+$L112=0,,IF($L112&lt;$J112,IF($J112&amp;"-"&amp;$L112&lt;&gt;Campionato!$D$10,1,0),0))</f>
        <v>1</v>
      </c>
      <c r="X112" s="67">
        <f>IF($J112+$L112=0,,$L112)</f>
        <v>48</v>
      </c>
      <c r="Y112" s="67">
        <f>IF($J112+$L112=0,,$J112)</f>
        <v>53</v>
      </c>
      <c r="Z112" s="67">
        <f>IF($J112+$L112=0,,$L112-$J112)</f>
        <v>-5</v>
      </c>
      <c r="AA112" s="67" t="str">
        <f>IF($J112+$L112=0,"(Vincente)",IF($J112&gt;$L112,$B112,$D112))</f>
        <v>Bufali Belligeranti</v>
      </c>
      <c r="AB112" s="67" t="str">
        <f>IF($J112+$L112=0,"(Perdente)",IF($J112&lt;$L112,$B112,$D112))</f>
        <v>Cobra Celeri</v>
      </c>
      <c r="AC112" s="68" t="str">
        <f>IF($C112="","","[Girone "&amp;IFERROR(INDEX(Campionato!$E$14:$E$23,MATCH($C112,Campionato!$B$14:$B$23,0)),"?")&amp;"]")</f>
        <v>[Girone A]</v>
      </c>
    </row>
    <row r="113" ht="16" customHeight="1">
      <c r="A113" s="141" t="n"/>
      <c r="B113" s="69" t="str">
        <f>IF(I113="","",HYPERLINK(VLOOKUP(I113,Campionato!$B$27:$D$45,3,FALSE),VLOOKUP(I113,Campionato!$B$27:$D$45,2,FALSE)))</f>
        <v>PalaCobra, Via dello Sport 3, Cobraopoli CI</v>
      </c>
      <c r="C113" s="9" t="n"/>
      <c r="D113" s="9" t="n"/>
      <c r="E113" s="9" t="n"/>
      <c r="F113" s="9" t="n"/>
      <c r="G113" s="9" t="n"/>
      <c r="H113" s="10" t="n"/>
      <c r="I113" s="62" t="inlineStr">
        <is>
          <t>A03</t>
        </is>
      </c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>32</v>
      </c>
      <c r="B115" s="61" t="str">
        <f>IF(C115="","",IFERROR(VLOOKUP(C115,Campionato!$B$14:$H$23,7,FALSE),""))</f>
        <v>Gazzelle Gentili</v>
      </c>
      <c r="C115" s="62" t="inlineStr">
        <is>
          <t>A07</t>
        </is>
      </c>
      <c r="D115" s="61" t="str">
        <f>IF(E115="","",IFERROR(VLOOKUP(E115,Campionato!$B$14:$H$23,7,FALSE),""))</f>
        <v>Marmotte Mobili</v>
      </c>
      <c r="E115" s="62" t="inlineStr">
        <is>
          <t>A10</t>
        </is>
      </c>
      <c r="F115" s="63" t="n">
        <v>46355.45833333334</v>
      </c>
      <c r="G115" s="9" t="n"/>
      <c r="H115" s="9" t="n"/>
      <c r="I115" s="10" t="n"/>
      <c r="J115" s="65" t="n">
        <v>33</v>
      </c>
      <c r="K115" s="66" t="inlineStr">
        <is>
          <t>-</t>
        </is>
      </c>
      <c r="L115" s="65" t="n">
        <v>52</v>
      </c>
      <c r="M115" s="67" t="str">
        <f>IF($B115="","(Squadra A)",$B115)</f>
        <v>Gazzelle Gentili</v>
      </c>
      <c r="N115" s="67">
        <f>IF($J115+$L115=0,,IF($J115&gt;$L115,1,0))</f>
        <v>0</v>
      </c>
      <c r="O115" s="67">
        <f>IF($J115+$L115=0,,IF($J115&lt;$L115,IF($J115&amp;"-"&amp;$L115=MID(Campionato!$D$10,FIND("-",Campionato!$D$10)+1,LEN(Campionato!$D$10))&amp;"-"&amp;LEFT(Campionato!$D$10,FIND("-",Campionato!$D$10)-1),1,0),0))</f>
        <v>0</v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>1</v>
      </c>
      <c r="Q115" s="67">
        <f>IF($J115+$L115=0,,$J115)</f>
        <v>33</v>
      </c>
      <c r="R115" s="67">
        <f>IF($J115+$L115=0,,$L115)</f>
        <v>52</v>
      </c>
      <c r="S115" s="67">
        <f>IF($J115+$L115=0,,$J115-$L115)</f>
        <v>-19</v>
      </c>
      <c r="T115" s="67" t="str">
        <f>IF($D115="","(Squadra B)",$D115)</f>
        <v>Marmotte Mobili</v>
      </c>
      <c r="U115" s="67">
        <f>IF($J115+$L115=0,,IF($L115&gt;$J115,1,0))</f>
        <v>1</v>
      </c>
      <c r="V115" s="67">
        <f>IF($J115+$L115=0,,IF($L115&lt;$J115,IF($J115&amp;"-"&amp;$L115=Campionato!$D$10,1,0),0))</f>
        <v>0</v>
      </c>
      <c r="W115" s="67">
        <f>IF($J115+$L115=0,,IF($L115&lt;$J115,IF($J115&amp;"-"&amp;$L115&lt;&gt;Campionato!$D$10,1,0),0))</f>
        <v>0</v>
      </c>
      <c r="X115" s="67">
        <f>IF($J115+$L115=0,,$L115)</f>
        <v>52</v>
      </c>
      <c r="Y115" s="67">
        <f>IF($J115+$L115=0,,$J115)</f>
        <v>33</v>
      </c>
      <c r="Z115" s="67">
        <f>IF($J115+$L115=0,,$L115-$J115)</f>
        <v>19</v>
      </c>
      <c r="AA115" s="67" t="str">
        <f>IF($J115+$L115=0,"(Vincente)",IF($J115&gt;$L115,$B115,$D115))</f>
        <v>Marmotte Mobili</v>
      </c>
      <c r="AB115" s="67" t="str">
        <f>IF($J115+$L115=0,"(Perdente)",IF($J115&lt;$L115,$B115,$D115))</f>
        <v>Gazzelle Gentili</v>
      </c>
      <c r="AC115" s="68" t="str">
        <f>IF($C115="","","[Girone "&amp;IFERROR(INDEX(Campionato!$E$14:$E$23,MATCH($C115,Campionato!$B$14:$B$23,0)),"?")&amp;"]")</f>
        <v>[Girone A]</v>
      </c>
    </row>
    <row r="116" ht="16" customHeight="1">
      <c r="A116" s="141" t="n"/>
      <c r="B116" s="69" t="str">
        <f>IF(I116="","",HYPERLINK(VLOOKUP(I116,Campionato!$B$27:$D$45,3,FALSE),VLOOKUP(I116,Campionato!$B$27:$D$45,2,FALSE)))</f>
        <v>PalaCobra, Via dello Sport 3, Cobraopoli CI</v>
      </c>
      <c r="C116" s="9" t="n"/>
      <c r="D116" s="9" t="n"/>
      <c r="E116" s="9" t="n"/>
      <c r="F116" s="9" t="n"/>
      <c r="G116" s="9" t="n"/>
      <c r="H116" s="10" t="n"/>
      <c r="I116" s="62" t="inlineStr">
        <is>
          <t>A03</t>
        </is>
      </c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>33</v>
      </c>
      <c r="B118" s="61" t="str">
        <f>IF(C118="","",IFERROR(VLOOKUP(C118,Campionato!$B$14:$H$23,7,FALSE),""))</f>
        <v>Falchi Feroci</v>
      </c>
      <c r="C118" s="62" t="inlineStr">
        <is>
          <t>A06</t>
        </is>
      </c>
      <c r="D118" s="61" t="str">
        <f>IF(E118="","",IFERROR(VLOOKUP(E118,Campionato!$B$14:$H$23,7,FALSE),""))</f>
        <v>Ibis Instancabili</v>
      </c>
      <c r="E118" s="62" t="inlineStr">
        <is>
          <t>A08</t>
        </is>
      </c>
      <c r="F118" s="63" t="n">
        <v>46355.60416666666</v>
      </c>
      <c r="G118" s="9" t="n"/>
      <c r="H118" s="9" t="n"/>
      <c r="I118" s="10" t="n"/>
      <c r="J118" s="65" t="n">
        <v>50</v>
      </c>
      <c r="K118" s="66" t="inlineStr">
        <is>
          <t>-</t>
        </is>
      </c>
      <c r="L118" s="65" t="n">
        <v>38</v>
      </c>
      <c r="M118" s="67" t="str">
        <f>IF($B118="","(Squadra A)",$B118)</f>
        <v>Falchi Feroci</v>
      </c>
      <c r="N118" s="67">
        <f>IF($J118+$L118=0,,IF($J118&gt;$L118,1,0))</f>
        <v>1</v>
      </c>
      <c r="O118" s="67">
        <f>IF($J118+$L118=0,,IF($J118&lt;$L118,IF($J118&amp;"-"&amp;$L118=MID(Campionato!$D$10,FIND("-",Campionato!$D$10)+1,LEN(Campionato!$D$10))&amp;"-"&amp;LEFT(Campionato!$D$10,FIND("-",Campionato!$D$10)-1),1,0),0))</f>
        <v>0</v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>0</v>
      </c>
      <c r="Q118" s="67">
        <f>IF($J118+$L118=0,,$J118)</f>
        <v>50</v>
      </c>
      <c r="R118" s="67">
        <f>IF($J118+$L118=0,,$L118)</f>
        <v>38</v>
      </c>
      <c r="S118" s="67">
        <f>IF($J118+$L118=0,,$J118-$L118)</f>
        <v>12</v>
      </c>
      <c r="T118" s="67" t="str">
        <f>IF($D118="","(Squadra B)",$D118)</f>
        <v>Ibis Instancabili</v>
      </c>
      <c r="U118" s="67">
        <f>IF($J118+$L118=0,,IF($L118&gt;$J118,1,0))</f>
        <v>0</v>
      </c>
      <c r="V118" s="67">
        <f>IF($J118+$L118=0,,IF($L118&lt;$J118,IF($J118&amp;"-"&amp;$L118=Campionato!$D$10,1,0),0))</f>
        <v>0</v>
      </c>
      <c r="W118" s="67">
        <f>IF($J118+$L118=0,,IF($L118&lt;$J118,IF($J118&amp;"-"&amp;$L118&lt;&gt;Campionato!$D$10,1,0),0))</f>
        <v>1</v>
      </c>
      <c r="X118" s="67">
        <f>IF($J118+$L118=0,,$L118)</f>
        <v>38</v>
      </c>
      <c r="Y118" s="67">
        <f>IF($J118+$L118=0,,$J118)</f>
        <v>50</v>
      </c>
      <c r="Z118" s="67">
        <f>IF($J118+$L118=0,,$L118-$J118)</f>
        <v>-12</v>
      </c>
      <c r="AA118" s="67" t="str">
        <f>IF($J118+$L118=0,"(Vincente)",IF($J118&gt;$L118,$B118,$D118))</f>
        <v>Falchi Feroci</v>
      </c>
      <c r="AB118" s="67" t="str">
        <f>IF($J118+$L118=0,"(Perdente)",IF($J118&lt;$L118,$B118,$D118))</f>
        <v>Ibis Instancabili</v>
      </c>
      <c r="AC118" s="68" t="str">
        <f>IF($C118="","","[Girone "&amp;IFERROR(INDEX(Campionato!$E$14:$E$23,MATCH($C118,Campionato!$B$14:$B$23,0)),"?")&amp;"]")</f>
        <v>[Girone A]</v>
      </c>
    </row>
    <row r="119" ht="16" customHeight="1">
      <c r="A119" s="141" t="n"/>
      <c r="B119" s="69" t="str">
        <f>IF(I119="","",HYPERLINK(VLOOKUP(I119,Campionato!$B$27:$D$45,3,FALSE),VLOOKUP(I119,Campionato!$B$27:$D$45,2,FALSE)))</f>
        <v>PalaCobra, Via dello Sport 3, Cobraopoli CI</v>
      </c>
      <c r="C119" s="9" t="n"/>
      <c r="D119" s="9" t="n"/>
      <c r="E119" s="9" t="n"/>
      <c r="F119" s="9" t="n"/>
      <c r="G119" s="9" t="n"/>
      <c r="H119" s="10" t="n"/>
      <c r="I119" s="62" t="inlineStr">
        <is>
          <t>A03</t>
        </is>
      </c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>34</v>
      </c>
      <c r="B121" s="61" t="str">
        <f>IF(C121="","",IFERROR(VLOOKUP(C121,Campionato!$B$14:$H$23,7,FALSE),""))</f>
        <v>Lupi Leali</v>
      </c>
      <c r="C121" s="62" t="inlineStr">
        <is>
          <t>A09</t>
        </is>
      </c>
      <c r="D121" s="61" t="str">
        <f>IF(E121="","",IFERROR(VLOOKUP(E121,Campionato!$B$14:$H$23,7,FALSE),""))</f>
        <v>Ermellini Eleganti</v>
      </c>
      <c r="E121" s="62" t="inlineStr">
        <is>
          <t>A05</t>
        </is>
      </c>
      <c r="F121" s="63" t="n">
        <v>46355.66666666666</v>
      </c>
      <c r="G121" s="9" t="n"/>
      <c r="H121" s="9" t="n"/>
      <c r="I121" s="10" t="n"/>
      <c r="J121" s="65" t="n">
        <v>54</v>
      </c>
      <c r="K121" s="66" t="inlineStr">
        <is>
          <t>-</t>
        </is>
      </c>
      <c r="L121" s="65" t="n">
        <v>35</v>
      </c>
      <c r="M121" s="67" t="str">
        <f>IF($B121="","(Squadra A)",$B121)</f>
        <v>Lupi Leali</v>
      </c>
      <c r="N121" s="67">
        <f>IF($J121+$L121=0,,IF($J121&gt;$L121,1,0))</f>
        <v>1</v>
      </c>
      <c r="O121" s="67">
        <f>IF($J121+$L121=0,,IF($J121&lt;$L121,IF($J121&amp;"-"&amp;$L121=MID(Campionato!$D$10,FIND("-",Campionato!$D$10)+1,LEN(Campionato!$D$10))&amp;"-"&amp;LEFT(Campionato!$D$10,FIND("-",Campionato!$D$10)-1),1,0),0))</f>
        <v>0</v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>0</v>
      </c>
      <c r="Q121" s="67">
        <f>IF($J121+$L121=0,,$J121)</f>
        <v>54</v>
      </c>
      <c r="R121" s="67">
        <f>IF($J121+$L121=0,,$L121)</f>
        <v>35</v>
      </c>
      <c r="S121" s="67">
        <f>IF($J121+$L121=0,,$J121-$L121)</f>
        <v>19</v>
      </c>
      <c r="T121" s="67" t="str">
        <f>IF($D121="","(Squadra B)",$D121)</f>
        <v>Ermellini Eleganti</v>
      </c>
      <c r="U121" s="67">
        <f>IF($J121+$L121=0,,IF($L121&gt;$J121,1,0))</f>
        <v>0</v>
      </c>
      <c r="V121" s="67">
        <f>IF($J121+$L121=0,,IF($L121&lt;$J121,IF($J121&amp;"-"&amp;$L121=Campionato!$D$10,1,0),0))</f>
        <v>0</v>
      </c>
      <c r="W121" s="67">
        <f>IF($J121+$L121=0,,IF($L121&lt;$J121,IF($J121&amp;"-"&amp;$L121&lt;&gt;Campionato!$D$10,1,0),0))</f>
        <v>1</v>
      </c>
      <c r="X121" s="67">
        <f>IF($J121+$L121=0,,$L121)</f>
        <v>35</v>
      </c>
      <c r="Y121" s="67">
        <f>IF($J121+$L121=0,,$J121)</f>
        <v>54</v>
      </c>
      <c r="Z121" s="67">
        <f>IF($J121+$L121=0,,$L121-$J121)</f>
        <v>-19</v>
      </c>
      <c r="AA121" s="67" t="str">
        <f>IF($J121+$L121=0,"(Vincente)",IF($J121&gt;$L121,$B121,$D121))</f>
        <v>Lupi Leali</v>
      </c>
      <c r="AB121" s="67" t="str">
        <f>IF($J121+$L121=0,"(Perdente)",IF($J121&lt;$L121,$B121,$D121))</f>
        <v>Ermellini Eleganti</v>
      </c>
      <c r="AC121" s="68" t="str">
        <f>IF($C121="","","[Girone "&amp;IFERROR(INDEX(Campionato!$E$14:$E$23,MATCH($C121,Campionato!$B$14:$B$23,0)),"?")&amp;"]")</f>
        <v>[Girone A]</v>
      </c>
    </row>
    <row r="122" ht="16" customHeight="1">
      <c r="A122" s="141" t="n"/>
      <c r="B122" s="69" t="str">
        <f>IF(I122="","",HYPERLINK(VLOOKUP(I122,Campionato!$B$27:$D$45,3,FALSE),VLOOKUP(I122,Campionato!$B$27:$D$45,2,FALSE)))</f>
        <v>PalaCobra, Via dello Sport 3, Cobraopoli CI</v>
      </c>
      <c r="C122" s="9" t="n"/>
      <c r="D122" s="9" t="n"/>
      <c r="E122" s="9" t="n"/>
      <c r="F122" s="9" t="n"/>
      <c r="G122" s="9" t="n"/>
      <c r="H122" s="10" t="n"/>
      <c r="I122" s="62" t="inlineStr">
        <is>
          <t>A03</t>
        </is>
      </c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>35</v>
      </c>
      <c r="B124" s="61" t="str">
        <f>IF(C124="","",IFERROR(VLOOKUP(C124,Campionato!$B$14:$H$23,7,FALSE),""))</f>
        <v>Dingo Docili</v>
      </c>
      <c r="C124" s="62" t="inlineStr">
        <is>
          <t>A04</t>
        </is>
      </c>
      <c r="D124" s="61" t="str">
        <f>IF(E124="","",IFERROR(VLOOKUP(E124,Campionato!$B$14:$H$23,7,FALSE),""))</f>
        <v>Anaconde Audaci</v>
      </c>
      <c r="E124" s="62" t="inlineStr">
        <is>
          <t>A01</t>
        </is>
      </c>
      <c r="F124" s="63" t="n">
        <v>46355.72916666666</v>
      </c>
      <c r="G124" s="9" t="n"/>
      <c r="H124" s="9" t="n"/>
      <c r="I124" s="10" t="n"/>
      <c r="J124" s="65" t="n">
        <v>60</v>
      </c>
      <c r="K124" s="66" t="inlineStr">
        <is>
          <t>-</t>
        </is>
      </c>
      <c r="L124" s="65" t="n">
        <v>77</v>
      </c>
      <c r="M124" s="67" t="str">
        <f>IF($B124="","(Squadra A)",$B124)</f>
        <v>Dingo Docili</v>
      </c>
      <c r="N124" s="67">
        <f>IF($J124+$L124=0,,IF($J124&gt;$L124,1,0))</f>
        <v>0</v>
      </c>
      <c r="O124" s="67">
        <f>IF($J124+$L124=0,,IF($J124&lt;$L124,IF($J124&amp;"-"&amp;$L124=MID(Campionato!$D$10,FIND("-",Campionato!$D$10)+1,LEN(Campionato!$D$10))&amp;"-"&amp;LEFT(Campionato!$D$10,FIND("-",Campionato!$D$10)-1),1,0),0))</f>
        <v>0</v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>1</v>
      </c>
      <c r="Q124" s="67">
        <f>IF($J124+$L124=0,,$J124)</f>
        <v>60</v>
      </c>
      <c r="R124" s="67">
        <f>IF($J124+$L124=0,,$L124)</f>
        <v>77</v>
      </c>
      <c r="S124" s="67">
        <f>IF($J124+$L124=0,,$J124-$L124)</f>
        <v>-17</v>
      </c>
      <c r="T124" s="67" t="str">
        <f>IF($D124="","(Squadra B)",$D124)</f>
        <v>Anaconde Audaci</v>
      </c>
      <c r="U124" s="67">
        <f>IF($J124+$L124=0,,IF($L124&gt;$J124,1,0))</f>
        <v>1</v>
      </c>
      <c r="V124" s="67">
        <f>IF($J124+$L124=0,,IF($L124&lt;$J124,IF($J124&amp;"-"&amp;$L124=Campionato!$D$10,1,0),0))</f>
        <v>0</v>
      </c>
      <c r="W124" s="67">
        <f>IF($J124+$L124=0,,IF($L124&lt;$J124,IF($J124&amp;"-"&amp;$L124&lt;&gt;Campionato!$D$10,1,0),0))</f>
        <v>0</v>
      </c>
      <c r="X124" s="67">
        <f>IF($J124+$L124=0,,$L124)</f>
        <v>77</v>
      </c>
      <c r="Y124" s="67">
        <f>IF($J124+$L124=0,,$J124)</f>
        <v>60</v>
      </c>
      <c r="Z124" s="67">
        <f>IF($J124+$L124=0,,$L124-$J124)</f>
        <v>17</v>
      </c>
      <c r="AA124" s="67" t="str">
        <f>IF($J124+$L124=0,"(Vincente)",IF($J124&gt;$L124,$B124,$D124))</f>
        <v>Anaconde Audaci</v>
      </c>
      <c r="AB124" s="67" t="str">
        <f>IF($J124+$L124=0,"(Perdente)",IF($J124&lt;$L124,$B124,$D124))</f>
        <v>Dingo Docili</v>
      </c>
      <c r="AC124" s="68" t="str">
        <f>IF($C124="","","[Girone "&amp;IFERROR(INDEX(Campionato!$E$14:$E$23,MATCH($C124,Campionato!$B$14:$B$23,0)),"?")&amp;"]")</f>
        <v>[Girone A]</v>
      </c>
    </row>
    <row r="125" ht="16" customHeight="1">
      <c r="A125" s="141" t="n"/>
      <c r="B125" s="69" t="str">
        <f>IF(I125="","",HYPERLINK(VLOOKUP(I125,Campionato!$B$27:$D$45,3,FALSE),VLOOKUP(I125,Campionato!$B$27:$D$45,2,FALSE)))</f>
        <v>PalaCobra, Via dello Sport 3, Cobraopoli CI</v>
      </c>
      <c r="C125" s="9" t="n"/>
      <c r="D125" s="9" t="n"/>
      <c r="E125" s="9" t="n"/>
      <c r="F125" s="9" t="n"/>
      <c r="G125" s="9" t="n"/>
      <c r="H125" s="10" t="n"/>
      <c r="I125" s="62" t="inlineStr">
        <is>
          <t>A03</t>
        </is>
      </c>
      <c r="J125" s="141" t="n"/>
      <c r="K125" s="141" t="n"/>
      <c r="L125" s="141" t="n"/>
    </row>
    <row r="126" ht="8" customHeight="1"/>
    <row r="127" ht="20" customHeight="1">
      <c r="A127" s="55" t="inlineStr">
        <is>
          <t>8A</t>
        </is>
      </c>
      <c r="B127" s="56" t="str">
        <f>"GIORNATA "&amp;ROMAN(VALUE(LEFT(A127,LEN(A127)-1)))&amp;" - GIRONE "&amp;UPPER($O$3)</f>
        <v>GIORNATA VIII - GIRONE GOLD</v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58" t="inlineStr">
        <is>
          <t>Gara N.</t>
        </is>
      </c>
      <c r="B128" s="58" t="inlineStr">
        <is>
          <t>Squadra A</t>
        </is>
      </c>
      <c r="C128" s="10" t="n"/>
      <c r="D128" s="58" t="inlineStr">
        <is>
          <t>Squadra B</t>
        </is>
      </c>
      <c r="E128" s="10" t="n"/>
      <c r="F128" s="58" t="inlineStr">
        <is>
          <t>Giorno</t>
        </is>
      </c>
      <c r="G128" s="58" t="inlineStr">
        <is>
          <t>Data</t>
        </is>
      </c>
      <c r="H128" s="58" t="inlineStr">
        <is>
          <t>Ora</t>
        </is>
      </c>
      <c r="I128" s="10" t="n"/>
      <c r="J128" s="58" t="inlineStr">
        <is>
          <t>Risultato</t>
        </is>
      </c>
      <c r="K128" s="9" t="n"/>
      <c r="L128" s="10" t="n"/>
    </row>
    <row r="129" ht="24" customHeight="1">
      <c r="A129" s="60">
        <f>MAX(A$10:A128)+1</f>
        <v>36</v>
      </c>
      <c r="B129" s="61" t="str">
        <f>IF(C129="","",IFERROR(VLOOKUP(C129,Campionato!$B$14:$H$23,7,FALSE),""))</f>
        <v>Bufali Belligeranti</v>
      </c>
      <c r="C129" s="62" t="inlineStr">
        <is>
          <t>A02</t>
        </is>
      </c>
      <c r="D129" s="61" t="str">
        <f>IF(E129="","",IFERROR(VLOOKUP(E129,Campionato!$B$14:$H$23,7,FALSE),""))</f>
        <v>Ermellini Eleganti</v>
      </c>
      <c r="E129" s="62" t="inlineStr">
        <is>
          <t>A05</t>
        </is>
      </c>
      <c r="F129" s="63" t="n">
        <v>46362.39583333334</v>
      </c>
      <c r="G129" s="9" t="n"/>
      <c r="H129" s="9" t="n"/>
      <c r="I129" s="10" t="n"/>
      <c r="J129" s="65" t="n">
        <v>50</v>
      </c>
      <c r="K129" s="66" t="inlineStr">
        <is>
          <t>-</t>
        </is>
      </c>
      <c r="L129" s="65" t="n">
        <v>40</v>
      </c>
      <c r="M129" s="67" t="str">
        <f>IF($B129="","(Squadra A)",$B129)</f>
        <v>Bufali Belligeranti</v>
      </c>
      <c r="N129" s="67">
        <f>IF($J129+$L129=0,,IF($J129&gt;$L129,1,0))</f>
        <v>1</v>
      </c>
      <c r="O129" s="67">
        <f>IF($J129+$L129=0,,IF($J129&lt;$L129,IF($J129&amp;"-"&amp;$L129=MID(Campionato!$D$10,FIND("-",Campionato!$D$10)+1,LEN(Campionato!$D$10))&amp;"-"&amp;LEFT(Campionato!$D$10,FIND("-",Campionato!$D$10)-1),1,0),0))</f>
        <v>0</v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>0</v>
      </c>
      <c r="Q129" s="67">
        <f>IF($J129+$L129=0,,$J129)</f>
        <v>50</v>
      </c>
      <c r="R129" s="67">
        <f>IF($J129+$L129=0,,$L129)</f>
        <v>40</v>
      </c>
      <c r="S129" s="67">
        <f>IF($J129+$L129=0,,$J129-$L129)</f>
        <v>10</v>
      </c>
      <c r="T129" s="67" t="str">
        <f>IF($D129="","(Squadra B)",$D129)</f>
        <v>Ermellini Eleganti</v>
      </c>
      <c r="U129" s="67">
        <f>IF($J129+$L129=0,,IF($L129&gt;$J129,1,0))</f>
        <v>0</v>
      </c>
      <c r="V129" s="67">
        <f>IF($J129+$L129=0,,IF($L129&lt;$J129,IF($J129&amp;"-"&amp;$L129=Campionato!$D$10,1,0),0))</f>
        <v>0</v>
      </c>
      <c r="W129" s="67">
        <f>IF($J129+$L129=0,,IF($L129&lt;$J129,IF($J129&amp;"-"&amp;$L129&lt;&gt;Campionato!$D$10,1,0),0))</f>
        <v>1</v>
      </c>
      <c r="X129" s="67">
        <f>IF($J129+$L129=0,,$L129)</f>
        <v>40</v>
      </c>
      <c r="Y129" s="67">
        <f>IF($J129+$L129=0,,$J129)</f>
        <v>50</v>
      </c>
      <c r="Z129" s="67">
        <f>IF($J129+$L129=0,,$L129-$J129)</f>
        <v>-10</v>
      </c>
      <c r="AA129" s="67" t="str">
        <f>IF($J129+$L129=0,"(Vincente)",IF($J129&gt;$L129,$B129,$D129))</f>
        <v>Bufali Belligeranti</v>
      </c>
      <c r="AB129" s="67" t="str">
        <f>IF($J129+$L129=0,"(Perdente)",IF($J129&lt;$L129,$B129,$D129))</f>
        <v>Ermellini Eleganti</v>
      </c>
      <c r="AC129" s="68" t="str">
        <f>IF($C129="","","[Girone "&amp;IFERROR(INDEX(Campionato!$E$14:$E$23,MATCH($C129,Campionato!$B$14:$B$23,0)),"?")&amp;"]")</f>
        <v>[Girone A]</v>
      </c>
    </row>
    <row r="130" ht="16" customHeight="1">
      <c r="A130" s="141" t="n"/>
      <c r="B130" s="69" t="str">
        <f>IF(I130="","",HYPERLINK(VLOOKUP(I130,Campionato!$B$27:$D$45,3,FALSE),VLOOKUP(I130,Campionato!$B$27:$D$45,2,FALSE)))</f>
        <v>PalaErmellini, Via dello Sport 5, Ermelliniopoli EU</v>
      </c>
      <c r="C130" s="9" t="n"/>
      <c r="D130" s="9" t="n"/>
      <c r="E130" s="9" t="n"/>
      <c r="F130" s="9" t="n"/>
      <c r="G130" s="9" t="n"/>
      <c r="H130" s="10" t="n"/>
      <c r="I130" s="62" t="inlineStr">
        <is>
          <t>A05</t>
        </is>
      </c>
      <c r="J130" s="141" t="n"/>
      <c r="K130" s="141" t="n"/>
      <c r="L130" s="141" t="n"/>
    </row>
    <row r="131" ht="13" customHeight="1">
      <c r="A131" s="58" t="inlineStr">
        <is>
          <t>Gara N.</t>
        </is>
      </c>
      <c r="B131" s="58" t="inlineStr">
        <is>
          <t>Squadra A</t>
        </is>
      </c>
      <c r="C131" s="10" t="n"/>
      <c r="D131" s="58" t="inlineStr">
        <is>
          <t>Squadra B</t>
        </is>
      </c>
      <c r="E131" s="10" t="n"/>
      <c r="F131" s="58" t="inlineStr">
        <is>
          <t>Giorno</t>
        </is>
      </c>
      <c r="G131" s="58" t="inlineStr">
        <is>
          <t>Data</t>
        </is>
      </c>
      <c r="H131" s="58" t="inlineStr">
        <is>
          <t>Ora</t>
        </is>
      </c>
      <c r="I131" s="10" t="n"/>
      <c r="J131" s="58" t="inlineStr">
        <is>
          <t>Risultato</t>
        </is>
      </c>
      <c r="K131" s="9" t="n"/>
      <c r="L131" s="10" t="n"/>
    </row>
    <row r="132" ht="24" customHeight="1">
      <c r="A132" s="60">
        <f>MAX(A$10:A131)+1</f>
        <v>37</v>
      </c>
      <c r="B132" s="61" t="str">
        <f>IF(C132="","",IFERROR(VLOOKUP(C132,Campionato!$B$14:$H$23,7,FALSE),""))</f>
        <v>Marmotte Mobili</v>
      </c>
      <c r="C132" s="62" t="inlineStr">
        <is>
          <t>A10</t>
        </is>
      </c>
      <c r="D132" s="61" t="str">
        <f>IF(E132="","",IFERROR(VLOOKUP(E132,Campionato!$B$14:$H$23,7,FALSE),""))</f>
        <v>Ibis Instancabili</v>
      </c>
      <c r="E132" s="62" t="inlineStr">
        <is>
          <t>A08</t>
        </is>
      </c>
      <c r="F132" s="63" t="n">
        <v>46362.45833333334</v>
      </c>
      <c r="G132" s="9" t="n"/>
      <c r="H132" s="9" t="n"/>
      <c r="I132" s="10" t="n"/>
      <c r="J132" s="65" t="n">
        <v>37</v>
      </c>
      <c r="K132" s="66" t="inlineStr">
        <is>
          <t>-</t>
        </is>
      </c>
      <c r="L132" s="65" t="n">
        <v>58</v>
      </c>
      <c r="M132" s="67" t="str">
        <f>IF($B132="","(Squadra A)",$B132)</f>
        <v>Marmotte Mobili</v>
      </c>
      <c r="N132" s="67">
        <f>IF($J132+$L132=0,,IF($J132&gt;$L132,1,0))</f>
        <v>0</v>
      </c>
      <c r="O132" s="67">
        <f>IF($J132+$L132=0,,IF($J132&lt;$L132,IF($J132&amp;"-"&amp;$L132=MID(Campionato!$D$10,FIND("-",Campionato!$D$10)+1,LEN(Campionato!$D$10))&amp;"-"&amp;LEFT(Campionato!$D$10,FIND("-",Campionato!$D$10)-1),1,0),0))</f>
        <v>0</v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>1</v>
      </c>
      <c r="Q132" s="67">
        <f>IF($J132+$L132=0,,$J132)</f>
        <v>37</v>
      </c>
      <c r="R132" s="67">
        <f>IF($J132+$L132=0,,$L132)</f>
        <v>58</v>
      </c>
      <c r="S132" s="67">
        <f>IF($J132+$L132=0,,$J132-$L132)</f>
        <v>-21</v>
      </c>
      <c r="T132" s="67" t="str">
        <f>IF($D132="","(Squadra B)",$D132)</f>
        <v>Ibis Instancabili</v>
      </c>
      <c r="U132" s="67">
        <f>IF($J132+$L132=0,,IF($L132&gt;$J132,1,0))</f>
        <v>1</v>
      </c>
      <c r="V132" s="67">
        <f>IF($J132+$L132=0,,IF($L132&lt;$J132,IF($J132&amp;"-"&amp;$L132=Campionato!$D$10,1,0),0))</f>
        <v>0</v>
      </c>
      <c r="W132" s="67">
        <f>IF($J132+$L132=0,,IF($L132&lt;$J132,IF($J132&amp;"-"&amp;$L132&lt;&gt;Campionato!$D$10,1,0),0))</f>
        <v>0</v>
      </c>
      <c r="X132" s="67">
        <f>IF($J132+$L132=0,,$L132)</f>
        <v>58</v>
      </c>
      <c r="Y132" s="67">
        <f>IF($J132+$L132=0,,$J132)</f>
        <v>37</v>
      </c>
      <c r="Z132" s="67">
        <f>IF($J132+$L132=0,,$L132-$J132)</f>
        <v>21</v>
      </c>
      <c r="AA132" s="67" t="str">
        <f>IF($J132+$L132=0,"(Vincente)",IF($J132&gt;$L132,$B132,$D132))</f>
        <v>Ibis Instancabili</v>
      </c>
      <c r="AB132" s="67" t="str">
        <f>IF($J132+$L132=0,"(Perdente)",IF($J132&lt;$L132,$B132,$D132))</f>
        <v>Marmotte Mobili</v>
      </c>
      <c r="AC132" s="68" t="str">
        <f>IF($C132="","","[Girone "&amp;IFERROR(INDEX(Campionato!$E$14:$E$23,MATCH($C132,Campionato!$B$14:$B$23,0)),"?")&amp;"]")</f>
        <v>[Girone A]</v>
      </c>
    </row>
    <row r="133" ht="16" customHeight="1">
      <c r="A133" s="141" t="n"/>
      <c r="B133" s="69" t="str">
        <f>IF(I133="","",HYPERLINK(VLOOKUP(I133,Campionato!$B$27:$D$45,3,FALSE),VLOOKUP(I133,Campionato!$B$27:$D$45,2,FALSE)))</f>
        <v>PalaErmellini, Via dello Sport 5, Ermelliniopoli EU</v>
      </c>
      <c r="C133" s="9" t="n"/>
      <c r="D133" s="9" t="n"/>
      <c r="E133" s="9" t="n"/>
      <c r="F133" s="9" t="n"/>
      <c r="G133" s="9" t="n"/>
      <c r="H133" s="10" t="n"/>
      <c r="I133" s="62" t="inlineStr">
        <is>
          <t>A05</t>
        </is>
      </c>
      <c r="J133" s="141" t="n"/>
      <c r="K133" s="141" t="n"/>
      <c r="L133" s="141" t="n"/>
    </row>
    <row r="134" ht="13" customHeight="1">
      <c r="A134" s="58" t="inlineStr">
        <is>
          <t>Gara N.</t>
        </is>
      </c>
      <c r="B134" s="58" t="inlineStr">
        <is>
          <t>Squadra A</t>
        </is>
      </c>
      <c r="C134" s="10" t="n"/>
      <c r="D134" s="58" t="inlineStr">
        <is>
          <t>Squadra B</t>
        </is>
      </c>
      <c r="E134" s="10" t="n"/>
      <c r="F134" s="58" t="inlineStr">
        <is>
          <t>Giorno</t>
        </is>
      </c>
      <c r="G134" s="58" t="inlineStr">
        <is>
          <t>Data</t>
        </is>
      </c>
      <c r="H134" s="58" t="inlineStr">
        <is>
          <t>Ora</t>
        </is>
      </c>
      <c r="I134" s="10" t="n"/>
      <c r="J134" s="58" t="inlineStr">
        <is>
          <t>Risultato</t>
        </is>
      </c>
      <c r="K134" s="9" t="n"/>
      <c r="L134" s="10" t="n"/>
    </row>
    <row r="135" ht="24" customHeight="1">
      <c r="A135" s="60">
        <f>MAX(A$10:A134)+1</f>
        <v>38</v>
      </c>
      <c r="B135" s="61" t="str">
        <f>IF(C135="","",IFERROR(VLOOKUP(C135,Campionato!$B$14:$H$23,7,FALSE),""))</f>
        <v>Lupi Leali</v>
      </c>
      <c r="C135" s="62" t="inlineStr">
        <is>
          <t>A09</t>
        </is>
      </c>
      <c r="D135" s="61" t="str">
        <f>IF(E135="","",IFERROR(VLOOKUP(E135,Campionato!$B$14:$H$23,7,FALSE),""))</f>
        <v>Gazzelle Gentili</v>
      </c>
      <c r="E135" s="62" t="inlineStr">
        <is>
          <t>A07</t>
        </is>
      </c>
      <c r="F135" s="63" t="n">
        <v>46362.60416666666</v>
      </c>
      <c r="G135" s="9" t="n"/>
      <c r="H135" s="9" t="n"/>
      <c r="I135" s="10" t="n"/>
      <c r="J135" s="65" t="n">
        <v>80</v>
      </c>
      <c r="K135" s="66" t="inlineStr">
        <is>
          <t>-</t>
        </is>
      </c>
      <c r="L135" s="65" t="n">
        <v>69</v>
      </c>
      <c r="M135" s="67" t="str">
        <f>IF($B135="","(Squadra A)",$B135)</f>
        <v>Lupi Leali</v>
      </c>
      <c r="N135" s="67">
        <f>IF($J135+$L135=0,,IF($J135&gt;$L135,1,0))</f>
        <v>1</v>
      </c>
      <c r="O135" s="67">
        <f>IF($J135+$L135=0,,IF($J135&lt;$L135,IF($J135&amp;"-"&amp;$L135=MID(Campionato!$D$10,FIND("-",Campionato!$D$10)+1,LEN(Campionato!$D$10))&amp;"-"&amp;LEFT(Campionato!$D$10,FIND("-",Campionato!$D$10)-1),1,0),0))</f>
        <v>0</v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>0</v>
      </c>
      <c r="Q135" s="67">
        <f>IF($J135+$L135=0,,$J135)</f>
        <v>80</v>
      </c>
      <c r="R135" s="67">
        <f>IF($J135+$L135=0,,$L135)</f>
        <v>69</v>
      </c>
      <c r="S135" s="67">
        <f>IF($J135+$L135=0,,$J135-$L135)</f>
        <v>11</v>
      </c>
      <c r="T135" s="67" t="str">
        <f>IF($D135="","(Squadra B)",$D135)</f>
        <v>Gazzelle Gentili</v>
      </c>
      <c r="U135" s="67">
        <f>IF($J135+$L135=0,,IF($L135&gt;$J135,1,0))</f>
        <v>0</v>
      </c>
      <c r="V135" s="67">
        <f>IF($J135+$L135=0,,IF($L135&lt;$J135,IF($J135&amp;"-"&amp;$L135=Campionato!$D$10,1,0),0))</f>
        <v>0</v>
      </c>
      <c r="W135" s="67">
        <f>IF($J135+$L135=0,,IF($L135&lt;$J135,IF($J135&amp;"-"&amp;$L135&lt;&gt;Campionato!$D$10,1,0),0))</f>
        <v>1</v>
      </c>
      <c r="X135" s="67">
        <f>IF($J135+$L135=0,,$L135)</f>
        <v>69</v>
      </c>
      <c r="Y135" s="67">
        <f>IF($J135+$L135=0,,$J135)</f>
        <v>80</v>
      </c>
      <c r="Z135" s="67">
        <f>IF($J135+$L135=0,,$L135-$J135)</f>
        <v>-11</v>
      </c>
      <c r="AA135" s="67" t="str">
        <f>IF($J135+$L135=0,"(Vincente)",IF($J135&gt;$L135,$B135,$D135))</f>
        <v>Lupi Leali</v>
      </c>
      <c r="AB135" s="67" t="str">
        <f>IF($J135+$L135=0,"(Perdente)",IF($J135&lt;$L135,$B135,$D135))</f>
        <v>Gazzelle Gentili</v>
      </c>
      <c r="AC135" s="68" t="str">
        <f>IF($C135="","","[Girone "&amp;IFERROR(INDEX(Campionato!$E$14:$E$23,MATCH($C135,Campionato!$B$14:$B$23,0)),"?")&amp;"]")</f>
        <v>[Girone A]</v>
      </c>
    </row>
    <row r="136" ht="16" customHeight="1">
      <c r="A136" s="141" t="n"/>
      <c r="B136" s="69" t="str">
        <f>IF(I136="","",HYPERLINK(VLOOKUP(I136,Campionato!$B$27:$D$45,3,FALSE),VLOOKUP(I136,Campionato!$B$27:$D$45,2,FALSE)))</f>
        <v>PalaErmellini, Via dello Sport 5, Ermelliniopoli EU</v>
      </c>
      <c r="C136" s="9" t="n"/>
      <c r="D136" s="9" t="n"/>
      <c r="E136" s="9" t="n"/>
      <c r="F136" s="9" t="n"/>
      <c r="G136" s="9" t="n"/>
      <c r="H136" s="10" t="n"/>
      <c r="I136" s="62" t="inlineStr">
        <is>
          <t>A05</t>
        </is>
      </c>
      <c r="J136" s="141" t="n"/>
      <c r="K136" s="141" t="n"/>
      <c r="L136" s="141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>39</v>
      </c>
      <c r="B138" s="61" t="str">
        <f>IF(C138="","",IFERROR(VLOOKUP(C138,Campionato!$B$14:$H$23,7,FALSE),""))</f>
        <v>Falchi Feroci</v>
      </c>
      <c r="C138" s="62" t="inlineStr">
        <is>
          <t>A06</t>
        </is>
      </c>
      <c r="D138" s="61" t="str">
        <f>IF(E138="","",IFERROR(VLOOKUP(E138,Campionato!$B$14:$H$23,7,FALSE),""))</f>
        <v>Anaconde Audaci</v>
      </c>
      <c r="E138" s="62" t="inlineStr">
        <is>
          <t>A01</t>
        </is>
      </c>
      <c r="F138" s="63" t="n">
        <v>46362.66666666666</v>
      </c>
      <c r="G138" s="9" t="n"/>
      <c r="H138" s="9" t="n"/>
      <c r="I138" s="10" t="n"/>
      <c r="J138" s="65" t="n">
        <v>40</v>
      </c>
      <c r="K138" s="66" t="inlineStr">
        <is>
          <t>-</t>
        </is>
      </c>
      <c r="L138" s="65" t="n">
        <v>60</v>
      </c>
      <c r="M138" s="67" t="str">
        <f>IF($B138="","(Squadra A)",$B138)</f>
        <v>Falchi Feroci</v>
      </c>
      <c r="N138" s="67">
        <f>IF($J138+$L138=0,,IF($J138&gt;$L138,1,0))</f>
        <v>0</v>
      </c>
      <c r="O138" s="67">
        <f>IF($J138+$L138=0,,IF($J138&lt;$L138,IF($J138&amp;"-"&amp;$L138=MID(Campionato!$D$10,FIND("-",Campionato!$D$10)+1,LEN(Campionato!$D$10))&amp;"-"&amp;LEFT(Campionato!$D$10,FIND("-",Campionato!$D$10)-1),1,0),0))</f>
        <v>0</v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>1</v>
      </c>
      <c r="Q138" s="67">
        <f>IF($J138+$L138=0,,$J138)</f>
        <v>40</v>
      </c>
      <c r="R138" s="67">
        <f>IF($J138+$L138=0,,$L138)</f>
        <v>60</v>
      </c>
      <c r="S138" s="67">
        <f>IF($J138+$L138=0,,$J138-$L138)</f>
        <v>-20</v>
      </c>
      <c r="T138" s="67" t="str">
        <f>IF($D138="","(Squadra B)",$D138)</f>
        <v>Anaconde Audaci</v>
      </c>
      <c r="U138" s="67">
        <f>IF($J138+$L138=0,,IF($L138&gt;$J138,1,0))</f>
        <v>1</v>
      </c>
      <c r="V138" s="67">
        <f>IF($J138+$L138=0,,IF($L138&lt;$J138,IF($J138&amp;"-"&amp;$L138=Campionato!$D$10,1,0),0))</f>
        <v>0</v>
      </c>
      <c r="W138" s="67">
        <f>IF($J138+$L138=0,,IF($L138&lt;$J138,IF($J138&amp;"-"&amp;$L138&lt;&gt;Campionato!$D$10,1,0),0))</f>
        <v>0</v>
      </c>
      <c r="X138" s="67">
        <f>IF($J138+$L138=0,,$L138)</f>
        <v>60</v>
      </c>
      <c r="Y138" s="67">
        <f>IF($J138+$L138=0,,$J138)</f>
        <v>40</v>
      </c>
      <c r="Z138" s="67">
        <f>IF($J138+$L138=0,,$L138-$J138)</f>
        <v>20</v>
      </c>
      <c r="AA138" s="67" t="str">
        <f>IF($J138+$L138=0,"(Vincente)",IF($J138&gt;$L138,$B138,$D138))</f>
        <v>Anaconde Audaci</v>
      </c>
      <c r="AB138" s="67" t="str">
        <f>IF($J138+$L138=0,"(Perdente)",IF($J138&lt;$L138,$B138,$D138))</f>
        <v>Falchi Feroci</v>
      </c>
      <c r="AC138" s="68" t="str">
        <f>IF($C138="","","[Girone "&amp;IFERROR(INDEX(Campionato!$E$14:$E$23,MATCH($C138,Campionato!$B$14:$B$23,0)),"?")&amp;"]")</f>
        <v>[Girone A]</v>
      </c>
    </row>
    <row r="139" ht="16" customHeight="1">
      <c r="A139" s="141" t="n"/>
      <c r="B139" s="69" t="str">
        <f>IF(I139="","",HYPERLINK(VLOOKUP(I139,Campionato!$B$27:$D$45,3,FALSE),VLOOKUP(I139,Campionato!$B$27:$D$45,2,FALSE)))</f>
        <v>PalaErmellini, Via dello Sport 5, Ermelliniopoli EU</v>
      </c>
      <c r="C139" s="9" t="n"/>
      <c r="D139" s="9" t="n"/>
      <c r="E139" s="9" t="n"/>
      <c r="F139" s="9" t="n"/>
      <c r="G139" s="9" t="n"/>
      <c r="H139" s="10" t="n"/>
      <c r="I139" s="62" t="inlineStr">
        <is>
          <t>A05</t>
        </is>
      </c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>40</v>
      </c>
      <c r="B141" s="61" t="str">
        <f>IF(C141="","",IFERROR(VLOOKUP(C141,Campionato!$B$14:$H$23,7,FALSE),""))</f>
        <v>Dingo Docili</v>
      </c>
      <c r="C141" s="62" t="inlineStr">
        <is>
          <t>A04</t>
        </is>
      </c>
      <c r="D141" s="61" t="str">
        <f>IF(E141="","",IFERROR(VLOOKUP(E141,Campionato!$B$14:$H$23,7,FALSE),""))</f>
        <v>Cobra Celeri</v>
      </c>
      <c r="E141" s="62" t="inlineStr">
        <is>
          <t>A03</t>
        </is>
      </c>
      <c r="F141" s="63" t="n">
        <v>46362.72916666666</v>
      </c>
      <c r="G141" s="9" t="n"/>
      <c r="H141" s="9" t="n"/>
      <c r="I141" s="10" t="n"/>
      <c r="J141" s="65" t="n">
        <v>80</v>
      </c>
      <c r="K141" s="66" t="inlineStr">
        <is>
          <t>-</t>
        </is>
      </c>
      <c r="L141" s="65" t="n">
        <v>75</v>
      </c>
      <c r="M141" s="67" t="str">
        <f>IF($B141="","(Squadra A)",$B141)</f>
        <v>Dingo Docili</v>
      </c>
      <c r="N141" s="67">
        <f>IF($J141+$L141=0,,IF($J141&gt;$L141,1,0))</f>
        <v>1</v>
      </c>
      <c r="O141" s="67">
        <f>IF($J141+$L141=0,,IF($J141&lt;$L141,IF($J141&amp;"-"&amp;$L141=MID(Campionato!$D$10,FIND("-",Campionato!$D$10)+1,LEN(Campionato!$D$10))&amp;"-"&amp;LEFT(Campionato!$D$10,FIND("-",Campionato!$D$10)-1),1,0),0))</f>
        <v>0</v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>0</v>
      </c>
      <c r="Q141" s="67">
        <f>IF($J141+$L141=0,,$J141)</f>
        <v>80</v>
      </c>
      <c r="R141" s="67">
        <f>IF($J141+$L141=0,,$L141)</f>
        <v>75</v>
      </c>
      <c r="S141" s="67">
        <f>IF($J141+$L141=0,,$J141-$L141)</f>
        <v>5</v>
      </c>
      <c r="T141" s="67" t="str">
        <f>IF($D141="","(Squadra B)",$D141)</f>
        <v>Cobra Celeri</v>
      </c>
      <c r="U141" s="67">
        <f>IF($J141+$L141=0,,IF($L141&gt;$J141,1,0))</f>
        <v>0</v>
      </c>
      <c r="V141" s="67">
        <f>IF($J141+$L141=0,,IF($L141&lt;$J141,IF($J141&amp;"-"&amp;$L141=Campionato!$D$10,1,0),0))</f>
        <v>0</v>
      </c>
      <c r="W141" s="67">
        <f>IF($J141+$L141=0,,IF($L141&lt;$J141,IF($J141&amp;"-"&amp;$L141&lt;&gt;Campionato!$D$10,1,0),0))</f>
        <v>1</v>
      </c>
      <c r="X141" s="67">
        <f>IF($J141+$L141=0,,$L141)</f>
        <v>75</v>
      </c>
      <c r="Y141" s="67">
        <f>IF($J141+$L141=0,,$J141)</f>
        <v>80</v>
      </c>
      <c r="Z141" s="67">
        <f>IF($J141+$L141=0,,$L141-$J141)</f>
        <v>-5</v>
      </c>
      <c r="AA141" s="67" t="str">
        <f>IF($J141+$L141=0,"(Vincente)",IF($J141&gt;$L141,$B141,$D141))</f>
        <v>Dingo Docili</v>
      </c>
      <c r="AB141" s="67" t="str">
        <f>IF($J141+$L141=0,"(Perdente)",IF($J141&lt;$L141,$B141,$D141))</f>
        <v>Cobra Celeri</v>
      </c>
      <c r="AC141" s="68" t="str">
        <f>IF($C141="","","[Girone "&amp;IFERROR(INDEX(Campionato!$E$14:$E$23,MATCH($C141,Campionato!$B$14:$B$23,0)),"?")&amp;"]")</f>
        <v>[Girone A]</v>
      </c>
    </row>
    <row r="142" ht="16" customHeight="1">
      <c r="A142" s="141" t="n"/>
      <c r="B142" s="69" t="str">
        <f>IF(I142="","",HYPERLINK(VLOOKUP(I142,Campionato!$B$27:$D$45,3,FALSE),VLOOKUP(I142,Campionato!$B$27:$D$45,2,FALSE)))</f>
        <v>PalaErmellini, Via dello Sport 5, Ermelliniopoli EU</v>
      </c>
      <c r="C142" s="9" t="n"/>
      <c r="D142" s="9" t="n"/>
      <c r="E142" s="9" t="n"/>
      <c r="F142" s="9" t="n"/>
      <c r="G142" s="9" t="n"/>
      <c r="H142" s="10" t="n"/>
      <c r="I142" s="62" t="inlineStr">
        <is>
          <t>A05</t>
        </is>
      </c>
      <c r="J142" s="141" t="n"/>
      <c r="K142" s="141" t="n"/>
      <c r="L142" s="141" t="n"/>
    </row>
    <row r="143" ht="8" customHeight="1"/>
    <row r="144" ht="20" customHeight="1">
      <c r="A144" s="55" t="inlineStr">
        <is>
          <t>9A</t>
        </is>
      </c>
      <c r="B144" s="56" t="str">
        <f>"GIORNATA "&amp;ROMAN(VALUE(LEFT(A144,LEN(A144)-1)))&amp;" - GIRONE "&amp;UPPER($O$3)</f>
        <v>GIORNATA IX - GIRONE GOLD</v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58" t="inlineStr">
        <is>
          <t>Gara N.</t>
        </is>
      </c>
      <c r="B145" s="58" t="inlineStr">
        <is>
          <t>Squadra A</t>
        </is>
      </c>
      <c r="C145" s="10" t="n"/>
      <c r="D145" s="58" t="inlineStr">
        <is>
          <t>Squadra B</t>
        </is>
      </c>
      <c r="E145" s="10" t="n"/>
      <c r="F145" s="58" t="inlineStr">
        <is>
          <t>Giorno</t>
        </is>
      </c>
      <c r="G145" s="58" t="inlineStr">
        <is>
          <t>Data</t>
        </is>
      </c>
      <c r="H145" s="58" t="inlineStr">
        <is>
          <t>Ora</t>
        </is>
      </c>
      <c r="I145" s="10" t="n"/>
      <c r="J145" s="58" t="inlineStr">
        <is>
          <t>Risultato</t>
        </is>
      </c>
      <c r="K145" s="9" t="n"/>
      <c r="L145" s="10" t="n"/>
    </row>
    <row r="146" ht="24" customHeight="1">
      <c r="A146" s="60">
        <f>MAX(A$10:A145)+1</f>
        <v>41</v>
      </c>
      <c r="B146" s="61" t="str">
        <f>IF(C146="","",IFERROR(VLOOKUP(C146,Campionato!$B$14:$H$23,7,FALSE),""))</f>
        <v>Bufali Belligeranti</v>
      </c>
      <c r="C146" s="62" t="inlineStr">
        <is>
          <t>A02</t>
        </is>
      </c>
      <c r="D146" s="61" t="str">
        <f>IF(E146="","",IFERROR(VLOOKUP(E146,Campionato!$B$14:$H$23,7,FALSE),""))</f>
        <v>Gazzelle Gentili</v>
      </c>
      <c r="E146" s="62" t="inlineStr">
        <is>
          <t>A07</t>
        </is>
      </c>
      <c r="F146" s="63" t="n">
        <v>46369.39583333334</v>
      </c>
      <c r="G146" s="9" t="n"/>
      <c r="H146" s="9" t="n"/>
      <c r="I146" s="10" t="n"/>
      <c r="J146" s="65" t="n">
        <v>51</v>
      </c>
      <c r="K146" s="66" t="inlineStr">
        <is>
          <t>-</t>
        </is>
      </c>
      <c r="L146" s="65" t="n">
        <v>26</v>
      </c>
      <c r="M146" s="67" t="str">
        <f>IF($B146="","(Squadra A)",$B146)</f>
        <v>Bufali Belligeranti</v>
      </c>
      <c r="N146" s="67">
        <f>IF($J146+$L146=0,,IF($J146&gt;$L146,1,0))</f>
        <v>1</v>
      </c>
      <c r="O146" s="67">
        <f>IF($J146+$L146=0,,IF($J146&lt;$L146,IF($J146&amp;"-"&amp;$L146=MID(Campionato!$D$10,FIND("-",Campionato!$D$10)+1,LEN(Campionato!$D$10))&amp;"-"&amp;LEFT(Campionato!$D$10,FIND("-",Campionato!$D$10)-1),1,0),0))</f>
        <v>0</v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>0</v>
      </c>
      <c r="Q146" s="67">
        <f>IF($J146+$L146=0,,$J146)</f>
        <v>51</v>
      </c>
      <c r="R146" s="67">
        <f>IF($J146+$L146=0,,$L146)</f>
        <v>26</v>
      </c>
      <c r="S146" s="67">
        <f>IF($J146+$L146=0,,$J146-$L146)</f>
        <v>25</v>
      </c>
      <c r="T146" s="67" t="str">
        <f>IF($D146="","(Squadra B)",$D146)</f>
        <v>Gazzelle Gentili</v>
      </c>
      <c r="U146" s="67">
        <f>IF($J146+$L146=0,,IF($L146&gt;$J146,1,0))</f>
        <v>0</v>
      </c>
      <c r="V146" s="67">
        <f>IF($J146+$L146=0,,IF($L146&lt;$J146,IF($J146&amp;"-"&amp;$L146=Campionato!$D$10,1,0),0))</f>
        <v>0</v>
      </c>
      <c r="W146" s="67">
        <f>IF($J146+$L146=0,,IF($L146&lt;$J146,IF($J146&amp;"-"&amp;$L146&lt;&gt;Campionato!$D$10,1,0),0))</f>
        <v>1</v>
      </c>
      <c r="X146" s="67">
        <f>IF($J146+$L146=0,,$L146)</f>
        <v>26</v>
      </c>
      <c r="Y146" s="67">
        <f>IF($J146+$L146=0,,$J146)</f>
        <v>51</v>
      </c>
      <c r="Z146" s="67">
        <f>IF($J146+$L146=0,,$L146-$J146)</f>
        <v>-25</v>
      </c>
      <c r="AA146" s="67" t="str">
        <f>IF($J146+$L146=0,"(Vincente)",IF($J146&gt;$L146,$B146,$D146))</f>
        <v>Bufali Belligeranti</v>
      </c>
      <c r="AB146" s="67" t="str">
        <f>IF($J146+$L146=0,"(Perdente)",IF($J146&lt;$L146,$B146,$D146))</f>
        <v>Gazzelle Gentili</v>
      </c>
      <c r="AC146" s="68" t="str">
        <f>IF($C146="","","[Girone "&amp;IFERROR(INDEX(Campionato!$E$14:$E$23,MATCH($C146,Campionato!$B$14:$B$23,0)),"?")&amp;"]")</f>
        <v>[Girone A]</v>
      </c>
    </row>
    <row r="147" ht="16" customHeight="1">
      <c r="A147" s="141" t="n"/>
      <c r="B147" s="69" t="str">
        <f>IF(I147="","",HYPERLINK(VLOOKUP(I147,Campionato!$B$27:$D$45,3,FALSE),VLOOKUP(I147,Campionato!$B$27:$D$45,2,FALSE)))</f>
        <v>PalaGazzelle, Via dello Sport 7, Gazzelleopoli GE</v>
      </c>
      <c r="C147" s="9" t="n"/>
      <c r="D147" s="9" t="n"/>
      <c r="E147" s="9" t="n"/>
      <c r="F147" s="9" t="n"/>
      <c r="G147" s="9" t="n"/>
      <c r="H147" s="10" t="n"/>
      <c r="I147" s="62" t="inlineStr">
        <is>
          <t>A07</t>
        </is>
      </c>
      <c r="J147" s="141" t="n"/>
      <c r="K147" s="141" t="n"/>
      <c r="L147" s="141" t="n"/>
    </row>
    <row r="148" ht="13" customHeight="1">
      <c r="A148" s="58" t="inlineStr">
        <is>
          <t>Gara N.</t>
        </is>
      </c>
      <c r="B148" s="58" t="inlineStr">
        <is>
          <t>Squadra A</t>
        </is>
      </c>
      <c r="C148" s="10" t="n"/>
      <c r="D148" s="58" t="inlineStr">
        <is>
          <t>Squadra B</t>
        </is>
      </c>
      <c r="E148" s="10" t="n"/>
      <c r="F148" s="58" t="inlineStr">
        <is>
          <t>Giorno</t>
        </is>
      </c>
      <c r="G148" s="58" t="inlineStr">
        <is>
          <t>Data</t>
        </is>
      </c>
      <c r="H148" s="58" t="inlineStr">
        <is>
          <t>Ora</t>
        </is>
      </c>
      <c r="I148" s="10" t="n"/>
      <c r="J148" s="58" t="inlineStr">
        <is>
          <t>Risultato</t>
        </is>
      </c>
      <c r="K148" s="9" t="n"/>
      <c r="L148" s="10" t="n"/>
    </row>
    <row r="149" ht="24" customHeight="1">
      <c r="A149" s="60">
        <f>MAX(A$10:A148)+1</f>
        <v>42</v>
      </c>
      <c r="B149" s="61" t="str">
        <f>IF(C149="","",IFERROR(VLOOKUP(C149,Campionato!$B$14:$H$23,7,FALSE),""))</f>
        <v>Lupi Leali</v>
      </c>
      <c r="C149" s="62" t="inlineStr">
        <is>
          <t>A09</t>
        </is>
      </c>
      <c r="D149" s="61" t="str">
        <f>IF(E149="","",IFERROR(VLOOKUP(E149,Campionato!$B$14:$H$23,7,FALSE),""))</f>
        <v>Marmotte Mobili</v>
      </c>
      <c r="E149" s="62" t="inlineStr">
        <is>
          <t>A10</t>
        </is>
      </c>
      <c r="F149" s="63" t="n">
        <v>46369.45833333334</v>
      </c>
      <c r="G149" s="9" t="n"/>
      <c r="H149" s="9" t="n"/>
      <c r="I149" s="10" t="n"/>
      <c r="J149" s="65" t="n">
        <v>80</v>
      </c>
      <c r="K149" s="66" t="inlineStr">
        <is>
          <t>-</t>
        </is>
      </c>
      <c r="L149" s="65" t="n">
        <v>60</v>
      </c>
      <c r="M149" s="67" t="str">
        <f>IF($B149="","(Squadra A)",$B149)</f>
        <v>Lupi Leali</v>
      </c>
      <c r="N149" s="67">
        <f>IF($J149+$L149=0,,IF($J149&gt;$L149,1,0))</f>
        <v>1</v>
      </c>
      <c r="O149" s="67">
        <f>IF($J149+$L149=0,,IF($J149&lt;$L149,IF($J149&amp;"-"&amp;$L149=MID(Campionato!$D$10,FIND("-",Campionato!$D$10)+1,LEN(Campionato!$D$10))&amp;"-"&amp;LEFT(Campionato!$D$10,FIND("-",Campionato!$D$10)-1),1,0),0))</f>
        <v>0</v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>0</v>
      </c>
      <c r="Q149" s="67">
        <f>IF($J149+$L149=0,,$J149)</f>
        <v>80</v>
      </c>
      <c r="R149" s="67">
        <f>IF($J149+$L149=0,,$L149)</f>
        <v>60</v>
      </c>
      <c r="S149" s="67">
        <f>IF($J149+$L149=0,,$J149-$L149)</f>
        <v>20</v>
      </c>
      <c r="T149" s="67" t="str">
        <f>IF($D149="","(Squadra B)",$D149)</f>
        <v>Marmotte Mobili</v>
      </c>
      <c r="U149" s="67">
        <f>IF($J149+$L149=0,,IF($L149&gt;$J149,1,0))</f>
        <v>0</v>
      </c>
      <c r="V149" s="67">
        <f>IF($J149+$L149=0,,IF($L149&lt;$J149,IF($J149&amp;"-"&amp;$L149=Campionato!$D$10,1,0),0))</f>
        <v>0</v>
      </c>
      <c r="W149" s="67">
        <f>IF($J149+$L149=0,,IF($L149&lt;$J149,IF($J149&amp;"-"&amp;$L149&lt;&gt;Campionato!$D$10,1,0),0))</f>
        <v>1</v>
      </c>
      <c r="X149" s="67">
        <f>IF($J149+$L149=0,,$L149)</f>
        <v>60</v>
      </c>
      <c r="Y149" s="67">
        <f>IF($J149+$L149=0,,$J149)</f>
        <v>80</v>
      </c>
      <c r="Z149" s="67">
        <f>IF($J149+$L149=0,,$L149-$J149)</f>
        <v>-20</v>
      </c>
      <c r="AA149" s="67" t="str">
        <f>IF($J149+$L149=0,"(Vincente)",IF($J149&gt;$L149,$B149,$D149))</f>
        <v>Lupi Leali</v>
      </c>
      <c r="AB149" s="67" t="str">
        <f>IF($J149+$L149=0,"(Perdente)",IF($J149&lt;$L149,$B149,$D149))</f>
        <v>Marmotte Mobili</v>
      </c>
      <c r="AC149" s="68" t="str">
        <f>IF($C149="","","[Girone "&amp;IFERROR(INDEX(Campionato!$E$14:$E$23,MATCH($C149,Campionato!$B$14:$B$23,0)),"?")&amp;"]")</f>
        <v>[Girone A]</v>
      </c>
    </row>
    <row r="150" ht="16" customHeight="1">
      <c r="A150" s="141" t="n"/>
      <c r="B150" s="69" t="str">
        <f>IF(I150="","",HYPERLINK(VLOOKUP(I150,Campionato!$B$27:$D$45,3,FALSE),VLOOKUP(I150,Campionato!$B$27:$D$45,2,FALSE)))</f>
        <v>PalaGazzelle, Via dello Sport 7, Gazzelleopoli GE</v>
      </c>
      <c r="C150" s="9" t="n"/>
      <c r="D150" s="9" t="n"/>
      <c r="E150" s="9" t="n"/>
      <c r="F150" s="9" t="n"/>
      <c r="G150" s="9" t="n"/>
      <c r="H150" s="10" t="n"/>
      <c r="I150" s="62" t="inlineStr">
        <is>
          <t>A07</t>
        </is>
      </c>
      <c r="J150" s="141" t="n"/>
      <c r="K150" s="141" t="n"/>
      <c r="L150" s="141" t="n"/>
    </row>
    <row r="151" ht="13" customHeight="1">
      <c r="A151" s="58" t="inlineStr">
        <is>
          <t>Gara N.</t>
        </is>
      </c>
      <c r="B151" s="58" t="inlineStr">
        <is>
          <t>Squadra A</t>
        </is>
      </c>
      <c r="C151" s="10" t="n"/>
      <c r="D151" s="58" t="inlineStr">
        <is>
          <t>Squadra B</t>
        </is>
      </c>
      <c r="E151" s="10" t="n"/>
      <c r="F151" s="58" t="inlineStr">
        <is>
          <t>Giorno</t>
        </is>
      </c>
      <c r="G151" s="58" t="inlineStr">
        <is>
          <t>Data</t>
        </is>
      </c>
      <c r="H151" s="58" t="inlineStr">
        <is>
          <t>Ora</t>
        </is>
      </c>
      <c r="I151" s="10" t="n"/>
      <c r="J151" s="58" t="inlineStr">
        <is>
          <t>Risultato</t>
        </is>
      </c>
      <c r="K151" s="9" t="n"/>
      <c r="L151" s="10" t="n"/>
    </row>
    <row r="152" ht="24" customHeight="1">
      <c r="A152" s="60">
        <f>MAX(A$10:A151)+1</f>
        <v>43</v>
      </c>
      <c r="B152" s="61" t="str">
        <f>IF(C152="","",IFERROR(VLOOKUP(C152,Campionato!$B$14:$H$23,7,FALSE),""))</f>
        <v>Ibis Instancabili</v>
      </c>
      <c r="C152" s="62" t="inlineStr">
        <is>
          <t>A08</t>
        </is>
      </c>
      <c r="D152" s="61" t="str">
        <f>IF(E152="","",IFERROR(VLOOKUP(E152,Campionato!$B$14:$H$23,7,FALSE),""))</f>
        <v>Anaconde Audaci</v>
      </c>
      <c r="E152" s="62" t="inlineStr">
        <is>
          <t>A01</t>
        </is>
      </c>
      <c r="F152" s="63" t="n">
        <v>46369.60416666666</v>
      </c>
      <c r="G152" s="9" t="n"/>
      <c r="H152" s="9" t="n"/>
      <c r="I152" s="10" t="n"/>
      <c r="J152" s="65" t="n">
        <v>58</v>
      </c>
      <c r="K152" s="66" t="inlineStr">
        <is>
          <t>-</t>
        </is>
      </c>
      <c r="L152" s="65" t="n">
        <v>40</v>
      </c>
      <c r="M152" s="67" t="str">
        <f>IF($B152="","(Squadra A)",$B152)</f>
        <v>Ibis Instancabili</v>
      </c>
      <c r="N152" s="67">
        <f>IF($J152+$L152=0,,IF($J152&gt;$L152,1,0))</f>
        <v>1</v>
      </c>
      <c r="O152" s="67">
        <f>IF($J152+$L152=0,,IF($J152&lt;$L152,IF($J152&amp;"-"&amp;$L152=MID(Campionato!$D$10,FIND("-",Campionato!$D$10)+1,LEN(Campionato!$D$10))&amp;"-"&amp;LEFT(Campionato!$D$10,FIND("-",Campionato!$D$10)-1),1,0),0))</f>
        <v>0</v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>0</v>
      </c>
      <c r="Q152" s="67">
        <f>IF($J152+$L152=0,,$J152)</f>
        <v>58</v>
      </c>
      <c r="R152" s="67">
        <f>IF($J152+$L152=0,,$L152)</f>
        <v>40</v>
      </c>
      <c r="S152" s="67">
        <f>IF($J152+$L152=0,,$J152-$L152)</f>
        <v>18</v>
      </c>
      <c r="T152" s="67" t="str">
        <f>IF($D152="","(Squadra B)",$D152)</f>
        <v>Anaconde Audaci</v>
      </c>
      <c r="U152" s="67">
        <f>IF($J152+$L152=0,,IF($L152&gt;$J152,1,0))</f>
        <v>0</v>
      </c>
      <c r="V152" s="67">
        <f>IF($J152+$L152=0,,IF($L152&lt;$J152,IF($J152&amp;"-"&amp;$L152=Campionato!$D$10,1,0),0))</f>
        <v>0</v>
      </c>
      <c r="W152" s="67">
        <f>IF($J152+$L152=0,,IF($L152&lt;$J152,IF($J152&amp;"-"&amp;$L152&lt;&gt;Campionato!$D$10,1,0),0))</f>
        <v>1</v>
      </c>
      <c r="X152" s="67">
        <f>IF($J152+$L152=0,,$L152)</f>
        <v>40</v>
      </c>
      <c r="Y152" s="67">
        <f>IF($J152+$L152=0,,$J152)</f>
        <v>58</v>
      </c>
      <c r="Z152" s="67">
        <f>IF($J152+$L152=0,,$L152-$J152)</f>
        <v>-18</v>
      </c>
      <c r="AA152" s="67" t="str">
        <f>IF($J152+$L152=0,"(Vincente)",IF($J152&gt;$L152,$B152,$D152))</f>
        <v>Ibis Instancabili</v>
      </c>
      <c r="AB152" s="67" t="str">
        <f>IF($J152+$L152=0,"(Perdente)",IF($J152&lt;$L152,$B152,$D152))</f>
        <v>Anaconde Audaci</v>
      </c>
      <c r="AC152" s="68" t="str">
        <f>IF($C152="","","[Girone "&amp;IFERROR(INDEX(Campionato!$E$14:$E$23,MATCH($C152,Campionato!$B$14:$B$23,0)),"?")&amp;"]")</f>
        <v>[Girone A]</v>
      </c>
    </row>
    <row r="153" ht="16" customHeight="1">
      <c r="A153" s="141" t="n"/>
      <c r="B153" s="69" t="str">
        <f>IF(I153="","",HYPERLINK(VLOOKUP(I153,Campionato!$B$27:$D$45,3,FALSE),VLOOKUP(I153,Campionato!$B$27:$D$45,2,FALSE)))</f>
        <v>PalaGazzelle, Via dello Sport 7, Gazzelleopoli GE</v>
      </c>
      <c r="C153" s="9" t="n"/>
      <c r="D153" s="9" t="n"/>
      <c r="E153" s="9" t="n"/>
      <c r="F153" s="9" t="n"/>
      <c r="G153" s="9" t="n"/>
      <c r="H153" s="10" t="n"/>
      <c r="I153" s="62" t="inlineStr">
        <is>
          <t>A07</t>
        </is>
      </c>
      <c r="J153" s="141" t="n"/>
      <c r="K153" s="141" t="n"/>
      <c r="L153" s="141" t="n"/>
    </row>
    <row r="154" ht="13" customHeight="1">
      <c r="A154" s="58" t="inlineStr">
        <is>
          <t>Gara N.</t>
        </is>
      </c>
      <c r="B154" s="58" t="inlineStr">
        <is>
          <t>Squadra A</t>
        </is>
      </c>
      <c r="C154" s="10" t="n"/>
      <c r="D154" s="58" t="inlineStr">
        <is>
          <t>Squadra B</t>
        </is>
      </c>
      <c r="E154" s="10" t="n"/>
      <c r="F154" s="58" t="inlineStr">
        <is>
          <t>Giorno</t>
        </is>
      </c>
      <c r="G154" s="58" t="inlineStr">
        <is>
          <t>Data</t>
        </is>
      </c>
      <c r="H154" s="58" t="inlineStr">
        <is>
          <t>Ora</t>
        </is>
      </c>
      <c r="I154" s="10" t="n"/>
      <c r="J154" s="58" t="inlineStr">
        <is>
          <t>Risultato</t>
        </is>
      </c>
      <c r="K154" s="9" t="n"/>
      <c r="L154" s="10" t="n"/>
    </row>
    <row r="155" ht="24" customHeight="1">
      <c r="A155" s="60">
        <f>MAX(A$10:A154)+1</f>
        <v>44</v>
      </c>
      <c r="B155" s="61" t="str">
        <f>IF(C155="","",IFERROR(VLOOKUP(C155,Campionato!$B$14:$H$23,7,FALSE),""))</f>
        <v>Falchi Feroci</v>
      </c>
      <c r="C155" s="62" t="inlineStr">
        <is>
          <t>A06</t>
        </is>
      </c>
      <c r="D155" s="61" t="str">
        <f>IF(E155="","",IFERROR(VLOOKUP(E155,Campionato!$B$14:$H$23,7,FALSE),""))</f>
        <v>Cobra Celeri</v>
      </c>
      <c r="E155" s="62" t="inlineStr">
        <is>
          <t>A03</t>
        </is>
      </c>
      <c r="F155" s="63" t="n">
        <v>46369.66666666666</v>
      </c>
      <c r="G155" s="9" t="n"/>
      <c r="H155" s="9" t="n"/>
      <c r="I155" s="10" t="n"/>
      <c r="J155" s="65" t="n">
        <v>44</v>
      </c>
      <c r="K155" s="66" t="inlineStr">
        <is>
          <t>-</t>
        </is>
      </c>
      <c r="L155" s="65" t="n">
        <v>65</v>
      </c>
      <c r="M155" s="67" t="str">
        <f>IF($B155="","(Squadra A)",$B155)</f>
        <v>Falchi Feroci</v>
      </c>
      <c r="N155" s="67">
        <f>IF($J155+$L155=0,,IF($J155&gt;$L155,1,0))</f>
        <v>0</v>
      </c>
      <c r="O155" s="67">
        <f>IF($J155+$L155=0,,IF($J155&lt;$L155,IF($J155&amp;"-"&amp;$L155=MID(Campionato!$D$10,FIND("-",Campionato!$D$10)+1,LEN(Campionato!$D$10))&amp;"-"&amp;LEFT(Campionato!$D$10,FIND("-",Campionato!$D$10)-1),1,0),0))</f>
        <v>0</v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>1</v>
      </c>
      <c r="Q155" s="67">
        <f>IF($J155+$L155=0,,$J155)</f>
        <v>44</v>
      </c>
      <c r="R155" s="67">
        <f>IF($J155+$L155=0,,$L155)</f>
        <v>65</v>
      </c>
      <c r="S155" s="67">
        <f>IF($J155+$L155=0,,$J155-$L155)</f>
        <v>-21</v>
      </c>
      <c r="T155" s="67" t="str">
        <f>IF($D155="","(Squadra B)",$D155)</f>
        <v>Cobra Celeri</v>
      </c>
      <c r="U155" s="67">
        <f>IF($J155+$L155=0,,IF($L155&gt;$J155,1,0))</f>
        <v>1</v>
      </c>
      <c r="V155" s="67">
        <f>IF($J155+$L155=0,,IF($L155&lt;$J155,IF($J155&amp;"-"&amp;$L155=Campionato!$D$10,1,0),0))</f>
        <v>0</v>
      </c>
      <c r="W155" s="67">
        <f>IF($J155+$L155=0,,IF($L155&lt;$J155,IF($J155&amp;"-"&amp;$L155&lt;&gt;Campionato!$D$10,1,0),0))</f>
        <v>0</v>
      </c>
      <c r="X155" s="67">
        <f>IF($J155+$L155=0,,$L155)</f>
        <v>65</v>
      </c>
      <c r="Y155" s="67">
        <f>IF($J155+$L155=0,,$J155)</f>
        <v>44</v>
      </c>
      <c r="Z155" s="67">
        <f>IF($J155+$L155=0,,$L155-$J155)</f>
        <v>21</v>
      </c>
      <c r="AA155" s="67" t="str">
        <f>IF($J155+$L155=0,"(Vincente)",IF($J155&gt;$L155,$B155,$D155))</f>
        <v>Cobra Celeri</v>
      </c>
      <c r="AB155" s="67" t="str">
        <f>IF($J155+$L155=0,"(Perdente)",IF($J155&lt;$L155,$B155,$D155))</f>
        <v>Falchi Feroci</v>
      </c>
      <c r="AC155" s="68" t="str">
        <f>IF($C155="","","[Girone "&amp;IFERROR(INDEX(Campionato!$E$14:$E$23,MATCH($C155,Campionato!$B$14:$B$23,0)),"?")&amp;"]")</f>
        <v>[Girone A]</v>
      </c>
    </row>
    <row r="156" ht="16" customHeight="1">
      <c r="A156" s="141" t="n"/>
      <c r="B156" s="69" t="str">
        <f>IF(I156="","",HYPERLINK(VLOOKUP(I156,Campionato!$B$27:$D$45,3,FALSE),VLOOKUP(I156,Campionato!$B$27:$D$45,2,FALSE)))</f>
        <v>PalaGazzelle, Via dello Sport 7, Gazzelleopoli GE</v>
      </c>
      <c r="C156" s="9" t="n"/>
      <c r="D156" s="9" t="n"/>
      <c r="E156" s="9" t="n"/>
      <c r="F156" s="9" t="n"/>
      <c r="G156" s="9" t="n"/>
      <c r="H156" s="10" t="n"/>
      <c r="I156" s="62" t="inlineStr">
        <is>
          <t>A07</t>
        </is>
      </c>
      <c r="J156" s="141" t="n"/>
      <c r="K156" s="141" t="n"/>
      <c r="L156" s="141" t="n"/>
    </row>
    <row r="157" ht="13" customHeight="1">
      <c r="A157" s="58" t="inlineStr">
        <is>
          <t>Gara N.</t>
        </is>
      </c>
      <c r="B157" s="58" t="inlineStr">
        <is>
          <t>Squadra A</t>
        </is>
      </c>
      <c r="C157" s="10" t="n"/>
      <c r="D157" s="58" t="inlineStr">
        <is>
          <t>Squadra B</t>
        </is>
      </c>
      <c r="E157" s="10" t="n"/>
      <c r="F157" s="58" t="inlineStr">
        <is>
          <t>Giorno</t>
        </is>
      </c>
      <c r="G157" s="58" t="inlineStr">
        <is>
          <t>Data</t>
        </is>
      </c>
      <c r="H157" s="58" t="inlineStr">
        <is>
          <t>Ora</t>
        </is>
      </c>
      <c r="I157" s="10" t="n"/>
      <c r="J157" s="58" t="inlineStr">
        <is>
          <t>Risultato</t>
        </is>
      </c>
      <c r="K157" s="9" t="n"/>
      <c r="L157" s="10" t="n"/>
    </row>
    <row r="158" ht="24" customHeight="1">
      <c r="A158" s="60">
        <f>MAX(A$10:A157)+1</f>
        <v>45</v>
      </c>
      <c r="B158" s="61" t="str">
        <f>IF(C158="","",IFERROR(VLOOKUP(C158,Campionato!$B$14:$H$23,7,FALSE),""))</f>
        <v>Dingo Docili</v>
      </c>
      <c r="C158" s="62" t="inlineStr">
        <is>
          <t>A04</t>
        </is>
      </c>
      <c r="D158" s="61" t="str">
        <f>IF(E158="","",IFERROR(VLOOKUP(E158,Campionato!$B$14:$H$23,7,FALSE),""))</f>
        <v>Ermellini Eleganti</v>
      </c>
      <c r="E158" s="62" t="inlineStr">
        <is>
          <t>A05</t>
        </is>
      </c>
      <c r="F158" s="63" t="n">
        <v>46369.72916666666</v>
      </c>
      <c r="G158" s="9" t="n"/>
      <c r="H158" s="9" t="n"/>
      <c r="I158" s="10" t="n"/>
      <c r="J158" s="65" t="n">
        <v>48</v>
      </c>
      <c r="K158" s="66" t="inlineStr">
        <is>
          <t>-</t>
        </is>
      </c>
      <c r="L158" s="65" t="n">
        <v>29</v>
      </c>
      <c r="M158" s="67" t="str">
        <f>IF($B158="","(Squadra A)",$B158)</f>
        <v>Dingo Docili</v>
      </c>
      <c r="N158" s="67">
        <f>IF($J158+$L158=0,,IF($J158&gt;$L158,1,0))</f>
        <v>1</v>
      </c>
      <c r="O158" s="67">
        <f>IF($J158+$L158=0,,IF($J158&lt;$L158,IF($J158&amp;"-"&amp;$L158=MID(Campionato!$D$10,FIND("-",Campionato!$D$10)+1,LEN(Campionato!$D$10))&amp;"-"&amp;LEFT(Campionato!$D$10,FIND("-",Campionato!$D$10)-1),1,0),0))</f>
        <v>0</v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>0</v>
      </c>
      <c r="Q158" s="67">
        <f>IF($J158+$L158=0,,$J158)</f>
        <v>48</v>
      </c>
      <c r="R158" s="67">
        <f>IF($J158+$L158=0,,$L158)</f>
        <v>29</v>
      </c>
      <c r="S158" s="67">
        <f>IF($J158+$L158=0,,$J158-$L158)</f>
        <v>19</v>
      </c>
      <c r="T158" s="67" t="str">
        <f>IF($D158="","(Squadra B)",$D158)</f>
        <v>Ermellini Eleganti</v>
      </c>
      <c r="U158" s="67">
        <f>IF($J158+$L158=0,,IF($L158&gt;$J158,1,0))</f>
        <v>0</v>
      </c>
      <c r="V158" s="67">
        <f>IF($J158+$L158=0,,IF($L158&lt;$J158,IF($J158&amp;"-"&amp;$L158=Campionato!$D$10,1,0),0))</f>
        <v>0</v>
      </c>
      <c r="W158" s="67">
        <f>IF($J158+$L158=0,,IF($L158&lt;$J158,IF($J158&amp;"-"&amp;$L158&lt;&gt;Campionato!$D$10,1,0),0))</f>
        <v>1</v>
      </c>
      <c r="X158" s="67">
        <f>IF($J158+$L158=0,,$L158)</f>
        <v>29</v>
      </c>
      <c r="Y158" s="67">
        <f>IF($J158+$L158=0,,$J158)</f>
        <v>48</v>
      </c>
      <c r="Z158" s="67">
        <f>IF($J158+$L158=0,,$L158-$J158)</f>
        <v>-19</v>
      </c>
      <c r="AA158" s="67" t="str">
        <f>IF($J158+$L158=0,"(Vincente)",IF($J158&gt;$L158,$B158,$D158))</f>
        <v>Dingo Docili</v>
      </c>
      <c r="AB158" s="67" t="str">
        <f>IF($J158+$L158=0,"(Perdente)",IF($J158&lt;$L158,$B158,$D158))</f>
        <v>Ermellini Eleganti</v>
      </c>
      <c r="AC158" s="68" t="str">
        <f>IF($C158="","","[Girone "&amp;IFERROR(INDEX(Campionato!$E$14:$E$23,MATCH($C158,Campionato!$B$14:$B$23,0)),"?")&amp;"]")</f>
        <v>[Girone A]</v>
      </c>
    </row>
    <row r="159" ht="16" customHeight="1">
      <c r="A159" s="141" t="n"/>
      <c r="B159" s="69" t="str">
        <f>IF(I159="","",HYPERLINK(VLOOKUP(I159,Campionato!$B$27:$D$45,3,FALSE),VLOOKUP(I159,Campionato!$B$27:$D$45,2,FALSE)))</f>
        <v>PalaGazzelle, Via dello Sport 7, Gazzelleopoli GE</v>
      </c>
      <c r="C159" s="9" t="n"/>
      <c r="D159" s="9" t="n"/>
      <c r="E159" s="9" t="n"/>
      <c r="F159" s="9" t="n"/>
      <c r="G159" s="9" t="n"/>
      <c r="H159" s="10" t="n"/>
      <c r="I159" s="62" t="inlineStr">
        <is>
          <t>A07</t>
        </is>
      </c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I1:L3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A78:A79"/>
    <mergeCell ref="D128:E128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L78:L79"/>
    <mergeCell ref="J78:J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E1:G3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21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 t="str">
        <f>""&amp;Campionato!$D$2</f>
        <v>Campionato Baskin Demo - ESEMPIO 10 Squadre</v>
      </c>
      <c r="J1" t="str">
        <f>IFERROR(IMAGE(Campionato!$D$3),"")</f>
        <v/>
      </c>
      <c r="L1" t="str">
        <f>IFERROR(IMAGE(Campionato!$D$4),"")</f>
        <v/>
      </c>
    </row>
    <row r="2" ht="22" customHeight="1"/>
    <row r="3" ht="22" customHeight="1">
      <c r="A3" s="52" t="str">
        <f>"Classifiche di girone - Stagione "&amp;Campionato!$D$6</f>
        <v>Classifiche di girone - Stagione 2026/2027</v>
      </c>
    </row>
    <row r="6" ht="20" customHeight="1">
      <c r="A6" s="139" t="str">
        <f>"CLASSIFICA - GIRONE A"</f>
        <v>CLASSIFICA - GIRONE A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 t="str">
        <f>IFERROR(VLOOKUP($A9,Campionato!$G$14:$W$23,2,FALSE),"("&amp;$A9&amp;")")</f>
        <v>Dingo Docili</v>
      </c>
      <c r="C9" s="145">
        <f>IFERROR(VLOOKUP($A9,Campionato!$G$14:$W$23,4,FALSE),"-")</f>
        <v>25</v>
      </c>
      <c r="D9" s="12">
        <f>IFERROR(VLOOKUP($A9,Campionato!$G$14:$W$23,5,FALSE),"-")</f>
        <v>9</v>
      </c>
      <c r="E9" s="12">
        <f>IFERROR(VLOOKUP($A9,Campionato!$G$14:$W$23,6,FALSE),"-")</f>
        <v>8</v>
      </c>
      <c r="F9" s="12">
        <f>IFERROR(VLOOKUP($A9,Campionato!$G$14:$W$23,7,FALSE),"-")</f>
        <v>1</v>
      </c>
      <c r="G9" s="12">
        <f>IFERROR(VLOOKUP($A9,Campionato!$G$14:$W$23,8,FALSE),"-")</f>
        <v>0</v>
      </c>
      <c r="H9" s="12">
        <f>IFERROR(VLOOKUP($A9,Campionato!$G$14:$W$23,9,FALSE),"-")</f>
        <v>545</v>
      </c>
      <c r="I9" s="12">
        <f>IFERROR(VLOOKUP($A9,Campionato!$G$14:$W$23,10,FALSE),"-")</f>
        <v>433</v>
      </c>
      <c r="J9" s="12">
        <f>IFERROR(VLOOKUP($A9,Campionato!$G$14:$W$23,11,FALSE),"-")</f>
        <v>112</v>
      </c>
      <c r="K9" s="12" t="str">
        <f>IFERROR(VLOOKUP($A9,Campionato!$G$14:$W$23,15,FALSE),"-")</f>
        <v>-</v>
      </c>
      <c r="L9" s="18" t="str">
        <f>IFERROR(VLOOKUP($A9,Campionato!$G$14:$W$23,16,FALSE),"-")</f>
        <v>-</v>
      </c>
      <c r="M9" s="18" t="str">
        <f>IFERROR(VLOOKUP($A9,Campionato!$G$14:$W$23,17,FALSE),"-")</f>
        <v>-</v>
      </c>
    </row>
    <row r="10">
      <c r="A10" s="143" t="inlineStr">
        <is>
          <t>A2</t>
        </is>
      </c>
      <c r="B10" s="144" t="str">
        <f>IFERROR(VLOOKUP($A10,Campionato!$G$14:$W$23,2,FALSE),"("&amp;$A10&amp;")")</f>
        <v>Anaconde Audaci</v>
      </c>
      <c r="C10" s="145">
        <f>IFERROR(VLOOKUP($A10,Campionato!$G$14:$W$23,4,FALSE),"-")</f>
        <v>21</v>
      </c>
      <c r="D10" s="12">
        <f>IFERROR(VLOOKUP($A10,Campionato!$G$14:$W$23,5,FALSE),"-")</f>
        <v>9</v>
      </c>
      <c r="E10" s="12">
        <f>IFERROR(VLOOKUP($A10,Campionato!$G$14:$W$23,6,FALSE),"-")</f>
        <v>6</v>
      </c>
      <c r="F10" s="12">
        <f>IFERROR(VLOOKUP($A10,Campionato!$G$14:$W$23,7,FALSE),"-")</f>
        <v>3</v>
      </c>
      <c r="G10" s="12">
        <f>IFERROR(VLOOKUP($A10,Campionato!$G$14:$W$23,8,FALSE),"-")</f>
        <v>0</v>
      </c>
      <c r="H10" s="12">
        <f>IFERROR(VLOOKUP($A10,Campionato!$G$14:$W$23,9,FALSE),"-")</f>
        <v>530</v>
      </c>
      <c r="I10" s="12">
        <f>IFERROR(VLOOKUP($A10,Campionato!$G$14:$W$23,10,FALSE),"-")</f>
        <v>475</v>
      </c>
      <c r="J10" s="12">
        <f>IFERROR(VLOOKUP($A10,Campionato!$G$14:$W$23,11,FALSE),"-")</f>
        <v>55</v>
      </c>
      <c r="K10" s="12" t="str">
        <f>IFERROR(VLOOKUP($A10,Campionato!$G$14:$W$23,15,FALSE),"-")</f>
        <v>1-1</v>
      </c>
      <c r="L10" s="18">
        <f>IFERROR(VLOOKUP($A10,Campionato!$G$14:$W$23,16,FALSE),"-")</f>
        <v>1.196</v>
      </c>
      <c r="M10" s="18" t="str">
        <f>IFERROR(VLOOKUP($A10,Campionato!$G$14:$W$23,17,FALSE),"-")</f>
        <v>-</v>
      </c>
    </row>
    <row r="11">
      <c r="A11" s="143" t="inlineStr">
        <is>
          <t>A3</t>
        </is>
      </c>
      <c r="B11" s="144" t="str">
        <f>IFERROR(VLOOKUP($A11,Campionato!$G$14:$W$23,2,FALSE),"("&amp;$A11&amp;")")</f>
        <v>Lupi Leali</v>
      </c>
      <c r="C11" s="145">
        <f>IFERROR(VLOOKUP($A11,Campionato!$G$14:$W$23,4,FALSE),"-")</f>
        <v>21</v>
      </c>
      <c r="D11" s="12">
        <f>IFERROR(VLOOKUP($A11,Campionato!$G$14:$W$23,5,FALSE),"-")</f>
        <v>9</v>
      </c>
      <c r="E11" s="12">
        <f>IFERROR(VLOOKUP($A11,Campionato!$G$14:$W$23,6,FALSE),"-")</f>
        <v>6</v>
      </c>
      <c r="F11" s="12">
        <f>IFERROR(VLOOKUP($A11,Campionato!$G$14:$W$23,7,FALSE),"-")</f>
        <v>3</v>
      </c>
      <c r="G11" s="12">
        <f>IFERROR(VLOOKUP($A11,Campionato!$G$14:$W$23,8,FALSE),"-")</f>
        <v>0</v>
      </c>
      <c r="H11" s="12">
        <f>IFERROR(VLOOKUP($A11,Campionato!$G$14:$W$23,9,FALSE),"-")</f>
        <v>568</v>
      </c>
      <c r="I11" s="12">
        <f>IFERROR(VLOOKUP($A11,Campionato!$G$14:$W$23,10,FALSE),"-")</f>
        <v>519</v>
      </c>
      <c r="J11" s="12">
        <f>IFERROR(VLOOKUP($A11,Campionato!$G$14:$W$23,11,FALSE),"-")</f>
        <v>49</v>
      </c>
      <c r="K11" s="12" t="str">
        <f>IFERROR(VLOOKUP($A11,Campionato!$G$14:$W$23,15,FALSE),"-")</f>
        <v>1-1</v>
      </c>
      <c r="L11" s="18">
        <f>IFERROR(VLOOKUP($A11,Campionato!$G$14:$W$23,16,FALSE),"-")</f>
        <v>0.971</v>
      </c>
      <c r="M11" s="18" t="str">
        <f>IFERROR(VLOOKUP($A11,Campionato!$G$14:$W$23,17,FALSE),"-")</f>
        <v>-</v>
      </c>
    </row>
    <row r="12">
      <c r="A12" s="143" t="inlineStr">
        <is>
          <t>A4</t>
        </is>
      </c>
      <c r="B12" s="144" t="str">
        <f>IFERROR(VLOOKUP($A12,Campionato!$G$14:$W$23,2,FALSE),"("&amp;$A12&amp;")")</f>
        <v>Falchi Feroci</v>
      </c>
      <c r="C12" s="145">
        <f>IFERROR(VLOOKUP($A12,Campionato!$G$14:$W$23,4,FALSE),"-")</f>
        <v>21</v>
      </c>
      <c r="D12" s="12">
        <f>IFERROR(VLOOKUP($A12,Campionato!$G$14:$W$23,5,FALSE),"-")</f>
        <v>9</v>
      </c>
      <c r="E12" s="12">
        <f>IFERROR(VLOOKUP($A12,Campionato!$G$14:$W$23,6,FALSE),"-")</f>
        <v>6</v>
      </c>
      <c r="F12" s="12">
        <f>IFERROR(VLOOKUP($A12,Campionato!$G$14:$W$23,7,FALSE),"-")</f>
        <v>3</v>
      </c>
      <c r="G12" s="12">
        <f>IFERROR(VLOOKUP($A12,Campionato!$G$14:$W$23,8,FALSE),"-")</f>
        <v>0</v>
      </c>
      <c r="H12" s="12">
        <f>IFERROR(VLOOKUP($A12,Campionato!$G$14:$W$23,9,FALSE),"-")</f>
        <v>499</v>
      </c>
      <c r="I12" s="12">
        <f>IFERROR(VLOOKUP($A12,Campionato!$G$14:$W$23,10,FALSE),"-")</f>
        <v>471</v>
      </c>
      <c r="J12" s="12">
        <f>IFERROR(VLOOKUP($A12,Campionato!$G$14:$W$23,11,FALSE),"-")</f>
        <v>28</v>
      </c>
      <c r="K12" s="12" t="str">
        <f>IFERROR(VLOOKUP($A12,Campionato!$G$14:$W$23,15,FALSE),"-")</f>
        <v>1-1</v>
      </c>
      <c r="L12" s="18">
        <f>IFERROR(VLOOKUP($A12,Campionato!$G$14:$W$23,16,FALSE),"-")</f>
        <v>0.864</v>
      </c>
      <c r="M12" s="18" t="str">
        <f>IFERROR(VLOOKUP($A12,Campionato!$G$14:$W$23,17,FALSE),"-")</f>
        <v>-</v>
      </c>
    </row>
    <row r="13">
      <c r="A13" s="143" t="inlineStr">
        <is>
          <t>A5</t>
        </is>
      </c>
      <c r="B13" s="144" t="str">
        <f>IFERROR(VLOOKUP($A13,Campionato!$G$14:$W$23,2,FALSE),"("&amp;$A13&amp;")")</f>
        <v>Cobra Celeri</v>
      </c>
      <c r="C13" s="145">
        <f>IFERROR(VLOOKUP($A13,Campionato!$G$14:$W$23,4,FALSE),"-")</f>
        <v>19</v>
      </c>
      <c r="D13" s="12">
        <f>IFERROR(VLOOKUP($A13,Campionato!$G$14:$W$23,5,FALSE),"-")</f>
        <v>9</v>
      </c>
      <c r="E13" s="12">
        <f>IFERROR(VLOOKUP($A13,Campionato!$G$14:$W$23,6,FALSE),"-")</f>
        <v>5</v>
      </c>
      <c r="F13" s="12">
        <f>IFERROR(VLOOKUP($A13,Campionato!$G$14:$W$23,7,FALSE),"-")</f>
        <v>4</v>
      </c>
      <c r="G13" s="12">
        <f>IFERROR(VLOOKUP($A13,Campionato!$G$14:$W$23,8,FALSE),"-")</f>
        <v>0</v>
      </c>
      <c r="H13" s="12">
        <f>IFERROR(VLOOKUP($A13,Campionato!$G$14:$W$23,9,FALSE),"-")</f>
        <v>545</v>
      </c>
      <c r="I13" s="12">
        <f>IFERROR(VLOOKUP($A13,Campionato!$G$14:$W$23,10,FALSE),"-")</f>
        <v>509</v>
      </c>
      <c r="J13" s="12">
        <f>IFERROR(VLOOKUP($A13,Campionato!$G$14:$W$23,11,FALSE),"-")</f>
        <v>36</v>
      </c>
      <c r="K13" s="12" t="str">
        <f>IFERROR(VLOOKUP($A13,Campionato!$G$14:$W$23,15,FALSE),"-")</f>
        <v>1-0</v>
      </c>
      <c r="L13" s="18" t="str">
        <f>IFERROR(VLOOKUP($A13,Campionato!$G$14:$W$23,16,FALSE),"-")</f>
        <v>-</v>
      </c>
      <c r="M13" s="18" t="str">
        <f>IFERROR(VLOOKUP($A13,Campionato!$G$14:$W$23,17,FALSE),"-")</f>
        <v>-</v>
      </c>
    </row>
    <row r="14">
      <c r="A14" s="143" t="inlineStr">
        <is>
          <t>A6</t>
        </is>
      </c>
      <c r="B14" s="144" t="str">
        <f>IFERROR(VLOOKUP($A14,Campionato!$G$14:$W$23,2,FALSE),"("&amp;$A14&amp;")")</f>
        <v>Ibis Instancabili</v>
      </c>
      <c r="C14" s="145">
        <f>IFERROR(VLOOKUP($A14,Campionato!$G$14:$W$23,4,FALSE),"-")</f>
        <v>19</v>
      </c>
      <c r="D14" s="12">
        <f>IFERROR(VLOOKUP($A14,Campionato!$G$14:$W$23,5,FALSE),"-")</f>
        <v>9</v>
      </c>
      <c r="E14" s="12">
        <f>IFERROR(VLOOKUP($A14,Campionato!$G$14:$W$23,6,FALSE),"-")</f>
        <v>5</v>
      </c>
      <c r="F14" s="12">
        <f>IFERROR(VLOOKUP($A14,Campionato!$G$14:$W$23,7,FALSE),"-")</f>
        <v>4</v>
      </c>
      <c r="G14" s="12">
        <f>IFERROR(VLOOKUP($A14,Campionato!$G$14:$W$23,8,FALSE),"-")</f>
        <v>0</v>
      </c>
      <c r="H14" s="12">
        <f>IFERROR(VLOOKUP($A14,Campionato!$G$14:$W$23,9,FALSE),"-")</f>
        <v>445</v>
      </c>
      <c r="I14" s="12">
        <f>IFERROR(VLOOKUP($A14,Campionato!$G$14:$W$23,10,FALSE),"-")</f>
        <v>402</v>
      </c>
      <c r="J14" s="12">
        <f>IFERROR(VLOOKUP($A14,Campionato!$G$14:$W$23,11,FALSE),"-")</f>
        <v>43</v>
      </c>
      <c r="K14" s="12" t="str">
        <f>IFERROR(VLOOKUP($A14,Campionato!$G$14:$W$23,15,FALSE),"-")</f>
        <v>0-1</v>
      </c>
      <c r="L14" s="18" t="str">
        <f>IFERROR(VLOOKUP($A14,Campionato!$G$14:$W$23,16,FALSE),"-")</f>
        <v>-</v>
      </c>
      <c r="M14" s="18" t="str">
        <f>IFERROR(VLOOKUP($A14,Campionato!$G$14:$W$23,17,FALSE),"-")</f>
        <v>-</v>
      </c>
    </row>
    <row r="15">
      <c r="A15" s="143" t="inlineStr">
        <is>
          <t>A7</t>
        </is>
      </c>
      <c r="B15" s="144" t="str">
        <f>IFERROR(VLOOKUP($A15,Campionato!$G$14:$W$23,2,FALSE),"("&amp;$A15&amp;")")</f>
        <v>Bufali Belligeranti</v>
      </c>
      <c r="C15" s="145">
        <f>IFERROR(VLOOKUP($A15,Campionato!$G$14:$W$23,4,FALSE),"-")</f>
        <v>15</v>
      </c>
      <c r="D15" s="12">
        <f>IFERROR(VLOOKUP($A15,Campionato!$G$14:$W$23,5,FALSE),"-")</f>
        <v>9</v>
      </c>
      <c r="E15" s="12">
        <f>IFERROR(VLOOKUP($A15,Campionato!$G$14:$W$23,6,FALSE),"-")</f>
        <v>3</v>
      </c>
      <c r="F15" s="12">
        <f>IFERROR(VLOOKUP($A15,Campionato!$G$14:$W$23,7,FALSE),"-")</f>
        <v>6</v>
      </c>
      <c r="G15" s="12">
        <f>IFERROR(VLOOKUP($A15,Campionato!$G$14:$W$23,8,FALSE),"-")</f>
        <v>0</v>
      </c>
      <c r="H15" s="12">
        <f>IFERROR(VLOOKUP($A15,Campionato!$G$14:$W$23,9,FALSE),"-")</f>
        <v>408</v>
      </c>
      <c r="I15" s="12">
        <f>IFERROR(VLOOKUP($A15,Campionato!$G$14:$W$23,10,FALSE),"-")</f>
        <v>463</v>
      </c>
      <c r="J15" s="12">
        <f>IFERROR(VLOOKUP($A15,Campionato!$G$14:$W$23,11,FALSE),"-")</f>
        <v>-55</v>
      </c>
      <c r="K15" s="12" t="str">
        <f>IFERROR(VLOOKUP($A15,Campionato!$G$14:$W$23,15,FALSE),"-")</f>
        <v>1-1</v>
      </c>
      <c r="L15" s="18">
        <f>IFERROR(VLOOKUP($A15,Campionato!$G$14:$W$23,16,FALSE),"-")</f>
        <v>1</v>
      </c>
      <c r="M15" s="18">
        <f>IFERROR(VLOOKUP($A15,Campionato!$G$14:$W$23,17,FALSE),"-")</f>
        <v>0.881</v>
      </c>
    </row>
    <row r="16">
      <c r="A16" s="143" t="inlineStr">
        <is>
          <t>A8</t>
        </is>
      </c>
      <c r="B16" s="144" t="str">
        <f>IFERROR(VLOOKUP($A16,Campionato!$G$14:$W$23,2,FALSE),"("&amp;$A16&amp;")")</f>
        <v>Marmotte Mobili</v>
      </c>
      <c r="C16" s="145">
        <f>IFERROR(VLOOKUP($A16,Campionato!$G$14:$W$23,4,FALSE),"-")</f>
        <v>15</v>
      </c>
      <c r="D16" s="12">
        <f>IFERROR(VLOOKUP($A16,Campionato!$G$14:$W$23,5,FALSE),"-")</f>
        <v>9</v>
      </c>
      <c r="E16" s="12">
        <f>IFERROR(VLOOKUP($A16,Campionato!$G$14:$W$23,6,FALSE),"-")</f>
        <v>3</v>
      </c>
      <c r="F16" s="12">
        <f>IFERROR(VLOOKUP($A16,Campionato!$G$14:$W$23,7,FALSE),"-")</f>
        <v>6</v>
      </c>
      <c r="G16" s="12">
        <f>IFERROR(VLOOKUP($A16,Campionato!$G$14:$W$23,8,FALSE),"-")</f>
        <v>0</v>
      </c>
      <c r="H16" s="12">
        <f>IFERROR(VLOOKUP($A16,Campionato!$G$14:$W$23,9,FALSE),"-")</f>
        <v>455</v>
      </c>
      <c r="I16" s="12">
        <f>IFERROR(VLOOKUP($A16,Campionato!$G$14:$W$23,10,FALSE),"-")</f>
        <v>518</v>
      </c>
      <c r="J16" s="12">
        <f>IFERROR(VLOOKUP($A16,Campionato!$G$14:$W$23,11,FALSE),"-")</f>
        <v>-63</v>
      </c>
      <c r="K16" s="12" t="str">
        <f>IFERROR(VLOOKUP($A16,Campionato!$G$14:$W$23,15,FALSE),"-")</f>
        <v>1-1</v>
      </c>
      <c r="L16" s="18">
        <f>IFERROR(VLOOKUP($A16,Campionato!$G$14:$W$23,16,FALSE),"-")</f>
        <v>1</v>
      </c>
      <c r="M16" s="18">
        <f>IFERROR(VLOOKUP($A16,Campionato!$G$14:$W$23,17,FALSE),"-")</f>
        <v>0.878</v>
      </c>
    </row>
    <row r="17">
      <c r="A17" s="143" t="inlineStr">
        <is>
          <t>A9</t>
        </is>
      </c>
      <c r="B17" s="17" t="str">
        <f>IFERROR(VLOOKUP($A17,Campionato!$G$14:$W$23,2,FALSE),"("&amp;$A17&amp;")")</f>
        <v>Ermellini Eleganti</v>
      </c>
      <c r="C17" s="145">
        <f>IFERROR(VLOOKUP($A17,Campionato!$G$14:$W$23,4,FALSE),"-")</f>
        <v>15</v>
      </c>
      <c r="D17" s="12">
        <f>IFERROR(VLOOKUP($A17,Campionato!$G$14:$W$23,5,FALSE),"-")</f>
        <v>9</v>
      </c>
      <c r="E17" s="12">
        <f>IFERROR(VLOOKUP($A17,Campionato!$G$14:$W$23,6,FALSE),"-")</f>
        <v>3</v>
      </c>
      <c r="F17" s="12">
        <f>IFERROR(VLOOKUP($A17,Campionato!$G$14:$W$23,7,FALSE),"-")</f>
        <v>6</v>
      </c>
      <c r="G17" s="12">
        <f>IFERROR(VLOOKUP($A17,Campionato!$G$14:$W$23,8,FALSE),"-")</f>
        <v>0</v>
      </c>
      <c r="H17" s="12">
        <f>IFERROR(VLOOKUP($A17,Campionato!$G$14:$W$23,9,FALSE),"-")</f>
        <v>414</v>
      </c>
      <c r="I17" s="12">
        <f>IFERROR(VLOOKUP($A17,Campionato!$G$14:$W$23,10,FALSE),"-")</f>
        <v>485</v>
      </c>
      <c r="J17" s="12">
        <f>IFERROR(VLOOKUP($A17,Campionato!$G$14:$W$23,11,FALSE),"-")</f>
        <v>-71</v>
      </c>
      <c r="K17" s="12" t="str">
        <f>IFERROR(VLOOKUP($A17,Campionato!$G$14:$W$23,15,FALSE),"-")</f>
        <v>1-1</v>
      </c>
      <c r="L17" s="18">
        <f>IFERROR(VLOOKUP($A17,Campionato!$G$14:$W$23,16,FALSE),"-")</f>
        <v>1</v>
      </c>
      <c r="M17" s="18">
        <f>IFERROR(VLOOKUP($A17,Campionato!$G$14:$W$23,17,FALSE),"-")</f>
        <v>0.854</v>
      </c>
    </row>
    <row r="18">
      <c r="A18" s="143" t="inlineStr">
        <is>
          <t>A10</t>
        </is>
      </c>
      <c r="B18" s="17" t="str">
        <f>IFERROR(VLOOKUP($A18,Campionato!$G$14:$W$23,2,FALSE),"("&amp;$A18&amp;")")</f>
        <v>Gazzelle Gentili</v>
      </c>
      <c r="C18" s="145">
        <f>IFERROR(VLOOKUP($A18,Campionato!$G$14:$W$23,4,FALSE),"-")</f>
        <v>9</v>
      </c>
      <c r="D18" s="12">
        <f>IFERROR(VLOOKUP($A18,Campionato!$G$14:$W$23,5,FALSE),"-")</f>
        <v>9</v>
      </c>
      <c r="E18" s="12">
        <f>IFERROR(VLOOKUP($A18,Campionato!$G$14:$W$23,6,FALSE),"-")</f>
        <v>0</v>
      </c>
      <c r="F18" s="12">
        <f>IFERROR(VLOOKUP($A18,Campionato!$G$14:$W$23,7,FALSE),"-")</f>
        <v>9</v>
      </c>
      <c r="G18" s="12">
        <f>IFERROR(VLOOKUP($A18,Campionato!$G$14:$W$23,8,FALSE),"-")</f>
        <v>0</v>
      </c>
      <c r="H18" s="12">
        <f>IFERROR(VLOOKUP($A18,Campionato!$G$14:$W$23,9,FALSE),"-")</f>
        <v>425</v>
      </c>
      <c r="I18" s="12">
        <f>IFERROR(VLOOKUP($A18,Campionato!$G$14:$W$23,10,FALSE),"-")</f>
        <v>559</v>
      </c>
      <c r="J18" s="12">
        <f>IFERROR(VLOOKUP($A18,Campionato!$G$14:$W$23,11,FALSE),"-")</f>
        <v>-134</v>
      </c>
      <c r="K18" s="12" t="str">
        <f>IFERROR(VLOOKUP($A18,Campionato!$G$14:$W$23,15,FALSE),"-")</f>
        <v>-</v>
      </c>
      <c r="L18" s="18" t="str">
        <f>IFERROR(VLOOKUP($A18,Campionato!$G$14:$W$23,16,FALSE),"-")</f>
        <v>-</v>
      </c>
      <c r="M18" s="18" t="str">
        <f>IFERROR(VLOOKUP($A18,Campionato!$G$14:$W$23,17,FALSE),"-")</f>
        <v>-</v>
      </c>
    </row>
    <row r="21">
      <c r="A21" s="51" t="inlineStr">
        <is>
          <t>Legenda: sfondo colorato = prime otto classificate, qualificate al playoff a 8.</t>
        </is>
      </c>
    </row>
  </sheetData>
  <mergeCells count="13">
    <mergeCell ref="A3:H3"/>
    <mergeCell ref="A6:M6"/>
    <mergeCell ref="C7:C8"/>
    <mergeCell ref="A7:A8"/>
    <mergeCell ref="D7:G7"/>
    <mergeCell ref="B7:B8"/>
    <mergeCell ref="K7:K8"/>
    <mergeCell ref="L1:M3"/>
    <mergeCell ref="J1:K3"/>
    <mergeCell ref="A1:H2"/>
    <mergeCell ref="M7:M8"/>
    <mergeCell ref="L7:L8"/>
    <mergeCell ref="H7:J7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42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 t="str">
        <f>Campionato!$D$2&amp;""</f>
        <v>Campionato Baskin Demo - ESEMPIO 10 Squadre</v>
      </c>
      <c r="E1" t="str">
        <f>IFERROR(IMAGE(Campionato!$D$3),"")</f>
        <v/>
      </c>
      <c r="I1" t="str">
        <f>IFERROR(IMAGE(Campionato!$D$4),"")</f>
        <v/>
      </c>
    </row>
    <row r="2" ht="22" customHeight="1"/>
    <row r="3" ht="22" customHeight="1">
      <c r="A3" s="52" t="str">
        <f>"PLAYOFF A 8 SQUADRE - Stagione "&amp;Campionato!$D$6</f>
        <v>PLAYOFF A 8 SQUADRE - Stagione 2026/2027</v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A 8 - QUARTI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46</v>
      </c>
      <c r="B10" s="61" t="str">
        <f>IFERROR(VLOOKUP(C10,Campionato!$G$14:$H$23,2,FALSE),"("&amp;C10&amp;")")</f>
        <v>Dingo Docili</v>
      </c>
      <c r="C10" s="62" t="inlineStr">
        <is>
          <t>A1</t>
        </is>
      </c>
      <c r="D10" s="61" t="str">
        <f>IFERROR(VLOOKUP(E10,Campionato!$G$14:$H$23,2,FALSE),"("&amp;E10&amp;")")</f>
        <v>Marmotte Mobili</v>
      </c>
      <c r="E10" s="62" t="inlineStr">
        <is>
          <t>A8</t>
        </is>
      </c>
      <c r="F10" s="63" t="n">
        <v>46404.39583333334</v>
      </c>
      <c r="G10" s="9" t="n"/>
      <c r="H10" s="9" t="n"/>
      <c r="I10" s="10" t="n"/>
      <c r="J10" s="65" t="n">
        <v>26</v>
      </c>
      <c r="K10" s="66" t="inlineStr">
        <is>
          <t>-</t>
        </is>
      </c>
      <c r="L10" s="65" t="n">
        <v>44</v>
      </c>
      <c r="M10" s="67" t="str">
        <f>IF($B10="","(Squadra A)",$B10)</f>
        <v>Dingo Docili</v>
      </c>
      <c r="N10" s="67">
        <f>IF($J10+$L10=0,,IF($J10&gt;$L10,1,0))</f>
        <v>0</v>
      </c>
      <c r="O10" s="67">
        <f>IF($J10+$L10=0,,IF($J10&lt;$L10,IF($J10&amp;"-"&amp;$L10=MID(Campionato!$D$10,FIND("-",Campionato!$D$10)+1,LEN(Campionato!$D$10))&amp;"-"&amp;LEFT(Campionato!$D$10,FIND("-",Campionato!$D$10)-1),1,0),0))</f>
        <v>0</v>
      </c>
      <c r="P10" s="67">
        <f>IF($J10+$L10=0,,IF($J10&lt;$L10,IF($J10&amp;"-"&amp;$L10&lt;&gt;MID(Campionato!$D$10,FIND("-",Campionato!$D$10)+1,LEN(Campionato!$D$10))&amp;"-"&amp;LEFT(Campionato!$D$10,FIND("-",Campionato!$D$10)-1),1,0),0))</f>
        <v>1</v>
      </c>
      <c r="Q10" s="67">
        <f>IF($J10+$L10=0,,$J10)</f>
        <v>26</v>
      </c>
      <c r="R10" s="67">
        <f>IF($J10+$L10=0,,$L10)</f>
        <v>44</v>
      </c>
      <c r="S10" s="67">
        <f>IF($J10+$L10=0,,$J10-$L10)</f>
        <v>-18</v>
      </c>
      <c r="T10" s="67" t="str">
        <f>IF($D10="","(Squadra B)",$D10)</f>
        <v>Marmotte Mobili</v>
      </c>
      <c r="U10" s="67">
        <f>IF($J10+$L10=0,,IF($L10&gt;$J10,1,0))</f>
        <v>1</v>
      </c>
      <c r="V10" s="67">
        <f>IF($J10+$L10=0,,IF($L10&lt;$J10,IF($J10&amp;"-"&amp;$L10=Campionato!$D$10,1,0),0))</f>
        <v>0</v>
      </c>
      <c r="W10" s="67">
        <f>IF($J10+$L10=0,,IF($L10&lt;$J10,IF($J10&amp;"-"&amp;$L10&lt;&gt;Campionato!$D$10,1,0),0))</f>
        <v>0</v>
      </c>
      <c r="X10" s="67">
        <f>IF($J10+$L10=0,,$L10)</f>
        <v>44</v>
      </c>
      <c r="Y10" s="67">
        <f>IF($J10+$L10=0,,$J10)</f>
        <v>26</v>
      </c>
      <c r="Z10" s="67">
        <f>IF($J10+$L10=0,,$L10-$J10)</f>
        <v>18</v>
      </c>
      <c r="AA10" s="67" t="str">
        <f>IF($J10+$L10=0,"(Vincente)",IF($J10&gt;$L10,$B10,$D10))</f>
        <v>Marmotte Mobili</v>
      </c>
      <c r="AB10" s="67" t="str">
        <f>IF($J10+$L10=0,"(Perdente)",IF($J10&lt;$L10,$B10,$D10))</f>
        <v>Dingo Docili</v>
      </c>
      <c r="AC10" s="68" t="str">
        <f>IF($B10="","","[Playoff a 8 - Quarti]")</f>
        <v>[Playoff a 8 - Quarti]</v>
      </c>
    </row>
    <row r="11" ht="16" customHeight="1">
      <c r="A11" s="141" t="n"/>
      <c r="B11" s="69" t="str">
        <f>IF(I11="","",HYPERLINK(VLOOKUP(I11,Campionato!$B$27:$D$45,3,FALSE),VLOOKUP(I11,Campionato!$B$27:$D$45,2,FALSE)))</f>
        <v>PalaCentrale, Viale dello Sport 1, Mediopoli MD</v>
      </c>
      <c r="C11" s="9" t="n"/>
      <c r="D11" s="9" t="n"/>
      <c r="E11" s="9" t="n"/>
      <c r="F11" s="9" t="n"/>
      <c r="G11" s="9" t="n"/>
      <c r="H11" s="10" t="n"/>
      <c r="I11" s="138" t="inlineStr">
        <is>
          <t>PO1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>47</v>
      </c>
      <c r="B13" s="61" t="str">
        <f>IFERROR(VLOOKUP(C13,Campionato!$G$14:$H$23,2,FALSE),"("&amp;C13&amp;")")</f>
        <v>Anaconde Audaci</v>
      </c>
      <c r="C13" s="62" t="inlineStr">
        <is>
          <t>A2</t>
        </is>
      </c>
      <c r="D13" s="61" t="str">
        <f>IFERROR(VLOOKUP(E13,Campionato!$G$14:$H$23,2,FALSE),"("&amp;E13&amp;")")</f>
        <v>Bufali Belligeranti</v>
      </c>
      <c r="E13" s="62" t="inlineStr">
        <is>
          <t>A7</t>
        </is>
      </c>
      <c r="F13" s="63" t="n">
        <v>46404.39583333334</v>
      </c>
      <c r="G13" s="9" t="n"/>
      <c r="H13" s="9" t="n"/>
      <c r="I13" s="10" t="n"/>
      <c r="J13" s="65" t="n">
        <v>51</v>
      </c>
      <c r="K13" s="66" t="inlineStr">
        <is>
          <t>-</t>
        </is>
      </c>
      <c r="L13" s="65" t="n">
        <v>46</v>
      </c>
      <c r="M13" s="67" t="str">
        <f>IF($B13="","(Squadra A)",$B13)</f>
        <v>Anaconde Audaci</v>
      </c>
      <c r="N13" s="67">
        <f>IF($J13+$L13=0,,IF($J13&gt;$L13,1,0))</f>
        <v>1</v>
      </c>
      <c r="O13" s="67">
        <f>IF($J13+$L13=0,,IF($J13&lt;$L13,IF($J13&amp;"-"&amp;$L13=MID(Campionato!$D$10,FIND("-",Campionato!$D$10)+1,LEN(Campionato!$D$10))&amp;"-"&amp;LEFT(Campionato!$D$10,FIND("-",Campionato!$D$10)-1),1,0),0))</f>
        <v>0</v>
      </c>
      <c r="P13" s="67">
        <f>IF($J13+$L13=0,,IF($J13&lt;$L13,IF($J13&amp;"-"&amp;$L13&lt;&gt;MID(Campionato!$D$10,FIND("-",Campionato!$D$10)+1,LEN(Campionato!$D$10))&amp;"-"&amp;LEFT(Campionato!$D$10,FIND("-",Campionato!$D$10)-1),1,0),0))</f>
        <v>0</v>
      </c>
      <c r="Q13" s="67">
        <f>IF($J13+$L13=0,,$J13)</f>
        <v>51</v>
      </c>
      <c r="R13" s="67">
        <f>IF($J13+$L13=0,,$L13)</f>
        <v>46</v>
      </c>
      <c r="S13" s="67">
        <f>IF($J13+$L13=0,,$J13-$L13)</f>
        <v>5</v>
      </c>
      <c r="T13" s="67" t="str">
        <f>IF($D13="","(Squadra B)",$D13)</f>
        <v>Bufali Belligeranti</v>
      </c>
      <c r="U13" s="67">
        <f>IF($J13+$L13=0,,IF($L13&gt;$J13,1,0))</f>
        <v>0</v>
      </c>
      <c r="V13" s="67">
        <f>IF($J13+$L13=0,,IF($L13&lt;$J13,IF($J13&amp;"-"&amp;$L13=Campionato!$D$10,1,0),0))</f>
        <v>0</v>
      </c>
      <c r="W13" s="67">
        <f>IF($J13+$L13=0,,IF($L13&lt;$J13,IF($J13&amp;"-"&amp;$L13&lt;&gt;Campionato!$D$10,1,0),0))</f>
        <v>1</v>
      </c>
      <c r="X13" s="67">
        <f>IF($J13+$L13=0,,$L13)</f>
        <v>46</v>
      </c>
      <c r="Y13" s="67">
        <f>IF($J13+$L13=0,,$J13)</f>
        <v>51</v>
      </c>
      <c r="Z13" s="67">
        <f>IF($J13+$L13=0,,$L13-$J13)</f>
        <v>-5</v>
      </c>
      <c r="AA13" s="67" t="str">
        <f>IF($J13+$L13=0,"(Vincente)",IF($J13&gt;$L13,$B13,$D13))</f>
        <v>Anaconde Audaci</v>
      </c>
      <c r="AB13" s="67" t="str">
        <f>IF($J13+$L13=0,"(Perdente)",IF($J13&lt;$L13,$B13,$D13))</f>
        <v>Bufali Belligeranti</v>
      </c>
      <c r="AC13" s="68" t="str">
        <f>IF($B13="","","[Playoff a 8 - Quarti]")</f>
        <v>[Playoff a 8 - Quarti]</v>
      </c>
    </row>
    <row r="14" ht="16" customHeight="1">
      <c r="A14" s="141" t="n"/>
      <c r="B14" s="69" t="str">
        <f>IF(I14="","",HYPERLINK(VLOOKUP(I14,Campionato!$B$27:$D$45,3,FALSE),VLOOKUP(I14,Campionato!$B$27:$D$45,2,FALSE)))</f>
        <v>PalaMagnifico, Viale dello Sport 2, Mediopoli MD</v>
      </c>
      <c r="C14" s="9" t="n"/>
      <c r="D14" s="9" t="n"/>
      <c r="E14" s="9" t="n"/>
      <c r="F14" s="9" t="n"/>
      <c r="G14" s="9" t="n"/>
      <c r="H14" s="10" t="n"/>
      <c r="I14" s="138" t="inlineStr">
        <is>
          <t>PO2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>48</v>
      </c>
      <c r="B16" s="61" t="str">
        <f>IFERROR(VLOOKUP(C16,Campionato!$G$14:$H$23,2,FALSE),"("&amp;C16&amp;")")</f>
        <v>Lupi Leali</v>
      </c>
      <c r="C16" s="62" t="inlineStr">
        <is>
          <t>A3</t>
        </is>
      </c>
      <c r="D16" s="61" t="str">
        <f>IFERROR(VLOOKUP(E16,Campionato!$G$14:$H$23,2,FALSE),"("&amp;E16&amp;")")</f>
        <v>Ibis Instancabili</v>
      </c>
      <c r="E16" s="62" t="inlineStr">
        <is>
          <t>A6</t>
        </is>
      </c>
      <c r="F16" s="63" t="n">
        <v>46404.60416666666</v>
      </c>
      <c r="G16" s="9" t="n"/>
      <c r="H16" s="9" t="n"/>
      <c r="I16" s="10" t="n"/>
      <c r="J16" s="65" t="n">
        <v>76</v>
      </c>
      <c r="K16" s="66" t="inlineStr">
        <is>
          <t>-</t>
        </is>
      </c>
      <c r="L16" s="65" t="n">
        <v>58</v>
      </c>
      <c r="M16" s="67" t="str">
        <f>IF($B16="","(Squadra A)",$B16)</f>
        <v>Lupi Leali</v>
      </c>
      <c r="N16" s="67">
        <f>IF($J16+$L16=0,,IF($J16&gt;$L16,1,0))</f>
        <v>1</v>
      </c>
      <c r="O16" s="67">
        <f>IF($J16+$L16=0,,IF($J16&lt;$L16,IF($J16&amp;"-"&amp;$L16=MID(Campionato!$D$10,FIND("-",Campionato!$D$10)+1,LEN(Campionato!$D$10))&amp;"-"&amp;LEFT(Campionato!$D$10,FIND("-",Campionato!$D$10)-1),1,0),0))</f>
        <v>0</v>
      </c>
      <c r="P16" s="67">
        <f>IF($J16+$L16=0,,IF($J16&lt;$L16,IF($J16&amp;"-"&amp;$L16&lt;&gt;MID(Campionato!$D$10,FIND("-",Campionato!$D$10)+1,LEN(Campionato!$D$10))&amp;"-"&amp;LEFT(Campionato!$D$10,FIND("-",Campionato!$D$10)-1),1,0),0))</f>
        <v>0</v>
      </c>
      <c r="Q16" s="67">
        <f>IF($J16+$L16=0,,$J16)</f>
        <v>76</v>
      </c>
      <c r="R16" s="67">
        <f>IF($J16+$L16=0,,$L16)</f>
        <v>58</v>
      </c>
      <c r="S16" s="67">
        <f>IF($J16+$L16=0,,$J16-$L16)</f>
        <v>18</v>
      </c>
      <c r="T16" s="67" t="str">
        <f>IF($D16="","(Squadra B)",$D16)</f>
        <v>Ibis Instancabili</v>
      </c>
      <c r="U16" s="67">
        <f>IF($J16+$L16=0,,IF($L16&gt;$J16,1,0))</f>
        <v>0</v>
      </c>
      <c r="V16" s="67">
        <f>IF($J16+$L16=0,,IF($L16&lt;$J16,IF($J16&amp;"-"&amp;$L16=Campionato!$D$10,1,0),0))</f>
        <v>0</v>
      </c>
      <c r="W16" s="67">
        <f>IF($J16+$L16=0,,IF($L16&lt;$J16,IF($J16&amp;"-"&amp;$L16&lt;&gt;Campionato!$D$10,1,0),0))</f>
        <v>1</v>
      </c>
      <c r="X16" s="67">
        <f>IF($J16+$L16=0,,$L16)</f>
        <v>58</v>
      </c>
      <c r="Y16" s="67">
        <f>IF($J16+$L16=0,,$J16)</f>
        <v>76</v>
      </c>
      <c r="Z16" s="67">
        <f>IF($J16+$L16=0,,$L16-$J16)</f>
        <v>-18</v>
      </c>
      <c r="AA16" s="67" t="str">
        <f>IF($J16+$L16=0,"(Vincente)",IF($J16&gt;$L16,$B16,$D16))</f>
        <v>Lupi Leali</v>
      </c>
      <c r="AB16" s="67" t="str">
        <f>IF($J16+$L16=0,"(Perdente)",IF($J16&lt;$L16,$B16,$D16))</f>
        <v>Ibis Instancabili</v>
      </c>
      <c r="AC16" s="68" t="str">
        <f>IF($B16="","","[Playoff a 8 - Quarti]")</f>
        <v>[Playoff a 8 - Quarti]</v>
      </c>
    </row>
    <row r="17" ht="16" customHeight="1">
      <c r="A17" s="141" t="n"/>
      <c r="B17" s="69" t="str">
        <f>IF(I17="","",HYPERLINK(VLOOKUP(I17,Campionato!$B$27:$D$45,3,FALSE),VLOOKUP(I17,Campionato!$B$27:$D$45,2,FALSE)))</f>
        <v>PalaCentrale, Viale dello Sport 1, Mediopoli MD</v>
      </c>
      <c r="C17" s="9" t="n"/>
      <c r="D17" s="9" t="n"/>
      <c r="E17" s="9" t="n"/>
      <c r="F17" s="9" t="n"/>
      <c r="G17" s="9" t="n"/>
      <c r="H17" s="10" t="n"/>
      <c r="I17" s="138" t="inlineStr">
        <is>
          <t>PO1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>49</v>
      </c>
      <c r="B19" s="61" t="str">
        <f>IFERROR(VLOOKUP(C19,Campionato!$G$14:$H$23,2,FALSE),"("&amp;C19&amp;")")</f>
        <v>Falchi Feroci</v>
      </c>
      <c r="C19" s="62" t="inlineStr">
        <is>
          <t>A4</t>
        </is>
      </c>
      <c r="D19" s="61" t="str">
        <f>IFERROR(VLOOKUP(E19,Campionato!$G$14:$H$23,2,FALSE),"("&amp;E19&amp;")")</f>
        <v>Cobra Celeri</v>
      </c>
      <c r="E19" s="62" t="inlineStr">
        <is>
          <t>A5</t>
        </is>
      </c>
      <c r="F19" s="63" t="n">
        <v>46404.60416666666</v>
      </c>
      <c r="G19" s="9" t="n"/>
      <c r="H19" s="9" t="n"/>
      <c r="I19" s="10" t="n"/>
      <c r="J19" s="65" t="n">
        <v>61</v>
      </c>
      <c r="K19" s="66" t="inlineStr">
        <is>
          <t>-</t>
        </is>
      </c>
      <c r="L19" s="65" t="n">
        <v>48</v>
      </c>
      <c r="M19" s="67" t="str">
        <f>IF($B19="","(Squadra A)",$B19)</f>
        <v>Falchi Feroci</v>
      </c>
      <c r="N19" s="67">
        <f>IF($J19+$L19=0,,IF($J19&gt;$L19,1,0))</f>
        <v>1</v>
      </c>
      <c r="O19" s="67">
        <f>IF($J19+$L19=0,,IF($J19&lt;$L19,IF($J19&amp;"-"&amp;$L19=MID(Campionato!$D$10,FIND("-",Campionato!$D$10)+1,LEN(Campionato!$D$10))&amp;"-"&amp;LEFT(Campionato!$D$10,FIND("-",Campionato!$D$10)-1),1,0),0))</f>
        <v>0</v>
      </c>
      <c r="P19" s="67">
        <f>IF($J19+$L19=0,,IF($J19&lt;$L19,IF($J19&amp;"-"&amp;$L19&lt;&gt;MID(Campionato!$D$10,FIND("-",Campionato!$D$10)+1,LEN(Campionato!$D$10))&amp;"-"&amp;LEFT(Campionato!$D$10,FIND("-",Campionato!$D$10)-1),1,0),0))</f>
        <v>0</v>
      </c>
      <c r="Q19" s="67">
        <f>IF($J19+$L19=0,,$J19)</f>
        <v>61</v>
      </c>
      <c r="R19" s="67">
        <f>IF($J19+$L19=0,,$L19)</f>
        <v>48</v>
      </c>
      <c r="S19" s="67">
        <f>IF($J19+$L19=0,,$J19-$L19)</f>
        <v>13</v>
      </c>
      <c r="T19" s="67" t="str">
        <f>IF($D19="","(Squadra B)",$D19)</f>
        <v>Cobra Celeri</v>
      </c>
      <c r="U19" s="67">
        <f>IF($J19+$L19=0,,IF($L19&gt;$J19,1,0))</f>
        <v>0</v>
      </c>
      <c r="V19" s="67">
        <f>IF($J19+$L19=0,,IF($L19&lt;$J19,IF($J19&amp;"-"&amp;$L19=Campionato!$D$10,1,0),0))</f>
        <v>0</v>
      </c>
      <c r="W19" s="67">
        <f>IF($J19+$L19=0,,IF($L19&lt;$J19,IF($J19&amp;"-"&amp;$L19&lt;&gt;Campionato!$D$10,1,0),0))</f>
        <v>1</v>
      </c>
      <c r="X19" s="67">
        <f>IF($J19+$L19=0,,$L19)</f>
        <v>48</v>
      </c>
      <c r="Y19" s="67">
        <f>IF($J19+$L19=0,,$J19)</f>
        <v>61</v>
      </c>
      <c r="Z19" s="67">
        <f>IF($J19+$L19=0,,$L19-$J19)</f>
        <v>-13</v>
      </c>
      <c r="AA19" s="67" t="str">
        <f>IF($J19+$L19=0,"(Vincente)",IF($J19&gt;$L19,$B19,$D19))</f>
        <v>Falchi Feroci</v>
      </c>
      <c r="AB19" s="67" t="str">
        <f>IF($J19+$L19=0,"(Perdente)",IF($J19&lt;$L19,$B19,$D19))</f>
        <v>Cobra Celeri</v>
      </c>
      <c r="AC19" s="68" t="str">
        <f>IF($B19="","","[Playoff a 8 - Quarti]")</f>
        <v>[Playoff a 8 - Quarti]</v>
      </c>
    </row>
    <row r="20" ht="16" customHeight="1">
      <c r="A20" s="141" t="n"/>
      <c r="B20" s="69" t="str">
        <f>IF(I20="","",HYPERLINK(VLOOKUP(I20,Campionato!$B$27:$D$45,3,FALSE),VLOOKUP(I20,Campionato!$B$27:$D$45,2,FALSE)))</f>
        <v>PalaMagnifico, Viale dello Sport 2, Mediopoli MD</v>
      </c>
      <c r="C20" s="9" t="n"/>
      <c r="D20" s="9" t="n"/>
      <c r="E20" s="9" t="n"/>
      <c r="F20" s="9" t="n"/>
      <c r="G20" s="9" t="n"/>
      <c r="H20" s="10" t="n"/>
      <c r="I20" s="138" t="inlineStr">
        <is>
          <t>PO2</t>
        </is>
      </c>
      <c r="J20" s="141" t="n"/>
      <c r="K20" s="141" t="n"/>
      <c r="L20" s="141" t="n"/>
    </row>
    <row r="22" ht="20" customHeight="1">
      <c r="B22" s="133" t="inlineStr">
        <is>
          <t>PLAYOFF A 8 - SEMIFINALI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 t="n"/>
    </row>
    <row r="23" ht="13" customHeight="1">
      <c r="A23" s="135" t="inlineStr">
        <is>
          <t>Gara N.</t>
        </is>
      </c>
      <c r="B23" s="135" t="inlineStr">
        <is>
          <t>Squadra A</t>
        </is>
      </c>
      <c r="C23" s="10" t="n"/>
      <c r="D23" s="135" t="inlineStr">
        <is>
          <t>Squadra B</t>
        </is>
      </c>
      <c r="E23" s="10" t="n"/>
      <c r="F23" s="135" t="inlineStr">
        <is>
          <t>Giorno</t>
        </is>
      </c>
      <c r="G23" s="135" t="inlineStr">
        <is>
          <t>Data</t>
        </is>
      </c>
      <c r="H23" s="135" t="inlineStr">
        <is>
          <t>Ora</t>
        </is>
      </c>
      <c r="I23" s="10" t="n"/>
      <c r="J23" s="135" t="inlineStr">
        <is>
          <t>Risultato</t>
        </is>
      </c>
      <c r="K23" s="9" t="n"/>
      <c r="L23" s="10" t="n"/>
    </row>
    <row r="24" ht="24" customHeight="1">
      <c r="A24" s="137">
        <f>MAX(A$10:A23)+1</f>
        <v>50</v>
      </c>
      <c r="B24" s="61" t="str">
        <f>AA10</f>
        <v>Marmotte Mobili</v>
      </c>
      <c r="C24" s="62">
        <f>A10</f>
        <v>46</v>
      </c>
      <c r="D24" s="61" t="str">
        <f>AA19</f>
        <v>Falchi Feroci</v>
      </c>
      <c r="E24" s="62">
        <f>A19</f>
        <v>49</v>
      </c>
      <c r="F24" s="63" t="n">
        <v>46411.39583333334</v>
      </c>
      <c r="G24" s="9" t="n"/>
      <c r="H24" s="9" t="n"/>
      <c r="I24" s="10" t="n"/>
      <c r="J24" s="65" t="n">
        <v>60</v>
      </c>
      <c r="K24" s="66" t="inlineStr">
        <is>
          <t>-</t>
        </is>
      </c>
      <c r="L24" s="65" t="n">
        <v>41</v>
      </c>
      <c r="M24" s="67" t="str">
        <f>IF($B24="","(Squadra A)",$B24)</f>
        <v>Marmotte Mobili</v>
      </c>
      <c r="N24" s="67">
        <f>IF($J24+$L24=0,,IF($J24&gt;$L24,1,0))</f>
        <v>1</v>
      </c>
      <c r="O24" s="67">
        <f>IF($J24+$L24=0,,IF($J24&lt;$L24,IF($J24&amp;"-"&amp;$L24=MID(Campionato!$D$10,FIND("-",Campionato!$D$10)+1,LEN(Campionato!$D$10))&amp;"-"&amp;LEFT(Campionato!$D$10,FIND("-",Campionato!$D$10)-1),1,0),0))</f>
        <v>0</v>
      </c>
      <c r="P24" s="67">
        <f>IF($J24+$L24=0,,IF($J24&lt;$L24,IF($J24&amp;"-"&amp;$L24&lt;&gt;MID(Campionato!$D$10,FIND("-",Campionato!$D$10)+1,LEN(Campionato!$D$10))&amp;"-"&amp;LEFT(Campionato!$D$10,FIND("-",Campionato!$D$10)-1),1,0),0))</f>
        <v>0</v>
      </c>
      <c r="Q24" s="67">
        <f>IF($J24+$L24=0,,$J24)</f>
        <v>60</v>
      </c>
      <c r="R24" s="67">
        <f>IF($J24+$L24=0,,$L24)</f>
        <v>41</v>
      </c>
      <c r="S24" s="67">
        <f>IF($J24+$L24=0,,$J24-$L24)</f>
        <v>19</v>
      </c>
      <c r="T24" s="67" t="str">
        <f>IF($D24="","(Squadra B)",$D24)</f>
        <v>Falchi Feroci</v>
      </c>
      <c r="U24" s="67">
        <f>IF($J24+$L24=0,,IF($L24&gt;$J24,1,0))</f>
        <v>0</v>
      </c>
      <c r="V24" s="67">
        <f>IF($J24+$L24=0,,IF($L24&lt;$J24,IF($J24&amp;"-"&amp;$L24=Campionato!$D$10,1,0),0))</f>
        <v>0</v>
      </c>
      <c r="W24" s="67">
        <f>IF($J24+$L24=0,,IF($L24&lt;$J24,IF($J24&amp;"-"&amp;$L24&lt;&gt;Campionato!$D$10,1,0),0))</f>
        <v>1</v>
      </c>
      <c r="X24" s="67">
        <f>IF($J24+$L24=0,,$L24)</f>
        <v>41</v>
      </c>
      <c r="Y24" s="67">
        <f>IF($J24+$L24=0,,$J24)</f>
        <v>60</v>
      </c>
      <c r="Z24" s="67">
        <f>IF($J24+$L24=0,,$L24-$J24)</f>
        <v>-19</v>
      </c>
      <c r="AA24" s="67" t="str">
        <f>IF($J24+$L24=0,"(Vincente)",IF($J24&gt;$L24,$B24,$D24))</f>
        <v>Marmotte Mobili</v>
      </c>
      <c r="AB24" s="67" t="str">
        <f>IF($J24+$L24=0,"(Perdente)",IF($J24&lt;$L24,$B24,$D24))</f>
        <v>Falchi Feroci</v>
      </c>
      <c r="AC24" s="68" t="str">
        <f>IF($B24="","","[Playoff a 8 - Semifinali]")</f>
        <v>[Playoff a 8 - Semifinali]</v>
      </c>
    </row>
    <row r="25" ht="16" customHeight="1">
      <c r="A25" s="141" t="n"/>
      <c r="B25" s="69" t="str">
        <f>IF(I25="","",HYPERLINK(VLOOKUP(I25,Campionato!$B$27:$D$45,3,FALSE),VLOOKUP(I25,Campionato!$B$27:$D$45,2,FALSE)))</f>
        <v>PalaCentrale, Viale dello Sport 1, Mediopoli MD</v>
      </c>
      <c r="C25" s="9" t="n"/>
      <c r="D25" s="9" t="n"/>
      <c r="E25" s="9" t="n"/>
      <c r="F25" s="9" t="n"/>
      <c r="G25" s="9" t="n"/>
      <c r="H25" s="10" t="n"/>
      <c r="I25" s="138" t="inlineStr">
        <is>
          <t>PO1</t>
        </is>
      </c>
      <c r="J25" s="141" t="n"/>
      <c r="K25" s="141" t="n"/>
      <c r="L25" s="141" t="n"/>
    </row>
    <row r="26" ht="13" customHeight="1">
      <c r="A26" s="135" t="inlineStr">
        <is>
          <t>Gara N.</t>
        </is>
      </c>
      <c r="B26" s="135" t="inlineStr">
        <is>
          <t>Squadra A</t>
        </is>
      </c>
      <c r="C26" s="10" t="n"/>
      <c r="D26" s="135" t="inlineStr">
        <is>
          <t>Squadra B</t>
        </is>
      </c>
      <c r="E26" s="10" t="n"/>
      <c r="F26" s="135" t="inlineStr">
        <is>
          <t>Giorno</t>
        </is>
      </c>
      <c r="G26" s="135" t="inlineStr">
        <is>
          <t>Data</t>
        </is>
      </c>
      <c r="H26" s="135" t="inlineStr">
        <is>
          <t>Ora</t>
        </is>
      </c>
      <c r="I26" s="10" t="n"/>
      <c r="J26" s="135" t="inlineStr">
        <is>
          <t>Risultato</t>
        </is>
      </c>
      <c r="K26" s="9" t="n"/>
      <c r="L26" s="10" t="n"/>
    </row>
    <row r="27" ht="24" customHeight="1">
      <c r="A27" s="137">
        <f>MAX(A$10:A26)+1</f>
        <v>51</v>
      </c>
      <c r="B27" s="61" t="str">
        <f>AA13</f>
        <v>Anaconde Audaci</v>
      </c>
      <c r="C27" s="62">
        <f>A13</f>
        <v>47</v>
      </c>
      <c r="D27" s="61" t="str">
        <f>AA16</f>
        <v>Lupi Leali</v>
      </c>
      <c r="E27" s="62">
        <f>A16</f>
        <v>48</v>
      </c>
      <c r="F27" s="63" t="n">
        <v>46411.45833333334</v>
      </c>
      <c r="G27" s="9" t="n"/>
      <c r="H27" s="9" t="n"/>
      <c r="I27" s="10" t="n"/>
      <c r="J27" s="65" t="n">
        <v>80</v>
      </c>
      <c r="K27" s="66" t="inlineStr">
        <is>
          <t>-</t>
        </is>
      </c>
      <c r="L27" s="65" t="n">
        <v>75</v>
      </c>
      <c r="M27" s="67" t="str">
        <f>IF($B27="","(Squadra A)",$B27)</f>
        <v>Anaconde Audaci</v>
      </c>
      <c r="N27" s="67">
        <f>IF($J27+$L27=0,,IF($J27&gt;$L27,1,0))</f>
        <v>1</v>
      </c>
      <c r="O27" s="67">
        <f>IF($J27+$L27=0,,IF($J27&lt;$L27,IF($J27&amp;"-"&amp;$L27=MID(Campionato!$D$10,FIND("-",Campionato!$D$10)+1,LEN(Campionato!$D$10))&amp;"-"&amp;LEFT(Campionato!$D$10,FIND("-",Campionato!$D$10)-1),1,0),0))</f>
        <v>0</v>
      </c>
      <c r="P27" s="67">
        <f>IF($J27+$L27=0,,IF($J27&lt;$L27,IF($J27&amp;"-"&amp;$L27&lt;&gt;MID(Campionato!$D$10,FIND("-",Campionato!$D$10)+1,LEN(Campionato!$D$10))&amp;"-"&amp;LEFT(Campionato!$D$10,FIND("-",Campionato!$D$10)-1),1,0),0))</f>
        <v>0</v>
      </c>
      <c r="Q27" s="67">
        <f>IF($J27+$L27=0,,$J27)</f>
        <v>80</v>
      </c>
      <c r="R27" s="67">
        <f>IF($J27+$L27=0,,$L27)</f>
        <v>75</v>
      </c>
      <c r="S27" s="67">
        <f>IF($J27+$L27=0,,$J27-$L27)</f>
        <v>5</v>
      </c>
      <c r="T27" s="67" t="str">
        <f>IF($D27="","(Squadra B)",$D27)</f>
        <v>Lupi Leali</v>
      </c>
      <c r="U27" s="67">
        <f>IF($J27+$L27=0,,IF($L27&gt;$J27,1,0))</f>
        <v>0</v>
      </c>
      <c r="V27" s="67">
        <f>IF($J27+$L27=0,,IF($L27&lt;$J27,IF($J27&amp;"-"&amp;$L27=Campionato!$D$10,1,0),0))</f>
        <v>0</v>
      </c>
      <c r="W27" s="67">
        <f>IF($J27+$L27=0,,IF($L27&lt;$J27,IF($J27&amp;"-"&amp;$L27&lt;&gt;Campionato!$D$10,1,0),0))</f>
        <v>1</v>
      </c>
      <c r="X27" s="67">
        <f>IF($J27+$L27=0,,$L27)</f>
        <v>75</v>
      </c>
      <c r="Y27" s="67">
        <f>IF($J27+$L27=0,,$J27)</f>
        <v>80</v>
      </c>
      <c r="Z27" s="67">
        <f>IF($J27+$L27=0,,$L27-$J27)</f>
        <v>-5</v>
      </c>
      <c r="AA27" s="67" t="str">
        <f>IF($J27+$L27=0,"(Vincente)",IF($J27&gt;$L27,$B27,$D27))</f>
        <v>Anaconde Audaci</v>
      </c>
      <c r="AB27" s="67" t="str">
        <f>IF($J27+$L27=0,"(Perdente)",IF($J27&lt;$L27,$B27,$D27))</f>
        <v>Lupi Leali</v>
      </c>
      <c r="AC27" s="68" t="str">
        <f>IF($B27="","","[Playoff a 8 - Semifinali]")</f>
        <v>[Playoff a 8 - Semifinali]</v>
      </c>
    </row>
    <row r="28" ht="16" customHeight="1">
      <c r="A28" s="141" t="n"/>
      <c r="B28" s="69" t="str">
        <f>IF(I28="","",HYPERLINK(VLOOKUP(I28,Campionato!$B$27:$D$45,3,FALSE),VLOOKUP(I28,Campionato!$B$27:$D$45,2,FALSE)))</f>
        <v>PalaCentrale, Viale dello Sport 1, Mediopoli MD</v>
      </c>
      <c r="C28" s="9" t="n"/>
      <c r="D28" s="9" t="n"/>
      <c r="E28" s="9" t="n"/>
      <c r="F28" s="9" t="n"/>
      <c r="G28" s="9" t="n"/>
      <c r="H28" s="10" t="n"/>
      <c r="I28" s="138" t="inlineStr">
        <is>
          <t>PO1</t>
        </is>
      </c>
      <c r="J28" s="141" t="n"/>
      <c r="K28" s="141" t="n"/>
      <c r="L28" s="141" t="n"/>
    </row>
    <row r="30" ht="20" customHeight="1">
      <c r="B30" s="133" t="inlineStr">
        <is>
          <t>PLAYOFF A 8 - FINALI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0" t="n"/>
    </row>
    <row r="31" ht="13" customHeight="1">
      <c r="A31" s="135" t="inlineStr">
        <is>
          <t>Gara N.</t>
        </is>
      </c>
      <c r="B31" s="135" t="inlineStr">
        <is>
          <t>Squadra A</t>
        </is>
      </c>
      <c r="C31" s="10" t="n"/>
      <c r="D31" s="135" t="inlineStr">
        <is>
          <t>Squadra B</t>
        </is>
      </c>
      <c r="E31" s="10" t="n"/>
      <c r="F31" s="135" t="inlineStr">
        <is>
          <t>Giorno</t>
        </is>
      </c>
      <c r="G31" s="135" t="inlineStr">
        <is>
          <t>Data</t>
        </is>
      </c>
      <c r="H31" s="135" t="inlineStr">
        <is>
          <t>Ora</t>
        </is>
      </c>
      <c r="I31" s="10" t="n"/>
      <c r="J31" s="135" t="inlineStr">
        <is>
          <t>Risultato</t>
        </is>
      </c>
      <c r="K31" s="9" t="n"/>
      <c r="L31" s="10" t="n"/>
    </row>
    <row r="32" ht="24" customHeight="1">
      <c r="A32" s="137">
        <f>MAX(A$10:A31)+1</f>
        <v>52</v>
      </c>
      <c r="B32" s="61" t="str">
        <f>AB24</f>
        <v>Falchi Feroci</v>
      </c>
      <c r="C32" s="62">
        <f>A24</f>
        <v>50</v>
      </c>
      <c r="D32" s="61" t="str">
        <f>AB27</f>
        <v>Lupi Leali</v>
      </c>
      <c r="E32" s="62">
        <f>A27</f>
        <v>51</v>
      </c>
      <c r="F32" s="63" t="n">
        <v>46418.60416666666</v>
      </c>
      <c r="G32" s="9" t="n"/>
      <c r="H32" s="9" t="n"/>
      <c r="I32" s="10" t="n"/>
      <c r="J32" s="65" t="n">
        <v>68</v>
      </c>
      <c r="K32" s="66" t="inlineStr">
        <is>
          <t>-</t>
        </is>
      </c>
      <c r="L32" s="65" t="n">
        <v>67</v>
      </c>
      <c r="M32" s="67" t="str">
        <f>IF($B32="","(Squadra A)",$B32)</f>
        <v>Falchi Feroci</v>
      </c>
      <c r="N32" s="67">
        <f>IF($J32+$L32=0,,IF($J32&gt;$L32,1,0))</f>
        <v>1</v>
      </c>
      <c r="O32" s="67">
        <f>IF($J32+$L32=0,,IF($J32&lt;$L32,IF($J32&amp;"-"&amp;$L32=MID(Campionato!$D$10,FIND("-",Campionato!$D$10)+1,LEN(Campionato!$D$10))&amp;"-"&amp;LEFT(Campionato!$D$10,FIND("-",Campionato!$D$10)-1),1,0),0))</f>
        <v>0</v>
      </c>
      <c r="P32" s="67">
        <f>IF($J32+$L32=0,,IF($J32&lt;$L32,IF($J32&amp;"-"&amp;$L32&lt;&gt;MID(Campionato!$D$10,FIND("-",Campionato!$D$10)+1,LEN(Campionato!$D$10))&amp;"-"&amp;LEFT(Campionato!$D$10,FIND("-",Campionato!$D$10)-1),1,0),0))</f>
        <v>0</v>
      </c>
      <c r="Q32" s="67">
        <f>IF($J32+$L32=0,,$J32)</f>
        <v>68</v>
      </c>
      <c r="R32" s="67">
        <f>IF($J32+$L32=0,,$L32)</f>
        <v>67</v>
      </c>
      <c r="S32" s="67">
        <f>IF($J32+$L32=0,,$J32-$L32)</f>
        <v>1</v>
      </c>
      <c r="T32" s="67" t="str">
        <f>IF($D32="","(Squadra B)",$D32)</f>
        <v>Lupi Leali</v>
      </c>
      <c r="U32" s="67">
        <f>IF($J32+$L32=0,,IF($L32&gt;$J32,1,0))</f>
        <v>0</v>
      </c>
      <c r="V32" s="67">
        <f>IF($J32+$L32=0,,IF($L32&lt;$J32,IF($J32&amp;"-"&amp;$L32=Campionato!$D$10,1,0),0))</f>
        <v>0</v>
      </c>
      <c r="W32" s="67">
        <f>IF($J32+$L32=0,,IF($L32&lt;$J32,IF($J32&amp;"-"&amp;$L32&lt;&gt;Campionato!$D$10,1,0),0))</f>
        <v>1</v>
      </c>
      <c r="X32" s="67">
        <f>IF($J32+$L32=0,,$L32)</f>
        <v>67</v>
      </c>
      <c r="Y32" s="67">
        <f>IF($J32+$L32=0,,$J32)</f>
        <v>68</v>
      </c>
      <c r="Z32" s="67">
        <f>IF($J32+$L32=0,,$L32-$J32)</f>
        <v>-1</v>
      </c>
      <c r="AA32" s="67" t="str">
        <f>IF($J32+$L32=0,"(Vincente)",IF($J32&gt;$L32,$B32,$D32))</f>
        <v>Falchi Feroci</v>
      </c>
      <c r="AB32" s="67" t="str">
        <f>IF($J32+$L32=0,"(Perdente)",IF($J32&lt;$L32,$B32,$D32))</f>
        <v>Lupi Leali</v>
      </c>
      <c r="AC32" s="68" t="str">
        <f>IF($B32="","","[Playoff a 8 - Finale "&amp;IF(COUNT($A$31:$A31)=0,"3-4","1-2")&amp;"]")</f>
        <v>[Playoff a 8 - Finale 3-4]</v>
      </c>
    </row>
    <row r="33" ht="16" customHeight="1">
      <c r="A33" s="141" t="n"/>
      <c r="B33" s="69" t="str">
        <f>IF(I33="","",HYPERLINK(VLOOKUP(I33,Campionato!$B$27:$D$45,3,FALSE),VLOOKUP(I33,Campionato!$B$27:$D$45,2,FALSE)))</f>
        <v>PalaCentrale, Viale dello Sport 1, Mediopoli MD</v>
      </c>
      <c r="C33" s="9" t="n"/>
      <c r="D33" s="9" t="n"/>
      <c r="E33" s="9" t="n"/>
      <c r="F33" s="9" t="n"/>
      <c r="G33" s="9" t="n"/>
      <c r="H33" s="10" t="n"/>
      <c r="I33" s="138" t="inlineStr">
        <is>
          <t>PO1</t>
        </is>
      </c>
      <c r="J33" s="141" t="n"/>
      <c r="K33" s="141" t="n"/>
      <c r="L33" s="141" t="n"/>
    </row>
    <row r="34" ht="13" customHeight="1">
      <c r="A34" s="135" t="inlineStr">
        <is>
          <t>Gara N.</t>
        </is>
      </c>
      <c r="B34" s="135" t="inlineStr">
        <is>
          <t>Squadra A</t>
        </is>
      </c>
      <c r="C34" s="10" t="n"/>
      <c r="D34" s="135" t="inlineStr">
        <is>
          <t>Squadra B</t>
        </is>
      </c>
      <c r="E34" s="10" t="n"/>
      <c r="F34" s="135" t="inlineStr">
        <is>
          <t>Giorno</t>
        </is>
      </c>
      <c r="G34" s="135" t="inlineStr">
        <is>
          <t>Data</t>
        </is>
      </c>
      <c r="H34" s="135" t="inlineStr">
        <is>
          <t>Ora</t>
        </is>
      </c>
      <c r="I34" s="10" t="n"/>
      <c r="J34" s="135" t="inlineStr">
        <is>
          <t>Risultato</t>
        </is>
      </c>
      <c r="K34" s="9" t="n"/>
      <c r="L34" s="10" t="n"/>
    </row>
    <row r="35" ht="24" customHeight="1">
      <c r="A35" s="137">
        <f>MAX(A$10:A34)+1</f>
        <v>53</v>
      </c>
      <c r="B35" s="61" t="str">
        <f>AA24</f>
        <v>Marmotte Mobili</v>
      </c>
      <c r="C35" s="62">
        <f>A24</f>
        <v>50</v>
      </c>
      <c r="D35" s="61" t="str">
        <f>AA27</f>
        <v>Anaconde Audaci</v>
      </c>
      <c r="E35" s="62">
        <f>A27</f>
        <v>51</v>
      </c>
      <c r="F35" s="63" t="n">
        <v>46418.66666666666</v>
      </c>
      <c r="G35" s="9" t="n"/>
      <c r="H35" s="9" t="n"/>
      <c r="I35" s="10" t="n"/>
      <c r="J35" s="65" t="n">
        <v>81</v>
      </c>
      <c r="K35" s="66" t="inlineStr">
        <is>
          <t>-</t>
        </is>
      </c>
      <c r="L35" s="65" t="n">
        <v>57</v>
      </c>
      <c r="M35" s="67" t="str">
        <f>IF($B35="","(Squadra A)",$B35)</f>
        <v>Marmotte Mobili</v>
      </c>
      <c r="N35" s="67">
        <f>IF($J35+$L35=0,,IF($J35&gt;$L35,1,0))</f>
        <v>1</v>
      </c>
      <c r="O35" s="67">
        <f>IF($J35+$L35=0,,IF($J35&lt;$L35,IF($J35&amp;"-"&amp;$L35=MID(Campionato!$D$10,FIND("-",Campionato!$D$10)+1,LEN(Campionato!$D$10))&amp;"-"&amp;LEFT(Campionato!$D$10,FIND("-",Campionato!$D$10)-1),1,0),0))</f>
        <v>0</v>
      </c>
      <c r="P35" s="67">
        <f>IF($J35+$L35=0,,IF($J35&lt;$L35,IF($J35&amp;"-"&amp;$L35&lt;&gt;MID(Campionato!$D$10,FIND("-",Campionato!$D$10)+1,LEN(Campionato!$D$10))&amp;"-"&amp;LEFT(Campionato!$D$10,FIND("-",Campionato!$D$10)-1),1,0),0))</f>
        <v>0</v>
      </c>
      <c r="Q35" s="67">
        <f>IF($J35+$L35=0,,$J35)</f>
        <v>81</v>
      </c>
      <c r="R35" s="67">
        <f>IF($J35+$L35=0,,$L35)</f>
        <v>57</v>
      </c>
      <c r="S35" s="67">
        <f>IF($J35+$L35=0,,$J35-$L35)</f>
        <v>24</v>
      </c>
      <c r="T35" s="67" t="str">
        <f>IF($D35="","(Squadra B)",$D35)</f>
        <v>Anaconde Audaci</v>
      </c>
      <c r="U35" s="67">
        <f>IF($J35+$L35=0,,IF($L35&gt;$J35,1,0))</f>
        <v>0</v>
      </c>
      <c r="V35" s="67">
        <f>IF($J35+$L35=0,,IF($L35&lt;$J35,IF($J35&amp;"-"&amp;$L35=Campionato!$D$10,1,0),0))</f>
        <v>0</v>
      </c>
      <c r="W35" s="67">
        <f>IF($J35+$L35=0,,IF($L35&lt;$J35,IF($J35&amp;"-"&amp;$L35&lt;&gt;Campionato!$D$10,1,0),0))</f>
        <v>1</v>
      </c>
      <c r="X35" s="67">
        <f>IF($J35+$L35=0,,$L35)</f>
        <v>57</v>
      </c>
      <c r="Y35" s="67">
        <f>IF($J35+$L35=0,,$J35)</f>
        <v>81</v>
      </c>
      <c r="Z35" s="67">
        <f>IF($J35+$L35=0,,$L35-$J35)</f>
        <v>-24</v>
      </c>
      <c r="AA35" s="67" t="str">
        <f>IF($J35+$L35=0,"(Vincente)",IF($J35&gt;$L35,$B35,$D35))</f>
        <v>Marmotte Mobili</v>
      </c>
      <c r="AB35" s="67" t="str">
        <f>IF($J35+$L35=0,"(Perdente)",IF($J35&lt;$L35,$B35,$D35))</f>
        <v>Anaconde Audaci</v>
      </c>
      <c r="AC35" s="68" t="str">
        <f>IF($B35="","","[Playoff a 8 - Finale "&amp;IF(COUNT($A$31:$A34)=0,"3-4","1-2")&amp;"]")</f>
        <v>[Playoff a 8 - Finale 1-2]</v>
      </c>
    </row>
    <row r="36" ht="16" customHeight="1">
      <c r="A36" s="141" t="n"/>
      <c r="B36" s="69" t="str">
        <f>IF(I36="","",HYPERLINK(VLOOKUP(I36,Campionato!$B$27:$D$45,3,FALSE),VLOOKUP(I36,Campionato!$B$27:$D$45,2,FALSE)))</f>
        <v>PalaCentrale, Viale dello Sport 1, Mediopoli MD</v>
      </c>
      <c r="C36" s="9" t="n"/>
      <c r="D36" s="9" t="n"/>
      <c r="E36" s="9" t="n"/>
      <c r="F36" s="9" t="n"/>
      <c r="G36" s="9" t="n"/>
      <c r="H36" s="10" t="n"/>
      <c r="I36" s="138" t="inlineStr">
        <is>
          <t>PO1</t>
        </is>
      </c>
      <c r="J36" s="141" t="n"/>
      <c r="K36" s="141" t="n"/>
      <c r="L36" s="141" t="n"/>
    </row>
    <row r="39">
      <c r="A39" s="51" t="inlineStr">
        <is>
          <t>Playoff a 8 squadre: le prime otto classificate del girone.</t>
        </is>
      </c>
    </row>
    <row r="40">
      <c r="A40" s="51" t="inlineStr">
        <is>
          <t>Quarti: 1A-8A, 2A-7A, 3A-6A, 4A-5A (1-8, 2-7, 3-6, 4-5).</t>
        </is>
      </c>
    </row>
    <row r="41">
      <c r="A41" s="51" t="inlineStr">
        <is>
          <t>Semifinali: V.Q1-V.Q4, V.Q2-V.Q3. Finali: perdenti semifinali = finale 3o-4o posto; vincenti = finale 1o-2o posto.</t>
        </is>
      </c>
    </row>
    <row r="42">
      <c r="A42" s="51" t="inlineStr">
        <is>
          <t>Sfondo verde: campo ancora da definire (codice TBD).</t>
        </is>
      </c>
    </row>
  </sheetData>
  <mergeCells count="87">
    <mergeCell ref="F27:I27"/>
    <mergeCell ref="K32:K33"/>
    <mergeCell ref="A16:A17"/>
    <mergeCell ref="B31:C31"/>
    <mergeCell ref="B22:L22"/>
    <mergeCell ref="B33:H33"/>
    <mergeCell ref="D31:E31"/>
    <mergeCell ref="H9:I9"/>
    <mergeCell ref="B12:C12"/>
    <mergeCell ref="I1:L3"/>
    <mergeCell ref="A27:A28"/>
    <mergeCell ref="K27:K28"/>
    <mergeCell ref="F16:I16"/>
    <mergeCell ref="B25:H25"/>
    <mergeCell ref="J32:J33"/>
    <mergeCell ref="B11:H11"/>
    <mergeCell ref="A35:A36"/>
    <mergeCell ref="H15:I15"/>
    <mergeCell ref="L16:L17"/>
    <mergeCell ref="H23:I23"/>
    <mergeCell ref="B26:C26"/>
    <mergeCell ref="D26:E26"/>
    <mergeCell ref="J15:L15"/>
    <mergeCell ref="J10:J11"/>
    <mergeCell ref="F13:I13"/>
    <mergeCell ref="D34:E34"/>
    <mergeCell ref="J26:L26"/>
    <mergeCell ref="B18:C18"/>
    <mergeCell ref="J27:J28"/>
    <mergeCell ref="H34:I34"/>
    <mergeCell ref="F19:I19"/>
    <mergeCell ref="J35:J36"/>
    <mergeCell ref="L35:L36"/>
    <mergeCell ref="A10:A11"/>
    <mergeCell ref="D9:E9"/>
    <mergeCell ref="A19:A20"/>
    <mergeCell ref="K19:K20"/>
    <mergeCell ref="H12:I12"/>
    <mergeCell ref="B15:C15"/>
    <mergeCell ref="B17:H17"/>
    <mergeCell ref="D15:E15"/>
    <mergeCell ref="D23:E23"/>
    <mergeCell ref="B28:H28"/>
    <mergeCell ref="L32:L33"/>
    <mergeCell ref="H31:I31"/>
    <mergeCell ref="B20:H20"/>
    <mergeCell ref="J24:J25"/>
    <mergeCell ref="F10:I10"/>
    <mergeCell ref="A13:A14"/>
    <mergeCell ref="J18:L18"/>
    <mergeCell ref="B34:C34"/>
    <mergeCell ref="B9:C9"/>
    <mergeCell ref="D12:E12"/>
    <mergeCell ref="K10:K11"/>
    <mergeCell ref="B30:L30"/>
    <mergeCell ref="K16:K17"/>
    <mergeCell ref="J34:L34"/>
    <mergeCell ref="J9:L9"/>
    <mergeCell ref="A1:D2"/>
    <mergeCell ref="E1:G3"/>
    <mergeCell ref="J13:J14"/>
    <mergeCell ref="L13:L14"/>
    <mergeCell ref="A24:A25"/>
    <mergeCell ref="K35:K36"/>
    <mergeCell ref="L24:L25"/>
    <mergeCell ref="B36:H36"/>
    <mergeCell ref="J31:L31"/>
    <mergeCell ref="B23:C23"/>
    <mergeCell ref="J12:L12"/>
    <mergeCell ref="J16:J17"/>
    <mergeCell ref="L10:L11"/>
    <mergeCell ref="B8:L8"/>
    <mergeCell ref="A32:A33"/>
    <mergeCell ref="F24:I24"/>
    <mergeCell ref="K13:K14"/>
    <mergeCell ref="J23:L23"/>
    <mergeCell ref="D18:E18"/>
    <mergeCell ref="L27:L28"/>
    <mergeCell ref="F32:I32"/>
    <mergeCell ref="B14:H14"/>
    <mergeCell ref="F35:I35"/>
    <mergeCell ref="H26:I26"/>
    <mergeCell ref="A3:D3"/>
    <mergeCell ref="H18:I18"/>
    <mergeCell ref="K24:K25"/>
    <mergeCell ref="J19:J20"/>
    <mergeCell ref="L19:L20"/>
  </mergeCells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1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0" customWidth="1" min="4" max="5"/>
  </cols>
  <sheetData>
    <row r="1" ht="22" customHeight="1">
      <c r="A1" s="52" t="str">
        <f>Campionato!$D$2&amp;""</f>
        <v>Campionato Baskin Demo - ESEMPIO 10 Squadre</v>
      </c>
      <c r="D1" t="str">
        <f>IFERROR(IMAGE(Campionato!$D$3),"")</f>
        <v/>
      </c>
      <c r="E1" t="str">
        <f>IFERROR(IMAGE(Campionato!$D$4),"")</f>
        <v/>
      </c>
    </row>
    <row r="2" ht="22" customHeight="1"/>
    <row r="3" ht="22" customHeight="1">
      <c r="A3" s="52" t="str">
        <f>"Classifica finale (playoff a 8 squadre) - Stagione "&amp;Campionato!$D$6</f>
        <v>Classifica finale (playoff a 8 squadre) - Stagione 2026/2027</v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9" t="n"/>
      <c r="E6" s="10" t="n"/>
    </row>
    <row r="7">
      <c r="A7" s="190" t="n">
        <v>1</v>
      </c>
      <c r="B7" s="191" t="str">
        <f>'Playoff'!AA35</f>
        <v>Marmotte Mobili</v>
      </c>
      <c r="C7" s="192" t="inlineStr">
        <is>
          <t>Vincente finale 1o-2o posto</t>
        </is>
      </c>
      <c r="D7" s="9" t="n"/>
      <c r="E7" s="10" t="n"/>
    </row>
    <row r="8">
      <c r="A8" s="190" t="n">
        <v>2</v>
      </c>
      <c r="B8" s="191" t="str">
        <f>'Playoff'!AB35</f>
        <v>Anaconde Audaci</v>
      </c>
      <c r="C8" s="192" t="inlineStr">
        <is>
          <t>Perdente finale 1o-2o posto</t>
        </is>
      </c>
      <c r="D8" s="9" t="n"/>
      <c r="E8" s="10" t="n"/>
    </row>
    <row r="9">
      <c r="A9" s="190" t="n">
        <v>3</v>
      </c>
      <c r="B9" s="191" t="str">
        <f>'Playoff'!AA32</f>
        <v>Falchi Feroci</v>
      </c>
      <c r="C9" s="192" t="inlineStr">
        <is>
          <t>Vincente finale 3o-4o posto</t>
        </is>
      </c>
      <c r="D9" s="9" t="n"/>
      <c r="E9" s="10" t="n"/>
    </row>
    <row r="10">
      <c r="A10" s="190" t="n">
        <v>4</v>
      </c>
      <c r="B10" s="191" t="str">
        <f>'Playoff'!AB32</f>
        <v>Lupi Leali</v>
      </c>
      <c r="C10" s="192" t="inlineStr">
        <is>
          <t>Perdente finale 3o-4o posto</t>
        </is>
      </c>
      <c r="D10" s="9" t="n"/>
      <c r="E10" s="10" t="n"/>
    </row>
    <row r="11">
      <c r="A11" s="190" t="n">
        <v>5</v>
      </c>
      <c r="B11" s="13" t="str">
        <f>'Playoff'!AB10</f>
        <v>Dingo Docili</v>
      </c>
      <c r="C11" s="192" t="inlineStr">
        <is>
          <t>Perdente quarti di finale</t>
        </is>
      </c>
      <c r="D11" s="9" t="n"/>
      <c r="E11" s="10" t="n"/>
    </row>
    <row r="12">
      <c r="A12" s="190" t="n">
        <v>5</v>
      </c>
      <c r="B12" s="13" t="str">
        <f>'Playoff'!AB13</f>
        <v>Bufali Belligeranti</v>
      </c>
      <c r="C12" s="192" t="inlineStr">
        <is>
          <t>Perdente quarti di finale</t>
        </is>
      </c>
      <c r="D12" s="9" t="n"/>
      <c r="E12" s="10" t="n"/>
    </row>
    <row r="13">
      <c r="A13" s="190" t="n">
        <v>5</v>
      </c>
      <c r="B13" s="13" t="str">
        <f>'Playoff'!AB16</f>
        <v>Ibis Instancabili</v>
      </c>
      <c r="C13" s="192" t="inlineStr">
        <is>
          <t>Perdente quarti di finale</t>
        </is>
      </c>
      <c r="D13" s="9" t="n"/>
      <c r="E13" s="10" t="n"/>
    </row>
    <row r="14">
      <c r="A14" s="190" t="n">
        <v>5</v>
      </c>
      <c r="B14" s="13" t="str">
        <f>'Playoff'!AB19</f>
        <v>Cobra Celeri</v>
      </c>
      <c r="C14" s="192" t="inlineStr">
        <is>
          <t>Perdente quarti di finale</t>
        </is>
      </c>
      <c r="D14" s="9" t="n"/>
      <c r="E14" s="10" t="n"/>
    </row>
    <row r="15">
      <c r="A15" s="190" t="n">
        <v>9</v>
      </c>
      <c r="B15" s="13" t="str">
        <f>IFERROR(VLOOKUP("A9",Campionato!$G$14:$W$23,2,FALSE),"(A9)")</f>
        <v>Ermellini Eleganti</v>
      </c>
      <c r="C15" s="192" t="inlineStr">
        <is>
          <t>Girone A - 9a classificata</t>
        </is>
      </c>
      <c r="D15" s="9" t="n"/>
      <c r="E15" s="10" t="n"/>
    </row>
    <row r="16">
      <c r="A16" s="190" t="n">
        <v>9</v>
      </c>
      <c r="B16" s="13" t="str">
        <f>IFERROR(VLOOKUP("A10",Campionato!$G$14:$W$23,2,FALSE),"(A10)")</f>
        <v>Gazzelle Gentili</v>
      </c>
      <c r="C16" s="192" t="inlineStr">
        <is>
          <t>Girone A - 10a classificata</t>
        </is>
      </c>
      <c r="D16" s="9" t="n"/>
      <c r="E16" s="10" t="n"/>
    </row>
    <row r="18">
      <c r="A18" s="51" t="inlineStr">
        <is>
          <t>Dalla 9a posizione in poi vale l'ordine della classifica del girone.</t>
        </is>
      </c>
    </row>
  </sheetData>
  <mergeCells count="15">
    <mergeCell ref="C16:E16"/>
    <mergeCell ref="D1:D3"/>
    <mergeCell ref="C11:E11"/>
    <mergeCell ref="C14:E14"/>
    <mergeCell ref="C13:E13"/>
    <mergeCell ref="A1:C2"/>
    <mergeCell ref="C15:E15"/>
    <mergeCell ref="C8:E8"/>
    <mergeCell ref="C9:E9"/>
    <mergeCell ref="A3:C3"/>
    <mergeCell ref="C7:E7"/>
    <mergeCell ref="E1:E3"/>
    <mergeCell ref="C12:E12"/>
    <mergeCell ref="C6:E6"/>
    <mergeCell ref="C10:E10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225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 t="str">
        <f>Campionato!$D$2&amp;""</f>
        <v>Campionato Baskin Demo - ESEMPIO 10 Squadre</v>
      </c>
      <c r="E1" t="str">
        <f>IFERROR(IMAGE(Campionato!$D$3),"")</f>
        <v/>
      </c>
      <c r="I1" t="str">
        <f>IFERROR(IMAGE(Campionato!$D$4),"")</f>
        <v/>
      </c>
    </row>
    <row r="2" ht="22" customHeight="1"/>
    <row r="3" ht="22" customHeight="1">
      <c r="A3" s="52" t="str">
        <f>"DESIGNAZIONI - Stagione "&amp;Campionato!$D$6</f>
        <v>DESIGNAZIONI - Stagione 2026/2027</v>
      </c>
    </row>
    <row r="8" ht="20" customHeight="1">
      <c r="A8" s="55" t="str">
        <f>IF('Calendario A'!A8="","",'Calendario A'!A8)</f>
        <v>1A</v>
      </c>
      <c r="B8" s="56" t="str">
        <f>IF('Calendario A'!B8="","",'Calendario A'!B8)</f>
        <v>GIORNATA I - GIRONE GOLD</v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>1</v>
      </c>
      <c r="B10" s="61" t="str">
        <f>IF('Calendario A'!B10="","",'Calendario A'!B10)</f>
        <v>Anaconde Audaci</v>
      </c>
      <c r="C10" s="62" t="str">
        <f>IF('Calendario A'!C10="","",'Calendario A'!C10)</f>
        <v>A01</v>
      </c>
      <c r="D10" s="61" t="str">
        <f>IF('Calendario A'!D10="","",'Calendario A'!D10)</f>
        <v>Marmotte Mobili</v>
      </c>
      <c r="E10" s="62" t="str">
        <f>IF('Calendario A'!E10="","",'Calendario A'!E10)</f>
        <v>A10</v>
      </c>
      <c r="F10" s="63">
        <f>IF('Calendario A'!F10="","",'Calendario A'!F10)</f>
        <v>46313.395833333336</v>
      </c>
      <c r="G10" s="9" t="n"/>
      <c r="H10" s="9" t="n"/>
      <c r="I10" s="10" t="n"/>
      <c r="J10" s="195">
        <f>IF('Calendario A'!J10="","",'Calendario A'!J10)</f>
        <v>42</v>
      </c>
      <c r="K10" s="64" t="inlineStr">
        <is>
          <t>-</t>
        </is>
      </c>
      <c r="L10" s="195">
        <f>IF('Calendario A'!L10="","",'Calendario A'!L10)</f>
        <v>53</v>
      </c>
      <c r="M10" s="196" t="inlineStr">
        <is>
          <t>SOLER Stefano [A]</t>
        </is>
      </c>
      <c r="N10" s="196" t="inlineStr">
        <is>
          <t>KRUGER Sofia [A]</t>
        </is>
      </c>
      <c r="O10" s="196" t="inlineStr">
        <is>
          <t>CAMPOS Miha [Aest]</t>
        </is>
      </c>
      <c r="P10" s="196" t="inlineStr">
        <is>
          <t>FUENTES Lukas</t>
        </is>
      </c>
      <c r="Q10" s="196" t="inlineStr">
        <is>
          <t>FOURNIER Lucia</t>
        </is>
      </c>
      <c r="R10" s="196" t="inlineStr">
        <is>
          <t>SOLER Stefano</t>
        </is>
      </c>
    </row>
    <row r="11" ht="15" customHeight="1">
      <c r="A11" s="141" t="n"/>
      <c r="B11" s="69" t="str">
        <f>IF('Calendario A'!B11="","",'Calendario A'!B11)</f>
        <v>PalaAnaconde, Via dello Sport 1, Anacondeopoli AA</v>
      </c>
      <c r="C11" s="9" t="n"/>
      <c r="D11" s="9" t="n"/>
      <c r="E11" s="9" t="n"/>
      <c r="F11" s="9" t="n"/>
      <c r="G11" s="9" t="n"/>
      <c r="H11" s="10" t="n"/>
      <c r="I11" s="62" t="str">
        <f>IF('Calendario A'!I11="","",'Calendario A'!I11)</f>
        <v>A01</v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>2</v>
      </c>
      <c r="B13" s="61" t="str">
        <f>IF('Calendario A'!B13="","",'Calendario A'!B13)</f>
        <v>Lupi Leali</v>
      </c>
      <c r="C13" s="62" t="str">
        <f>IF('Calendario A'!C13="","",'Calendario A'!C13)</f>
        <v>A09</v>
      </c>
      <c r="D13" s="61" t="str">
        <f>IF('Calendario A'!D13="","",'Calendario A'!D13)</f>
        <v>Bufali Belligeranti</v>
      </c>
      <c r="E13" s="62" t="str">
        <f>IF('Calendario A'!E13="","",'Calendario A'!E13)</f>
        <v>A02</v>
      </c>
      <c r="F13" s="63">
        <f>IF('Calendario A'!F13="","",'Calendario A'!F13)</f>
        <v>46313.458333333336</v>
      </c>
      <c r="G13" s="9" t="n"/>
      <c r="H13" s="9" t="n"/>
      <c r="I13" s="10" t="n"/>
      <c r="J13" s="195">
        <f>IF('Calendario A'!J13="","",'Calendario A'!J13)</f>
        <v>66</v>
      </c>
      <c r="K13" s="64" t="inlineStr">
        <is>
          <t>-</t>
        </is>
      </c>
      <c r="L13" s="195">
        <f>IF('Calendario A'!L13="","",'Calendario A'!L13)</f>
        <v>49</v>
      </c>
      <c r="M13" s="196" t="inlineStr">
        <is>
          <t>FOURNIER Tommaso [AA]</t>
        </is>
      </c>
      <c r="N13" s="196" t="inlineStr">
        <is>
          <t>LANGER Marta [A]</t>
        </is>
      </c>
      <c r="O13" s="196" t="inlineStr">
        <is>
          <t>KRUGER Sofia [A]</t>
        </is>
      </c>
      <c r="P13" s="196" t="inlineStr">
        <is>
          <t>GAUTHIER Filippo</t>
        </is>
      </c>
      <c r="Q13" s="196" t="inlineStr">
        <is>
          <t>SOLER Pablo</t>
        </is>
      </c>
      <c r="R13" s="196" t="inlineStr">
        <is>
          <t>ZUPAN Paula</t>
        </is>
      </c>
    </row>
    <row r="14" ht="15" customHeight="1">
      <c r="A14" s="141" t="n"/>
      <c r="B14" s="69" t="str">
        <f>IF('Calendario A'!B14="","",'Calendario A'!B14)</f>
        <v>PalaAnaconde, Via dello Sport 1, Anacondeopoli AA</v>
      </c>
      <c r="C14" s="9" t="n"/>
      <c r="D14" s="9" t="n"/>
      <c r="E14" s="9" t="n"/>
      <c r="F14" s="9" t="n"/>
      <c r="G14" s="9" t="n"/>
      <c r="H14" s="10" t="n"/>
      <c r="I14" s="62" t="str">
        <f>IF('Calendario A'!I14="","",'Calendario A'!I14)</f>
        <v>A01</v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>3</v>
      </c>
      <c r="B16" s="61" t="str">
        <f>IF('Calendario A'!B16="","",'Calendario A'!B16)</f>
        <v>Cobra Celeri</v>
      </c>
      <c r="C16" s="62" t="str">
        <f>IF('Calendario A'!C16="","",'Calendario A'!C16)</f>
        <v>A03</v>
      </c>
      <c r="D16" s="61" t="str">
        <f>IF('Calendario A'!D16="","",'Calendario A'!D16)</f>
        <v>Ibis Instancabili</v>
      </c>
      <c r="E16" s="62" t="str">
        <f>IF('Calendario A'!E16="","",'Calendario A'!E16)</f>
        <v>A08</v>
      </c>
      <c r="F16" s="63">
        <f>IF('Calendario A'!F16="","",'Calendario A'!F16)</f>
        <v>46313.604166666664</v>
      </c>
      <c r="G16" s="9" t="n"/>
      <c r="H16" s="9" t="n"/>
      <c r="I16" s="10" t="n"/>
      <c r="J16" s="195">
        <f>IF('Calendario A'!J16="","",'Calendario A'!J16)</f>
        <v>58</v>
      </c>
      <c r="K16" s="64" t="inlineStr">
        <is>
          <t>-</t>
        </is>
      </c>
      <c r="L16" s="195">
        <f>IF('Calendario A'!L16="","",'Calendario A'!L16)</f>
        <v>51</v>
      </c>
      <c r="M16" s="196" t="inlineStr">
        <is>
          <t>KRUGER Sofia [A]</t>
        </is>
      </c>
      <c r="N16" s="196" t="inlineStr">
        <is>
          <t>SOLER Stefano [A]</t>
        </is>
      </c>
      <c r="O16" s="196" t="inlineStr">
        <is>
          <t>SANTORI Sofia [AA]</t>
        </is>
      </c>
      <c r="P16" s="196" t="inlineStr">
        <is>
          <t>PELLEGRI Lea</t>
        </is>
      </c>
      <c r="Q16" s="196" t="inlineStr">
        <is>
          <t>LANGER Valerie</t>
        </is>
      </c>
      <c r="R16" s="196" t="inlineStr">
        <is>
          <t>GAUTHIER Diego</t>
        </is>
      </c>
    </row>
    <row r="17" ht="15" customHeight="1">
      <c r="A17" s="141" t="n"/>
      <c r="B17" s="69" t="str">
        <f>IF('Calendario A'!B17="","",'Calendario A'!B17)</f>
        <v>PalaAnaconde, Via dello Sport 1, Anacondeopoli AA</v>
      </c>
      <c r="C17" s="9" t="n"/>
      <c r="D17" s="9" t="n"/>
      <c r="E17" s="9" t="n"/>
      <c r="F17" s="9" t="n"/>
      <c r="G17" s="9" t="n"/>
      <c r="H17" s="10" t="n"/>
      <c r="I17" s="62" t="str">
        <f>IF('Calendario A'!I17="","",'Calendario A'!I17)</f>
        <v>A01</v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>4</v>
      </c>
      <c r="B19" s="61" t="str">
        <f>IF('Calendario A'!B19="","",'Calendario A'!B19)</f>
        <v>Gazzelle Gentili</v>
      </c>
      <c r="C19" s="62" t="str">
        <f>IF('Calendario A'!C19="","",'Calendario A'!C19)</f>
        <v>A07</v>
      </c>
      <c r="D19" s="61" t="str">
        <f>IF('Calendario A'!D19="","",'Calendario A'!D19)</f>
        <v>Dingo Docili</v>
      </c>
      <c r="E19" s="62" t="str">
        <f>IF('Calendario A'!E19="","",'Calendario A'!E19)</f>
        <v>A04</v>
      </c>
      <c r="F19" s="63">
        <f>IF('Calendario A'!F19="","",'Calendario A'!F19)</f>
        <v>46313.666666666664</v>
      </c>
      <c r="G19" s="9" t="n"/>
      <c r="H19" s="9" t="n"/>
      <c r="I19" s="10" t="n"/>
      <c r="J19" s="195">
        <f>IF('Calendario A'!J19="","",'Calendario A'!J19)</f>
        <v>46</v>
      </c>
      <c r="K19" s="64" t="inlineStr">
        <is>
          <t>-</t>
        </is>
      </c>
      <c r="L19" s="195">
        <f>IF('Calendario A'!L19="","",'Calendario A'!L19)</f>
        <v>70</v>
      </c>
      <c r="M19" s="196" t="inlineStr">
        <is>
          <t>MODIC Chiara [AA]</t>
        </is>
      </c>
      <c r="N19" s="196" t="inlineStr">
        <is>
          <t>SOLER Stefano [A]</t>
        </is>
      </c>
      <c r="O19" s="196" t="inlineStr">
        <is>
          <t>CARON Paolo [AA]</t>
        </is>
      </c>
      <c r="P19" s="196" t="inlineStr">
        <is>
          <t>ZUPAN Paula</t>
        </is>
      </c>
      <c r="Q19" s="196" t="inlineStr">
        <is>
          <t>ZUPAN Katrin</t>
        </is>
      </c>
      <c r="R19" s="196" t="inlineStr">
        <is>
          <t>VIDMAR Ilaria</t>
        </is>
      </c>
    </row>
    <row r="20" ht="15" customHeight="1">
      <c r="A20" s="141" t="n"/>
      <c r="B20" s="69" t="str">
        <f>IF('Calendario A'!B20="","",'Calendario A'!B20)</f>
        <v>PalaAnaconde, Via dello Sport 1, Anacondeopoli AA</v>
      </c>
      <c r="C20" s="9" t="n"/>
      <c r="D20" s="9" t="n"/>
      <c r="E20" s="9" t="n"/>
      <c r="F20" s="9" t="n"/>
      <c r="G20" s="9" t="n"/>
      <c r="H20" s="10" t="n"/>
      <c r="I20" s="62" t="str">
        <f>IF('Calendario A'!I20="","",'Calendario A'!I20)</f>
        <v>A01</v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>5</v>
      </c>
      <c r="B22" s="61" t="str">
        <f>IF('Calendario A'!B22="","",'Calendario A'!B22)</f>
        <v>Ermellini Eleganti</v>
      </c>
      <c r="C22" s="62" t="str">
        <f>IF('Calendario A'!C22="","",'Calendario A'!C22)</f>
        <v>A05</v>
      </c>
      <c r="D22" s="61" t="str">
        <f>IF('Calendario A'!D22="","",'Calendario A'!D22)</f>
        <v>Falchi Feroci</v>
      </c>
      <c r="E22" s="62" t="str">
        <f>IF('Calendario A'!E22="","",'Calendario A'!E22)</f>
        <v>A06</v>
      </c>
      <c r="F22" s="63">
        <f>IF('Calendario A'!F22="","",'Calendario A'!F22)</f>
        <v>46313.729166666664</v>
      </c>
      <c r="G22" s="9" t="n"/>
      <c r="H22" s="9" t="n"/>
      <c r="I22" s="10" t="n"/>
      <c r="J22" s="195">
        <f>IF('Calendario A'!J22="","",'Calendario A'!J22)</f>
        <v>41</v>
      </c>
      <c r="K22" s="64" t="inlineStr">
        <is>
          <t>-</t>
        </is>
      </c>
      <c r="L22" s="195">
        <f>IF('Calendario A'!L22="","",'Calendario A'!L22)</f>
        <v>65</v>
      </c>
      <c r="M22" s="196" t="inlineStr">
        <is>
          <t>NAVARRO Matteo [AA]</t>
        </is>
      </c>
      <c r="N22" s="196" t="inlineStr">
        <is>
          <t>AUBERT Filippo [AA]</t>
        </is>
      </c>
      <c r="O22" s="196" t="inlineStr">
        <is>
          <t>FOURNIER Tommaso [AA]</t>
        </is>
      </c>
      <c r="P22" s="196" t="inlineStr">
        <is>
          <t>MARCHIONI Irene</t>
        </is>
      </c>
      <c r="Q22" s="196" t="inlineStr">
        <is>
          <t>GAUTHIER Diego</t>
        </is>
      </c>
      <c r="R22" s="196" t="inlineStr">
        <is>
          <t>ZUPAN Paula</t>
        </is>
      </c>
    </row>
    <row r="23" ht="15" customHeight="1">
      <c r="A23" s="141" t="n"/>
      <c r="B23" s="69" t="str">
        <f>IF('Calendario A'!B23="","",'Calendario A'!B23)</f>
        <v>PalaAnaconde, Via dello Sport 1, Anacondeopoli AA</v>
      </c>
      <c r="C23" s="9" t="n"/>
      <c r="D23" s="9" t="n"/>
      <c r="E23" s="9" t="n"/>
      <c r="F23" s="9" t="n"/>
      <c r="G23" s="9" t="n"/>
      <c r="H23" s="10" t="n"/>
      <c r="I23" s="62" t="str">
        <f>IF('Calendario A'!I23="","",'Calendario A'!I23)</f>
        <v>A01</v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5" ht="20" customHeight="1">
      <c r="A25" s="55" t="str">
        <f>IF('Calendario A'!A25="","",'Calendario A'!A25)</f>
        <v>2A</v>
      </c>
      <c r="B25" s="56" t="str">
        <f>IF('Calendario A'!B25="","",'Calendario A'!B25)</f>
        <v>GIORNATA II - GIRONE GOLD</v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  <c r="M25" s="193" t="inlineStr">
        <is>
          <t>ARBITRI</t>
        </is>
      </c>
      <c r="N25" s="9" t="n"/>
      <c r="O25" s="10" t="n"/>
      <c r="P25" s="193" t="inlineStr">
        <is>
          <t>UFFICIALI DI CAMPO</t>
        </is>
      </c>
      <c r="Q25" s="9" t="n"/>
      <c r="R25" s="10" t="n"/>
    </row>
    <row r="26" ht="14" customHeight="1">
      <c r="A26" s="58" t="inlineStr">
        <is>
          <t>Gara N.</t>
        </is>
      </c>
      <c r="B26" s="58" t="inlineStr">
        <is>
          <t>Squadra A</t>
        </is>
      </c>
      <c r="C26" s="10" t="n"/>
      <c r="D26" s="58" t="inlineStr">
        <is>
          <t>Squadra B</t>
        </is>
      </c>
      <c r="E26" s="10" t="n"/>
      <c r="F26" s="58" t="inlineStr">
        <is>
          <t>Giorno</t>
        </is>
      </c>
      <c r="G26" s="58" t="inlineStr">
        <is>
          <t>Data</t>
        </is>
      </c>
      <c r="H26" s="58" t="inlineStr">
        <is>
          <t>Ora</t>
        </is>
      </c>
      <c r="I26" s="10" t="n"/>
      <c r="J26" s="58" t="inlineStr">
        <is>
          <t>Risultato</t>
        </is>
      </c>
      <c r="K26" s="9" t="n"/>
      <c r="L26" s="10" t="n"/>
      <c r="M26" s="194" t="inlineStr">
        <is>
          <t>1o Arbitro</t>
        </is>
      </c>
      <c r="N26" s="194" t="inlineStr">
        <is>
          <t>2o Arbitro</t>
        </is>
      </c>
      <c r="O26" s="194" t="inlineStr">
        <is>
          <t>3o Arbitro/Tirocinante</t>
        </is>
      </c>
      <c r="P26" s="194" t="inlineStr">
        <is>
          <t>Referto</t>
        </is>
      </c>
      <c r="Q26" s="194" t="inlineStr">
        <is>
          <t>Cronometro</t>
        </is>
      </c>
      <c r="R26" s="194" t="inlineStr">
        <is>
          <t>Foglio Tiri</t>
        </is>
      </c>
    </row>
    <row r="27" ht="22" customHeight="1">
      <c r="A27" s="60">
        <f>IF('Calendario A'!A27="","",'Calendario A'!A27)</f>
        <v>6</v>
      </c>
      <c r="B27" s="61" t="str">
        <f>IF('Calendario A'!B27="","",'Calendario A'!B27)</f>
        <v>Cobra Celeri</v>
      </c>
      <c r="C27" s="62" t="str">
        <f>IF('Calendario A'!C27="","",'Calendario A'!C27)</f>
        <v>A03</v>
      </c>
      <c r="D27" s="61" t="str">
        <f>IF('Calendario A'!D27="","",'Calendario A'!D27)</f>
        <v>Anaconde Audaci</v>
      </c>
      <c r="E27" s="62" t="str">
        <f>IF('Calendario A'!E27="","",'Calendario A'!E27)</f>
        <v>A01</v>
      </c>
      <c r="F27" s="63">
        <f>IF('Calendario A'!F27="","",'Calendario A'!F27)</f>
        <v>46320.395833333336</v>
      </c>
      <c r="G27" s="9" t="n"/>
      <c r="H27" s="9" t="n"/>
      <c r="I27" s="10" t="n"/>
      <c r="J27" s="195">
        <f>IF('Calendario A'!J27="","",'Calendario A'!J27)</f>
        <v>37</v>
      </c>
      <c r="K27" s="64" t="inlineStr">
        <is>
          <t>-</t>
        </is>
      </c>
      <c r="L27" s="195">
        <f>IF('Calendario A'!L27="","",'Calendario A'!L27)</f>
        <v>47</v>
      </c>
      <c r="M27" s="196" t="inlineStr">
        <is>
          <t>MODIC Katrin [A]</t>
        </is>
      </c>
      <c r="N27" s="196" t="inlineStr">
        <is>
          <t>ROMERO Elena [A]</t>
        </is>
      </c>
      <c r="O27" s="196" t="inlineStr">
        <is>
          <t>HORVAT Lea [A]</t>
        </is>
      </c>
      <c r="P27" s="196" t="inlineStr">
        <is>
          <t>VIDMAR Ilaria</t>
        </is>
      </c>
      <c r="Q27" s="196" t="inlineStr">
        <is>
          <t>VOGEL Irene</t>
        </is>
      </c>
      <c r="R27" s="196" t="inlineStr">
        <is>
          <t>GAUTHIER Diego</t>
        </is>
      </c>
    </row>
    <row r="28" ht="15" customHeight="1">
      <c r="A28" s="141" t="n"/>
      <c r="B28" s="69" t="str">
        <f>IF('Calendario A'!B28="","",'Calendario A'!B28)</f>
        <v>PalaCobra, Via dello Sport 3, Cobraopoli CI</v>
      </c>
      <c r="C28" s="9" t="n"/>
      <c r="D28" s="9" t="n"/>
      <c r="E28" s="9" t="n"/>
      <c r="F28" s="9" t="n"/>
      <c r="G28" s="9" t="n"/>
      <c r="H28" s="10" t="n"/>
      <c r="I28" s="62" t="str">
        <f>IF('Calendario A'!I28="","",'Calendario A'!I28)</f>
        <v>A03</v>
      </c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</row>
    <row r="29" ht="14" customHeight="1">
      <c r="A29" s="58" t="inlineStr">
        <is>
          <t>Gara N.</t>
        </is>
      </c>
      <c r="B29" s="58" t="inlineStr">
        <is>
          <t>Squadra A</t>
        </is>
      </c>
      <c r="C29" s="10" t="n"/>
      <c r="D29" s="58" t="inlineStr">
        <is>
          <t>Squadra B</t>
        </is>
      </c>
      <c r="E29" s="10" t="n"/>
      <c r="F29" s="58" t="inlineStr">
        <is>
          <t>Giorno</t>
        </is>
      </c>
      <c r="G29" s="58" t="inlineStr">
        <is>
          <t>Data</t>
        </is>
      </c>
      <c r="H29" s="58" t="inlineStr">
        <is>
          <t>Ora</t>
        </is>
      </c>
      <c r="I29" s="10" t="n"/>
      <c r="J29" s="58" t="inlineStr">
        <is>
          <t>Risultato</t>
        </is>
      </c>
      <c r="K29" s="9" t="n"/>
      <c r="L29" s="10" t="n"/>
      <c r="M29" s="194" t="inlineStr">
        <is>
          <t>1o Arbitro</t>
        </is>
      </c>
      <c r="N29" s="194" t="inlineStr">
        <is>
          <t>2o Arbitro</t>
        </is>
      </c>
      <c r="O29" s="194" t="inlineStr">
        <is>
          <t>3o Arbitro/Tirocinante</t>
        </is>
      </c>
      <c r="P29" s="194" t="inlineStr">
        <is>
          <t>Referto</t>
        </is>
      </c>
      <c r="Q29" s="194" t="inlineStr">
        <is>
          <t>Cronometro</t>
        </is>
      </c>
      <c r="R29" s="194" t="inlineStr">
        <is>
          <t>Foglio Tiri</t>
        </is>
      </c>
    </row>
    <row r="30" ht="22" customHeight="1">
      <c r="A30" s="60">
        <f>IF('Calendario A'!A30="","",'Calendario A'!A30)</f>
        <v>7</v>
      </c>
      <c r="B30" s="61" t="str">
        <f>IF('Calendario A'!B30="","",'Calendario A'!B30)</f>
        <v>Marmotte Mobili</v>
      </c>
      <c r="C30" s="62" t="str">
        <f>IF('Calendario A'!C30="","",'Calendario A'!C30)</f>
        <v>A10</v>
      </c>
      <c r="D30" s="61" t="str">
        <f>IF('Calendario A'!D30="","",'Calendario A'!D30)</f>
        <v>Bufali Belligeranti</v>
      </c>
      <c r="E30" s="62" t="str">
        <f>IF('Calendario A'!E30="","",'Calendario A'!E30)</f>
        <v>A02</v>
      </c>
      <c r="F30" s="63">
        <f>IF('Calendario A'!F30="","",'Calendario A'!F30)</f>
        <v>46320.458333333336</v>
      </c>
      <c r="G30" s="9" t="n"/>
      <c r="H30" s="9" t="n"/>
      <c r="I30" s="10" t="n"/>
      <c r="J30" s="195">
        <f>IF('Calendario A'!J30="","",'Calendario A'!J30)</f>
        <v>50</v>
      </c>
      <c r="K30" s="64" t="inlineStr">
        <is>
          <t>-</t>
        </is>
      </c>
      <c r="L30" s="195">
        <f>IF('Calendario A'!L30="","",'Calendario A'!L30)</f>
        <v>40</v>
      </c>
      <c r="M30" s="196" t="inlineStr">
        <is>
          <t>SOLER Stefano [A]</t>
        </is>
      </c>
      <c r="N30" s="196" t="inlineStr">
        <is>
          <t>SCHAFER Giulia [AA]</t>
        </is>
      </c>
      <c r="O30" s="196" t="inlineStr">
        <is>
          <t>PRADO Giulia [AAt]</t>
        </is>
      </c>
      <c r="P30" s="196" t="inlineStr">
        <is>
          <t>GAUTHIER Filippo</t>
        </is>
      </c>
      <c r="Q30" s="196" t="inlineStr">
        <is>
          <t>PELLEGRI Lea</t>
        </is>
      </c>
      <c r="R30" s="196" t="inlineStr">
        <is>
          <t>BLANCHET Matteo</t>
        </is>
      </c>
    </row>
    <row r="31" ht="15" customHeight="1">
      <c r="A31" s="141" t="n"/>
      <c r="B31" s="69" t="str">
        <f>IF('Calendario A'!B31="","",'Calendario A'!B31)</f>
        <v>PalaCobra, Via dello Sport 3, Cobraopoli CI</v>
      </c>
      <c r="C31" s="9" t="n"/>
      <c r="D31" s="9" t="n"/>
      <c r="E31" s="9" t="n"/>
      <c r="F31" s="9" t="n"/>
      <c r="G31" s="9" t="n"/>
      <c r="H31" s="10" t="n"/>
      <c r="I31" s="62" t="str">
        <f>IF('Calendario A'!I31="","",'Calendario A'!I31)</f>
        <v>A03</v>
      </c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</row>
    <row r="32" ht="14" customHeight="1">
      <c r="A32" s="58" t="inlineStr">
        <is>
          <t>Gara N.</t>
        </is>
      </c>
      <c r="B32" s="58" t="inlineStr">
        <is>
          <t>Squadra A</t>
        </is>
      </c>
      <c r="C32" s="10" t="n"/>
      <c r="D32" s="58" t="inlineStr">
        <is>
          <t>Squadra B</t>
        </is>
      </c>
      <c r="E32" s="10" t="n"/>
      <c r="F32" s="58" t="inlineStr">
        <is>
          <t>Giorno</t>
        </is>
      </c>
      <c r="G32" s="58" t="inlineStr">
        <is>
          <t>Data</t>
        </is>
      </c>
      <c r="H32" s="58" t="inlineStr">
        <is>
          <t>Ora</t>
        </is>
      </c>
      <c r="I32" s="10" t="n"/>
      <c r="J32" s="58" t="inlineStr">
        <is>
          <t>Risultato</t>
        </is>
      </c>
      <c r="K32" s="9" t="n"/>
      <c r="L32" s="10" t="n"/>
      <c r="M32" s="194" t="inlineStr">
        <is>
          <t>1o Arbitro</t>
        </is>
      </c>
      <c r="N32" s="194" t="inlineStr">
        <is>
          <t>2o Arbitro</t>
        </is>
      </c>
      <c r="O32" s="194" t="inlineStr">
        <is>
          <t>3o Arbitro/Tirocinante</t>
        </is>
      </c>
      <c r="P32" s="194" t="inlineStr">
        <is>
          <t>Referto</t>
        </is>
      </c>
      <c r="Q32" s="194" t="inlineStr">
        <is>
          <t>Cronometro</t>
        </is>
      </c>
      <c r="R32" s="194" t="inlineStr">
        <is>
          <t>Foglio Tiri</t>
        </is>
      </c>
    </row>
    <row r="33" ht="22" customHeight="1">
      <c r="A33" s="60">
        <f>IF('Calendario A'!A33="","",'Calendario A'!A33)</f>
        <v>8</v>
      </c>
      <c r="B33" s="61" t="str">
        <f>IF('Calendario A'!B33="","",'Calendario A'!B33)</f>
        <v>Lupi Leali</v>
      </c>
      <c r="C33" s="62" t="str">
        <f>IF('Calendario A'!C33="","",'Calendario A'!C33)</f>
        <v>A09</v>
      </c>
      <c r="D33" s="61" t="str">
        <f>IF('Calendario A'!D33="","",'Calendario A'!D33)</f>
        <v>Dingo Docili</v>
      </c>
      <c r="E33" s="62" t="str">
        <f>IF('Calendario A'!E33="","",'Calendario A'!E33)</f>
        <v>A04</v>
      </c>
      <c r="F33" s="63">
        <f>IF('Calendario A'!F33="","",'Calendario A'!F33)</f>
        <v>46320.604166666664</v>
      </c>
      <c r="G33" s="9" t="n"/>
      <c r="H33" s="9" t="n"/>
      <c r="I33" s="10" t="n"/>
      <c r="J33" s="195">
        <f>IF('Calendario A'!J33="","",'Calendario A'!J33)</f>
        <v>64</v>
      </c>
      <c r="K33" s="64" t="inlineStr">
        <is>
          <t>-</t>
        </is>
      </c>
      <c r="L33" s="195">
        <f>IF('Calendario A'!L33="","",'Calendario A'!L33)</f>
        <v>76</v>
      </c>
      <c r="M33" s="196" t="inlineStr">
        <is>
          <t>MODIC Chiara [AA]</t>
        </is>
      </c>
      <c r="N33" s="196" t="inlineStr">
        <is>
          <t>BRANDT Stefano [AAt]</t>
        </is>
      </c>
      <c r="O33" s="196" t="inlineStr">
        <is>
          <t>SOLER Stefano [A]</t>
        </is>
      </c>
      <c r="P33" s="196" t="inlineStr">
        <is>
          <t>GAUTHIER Filippo</t>
        </is>
      </c>
      <c r="Q33" s="196" t="inlineStr">
        <is>
          <t>WEBER Ilaria</t>
        </is>
      </c>
      <c r="R33" s="196" t="inlineStr">
        <is>
          <t>ORTEGA Alenka</t>
        </is>
      </c>
    </row>
    <row r="34" ht="15" customHeight="1">
      <c r="A34" s="141" t="n"/>
      <c r="B34" s="69" t="str">
        <f>IF('Calendario A'!B34="","",'Calendario A'!B34)</f>
        <v>PalaCobra, Via dello Sport 3, Cobraopoli CI</v>
      </c>
      <c r="C34" s="9" t="n"/>
      <c r="D34" s="9" t="n"/>
      <c r="E34" s="9" t="n"/>
      <c r="F34" s="9" t="n"/>
      <c r="G34" s="9" t="n"/>
      <c r="H34" s="10" t="n"/>
      <c r="I34" s="62" t="str">
        <f>IF('Calendario A'!I34="","",'Calendario A'!I34)</f>
        <v>A03</v>
      </c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</row>
    <row r="35" ht="14" customHeight="1">
      <c r="A35" s="58" t="inlineStr">
        <is>
          <t>Gara N.</t>
        </is>
      </c>
      <c r="B35" s="58" t="inlineStr">
        <is>
          <t>Squadra A</t>
        </is>
      </c>
      <c r="C35" s="10" t="n"/>
      <c r="D35" s="58" t="inlineStr">
        <is>
          <t>Squadra B</t>
        </is>
      </c>
      <c r="E35" s="10" t="n"/>
      <c r="F35" s="58" t="inlineStr">
        <is>
          <t>Giorno</t>
        </is>
      </c>
      <c r="G35" s="58" t="inlineStr">
        <is>
          <t>Data</t>
        </is>
      </c>
      <c r="H35" s="58" t="inlineStr">
        <is>
          <t>Ora</t>
        </is>
      </c>
      <c r="I35" s="10" t="n"/>
      <c r="J35" s="58" t="inlineStr">
        <is>
          <t>Risultato</t>
        </is>
      </c>
      <c r="K35" s="9" t="n"/>
      <c r="L35" s="10" t="n"/>
      <c r="M35" s="194" t="inlineStr">
        <is>
          <t>1o Arbitro</t>
        </is>
      </c>
      <c r="N35" s="194" t="inlineStr">
        <is>
          <t>2o Arbitro</t>
        </is>
      </c>
      <c r="O35" s="194" t="inlineStr">
        <is>
          <t>3o Arbitro/Tirocinante</t>
        </is>
      </c>
      <c r="P35" s="194" t="inlineStr">
        <is>
          <t>Referto</t>
        </is>
      </c>
      <c r="Q35" s="194" t="inlineStr">
        <is>
          <t>Cronometro</t>
        </is>
      </c>
      <c r="R35" s="194" t="inlineStr">
        <is>
          <t>Foglio Tiri</t>
        </is>
      </c>
    </row>
    <row r="36" ht="22" customHeight="1">
      <c r="A36" s="60">
        <f>IF('Calendario A'!A36="","",'Calendario A'!A36)</f>
        <v>9</v>
      </c>
      <c r="B36" s="61" t="str">
        <f>IF('Calendario A'!B36="","",'Calendario A'!B36)</f>
        <v>Ermellini Eleganti</v>
      </c>
      <c r="C36" s="62" t="str">
        <f>IF('Calendario A'!C36="","",'Calendario A'!C36)</f>
        <v>A05</v>
      </c>
      <c r="D36" s="61" t="str">
        <f>IF('Calendario A'!D36="","",'Calendario A'!D36)</f>
        <v>Ibis Instancabili</v>
      </c>
      <c r="E36" s="62" t="str">
        <f>IF('Calendario A'!E36="","",'Calendario A'!E36)</f>
        <v>A08</v>
      </c>
      <c r="F36" s="63">
        <f>IF('Calendario A'!F36="","",'Calendario A'!F36)</f>
        <v>46320.666666666664</v>
      </c>
      <c r="G36" s="9" t="n"/>
      <c r="H36" s="9" t="n"/>
      <c r="I36" s="10" t="n"/>
      <c r="J36" s="195">
        <f>IF('Calendario A'!J36="","",'Calendario A'!J36)</f>
        <v>59</v>
      </c>
      <c r="K36" s="64" t="inlineStr">
        <is>
          <t>-</t>
        </is>
      </c>
      <c r="L36" s="195">
        <f>IF('Calendario A'!L36="","",'Calendario A'!L36)</f>
        <v>50</v>
      </c>
      <c r="M36" s="196" t="inlineStr">
        <is>
          <t>BRANDT Stefano [AAt]</t>
        </is>
      </c>
      <c r="N36" s="196" t="inlineStr">
        <is>
          <t>FOURNIER Tommaso [AA]</t>
        </is>
      </c>
      <c r="O36" s="196" t="inlineStr">
        <is>
          <t>FUENTES Matteo [Aest]</t>
        </is>
      </c>
      <c r="P36" s="196" t="inlineStr">
        <is>
          <t>BLANCHET Luca</t>
        </is>
      </c>
      <c r="Q36" s="196" t="inlineStr">
        <is>
          <t>HORVAT Matteo</t>
        </is>
      </c>
      <c r="R36" s="196" t="inlineStr">
        <is>
          <t>SOLER Stefano</t>
        </is>
      </c>
    </row>
    <row r="37" ht="15" customHeight="1">
      <c r="A37" s="141" t="n"/>
      <c r="B37" s="69" t="str">
        <f>IF('Calendario A'!B37="","",'Calendario A'!B37)</f>
        <v>PalaCobra, Via dello Sport 3, Cobraopoli CI</v>
      </c>
      <c r="C37" s="9" t="n"/>
      <c r="D37" s="9" t="n"/>
      <c r="E37" s="9" t="n"/>
      <c r="F37" s="9" t="n"/>
      <c r="G37" s="9" t="n"/>
      <c r="H37" s="10" t="n"/>
      <c r="I37" s="62" t="str">
        <f>IF('Calendario A'!I37="","",'Calendario A'!I37)</f>
        <v>A03</v>
      </c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</row>
    <row r="38" ht="14" customHeight="1">
      <c r="A38" s="58" t="inlineStr">
        <is>
          <t>Gara N.</t>
        </is>
      </c>
      <c r="B38" s="58" t="inlineStr">
        <is>
          <t>Squadra A</t>
        </is>
      </c>
      <c r="C38" s="10" t="n"/>
      <c r="D38" s="58" t="inlineStr">
        <is>
          <t>Squadra B</t>
        </is>
      </c>
      <c r="E38" s="10" t="n"/>
      <c r="F38" s="58" t="inlineStr">
        <is>
          <t>Giorno</t>
        </is>
      </c>
      <c r="G38" s="58" t="inlineStr">
        <is>
          <t>Data</t>
        </is>
      </c>
      <c r="H38" s="58" t="inlineStr">
        <is>
          <t>Ora</t>
        </is>
      </c>
      <c r="I38" s="10" t="n"/>
      <c r="J38" s="58" t="inlineStr">
        <is>
          <t>Risultato</t>
        </is>
      </c>
      <c r="K38" s="9" t="n"/>
      <c r="L38" s="10" t="n"/>
      <c r="M38" s="194" t="inlineStr">
        <is>
          <t>1o Arbitro</t>
        </is>
      </c>
      <c r="N38" s="194" t="inlineStr">
        <is>
          <t>2o Arbitro</t>
        </is>
      </c>
      <c r="O38" s="194" t="inlineStr">
        <is>
          <t>3o Arbitro/Tirocinante</t>
        </is>
      </c>
      <c r="P38" s="194" t="inlineStr">
        <is>
          <t>Referto</t>
        </is>
      </c>
      <c r="Q38" s="194" t="inlineStr">
        <is>
          <t>Cronometro</t>
        </is>
      </c>
      <c r="R38" s="194" t="inlineStr">
        <is>
          <t>Foglio Tiri</t>
        </is>
      </c>
    </row>
    <row r="39" ht="22" customHeight="1">
      <c r="A39" s="60">
        <f>IF('Calendario A'!A39="","",'Calendario A'!A39)</f>
        <v>10</v>
      </c>
      <c r="B39" s="61" t="str">
        <f>IF('Calendario A'!B39="","",'Calendario A'!B39)</f>
        <v>Gazzelle Gentili</v>
      </c>
      <c r="C39" s="62" t="str">
        <f>IF('Calendario A'!C39="","",'Calendario A'!C39)</f>
        <v>A07</v>
      </c>
      <c r="D39" s="61" t="str">
        <f>IF('Calendario A'!D39="","",'Calendario A'!D39)</f>
        <v>Falchi Feroci</v>
      </c>
      <c r="E39" s="62" t="str">
        <f>IF('Calendario A'!E39="","",'Calendario A'!E39)</f>
        <v>A06</v>
      </c>
      <c r="F39" s="63">
        <f>IF('Calendario A'!F39="","",'Calendario A'!F39)</f>
        <v>46320.729166666664</v>
      </c>
      <c r="G39" s="9" t="n"/>
      <c r="H39" s="9" t="n"/>
      <c r="I39" s="10" t="n"/>
      <c r="J39" s="195">
        <f>IF('Calendario A'!J39="","",'Calendario A'!J39)</f>
        <v>69</v>
      </c>
      <c r="K39" s="64" t="inlineStr">
        <is>
          <t>-</t>
        </is>
      </c>
      <c r="L39" s="195">
        <f>IF('Calendario A'!L39="","",'Calendario A'!L39)</f>
        <v>73</v>
      </c>
      <c r="M39" s="196" t="inlineStr">
        <is>
          <t>ENGEL Gaelle [AAt]</t>
        </is>
      </c>
      <c r="N39" s="196" t="inlineStr">
        <is>
          <t>LANGER Marta [A]</t>
        </is>
      </c>
      <c r="O39" s="196" t="inlineStr">
        <is>
          <t>KELLER Andrea [Aest]</t>
        </is>
      </c>
      <c r="P39" s="196" t="inlineStr">
        <is>
          <t>LANGER Valerie</t>
        </is>
      </c>
      <c r="Q39" s="196" t="inlineStr">
        <is>
          <t>FERRANTE Andrea</t>
        </is>
      </c>
      <c r="R39" s="196" t="inlineStr">
        <is>
          <t>GAUTHIER Andrea</t>
        </is>
      </c>
    </row>
    <row r="40" ht="15" customHeight="1">
      <c r="A40" s="141" t="n"/>
      <c r="B40" s="69" t="str">
        <f>IF('Calendario A'!B40="","",'Calendario A'!B40)</f>
        <v>PalaCobra, Via dello Sport 3, Cobraopoli CI</v>
      </c>
      <c r="C40" s="9" t="n"/>
      <c r="D40" s="9" t="n"/>
      <c r="E40" s="9" t="n"/>
      <c r="F40" s="9" t="n"/>
      <c r="G40" s="9" t="n"/>
      <c r="H40" s="10" t="n"/>
      <c r="I40" s="62" t="str">
        <f>IF('Calendario A'!I40="","",'Calendario A'!I40)</f>
        <v>A03</v>
      </c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</row>
    <row r="42" ht="20" customHeight="1">
      <c r="A42" s="55" t="str">
        <f>IF('Calendario A'!A42="","",'Calendario A'!A42)</f>
        <v>3A</v>
      </c>
      <c r="B42" s="56" t="str">
        <f>IF('Calendario A'!B42="","",'Calendario A'!B42)</f>
        <v>GIORNATA III - GIRONE GOLD</v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  <c r="M42" s="193" t="inlineStr">
        <is>
          <t>ARBITRI</t>
        </is>
      </c>
      <c r="N42" s="9" t="n"/>
      <c r="O42" s="10" t="n"/>
      <c r="P42" s="193" t="inlineStr">
        <is>
          <t>UFFICIALI DI CAMPO</t>
        </is>
      </c>
      <c r="Q42" s="9" t="n"/>
      <c r="R42" s="10" t="n"/>
    </row>
    <row r="43" ht="14" customHeight="1">
      <c r="A43" s="58" t="inlineStr">
        <is>
          <t>Gara N.</t>
        </is>
      </c>
      <c r="B43" s="58" t="inlineStr">
        <is>
          <t>Squadra A</t>
        </is>
      </c>
      <c r="C43" s="10" t="n"/>
      <c r="D43" s="58" t="inlineStr">
        <is>
          <t>Squadra B</t>
        </is>
      </c>
      <c r="E43" s="10" t="n"/>
      <c r="F43" s="58" t="inlineStr">
        <is>
          <t>Giorno</t>
        </is>
      </c>
      <c r="G43" s="58" t="inlineStr">
        <is>
          <t>Data</t>
        </is>
      </c>
      <c r="H43" s="58" t="inlineStr">
        <is>
          <t>Ora</t>
        </is>
      </c>
      <c r="I43" s="10" t="n"/>
      <c r="J43" s="58" t="inlineStr">
        <is>
          <t>Risultato</t>
        </is>
      </c>
      <c r="K43" s="9" t="n"/>
      <c r="L43" s="10" t="n"/>
      <c r="M43" s="194" t="inlineStr">
        <is>
          <t>1o Arbitro</t>
        </is>
      </c>
      <c r="N43" s="194" t="inlineStr">
        <is>
          <t>2o Arbitro</t>
        </is>
      </c>
      <c r="O43" s="194" t="inlineStr">
        <is>
          <t>3o Arbitro/Tirocinante</t>
        </is>
      </c>
      <c r="P43" s="194" t="inlineStr">
        <is>
          <t>Referto</t>
        </is>
      </c>
      <c r="Q43" s="194" t="inlineStr">
        <is>
          <t>Cronometro</t>
        </is>
      </c>
      <c r="R43" s="194" t="inlineStr">
        <is>
          <t>Foglio Tiri</t>
        </is>
      </c>
    </row>
    <row r="44" ht="22" customHeight="1">
      <c r="A44" s="60">
        <f>IF('Calendario A'!A44="","",'Calendario A'!A44)</f>
        <v>11</v>
      </c>
      <c r="B44" s="61" t="str">
        <f>IF('Calendario A'!B44="","",'Calendario A'!B44)</f>
        <v>Ermellini Eleganti</v>
      </c>
      <c r="C44" s="62" t="str">
        <f>IF('Calendario A'!C44="","",'Calendario A'!C44)</f>
        <v>A05</v>
      </c>
      <c r="D44" s="61" t="str">
        <f>IF('Calendario A'!D44="","",'Calendario A'!D44)</f>
        <v>Anaconde Audaci</v>
      </c>
      <c r="E44" s="62" t="str">
        <f>IF('Calendario A'!E44="","",'Calendario A'!E44)</f>
        <v>A01</v>
      </c>
      <c r="F44" s="63">
        <f>IF('Calendario A'!F44="","",'Calendario A'!F44)</f>
        <v>46327.395833333336</v>
      </c>
      <c r="G44" s="9" t="n"/>
      <c r="H44" s="9" t="n"/>
      <c r="I44" s="10" t="n"/>
      <c r="J44" s="195">
        <f>IF('Calendario A'!J44="","",'Calendario A'!J44)</f>
        <v>59</v>
      </c>
      <c r="K44" s="64" t="inlineStr">
        <is>
          <t>-</t>
        </is>
      </c>
      <c r="L44" s="195">
        <f>IF('Calendario A'!L44="","",'Calendario A'!L44)</f>
        <v>70</v>
      </c>
      <c r="M44" s="196" t="inlineStr">
        <is>
          <t>GALLINI Valerie [AA]</t>
        </is>
      </c>
      <c r="N44" s="196" t="inlineStr">
        <is>
          <t>HORVAT Lea [A]</t>
        </is>
      </c>
      <c r="O44" s="196" t="inlineStr">
        <is>
          <t>CAMPOS Miha [Aest]</t>
        </is>
      </c>
      <c r="P44" s="196" t="inlineStr">
        <is>
          <t>LANGER Valerie</t>
        </is>
      </c>
      <c r="Q44" s="196" t="inlineStr">
        <is>
          <t>GAUTHIER Filippo</t>
        </is>
      </c>
      <c r="R44" s="196" t="inlineStr">
        <is>
          <t>VOGEL Irene</t>
        </is>
      </c>
    </row>
    <row r="45" ht="15" customHeight="1">
      <c r="A45" s="141" t="n"/>
      <c r="B45" s="69" t="str">
        <f>IF('Calendario A'!B45="","",'Calendario A'!B45)</f>
        <v>PalaErmellini, Via dello Sport 5, Ermelliniopoli EU</v>
      </c>
      <c r="C45" s="9" t="n"/>
      <c r="D45" s="9" t="n"/>
      <c r="E45" s="9" t="n"/>
      <c r="F45" s="9" t="n"/>
      <c r="G45" s="9" t="n"/>
      <c r="H45" s="10" t="n"/>
      <c r="I45" s="62" t="str">
        <f>IF('Calendario A'!I45="","",'Calendario A'!I45)</f>
        <v>A05</v>
      </c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</row>
    <row r="46" ht="14" customHeight="1">
      <c r="A46" s="58" t="inlineStr">
        <is>
          <t>Gara N.</t>
        </is>
      </c>
      <c r="B46" s="58" t="inlineStr">
        <is>
          <t>Squadra A</t>
        </is>
      </c>
      <c r="C46" s="10" t="n"/>
      <c r="D46" s="58" t="inlineStr">
        <is>
          <t>Squadra B</t>
        </is>
      </c>
      <c r="E46" s="10" t="n"/>
      <c r="F46" s="58" t="inlineStr">
        <is>
          <t>Giorno</t>
        </is>
      </c>
      <c r="G46" s="58" t="inlineStr">
        <is>
          <t>Data</t>
        </is>
      </c>
      <c r="H46" s="58" t="inlineStr">
        <is>
          <t>Ora</t>
        </is>
      </c>
      <c r="I46" s="10" t="n"/>
      <c r="J46" s="58" t="inlineStr">
        <is>
          <t>Risultato</t>
        </is>
      </c>
      <c r="K46" s="9" t="n"/>
      <c r="L46" s="10" t="n"/>
      <c r="M46" s="194" t="inlineStr">
        <is>
          <t>1o Arbitro</t>
        </is>
      </c>
      <c r="N46" s="194" t="inlineStr">
        <is>
          <t>2o Arbitro</t>
        </is>
      </c>
      <c r="O46" s="194" t="inlineStr">
        <is>
          <t>3o Arbitro/Tirocinante</t>
        </is>
      </c>
      <c r="P46" s="194" t="inlineStr">
        <is>
          <t>Referto</t>
        </is>
      </c>
      <c r="Q46" s="194" t="inlineStr">
        <is>
          <t>Cronometro</t>
        </is>
      </c>
      <c r="R46" s="194" t="inlineStr">
        <is>
          <t>Foglio Tiri</t>
        </is>
      </c>
    </row>
    <row r="47" ht="22" customHeight="1">
      <c r="A47" s="60">
        <f>IF('Calendario A'!A47="","",'Calendario A'!A47)</f>
        <v>12</v>
      </c>
      <c r="B47" s="61" t="str">
        <f>IF('Calendario A'!B47="","",'Calendario A'!B47)</f>
        <v>Cobra Celeri</v>
      </c>
      <c r="C47" s="62" t="str">
        <f>IF('Calendario A'!C47="","",'Calendario A'!C47)</f>
        <v>A03</v>
      </c>
      <c r="D47" s="61" t="str">
        <f>IF('Calendario A'!D47="","",'Calendario A'!D47)</f>
        <v>Marmotte Mobili</v>
      </c>
      <c r="E47" s="62" t="str">
        <f>IF('Calendario A'!E47="","",'Calendario A'!E47)</f>
        <v>A10</v>
      </c>
      <c r="F47" s="63">
        <f>IF('Calendario A'!F47="","",'Calendario A'!F47)</f>
        <v>46327.458333333336</v>
      </c>
      <c r="G47" s="9" t="n"/>
      <c r="H47" s="9" t="n"/>
      <c r="I47" s="10" t="n"/>
      <c r="J47" s="195">
        <f>IF('Calendario A'!J47="","",'Calendario A'!J47)</f>
        <v>78</v>
      </c>
      <c r="K47" s="64" t="inlineStr">
        <is>
          <t>-</t>
        </is>
      </c>
      <c r="L47" s="195">
        <f>IF('Calendario A'!L47="","",'Calendario A'!L47)</f>
        <v>68</v>
      </c>
      <c r="M47" s="196" t="inlineStr">
        <is>
          <t>ROMERO Elena [A]</t>
        </is>
      </c>
      <c r="N47" s="196" t="inlineStr">
        <is>
          <t>SOLER Stefano [A]</t>
        </is>
      </c>
      <c r="O47" s="196" t="inlineStr">
        <is>
          <t>KELLER Andrea [Aest]</t>
        </is>
      </c>
      <c r="P47" s="196" t="inlineStr">
        <is>
          <t>VIDMAR Ilaria</t>
        </is>
      </c>
      <c r="Q47" s="196" t="inlineStr">
        <is>
          <t>ZUPAN Paula</t>
        </is>
      </c>
      <c r="R47" s="196" t="inlineStr">
        <is>
          <t>BLANCO Elena</t>
        </is>
      </c>
    </row>
    <row r="48" ht="15" customHeight="1">
      <c r="A48" s="141" t="n"/>
      <c r="B48" s="69" t="str">
        <f>IF('Calendario A'!B48="","",'Calendario A'!B48)</f>
        <v>PalaErmellini, Via dello Sport 5, Ermelliniopoli EU</v>
      </c>
      <c r="C48" s="9" t="n"/>
      <c r="D48" s="9" t="n"/>
      <c r="E48" s="9" t="n"/>
      <c r="F48" s="9" t="n"/>
      <c r="G48" s="9" t="n"/>
      <c r="H48" s="10" t="n"/>
      <c r="I48" s="62" t="str">
        <f>IF('Calendario A'!I48="","",'Calendario A'!I48)</f>
        <v>A05</v>
      </c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</row>
    <row r="49" ht="14" customHeight="1">
      <c r="A49" s="58" t="inlineStr">
        <is>
          <t>Gara N.</t>
        </is>
      </c>
      <c r="B49" s="58" t="inlineStr">
        <is>
          <t>Squadra A</t>
        </is>
      </c>
      <c r="C49" s="10" t="n"/>
      <c r="D49" s="58" t="inlineStr">
        <is>
          <t>Squadra B</t>
        </is>
      </c>
      <c r="E49" s="10" t="n"/>
      <c r="F49" s="58" t="inlineStr">
        <is>
          <t>Giorno</t>
        </is>
      </c>
      <c r="G49" s="58" t="inlineStr">
        <is>
          <t>Data</t>
        </is>
      </c>
      <c r="H49" s="58" t="inlineStr">
        <is>
          <t>Ora</t>
        </is>
      </c>
      <c r="I49" s="10" t="n"/>
      <c r="J49" s="58" t="inlineStr">
        <is>
          <t>Risultato</t>
        </is>
      </c>
      <c r="K49" s="9" t="n"/>
      <c r="L49" s="10" t="n"/>
      <c r="M49" s="194" t="inlineStr">
        <is>
          <t>1o Arbitro</t>
        </is>
      </c>
      <c r="N49" s="194" t="inlineStr">
        <is>
          <t>2o Arbitro</t>
        </is>
      </c>
      <c r="O49" s="194" t="inlineStr">
        <is>
          <t>3o Arbitro/Tirocinante</t>
        </is>
      </c>
      <c r="P49" s="194" t="inlineStr">
        <is>
          <t>Referto</t>
        </is>
      </c>
      <c r="Q49" s="194" t="inlineStr">
        <is>
          <t>Cronometro</t>
        </is>
      </c>
      <c r="R49" s="194" t="inlineStr">
        <is>
          <t>Foglio Tiri</t>
        </is>
      </c>
    </row>
    <row r="50" ht="22" customHeight="1">
      <c r="A50" s="60">
        <f>IF('Calendario A'!A50="","",'Calendario A'!A50)</f>
        <v>13</v>
      </c>
      <c r="B50" s="61" t="str">
        <f>IF('Calendario A'!B50="","",'Calendario A'!B50)</f>
        <v>Bufali Belligeranti</v>
      </c>
      <c r="C50" s="62" t="str">
        <f>IF('Calendario A'!C50="","",'Calendario A'!C50)</f>
        <v>A02</v>
      </c>
      <c r="D50" s="61" t="str">
        <f>IF('Calendario A'!D50="","",'Calendario A'!D50)</f>
        <v>Dingo Docili</v>
      </c>
      <c r="E50" s="62" t="str">
        <f>IF('Calendario A'!E50="","",'Calendario A'!E50)</f>
        <v>A04</v>
      </c>
      <c r="F50" s="63">
        <f>IF('Calendario A'!F50="","",'Calendario A'!F50)</f>
        <v>46327.604166666664</v>
      </c>
      <c r="G50" s="9" t="n"/>
      <c r="H50" s="9" t="n"/>
      <c r="I50" s="10" t="n"/>
      <c r="J50" s="195">
        <f>IF('Calendario A'!J50="","",'Calendario A'!J50)</f>
        <v>42</v>
      </c>
      <c r="K50" s="64" t="inlineStr">
        <is>
          <t>-</t>
        </is>
      </c>
      <c r="L50" s="195">
        <f>IF('Calendario A'!L50="","",'Calendario A'!L50)</f>
        <v>61</v>
      </c>
      <c r="M50" s="196" t="inlineStr">
        <is>
          <t>HORVAT Lea [A]</t>
        </is>
      </c>
      <c r="N50" s="196" t="inlineStr">
        <is>
          <t>CAMPOS Miha [Aest]</t>
        </is>
      </c>
      <c r="O50" s="196" t="inlineStr">
        <is>
          <t>PRADO Giulia [AAt]</t>
        </is>
      </c>
      <c r="P50" s="196" t="inlineStr">
        <is>
          <t>MARCHIONI Miha</t>
        </is>
      </c>
      <c r="Q50" s="196" t="inlineStr">
        <is>
          <t>LANGER Valerie</t>
        </is>
      </c>
      <c r="R50" s="196" t="inlineStr">
        <is>
          <t>PELLEGRI Lea</t>
        </is>
      </c>
    </row>
    <row r="51" ht="15" customHeight="1">
      <c r="A51" s="141" t="n"/>
      <c r="B51" s="69" t="str">
        <f>IF('Calendario A'!B51="","",'Calendario A'!B51)</f>
        <v>PalaErmellini, Via dello Sport 5, Ermelliniopoli EU</v>
      </c>
      <c r="C51" s="9" t="n"/>
      <c r="D51" s="9" t="n"/>
      <c r="E51" s="9" t="n"/>
      <c r="F51" s="9" t="n"/>
      <c r="G51" s="9" t="n"/>
      <c r="H51" s="10" t="n"/>
      <c r="I51" s="62" t="str">
        <f>IF('Calendario A'!I51="","",'Calendario A'!I51)</f>
        <v>A05</v>
      </c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</row>
    <row r="52" ht="14" customHeight="1">
      <c r="A52" s="58" t="inlineStr">
        <is>
          <t>Gara N.</t>
        </is>
      </c>
      <c r="B52" s="58" t="inlineStr">
        <is>
          <t>Squadra A</t>
        </is>
      </c>
      <c r="C52" s="10" t="n"/>
      <c r="D52" s="58" t="inlineStr">
        <is>
          <t>Squadra B</t>
        </is>
      </c>
      <c r="E52" s="10" t="n"/>
      <c r="F52" s="58" t="inlineStr">
        <is>
          <t>Giorno</t>
        </is>
      </c>
      <c r="G52" s="58" t="inlineStr">
        <is>
          <t>Data</t>
        </is>
      </c>
      <c r="H52" s="58" t="inlineStr">
        <is>
          <t>Ora</t>
        </is>
      </c>
      <c r="I52" s="10" t="n"/>
      <c r="J52" s="58" t="inlineStr">
        <is>
          <t>Risultato</t>
        </is>
      </c>
      <c r="K52" s="9" t="n"/>
      <c r="L52" s="10" t="n"/>
      <c r="M52" s="194" t="inlineStr">
        <is>
          <t>1o Arbitro</t>
        </is>
      </c>
      <c r="N52" s="194" t="inlineStr">
        <is>
          <t>2o Arbitro</t>
        </is>
      </c>
      <c r="O52" s="194" t="inlineStr">
        <is>
          <t>3o Arbitro/Tirocinante</t>
        </is>
      </c>
      <c r="P52" s="194" t="inlineStr">
        <is>
          <t>Referto</t>
        </is>
      </c>
      <c r="Q52" s="194" t="inlineStr">
        <is>
          <t>Cronometro</t>
        </is>
      </c>
      <c r="R52" s="194" t="inlineStr">
        <is>
          <t>Foglio Tiri</t>
        </is>
      </c>
    </row>
    <row r="53" ht="22" customHeight="1">
      <c r="A53" s="60">
        <f>IF('Calendario A'!A53="","",'Calendario A'!A53)</f>
        <v>14</v>
      </c>
      <c r="B53" s="61" t="str">
        <f>IF('Calendario A'!B53="","",'Calendario A'!B53)</f>
        <v>Lupi Leali</v>
      </c>
      <c r="C53" s="62" t="str">
        <f>IF('Calendario A'!C53="","",'Calendario A'!C53)</f>
        <v>A09</v>
      </c>
      <c r="D53" s="61" t="str">
        <f>IF('Calendario A'!D53="","",'Calendario A'!D53)</f>
        <v>Falchi Feroci</v>
      </c>
      <c r="E53" s="62" t="str">
        <f>IF('Calendario A'!E53="","",'Calendario A'!E53)</f>
        <v>A06</v>
      </c>
      <c r="F53" s="63">
        <f>IF('Calendario A'!F53="","",'Calendario A'!F53)</f>
        <v>46327.666666666664</v>
      </c>
      <c r="G53" s="9" t="n"/>
      <c r="H53" s="9" t="n"/>
      <c r="I53" s="10" t="n"/>
      <c r="J53" s="195">
        <f>IF('Calendario A'!J53="","",'Calendario A'!J53)</f>
        <v>50</v>
      </c>
      <c r="K53" s="64" t="inlineStr">
        <is>
          <t>-</t>
        </is>
      </c>
      <c r="L53" s="195">
        <f>IF('Calendario A'!L53="","",'Calendario A'!L53)</f>
        <v>55</v>
      </c>
      <c r="M53" s="196" t="inlineStr">
        <is>
          <t>LEROUX Lea [Aest]</t>
        </is>
      </c>
      <c r="N53" s="196" t="inlineStr">
        <is>
          <t>NAVARRO Matteo [AA]</t>
        </is>
      </c>
      <c r="O53" s="196" t="inlineStr">
        <is>
          <t>ROMERO Elena [A]</t>
        </is>
      </c>
      <c r="P53" s="196" t="inlineStr">
        <is>
          <t>MARCHIONI Miha</t>
        </is>
      </c>
      <c r="Q53" s="196" t="inlineStr">
        <is>
          <t>WEBER Matteo</t>
        </is>
      </c>
      <c r="R53" s="196" t="inlineStr">
        <is>
          <t>HORVAT Matteo</t>
        </is>
      </c>
    </row>
    <row r="54" ht="15" customHeight="1">
      <c r="A54" s="141" t="n"/>
      <c r="B54" s="69" t="str">
        <f>IF('Calendario A'!B54="","",'Calendario A'!B54)</f>
        <v>PalaErmellini, Via dello Sport 5, Ermelliniopoli EU</v>
      </c>
      <c r="C54" s="9" t="n"/>
      <c r="D54" s="9" t="n"/>
      <c r="E54" s="9" t="n"/>
      <c r="F54" s="9" t="n"/>
      <c r="G54" s="9" t="n"/>
      <c r="H54" s="10" t="n"/>
      <c r="I54" s="62" t="str">
        <f>IF('Calendario A'!I54="","",'Calendario A'!I54)</f>
        <v>A05</v>
      </c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</row>
    <row r="55" ht="14" customHeight="1">
      <c r="A55" s="58" t="inlineStr">
        <is>
          <t>Gara N.</t>
        </is>
      </c>
      <c r="B55" s="58" t="inlineStr">
        <is>
          <t>Squadra A</t>
        </is>
      </c>
      <c r="C55" s="10" t="n"/>
      <c r="D55" s="58" t="inlineStr">
        <is>
          <t>Squadra B</t>
        </is>
      </c>
      <c r="E55" s="10" t="n"/>
      <c r="F55" s="58" t="inlineStr">
        <is>
          <t>Giorno</t>
        </is>
      </c>
      <c r="G55" s="58" t="inlineStr">
        <is>
          <t>Data</t>
        </is>
      </c>
      <c r="H55" s="58" t="inlineStr">
        <is>
          <t>Ora</t>
        </is>
      </c>
      <c r="I55" s="10" t="n"/>
      <c r="J55" s="58" t="inlineStr">
        <is>
          <t>Risultato</t>
        </is>
      </c>
      <c r="K55" s="9" t="n"/>
      <c r="L55" s="10" t="n"/>
      <c r="M55" s="194" t="inlineStr">
        <is>
          <t>1o Arbitro</t>
        </is>
      </c>
      <c r="N55" s="194" t="inlineStr">
        <is>
          <t>2o Arbitro</t>
        </is>
      </c>
      <c r="O55" s="194" t="inlineStr">
        <is>
          <t>3o Arbitro/Tirocinante</t>
        </is>
      </c>
      <c r="P55" s="194" t="inlineStr">
        <is>
          <t>Referto</t>
        </is>
      </c>
      <c r="Q55" s="194" t="inlineStr">
        <is>
          <t>Cronometro</t>
        </is>
      </c>
      <c r="R55" s="194" t="inlineStr">
        <is>
          <t>Foglio Tiri</t>
        </is>
      </c>
    </row>
    <row r="56" ht="22" customHeight="1">
      <c r="A56" s="60">
        <f>IF('Calendario A'!A56="","",'Calendario A'!A56)</f>
        <v>15</v>
      </c>
      <c r="B56" s="61" t="str">
        <f>IF('Calendario A'!B56="","",'Calendario A'!B56)</f>
        <v>Gazzelle Gentili</v>
      </c>
      <c r="C56" s="62" t="str">
        <f>IF('Calendario A'!C56="","",'Calendario A'!C56)</f>
        <v>A07</v>
      </c>
      <c r="D56" s="61" t="str">
        <f>IF('Calendario A'!D56="","",'Calendario A'!D56)</f>
        <v>Ibis Instancabili</v>
      </c>
      <c r="E56" s="62" t="str">
        <f>IF('Calendario A'!E56="","",'Calendario A'!E56)</f>
        <v>A08</v>
      </c>
      <c r="F56" s="63">
        <f>IF('Calendario A'!F56="","",'Calendario A'!F56)</f>
        <v>46327.729166666664</v>
      </c>
      <c r="G56" s="9" t="n"/>
      <c r="H56" s="9" t="n"/>
      <c r="I56" s="10" t="n"/>
      <c r="J56" s="195">
        <f>IF('Calendario A'!J56="","",'Calendario A'!J56)</f>
        <v>40</v>
      </c>
      <c r="K56" s="64" t="inlineStr">
        <is>
          <t>-</t>
        </is>
      </c>
      <c r="L56" s="195">
        <f>IF('Calendario A'!L56="","",'Calendario A'!L56)</f>
        <v>51</v>
      </c>
      <c r="M56" s="196" t="inlineStr">
        <is>
          <t>MARCHIONI Matteo [AAt]</t>
        </is>
      </c>
      <c r="N56" s="196" t="inlineStr">
        <is>
          <t>BIANCHELLI Paolo [AA]</t>
        </is>
      </c>
      <c r="O56" s="196" t="inlineStr">
        <is>
          <t>SCHAFER Giulia [AA]</t>
        </is>
      </c>
      <c r="P56" s="196" t="inlineStr">
        <is>
          <t>LEFEVRE Filippo</t>
        </is>
      </c>
      <c r="Q56" s="196" t="inlineStr">
        <is>
          <t>ZUPAN Paula</t>
        </is>
      </c>
      <c r="R56" s="196" t="inlineStr">
        <is>
          <t>SEVER Greta</t>
        </is>
      </c>
    </row>
    <row r="57" ht="15" customHeight="1">
      <c r="A57" s="141" t="n"/>
      <c r="B57" s="69" t="str">
        <f>IF('Calendario A'!B57="","",'Calendario A'!B57)</f>
        <v>PalaErmellini, Via dello Sport 5, Ermelliniopoli EU</v>
      </c>
      <c r="C57" s="9" t="n"/>
      <c r="D57" s="9" t="n"/>
      <c r="E57" s="9" t="n"/>
      <c r="F57" s="9" t="n"/>
      <c r="G57" s="9" t="n"/>
      <c r="H57" s="10" t="n"/>
      <c r="I57" s="62" t="str">
        <f>IF('Calendario A'!I57="","",'Calendario A'!I57)</f>
        <v>A05</v>
      </c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</row>
    <row r="59" ht="20" customHeight="1">
      <c r="A59" s="55" t="str">
        <f>IF('Calendario A'!A59="","",'Calendario A'!A59)</f>
        <v>4A</v>
      </c>
      <c r="B59" s="56" t="str">
        <f>IF('Calendario A'!B59="","",'Calendario A'!B59)</f>
        <v>GIORNATA IV - GIRONE GOLD</v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  <c r="M59" s="193" t="inlineStr">
        <is>
          <t>ARBITRI</t>
        </is>
      </c>
      <c r="N59" s="9" t="n"/>
      <c r="O59" s="10" t="n"/>
      <c r="P59" s="193" t="inlineStr">
        <is>
          <t>UFFICIALI DI CAMPO</t>
        </is>
      </c>
      <c r="Q59" s="9" t="n"/>
      <c r="R59" s="10" t="n"/>
    </row>
    <row r="60" ht="14" customHeight="1">
      <c r="A60" s="58" t="inlineStr">
        <is>
          <t>Gara N.</t>
        </is>
      </c>
      <c r="B60" s="58" t="inlineStr">
        <is>
          <t>Squadra A</t>
        </is>
      </c>
      <c r="C60" s="10" t="n"/>
      <c r="D60" s="58" t="inlineStr">
        <is>
          <t>Squadra B</t>
        </is>
      </c>
      <c r="E60" s="10" t="n"/>
      <c r="F60" s="58" t="inlineStr">
        <is>
          <t>Giorno</t>
        </is>
      </c>
      <c r="G60" s="58" t="inlineStr">
        <is>
          <t>Data</t>
        </is>
      </c>
      <c r="H60" s="58" t="inlineStr">
        <is>
          <t>Ora</t>
        </is>
      </c>
      <c r="I60" s="10" t="n"/>
      <c r="J60" s="58" t="inlineStr">
        <is>
          <t>Risultato</t>
        </is>
      </c>
      <c r="K60" s="9" t="n"/>
      <c r="L60" s="10" t="n"/>
      <c r="M60" s="194" t="inlineStr">
        <is>
          <t>1o Arbitro</t>
        </is>
      </c>
      <c r="N60" s="194" t="inlineStr">
        <is>
          <t>2o Arbitro</t>
        </is>
      </c>
      <c r="O60" s="194" t="inlineStr">
        <is>
          <t>3o Arbitro/Tirocinante</t>
        </is>
      </c>
      <c r="P60" s="194" t="inlineStr">
        <is>
          <t>Referto</t>
        </is>
      </c>
      <c r="Q60" s="194" t="inlineStr">
        <is>
          <t>Cronometro</t>
        </is>
      </c>
      <c r="R60" s="194" t="inlineStr">
        <is>
          <t>Foglio Tiri</t>
        </is>
      </c>
    </row>
    <row r="61" ht="22" customHeight="1">
      <c r="A61" s="60">
        <f>IF('Calendario A'!A61="","",'Calendario A'!A61)</f>
        <v>16</v>
      </c>
      <c r="B61" s="61" t="str">
        <f>IF('Calendario A'!B61="","",'Calendario A'!B61)</f>
        <v>Gazzelle Gentili</v>
      </c>
      <c r="C61" s="62" t="str">
        <f>IF('Calendario A'!C61="","",'Calendario A'!C61)</f>
        <v>A07</v>
      </c>
      <c r="D61" s="61" t="str">
        <f>IF('Calendario A'!D61="","",'Calendario A'!D61)</f>
        <v>Anaconde Audaci</v>
      </c>
      <c r="E61" s="62" t="str">
        <f>IF('Calendario A'!E61="","",'Calendario A'!E61)</f>
        <v>A01</v>
      </c>
      <c r="F61" s="63">
        <f>IF('Calendario A'!F61="","",'Calendario A'!F61)</f>
        <v>46334.395833333336</v>
      </c>
      <c r="G61" s="9" t="n"/>
      <c r="H61" s="9" t="n"/>
      <c r="I61" s="10" t="n"/>
      <c r="J61" s="195">
        <f>IF('Calendario A'!J61="","",'Calendario A'!J61)</f>
        <v>62</v>
      </c>
      <c r="K61" s="64" t="inlineStr">
        <is>
          <t>-</t>
        </is>
      </c>
      <c r="L61" s="195">
        <f>IF('Calendario A'!L61="","",'Calendario A'!L61)</f>
        <v>75</v>
      </c>
      <c r="M61" s="196" t="inlineStr">
        <is>
          <t>SCHAFER Giulia [AA]</t>
        </is>
      </c>
      <c r="N61" s="196" t="inlineStr">
        <is>
          <t>BRANDT Stefano [AAt]</t>
        </is>
      </c>
      <c r="O61" s="196" t="inlineStr">
        <is>
          <t>NAVARRO Matteo [AA]</t>
        </is>
      </c>
      <c r="P61" s="196" t="inlineStr">
        <is>
          <t>SOLER Pablo</t>
        </is>
      </c>
      <c r="Q61" s="196" t="inlineStr">
        <is>
          <t>VIDMAR Ilaria</t>
        </is>
      </c>
      <c r="R61" s="196" t="inlineStr">
        <is>
          <t>GAUTHIER Filippo</t>
        </is>
      </c>
    </row>
    <row r="62" ht="15" customHeight="1">
      <c r="A62" s="141" t="n"/>
      <c r="B62" s="69" t="str">
        <f>IF('Calendario A'!B62="","",'Calendario A'!B62)</f>
        <v>PalaGazzelle, Via dello Sport 7, Gazzelleopoli GE</v>
      </c>
      <c r="C62" s="9" t="n"/>
      <c r="D62" s="9" t="n"/>
      <c r="E62" s="9" t="n"/>
      <c r="F62" s="9" t="n"/>
      <c r="G62" s="9" t="n"/>
      <c r="H62" s="10" t="n"/>
      <c r="I62" s="62" t="str">
        <f>IF('Calendario A'!I62="","",'Calendario A'!I62)</f>
        <v>A07</v>
      </c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</row>
    <row r="63" ht="14" customHeight="1">
      <c r="A63" s="58" t="inlineStr">
        <is>
          <t>Gara N.</t>
        </is>
      </c>
      <c r="B63" s="58" t="inlineStr">
        <is>
          <t>Squadra A</t>
        </is>
      </c>
      <c r="C63" s="10" t="n"/>
      <c r="D63" s="58" t="inlineStr">
        <is>
          <t>Squadra B</t>
        </is>
      </c>
      <c r="E63" s="10" t="n"/>
      <c r="F63" s="58" t="inlineStr">
        <is>
          <t>Giorno</t>
        </is>
      </c>
      <c r="G63" s="58" t="inlineStr">
        <is>
          <t>Data</t>
        </is>
      </c>
      <c r="H63" s="58" t="inlineStr">
        <is>
          <t>Ora</t>
        </is>
      </c>
      <c r="I63" s="10" t="n"/>
      <c r="J63" s="58" t="inlineStr">
        <is>
          <t>Risultato</t>
        </is>
      </c>
      <c r="K63" s="9" t="n"/>
      <c r="L63" s="10" t="n"/>
      <c r="M63" s="194" t="inlineStr">
        <is>
          <t>1o Arbitro</t>
        </is>
      </c>
      <c r="N63" s="194" t="inlineStr">
        <is>
          <t>2o Arbitro</t>
        </is>
      </c>
      <c r="O63" s="194" t="inlineStr">
        <is>
          <t>3o Arbitro/Tirocinante</t>
        </is>
      </c>
      <c r="P63" s="194" t="inlineStr">
        <is>
          <t>Referto</t>
        </is>
      </c>
      <c r="Q63" s="194" t="inlineStr">
        <is>
          <t>Cronometro</t>
        </is>
      </c>
      <c r="R63" s="194" t="inlineStr">
        <is>
          <t>Foglio Tiri</t>
        </is>
      </c>
    </row>
    <row r="64" ht="22" customHeight="1">
      <c r="A64" s="60">
        <f>IF('Calendario A'!A64="","",'Calendario A'!A64)</f>
        <v>17</v>
      </c>
      <c r="B64" s="61" t="str">
        <f>IF('Calendario A'!B64="","",'Calendario A'!B64)</f>
        <v>Marmotte Mobili</v>
      </c>
      <c r="C64" s="62" t="str">
        <f>IF('Calendario A'!C64="","",'Calendario A'!C64)</f>
        <v>A10</v>
      </c>
      <c r="D64" s="61" t="str">
        <f>IF('Calendario A'!D64="","",'Calendario A'!D64)</f>
        <v>Dingo Docili</v>
      </c>
      <c r="E64" s="62" t="str">
        <f>IF('Calendario A'!E64="","",'Calendario A'!E64)</f>
        <v>A04</v>
      </c>
      <c r="F64" s="63">
        <f>IF('Calendario A'!F64="","",'Calendario A'!F64)</f>
        <v>46334.458333333336</v>
      </c>
      <c r="G64" s="9" t="n"/>
      <c r="H64" s="9" t="n"/>
      <c r="I64" s="10" t="n"/>
      <c r="J64" s="195">
        <f>IF('Calendario A'!J64="","",'Calendario A'!J64)</f>
        <v>35</v>
      </c>
      <c r="K64" s="64" t="inlineStr">
        <is>
          <t>-</t>
        </is>
      </c>
      <c r="L64" s="195">
        <f>IF('Calendario A'!L64="","",'Calendario A'!L64)</f>
        <v>60</v>
      </c>
      <c r="M64" s="196" t="inlineStr">
        <is>
          <t>FUENTES Matteo [Aest]</t>
        </is>
      </c>
      <c r="N64" s="196" t="inlineStr">
        <is>
          <t>MODIC Katrin [A]</t>
        </is>
      </c>
      <c r="O64" s="196" t="inlineStr">
        <is>
          <t>LEROUX Lea [Aest]</t>
        </is>
      </c>
      <c r="P64" s="196" t="inlineStr">
        <is>
          <t>BLANCO Elena</t>
        </is>
      </c>
      <c r="Q64" s="196" t="inlineStr">
        <is>
          <t>HORVAT Matteo</t>
        </is>
      </c>
      <c r="R64" s="196" t="inlineStr">
        <is>
          <t>ORTEGA Alenka</t>
        </is>
      </c>
    </row>
    <row r="65" ht="15" customHeight="1">
      <c r="A65" s="141" t="n"/>
      <c r="B65" s="69" t="str">
        <f>IF('Calendario A'!B65="","",'Calendario A'!B65)</f>
        <v>PalaGazzelle, Via dello Sport 7, Gazzelleopoli GE</v>
      </c>
      <c r="C65" s="9" t="n"/>
      <c r="D65" s="9" t="n"/>
      <c r="E65" s="9" t="n"/>
      <c r="F65" s="9" t="n"/>
      <c r="G65" s="9" t="n"/>
      <c r="H65" s="10" t="n"/>
      <c r="I65" s="62" t="str">
        <f>IF('Calendario A'!I65="","",'Calendario A'!I65)</f>
        <v>A07</v>
      </c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</row>
    <row r="66" ht="14" customHeight="1">
      <c r="A66" s="58" t="inlineStr">
        <is>
          <t>Gara N.</t>
        </is>
      </c>
      <c r="B66" s="58" t="inlineStr">
        <is>
          <t>Squadra A</t>
        </is>
      </c>
      <c r="C66" s="10" t="n"/>
      <c r="D66" s="58" t="inlineStr">
        <is>
          <t>Squadra B</t>
        </is>
      </c>
      <c r="E66" s="10" t="n"/>
      <c r="F66" s="58" t="inlineStr">
        <is>
          <t>Giorno</t>
        </is>
      </c>
      <c r="G66" s="58" t="inlineStr">
        <is>
          <t>Data</t>
        </is>
      </c>
      <c r="H66" s="58" t="inlineStr">
        <is>
          <t>Ora</t>
        </is>
      </c>
      <c r="I66" s="10" t="n"/>
      <c r="J66" s="58" t="inlineStr">
        <is>
          <t>Risultato</t>
        </is>
      </c>
      <c r="K66" s="9" t="n"/>
      <c r="L66" s="10" t="n"/>
      <c r="M66" s="194" t="inlineStr">
        <is>
          <t>1o Arbitro</t>
        </is>
      </c>
      <c r="N66" s="194" t="inlineStr">
        <is>
          <t>2o Arbitro</t>
        </is>
      </c>
      <c r="O66" s="194" t="inlineStr">
        <is>
          <t>3o Arbitro/Tirocinante</t>
        </is>
      </c>
      <c r="P66" s="194" t="inlineStr">
        <is>
          <t>Referto</t>
        </is>
      </c>
      <c r="Q66" s="194" t="inlineStr">
        <is>
          <t>Cronometro</t>
        </is>
      </c>
      <c r="R66" s="194" t="inlineStr">
        <is>
          <t>Foglio Tiri</t>
        </is>
      </c>
    </row>
    <row r="67" ht="22" customHeight="1">
      <c r="A67" s="60">
        <f>IF('Calendario A'!A67="","",'Calendario A'!A67)</f>
        <v>18</v>
      </c>
      <c r="B67" s="61" t="str">
        <f>IF('Calendario A'!B67="","",'Calendario A'!B67)</f>
        <v>Ermellini Eleganti</v>
      </c>
      <c r="C67" s="62" t="str">
        <f>IF('Calendario A'!C67="","",'Calendario A'!C67)</f>
        <v>A05</v>
      </c>
      <c r="D67" s="61" t="str">
        <f>IF('Calendario A'!D67="","",'Calendario A'!D67)</f>
        <v>Cobra Celeri</v>
      </c>
      <c r="E67" s="62" t="str">
        <f>IF('Calendario A'!E67="","",'Calendario A'!E67)</f>
        <v>A03</v>
      </c>
      <c r="F67" s="63">
        <f>IF('Calendario A'!F67="","",'Calendario A'!F67)</f>
        <v>46334.604166666664</v>
      </c>
      <c r="G67" s="9" t="n"/>
      <c r="H67" s="9" t="n"/>
      <c r="I67" s="10" t="n"/>
      <c r="J67" s="195">
        <f>IF('Calendario A'!J67="","",'Calendario A'!J67)</f>
        <v>52</v>
      </c>
      <c r="K67" s="64" t="inlineStr">
        <is>
          <t>-</t>
        </is>
      </c>
      <c r="L67" s="195">
        <f>IF('Calendario A'!L67="","",'Calendario A'!L67)</f>
        <v>67</v>
      </c>
      <c r="M67" s="196" t="inlineStr">
        <is>
          <t>CARON Paolo [AA]</t>
        </is>
      </c>
      <c r="N67" s="196" t="inlineStr">
        <is>
          <t>LANGER Marta [A]</t>
        </is>
      </c>
      <c r="O67" s="196" t="inlineStr">
        <is>
          <t>FOURNIER Tommaso [AA]</t>
        </is>
      </c>
      <c r="P67" s="196" t="inlineStr">
        <is>
          <t>HOFFMANN Davide</t>
        </is>
      </c>
      <c r="Q67" s="196" t="inlineStr">
        <is>
          <t>BLANCHET Matteo</t>
        </is>
      </c>
      <c r="R67" s="196" t="inlineStr">
        <is>
          <t>LEFEVRE Filippo</t>
        </is>
      </c>
    </row>
    <row r="68" ht="15" customHeight="1">
      <c r="A68" s="141" t="n"/>
      <c r="B68" s="69" t="str">
        <f>IF('Calendario A'!B68="","",'Calendario A'!B68)</f>
        <v>PalaGazzelle, Via dello Sport 7, Gazzelleopoli GE</v>
      </c>
      <c r="C68" s="9" t="n"/>
      <c r="D68" s="9" t="n"/>
      <c r="E68" s="9" t="n"/>
      <c r="F68" s="9" t="n"/>
      <c r="G68" s="9" t="n"/>
      <c r="H68" s="10" t="n"/>
      <c r="I68" s="62" t="str">
        <f>IF('Calendario A'!I68="","",'Calendario A'!I68)</f>
        <v>A07</v>
      </c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</row>
    <row r="69" ht="14" customHeight="1">
      <c r="A69" s="58" t="inlineStr">
        <is>
          <t>Gara N.</t>
        </is>
      </c>
      <c r="B69" s="58" t="inlineStr">
        <is>
          <t>Squadra A</t>
        </is>
      </c>
      <c r="C69" s="10" t="n"/>
      <c r="D69" s="58" t="inlineStr">
        <is>
          <t>Squadra B</t>
        </is>
      </c>
      <c r="E69" s="10" t="n"/>
      <c r="F69" s="58" t="inlineStr">
        <is>
          <t>Giorno</t>
        </is>
      </c>
      <c r="G69" s="58" t="inlineStr">
        <is>
          <t>Data</t>
        </is>
      </c>
      <c r="H69" s="58" t="inlineStr">
        <is>
          <t>Ora</t>
        </is>
      </c>
      <c r="I69" s="10" t="n"/>
      <c r="J69" s="58" t="inlineStr">
        <is>
          <t>Risultato</t>
        </is>
      </c>
      <c r="K69" s="9" t="n"/>
      <c r="L69" s="10" t="n"/>
      <c r="M69" s="194" t="inlineStr">
        <is>
          <t>1o Arbitro</t>
        </is>
      </c>
      <c r="N69" s="194" t="inlineStr">
        <is>
          <t>2o Arbitro</t>
        </is>
      </c>
      <c r="O69" s="194" t="inlineStr">
        <is>
          <t>3o Arbitro/Tirocinante</t>
        </is>
      </c>
      <c r="P69" s="194" t="inlineStr">
        <is>
          <t>Referto</t>
        </is>
      </c>
      <c r="Q69" s="194" t="inlineStr">
        <is>
          <t>Cronometro</t>
        </is>
      </c>
      <c r="R69" s="194" t="inlineStr">
        <is>
          <t>Foglio Tiri</t>
        </is>
      </c>
    </row>
    <row r="70" ht="22" customHeight="1">
      <c r="A70" s="60">
        <f>IF('Calendario A'!A70="","",'Calendario A'!A70)</f>
        <v>19</v>
      </c>
      <c r="B70" s="61" t="str">
        <f>IF('Calendario A'!B70="","",'Calendario A'!B70)</f>
        <v>Bufali Belligeranti</v>
      </c>
      <c r="C70" s="62" t="str">
        <f>IF('Calendario A'!C70="","",'Calendario A'!C70)</f>
        <v>A02</v>
      </c>
      <c r="D70" s="61" t="str">
        <f>IF('Calendario A'!D70="","",'Calendario A'!D70)</f>
        <v>Falchi Feroci</v>
      </c>
      <c r="E70" s="62" t="str">
        <f>IF('Calendario A'!E70="","",'Calendario A'!E70)</f>
        <v>A06</v>
      </c>
      <c r="F70" s="63">
        <f>IF('Calendario A'!F70="","",'Calendario A'!F70)</f>
        <v>46334.666666666664</v>
      </c>
      <c r="G70" s="9" t="n"/>
      <c r="H70" s="9" t="n"/>
      <c r="I70" s="10" t="n"/>
      <c r="J70" s="195">
        <f>IF('Calendario A'!J70="","",'Calendario A'!J70)</f>
        <v>43</v>
      </c>
      <c r="K70" s="64" t="inlineStr">
        <is>
          <t>-</t>
        </is>
      </c>
      <c r="L70" s="195">
        <f>IF('Calendario A'!L70="","",'Calendario A'!L70)</f>
        <v>54</v>
      </c>
      <c r="M70" s="196" t="inlineStr">
        <is>
          <t>MARCHIONI Lea [AAt]</t>
        </is>
      </c>
      <c r="N70" s="196" t="inlineStr">
        <is>
          <t>ROSSINI Irene [AA]</t>
        </is>
      </c>
      <c r="O70" s="196" t="inlineStr">
        <is>
          <t>MODIC Lukas [AAt]</t>
        </is>
      </c>
      <c r="P70" s="196" t="inlineStr">
        <is>
          <t>PELLEGRI Lea</t>
        </is>
      </c>
      <c r="Q70" s="196" t="inlineStr">
        <is>
          <t>HOFFMANN Davide</t>
        </is>
      </c>
      <c r="R70" s="196" t="inlineStr">
        <is>
          <t>LEFEVRE Filippo</t>
        </is>
      </c>
    </row>
    <row r="71" ht="15" customHeight="1">
      <c r="A71" s="141" t="n"/>
      <c r="B71" s="69" t="str">
        <f>IF('Calendario A'!B71="","",'Calendario A'!B71)</f>
        <v>PalaGazzelle, Via dello Sport 7, Gazzelleopoli GE</v>
      </c>
      <c r="C71" s="9" t="n"/>
      <c r="D71" s="9" t="n"/>
      <c r="E71" s="9" t="n"/>
      <c r="F71" s="9" t="n"/>
      <c r="G71" s="9" t="n"/>
      <c r="H71" s="10" t="n"/>
      <c r="I71" s="62" t="str">
        <f>IF('Calendario A'!I71="","",'Calendario A'!I71)</f>
        <v>A07</v>
      </c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</row>
    <row r="72" ht="14" customHeight="1">
      <c r="A72" s="58" t="inlineStr">
        <is>
          <t>Gara N.</t>
        </is>
      </c>
      <c r="B72" s="58" t="inlineStr">
        <is>
          <t>Squadra A</t>
        </is>
      </c>
      <c r="C72" s="10" t="n"/>
      <c r="D72" s="58" t="inlineStr">
        <is>
          <t>Squadra B</t>
        </is>
      </c>
      <c r="E72" s="10" t="n"/>
      <c r="F72" s="58" t="inlineStr">
        <is>
          <t>Giorno</t>
        </is>
      </c>
      <c r="G72" s="58" t="inlineStr">
        <is>
          <t>Data</t>
        </is>
      </c>
      <c r="H72" s="58" t="inlineStr">
        <is>
          <t>Ora</t>
        </is>
      </c>
      <c r="I72" s="10" t="n"/>
      <c r="J72" s="58" t="inlineStr">
        <is>
          <t>Risultato</t>
        </is>
      </c>
      <c r="K72" s="9" t="n"/>
      <c r="L72" s="10" t="n"/>
      <c r="M72" s="194" t="inlineStr">
        <is>
          <t>1o Arbitro</t>
        </is>
      </c>
      <c r="N72" s="194" t="inlineStr">
        <is>
          <t>2o Arbitro</t>
        </is>
      </c>
      <c r="O72" s="194" t="inlineStr">
        <is>
          <t>3o Arbitro/Tirocinante</t>
        </is>
      </c>
      <c r="P72" s="194" t="inlineStr">
        <is>
          <t>Referto</t>
        </is>
      </c>
      <c r="Q72" s="194" t="inlineStr">
        <is>
          <t>Cronometro</t>
        </is>
      </c>
      <c r="R72" s="194" t="inlineStr">
        <is>
          <t>Foglio Tiri</t>
        </is>
      </c>
    </row>
    <row r="73" ht="22" customHeight="1">
      <c r="A73" s="60">
        <f>IF('Calendario A'!A73="","",'Calendario A'!A73)</f>
        <v>20</v>
      </c>
      <c r="B73" s="61" t="str">
        <f>IF('Calendario A'!B73="","",'Calendario A'!B73)</f>
        <v>Lupi Leali</v>
      </c>
      <c r="C73" s="62" t="str">
        <f>IF('Calendario A'!C73="","",'Calendario A'!C73)</f>
        <v>A09</v>
      </c>
      <c r="D73" s="61" t="str">
        <f>IF('Calendario A'!D73="","",'Calendario A'!D73)</f>
        <v>Ibis Instancabili</v>
      </c>
      <c r="E73" s="62" t="str">
        <f>IF('Calendario A'!E73="","",'Calendario A'!E73)</f>
        <v>A08</v>
      </c>
      <c r="F73" s="63">
        <f>IF('Calendario A'!F73="","",'Calendario A'!F73)</f>
        <v>46334.729166666664</v>
      </c>
      <c r="G73" s="9" t="n"/>
      <c r="H73" s="9" t="n"/>
      <c r="I73" s="10" t="n"/>
      <c r="J73" s="195">
        <f>IF('Calendario A'!J73="","",'Calendario A'!J73)</f>
        <v>47</v>
      </c>
      <c r="K73" s="64" t="inlineStr">
        <is>
          <t>-</t>
        </is>
      </c>
      <c r="L73" s="195">
        <f>IF('Calendario A'!L73="","",'Calendario A'!L73)</f>
        <v>66</v>
      </c>
      <c r="M73" s="196" t="inlineStr">
        <is>
          <t>MARCHIONI Matteo [AAt]</t>
        </is>
      </c>
      <c r="N73" s="196" t="inlineStr">
        <is>
          <t>IGLESIAS Jonas [AAt]</t>
        </is>
      </c>
      <c r="O73" s="196" t="inlineStr">
        <is>
          <t>SANTORI Sofia [AA]</t>
        </is>
      </c>
      <c r="P73" s="196" t="inlineStr">
        <is>
          <t>WEBER Ilaria</t>
        </is>
      </c>
      <c r="Q73" s="196" t="inlineStr">
        <is>
          <t>HORVAT Matteo</t>
        </is>
      </c>
      <c r="R73" s="196" t="inlineStr">
        <is>
          <t>PELLEGRI Lea</t>
        </is>
      </c>
    </row>
    <row r="74" ht="15" customHeight="1">
      <c r="A74" s="141" t="n"/>
      <c r="B74" s="69" t="str">
        <f>IF('Calendario A'!B74="","",'Calendario A'!B74)</f>
        <v>PalaGazzelle, Via dello Sport 7, Gazzelleopoli GE</v>
      </c>
      <c r="C74" s="9" t="n"/>
      <c r="D74" s="9" t="n"/>
      <c r="E74" s="9" t="n"/>
      <c r="F74" s="9" t="n"/>
      <c r="G74" s="9" t="n"/>
      <c r="H74" s="10" t="n"/>
      <c r="I74" s="62" t="str">
        <f>IF('Calendario A'!I74="","",'Calendario A'!I74)</f>
        <v>A07</v>
      </c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</row>
    <row r="76" ht="20" customHeight="1">
      <c r="A76" s="55" t="str">
        <f>IF('Calendario A'!A76="","",'Calendario A'!A76)</f>
        <v>5A</v>
      </c>
      <c r="B76" s="56" t="str">
        <f>IF('Calendario A'!B76="","",'Calendario A'!B76)</f>
        <v>GIORNATA V - GIRONE GOLD</v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  <c r="M76" s="193" t="inlineStr">
        <is>
          <t>ARBITRI</t>
        </is>
      </c>
      <c r="N76" s="9" t="n"/>
      <c r="O76" s="10" t="n"/>
      <c r="P76" s="193" t="inlineStr">
        <is>
          <t>UFFICIALI DI CAMPO</t>
        </is>
      </c>
      <c r="Q76" s="9" t="n"/>
      <c r="R76" s="10" t="n"/>
    </row>
    <row r="77" ht="14" customHeight="1">
      <c r="A77" s="58" t="inlineStr">
        <is>
          <t>Gara N.</t>
        </is>
      </c>
      <c r="B77" s="58" t="inlineStr">
        <is>
          <t>Squadra A</t>
        </is>
      </c>
      <c r="C77" s="10" t="n"/>
      <c r="D77" s="58" t="inlineStr">
        <is>
          <t>Squadra B</t>
        </is>
      </c>
      <c r="E77" s="10" t="n"/>
      <c r="F77" s="58" t="inlineStr">
        <is>
          <t>Giorno</t>
        </is>
      </c>
      <c r="G77" s="58" t="inlineStr">
        <is>
          <t>Data</t>
        </is>
      </c>
      <c r="H77" s="58" t="inlineStr">
        <is>
          <t>Ora</t>
        </is>
      </c>
      <c r="I77" s="10" t="n"/>
      <c r="J77" s="58" t="inlineStr">
        <is>
          <t>Risultato</t>
        </is>
      </c>
      <c r="K77" s="9" t="n"/>
      <c r="L77" s="10" t="n"/>
      <c r="M77" s="194" t="inlineStr">
        <is>
          <t>1o Arbitro</t>
        </is>
      </c>
      <c r="N77" s="194" t="inlineStr">
        <is>
          <t>2o Arbitro</t>
        </is>
      </c>
      <c r="O77" s="194" t="inlineStr">
        <is>
          <t>3o Arbitro/Tirocinante</t>
        </is>
      </c>
      <c r="P77" s="194" t="inlineStr">
        <is>
          <t>Referto</t>
        </is>
      </c>
      <c r="Q77" s="194" t="inlineStr">
        <is>
          <t>Cronometro</t>
        </is>
      </c>
      <c r="R77" s="194" t="inlineStr">
        <is>
          <t>Foglio Tiri</t>
        </is>
      </c>
    </row>
    <row r="78" ht="22" customHeight="1">
      <c r="A78" s="60">
        <f>IF('Calendario A'!A78="","",'Calendario A'!A78)</f>
        <v>21</v>
      </c>
      <c r="B78" s="61" t="str">
        <f>IF('Calendario A'!B78="","",'Calendario A'!B78)</f>
        <v>Lupi Leali</v>
      </c>
      <c r="C78" s="62" t="str">
        <f>IF('Calendario A'!C78="","",'Calendario A'!C78)</f>
        <v>A09</v>
      </c>
      <c r="D78" s="61" t="str">
        <f>IF('Calendario A'!D78="","",'Calendario A'!D78)</f>
        <v>Anaconde Audaci</v>
      </c>
      <c r="E78" s="62" t="str">
        <f>IF('Calendario A'!E78="","",'Calendario A'!E78)</f>
        <v>A01</v>
      </c>
      <c r="F78" s="63">
        <f>IF('Calendario A'!F78="","",'Calendario A'!F78)</f>
        <v>46341.395833333336</v>
      </c>
      <c r="G78" s="9" t="n"/>
      <c r="H78" s="9" t="n"/>
      <c r="I78" s="10" t="n"/>
      <c r="J78" s="195">
        <f>IF('Calendario A'!J78="","",'Calendario A'!J78)</f>
        <v>52</v>
      </c>
      <c r="K78" s="64" t="inlineStr">
        <is>
          <t>-</t>
        </is>
      </c>
      <c r="L78" s="195">
        <f>IF('Calendario A'!L78="","",'Calendario A'!L78)</f>
        <v>50</v>
      </c>
      <c r="M78" s="196" t="inlineStr">
        <is>
          <t>SANTORI Sofia [AA]</t>
        </is>
      </c>
      <c r="N78" s="196" t="inlineStr">
        <is>
          <t>SOLER Stefano [A]</t>
        </is>
      </c>
      <c r="O78" s="196" t="inlineStr">
        <is>
          <t>KELLER Andrea [Aest]</t>
        </is>
      </c>
      <c r="P78" s="196" t="inlineStr">
        <is>
          <t>LEFEVRE Filippo</t>
        </is>
      </c>
      <c r="Q78" s="196" t="inlineStr">
        <is>
          <t>SOLER Stefano</t>
        </is>
      </c>
      <c r="R78" s="196" t="inlineStr">
        <is>
          <t>BLANCHET Matteo</t>
        </is>
      </c>
    </row>
    <row r="79" ht="15" customHeight="1">
      <c r="A79" s="141" t="n"/>
      <c r="B79" s="69" t="str">
        <f>IF('Calendario A'!B79="","",'Calendario A'!B79)</f>
        <v>PalaLupi, Via dello Sport 9, Lupiopoli LO</v>
      </c>
      <c r="C79" s="9" t="n"/>
      <c r="D79" s="9" t="n"/>
      <c r="E79" s="9" t="n"/>
      <c r="F79" s="9" t="n"/>
      <c r="G79" s="9" t="n"/>
      <c r="H79" s="10" t="n"/>
      <c r="I79" s="62" t="str">
        <f>IF('Calendario A'!I79="","",'Calendario A'!I79)</f>
        <v>A09</v>
      </c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</row>
    <row r="80" ht="14" customHeight="1">
      <c r="A80" s="58" t="inlineStr">
        <is>
          <t>Gara N.</t>
        </is>
      </c>
      <c r="B80" s="58" t="inlineStr">
        <is>
          <t>Squadra A</t>
        </is>
      </c>
      <c r="C80" s="10" t="n"/>
      <c r="D80" s="58" t="inlineStr">
        <is>
          <t>Squadra B</t>
        </is>
      </c>
      <c r="E80" s="10" t="n"/>
      <c r="F80" s="58" t="inlineStr">
        <is>
          <t>Giorno</t>
        </is>
      </c>
      <c r="G80" s="58" t="inlineStr">
        <is>
          <t>Data</t>
        </is>
      </c>
      <c r="H80" s="58" t="inlineStr">
        <is>
          <t>Ora</t>
        </is>
      </c>
      <c r="I80" s="10" t="n"/>
      <c r="J80" s="58" t="inlineStr">
        <is>
          <t>Risultato</t>
        </is>
      </c>
      <c r="K80" s="9" t="n"/>
      <c r="L80" s="10" t="n"/>
      <c r="M80" s="194" t="inlineStr">
        <is>
          <t>1o Arbitro</t>
        </is>
      </c>
      <c r="N80" s="194" t="inlineStr">
        <is>
          <t>2o Arbitro</t>
        </is>
      </c>
      <c r="O80" s="194" t="inlineStr">
        <is>
          <t>3o Arbitro/Tirocinante</t>
        </is>
      </c>
      <c r="P80" s="194" t="inlineStr">
        <is>
          <t>Referto</t>
        </is>
      </c>
      <c r="Q80" s="194" t="inlineStr">
        <is>
          <t>Cronometro</t>
        </is>
      </c>
      <c r="R80" s="194" t="inlineStr">
        <is>
          <t>Foglio Tiri</t>
        </is>
      </c>
    </row>
    <row r="81" ht="22" customHeight="1">
      <c r="A81" s="60">
        <f>IF('Calendario A'!A81="","",'Calendario A'!A81)</f>
        <v>22</v>
      </c>
      <c r="B81" s="61" t="str">
        <f>IF('Calendario A'!B81="","",'Calendario A'!B81)</f>
        <v>Ermellini Eleganti</v>
      </c>
      <c r="C81" s="62" t="str">
        <f>IF('Calendario A'!C81="","",'Calendario A'!C81)</f>
        <v>A05</v>
      </c>
      <c r="D81" s="61" t="str">
        <f>IF('Calendario A'!D81="","",'Calendario A'!D81)</f>
        <v>Marmotte Mobili</v>
      </c>
      <c r="E81" s="62" t="str">
        <f>IF('Calendario A'!E81="","",'Calendario A'!E81)</f>
        <v>A10</v>
      </c>
      <c r="F81" s="63">
        <f>IF('Calendario A'!F81="","",'Calendario A'!F81)</f>
        <v>46341.458333333336</v>
      </c>
      <c r="G81" s="9" t="n"/>
      <c r="H81" s="9" t="n"/>
      <c r="I81" s="10" t="n"/>
      <c r="J81" s="195">
        <f>IF('Calendario A'!J81="","",'Calendario A'!J81)</f>
        <v>50</v>
      </c>
      <c r="K81" s="64" t="inlineStr">
        <is>
          <t>-</t>
        </is>
      </c>
      <c r="L81" s="195">
        <f>IF('Calendario A'!L81="","",'Calendario A'!L81)</f>
        <v>40</v>
      </c>
      <c r="M81" s="196" t="inlineStr">
        <is>
          <t>PRADO Eva [AAt]</t>
        </is>
      </c>
      <c r="N81" s="196" t="inlineStr">
        <is>
          <t>SCHAFER Giulia [AA]</t>
        </is>
      </c>
      <c r="O81" s="196" t="inlineStr">
        <is>
          <t>PRADO Giulia [AAt]</t>
        </is>
      </c>
      <c r="P81" s="196" t="inlineStr">
        <is>
          <t>BLANCO Elena</t>
        </is>
      </c>
      <c r="Q81" s="196" t="inlineStr">
        <is>
          <t>MARCHIONI Irene</t>
        </is>
      </c>
      <c r="R81" s="196" t="inlineStr">
        <is>
          <t>GAUTHIER Diego</t>
        </is>
      </c>
    </row>
    <row r="82" ht="15" customHeight="1">
      <c r="A82" s="141" t="n"/>
      <c r="B82" s="69" t="str">
        <f>IF('Calendario A'!B82="","",'Calendario A'!B82)</f>
        <v>PalaLupi, Via dello Sport 9, Lupiopoli LO</v>
      </c>
      <c r="C82" s="9" t="n"/>
      <c r="D82" s="9" t="n"/>
      <c r="E82" s="9" t="n"/>
      <c r="F82" s="9" t="n"/>
      <c r="G82" s="9" t="n"/>
      <c r="H82" s="10" t="n"/>
      <c r="I82" s="62" t="str">
        <f>IF('Calendario A'!I82="","",'Calendario A'!I82)</f>
        <v>A09</v>
      </c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</row>
    <row r="83" ht="14" customHeight="1">
      <c r="A83" s="58" t="inlineStr">
        <is>
          <t>Gara N.</t>
        </is>
      </c>
      <c r="B83" s="58" t="inlineStr">
        <is>
          <t>Squadra A</t>
        </is>
      </c>
      <c r="C83" s="10" t="n"/>
      <c r="D83" s="58" t="inlineStr">
        <is>
          <t>Squadra B</t>
        </is>
      </c>
      <c r="E83" s="10" t="n"/>
      <c r="F83" s="58" t="inlineStr">
        <is>
          <t>Giorno</t>
        </is>
      </c>
      <c r="G83" s="58" t="inlineStr">
        <is>
          <t>Data</t>
        </is>
      </c>
      <c r="H83" s="58" t="inlineStr">
        <is>
          <t>Ora</t>
        </is>
      </c>
      <c r="I83" s="10" t="n"/>
      <c r="J83" s="58" t="inlineStr">
        <is>
          <t>Risultato</t>
        </is>
      </c>
      <c r="K83" s="9" t="n"/>
      <c r="L83" s="10" t="n"/>
      <c r="M83" s="194" t="inlineStr">
        <is>
          <t>1o Arbitro</t>
        </is>
      </c>
      <c r="N83" s="194" t="inlineStr">
        <is>
          <t>2o Arbitro</t>
        </is>
      </c>
      <c r="O83" s="194" t="inlineStr">
        <is>
          <t>3o Arbitro/Tirocinante</t>
        </is>
      </c>
      <c r="P83" s="194" t="inlineStr">
        <is>
          <t>Referto</t>
        </is>
      </c>
      <c r="Q83" s="194" t="inlineStr">
        <is>
          <t>Cronometro</t>
        </is>
      </c>
      <c r="R83" s="194" t="inlineStr">
        <is>
          <t>Foglio Tiri</t>
        </is>
      </c>
    </row>
    <row r="84" ht="22" customHeight="1">
      <c r="A84" s="60">
        <f>IF('Calendario A'!A84="","",'Calendario A'!A84)</f>
        <v>23</v>
      </c>
      <c r="B84" s="61" t="str">
        <f>IF('Calendario A'!B84="","",'Calendario A'!B84)</f>
        <v>Dingo Docili</v>
      </c>
      <c r="C84" s="62" t="str">
        <f>IF('Calendario A'!C84="","",'Calendario A'!C84)</f>
        <v>A04</v>
      </c>
      <c r="D84" s="61" t="str">
        <f>IF('Calendario A'!D84="","",'Calendario A'!D84)</f>
        <v>Falchi Feroci</v>
      </c>
      <c r="E84" s="62" t="str">
        <f>IF('Calendario A'!E84="","",'Calendario A'!E84)</f>
        <v>A06</v>
      </c>
      <c r="F84" s="63">
        <f>IF('Calendario A'!F84="","",'Calendario A'!F84)</f>
        <v>46341.604166666664</v>
      </c>
      <c r="G84" s="9" t="n"/>
      <c r="H84" s="9" t="n"/>
      <c r="I84" s="10" t="n"/>
      <c r="J84" s="195">
        <f>IF('Calendario A'!J84="","",'Calendario A'!J84)</f>
        <v>45</v>
      </c>
      <c r="K84" s="64" t="inlineStr">
        <is>
          <t>-</t>
        </is>
      </c>
      <c r="L84" s="195">
        <f>IF('Calendario A'!L84="","",'Calendario A'!L84)</f>
        <v>41</v>
      </c>
      <c r="M84" s="196" t="inlineStr">
        <is>
          <t>SCHAFER Giulia [AA]</t>
        </is>
      </c>
      <c r="N84" s="196" t="inlineStr">
        <is>
          <t>CAMPOS Miha [Aest]</t>
        </is>
      </c>
      <c r="O84" s="196" t="inlineStr">
        <is>
          <t>MARCHIONI Lea [AAt]</t>
        </is>
      </c>
      <c r="P84" s="196" t="inlineStr">
        <is>
          <t>GAUTHIER Diego</t>
        </is>
      </c>
      <c r="Q84" s="196" t="inlineStr">
        <is>
          <t>BELLANDI Irene</t>
        </is>
      </c>
      <c r="R84" s="196" t="inlineStr">
        <is>
          <t>BELLANDI Giulia</t>
        </is>
      </c>
    </row>
    <row r="85" ht="15" customHeight="1">
      <c r="A85" s="141" t="n"/>
      <c r="B85" s="69" t="str">
        <f>IF('Calendario A'!B85="","",'Calendario A'!B85)</f>
        <v>PalaLupi, Via dello Sport 9, Lupiopoli LO</v>
      </c>
      <c r="C85" s="9" t="n"/>
      <c r="D85" s="9" t="n"/>
      <c r="E85" s="9" t="n"/>
      <c r="F85" s="9" t="n"/>
      <c r="G85" s="9" t="n"/>
      <c r="H85" s="10" t="n"/>
      <c r="I85" s="62" t="str">
        <f>IF('Calendario A'!I85="","",'Calendario A'!I85)</f>
        <v>A09</v>
      </c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</row>
    <row r="86" ht="14" customHeight="1">
      <c r="A86" s="58" t="inlineStr">
        <is>
          <t>Gara N.</t>
        </is>
      </c>
      <c r="B86" s="58" t="inlineStr">
        <is>
          <t>Squadra A</t>
        </is>
      </c>
      <c r="C86" s="10" t="n"/>
      <c r="D86" s="58" t="inlineStr">
        <is>
          <t>Squadra B</t>
        </is>
      </c>
      <c r="E86" s="10" t="n"/>
      <c r="F86" s="58" t="inlineStr">
        <is>
          <t>Giorno</t>
        </is>
      </c>
      <c r="G86" s="58" t="inlineStr">
        <is>
          <t>Data</t>
        </is>
      </c>
      <c r="H86" s="58" t="inlineStr">
        <is>
          <t>Ora</t>
        </is>
      </c>
      <c r="I86" s="10" t="n"/>
      <c r="J86" s="58" t="inlineStr">
        <is>
          <t>Risultato</t>
        </is>
      </c>
      <c r="K86" s="9" t="n"/>
      <c r="L86" s="10" t="n"/>
      <c r="M86" s="194" t="inlineStr">
        <is>
          <t>1o Arbitro</t>
        </is>
      </c>
      <c r="N86" s="194" t="inlineStr">
        <is>
          <t>2o Arbitro</t>
        </is>
      </c>
      <c r="O86" s="194" t="inlineStr">
        <is>
          <t>3o Arbitro/Tirocinante</t>
        </is>
      </c>
      <c r="P86" s="194" t="inlineStr">
        <is>
          <t>Referto</t>
        </is>
      </c>
      <c r="Q86" s="194" t="inlineStr">
        <is>
          <t>Cronometro</t>
        </is>
      </c>
      <c r="R86" s="194" t="inlineStr">
        <is>
          <t>Foglio Tiri</t>
        </is>
      </c>
    </row>
    <row r="87" ht="22" customHeight="1">
      <c r="A87" s="60">
        <f>IF('Calendario A'!A87="","",'Calendario A'!A87)</f>
        <v>24</v>
      </c>
      <c r="B87" s="61" t="str">
        <f>IF('Calendario A'!B87="","",'Calendario A'!B87)</f>
        <v>Gazzelle Gentili</v>
      </c>
      <c r="C87" s="62" t="str">
        <f>IF('Calendario A'!C87="","",'Calendario A'!C87)</f>
        <v>A07</v>
      </c>
      <c r="D87" s="61" t="str">
        <f>IF('Calendario A'!D87="","",'Calendario A'!D87)</f>
        <v>Cobra Celeri</v>
      </c>
      <c r="E87" s="62" t="str">
        <f>IF('Calendario A'!E87="","",'Calendario A'!E87)</f>
        <v>A03</v>
      </c>
      <c r="F87" s="63">
        <f>IF('Calendario A'!F87="","",'Calendario A'!F87)</f>
        <v>46341.666666666664</v>
      </c>
      <c r="G87" s="9" t="n"/>
      <c r="H87" s="9" t="n"/>
      <c r="I87" s="10" t="n"/>
      <c r="J87" s="195">
        <f>IF('Calendario A'!J87="","",'Calendario A'!J87)</f>
        <v>39</v>
      </c>
      <c r="K87" s="64" t="inlineStr">
        <is>
          <t>-</t>
        </is>
      </c>
      <c r="L87" s="195">
        <f>IF('Calendario A'!L87="","",'Calendario A'!L87)</f>
        <v>58</v>
      </c>
      <c r="M87" s="196" t="inlineStr">
        <is>
          <t>HORVAT Lea [A]</t>
        </is>
      </c>
      <c r="N87" s="196" t="inlineStr">
        <is>
          <t>MODIC Lukas [AAt]</t>
        </is>
      </c>
      <c r="O87" s="196" t="inlineStr">
        <is>
          <t>MODIC Chiara [AA]</t>
        </is>
      </c>
      <c r="P87" s="196" t="inlineStr">
        <is>
          <t>ZUPAN Paula</t>
        </is>
      </c>
      <c r="Q87" s="196" t="inlineStr">
        <is>
          <t>BELLANDI Giulia</t>
        </is>
      </c>
      <c r="R87" s="196" t="inlineStr">
        <is>
          <t>MARCHIONI Irene</t>
        </is>
      </c>
    </row>
    <row r="88" ht="15" customHeight="1">
      <c r="A88" s="141" t="n"/>
      <c r="B88" s="69" t="str">
        <f>IF('Calendario A'!B88="","",'Calendario A'!B88)</f>
        <v>PalaLupi, Via dello Sport 9, Lupiopoli LO</v>
      </c>
      <c r="C88" s="9" t="n"/>
      <c r="D88" s="9" t="n"/>
      <c r="E88" s="9" t="n"/>
      <c r="F88" s="9" t="n"/>
      <c r="G88" s="9" t="n"/>
      <c r="H88" s="10" t="n"/>
      <c r="I88" s="62" t="str">
        <f>IF('Calendario A'!I88="","",'Calendario A'!I88)</f>
        <v>A09</v>
      </c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</row>
    <row r="89" ht="14" customHeight="1">
      <c r="A89" s="58" t="inlineStr">
        <is>
          <t>Gara N.</t>
        </is>
      </c>
      <c r="B89" s="58" t="inlineStr">
        <is>
          <t>Squadra A</t>
        </is>
      </c>
      <c r="C89" s="10" t="n"/>
      <c r="D89" s="58" t="inlineStr">
        <is>
          <t>Squadra B</t>
        </is>
      </c>
      <c r="E89" s="10" t="n"/>
      <c r="F89" s="58" t="inlineStr">
        <is>
          <t>Giorno</t>
        </is>
      </c>
      <c r="G89" s="58" t="inlineStr">
        <is>
          <t>Data</t>
        </is>
      </c>
      <c r="H89" s="58" t="inlineStr">
        <is>
          <t>Ora</t>
        </is>
      </c>
      <c r="I89" s="10" t="n"/>
      <c r="J89" s="58" t="inlineStr">
        <is>
          <t>Risultato</t>
        </is>
      </c>
      <c r="K89" s="9" t="n"/>
      <c r="L89" s="10" t="n"/>
      <c r="M89" s="194" t="inlineStr">
        <is>
          <t>1o Arbitro</t>
        </is>
      </c>
      <c r="N89" s="194" t="inlineStr">
        <is>
          <t>2o Arbitro</t>
        </is>
      </c>
      <c r="O89" s="194" t="inlineStr">
        <is>
          <t>3o Arbitro/Tirocinante</t>
        </is>
      </c>
      <c r="P89" s="194" t="inlineStr">
        <is>
          <t>Referto</t>
        </is>
      </c>
      <c r="Q89" s="194" t="inlineStr">
        <is>
          <t>Cronometro</t>
        </is>
      </c>
      <c r="R89" s="194" t="inlineStr">
        <is>
          <t>Foglio Tiri</t>
        </is>
      </c>
    </row>
    <row r="90" ht="22" customHeight="1">
      <c r="A90" s="60">
        <f>IF('Calendario A'!A90="","",'Calendario A'!A90)</f>
        <v>25</v>
      </c>
      <c r="B90" s="61" t="str">
        <f>IF('Calendario A'!B90="","",'Calendario A'!B90)</f>
        <v>Bufali Belligeranti</v>
      </c>
      <c r="C90" s="62" t="str">
        <f>IF('Calendario A'!C90="","",'Calendario A'!C90)</f>
        <v>A02</v>
      </c>
      <c r="D90" s="61" t="str">
        <f>IF('Calendario A'!D90="","",'Calendario A'!D90)</f>
        <v>Ibis Instancabili</v>
      </c>
      <c r="E90" s="62" t="str">
        <f>IF('Calendario A'!E90="","",'Calendario A'!E90)</f>
        <v>A08</v>
      </c>
      <c r="F90" s="63">
        <f>IF('Calendario A'!F90="","",'Calendario A'!F90)</f>
        <v>46341.729166666664</v>
      </c>
      <c r="G90" s="9" t="n"/>
      <c r="H90" s="9" t="n"/>
      <c r="I90" s="10" t="n"/>
      <c r="J90" s="195">
        <f>IF('Calendario A'!J90="","",'Calendario A'!J90)</f>
        <v>26</v>
      </c>
      <c r="K90" s="64" t="inlineStr">
        <is>
          <t>-</t>
        </is>
      </c>
      <c r="L90" s="195">
        <f>IF('Calendario A'!L90="","",'Calendario A'!L90)</f>
        <v>49</v>
      </c>
      <c r="M90" s="196" t="inlineStr">
        <is>
          <t>AUBERT Filippo [AA]</t>
        </is>
      </c>
      <c r="N90" s="196" t="inlineStr">
        <is>
          <t>SCHAFER Giulia [AA]</t>
        </is>
      </c>
      <c r="O90" s="196" t="inlineStr">
        <is>
          <t>PRADO Eva [AAt]</t>
        </is>
      </c>
      <c r="P90" s="196" t="inlineStr">
        <is>
          <t>ZUPAN Paula</t>
        </is>
      </c>
      <c r="Q90" s="196" t="inlineStr">
        <is>
          <t>BLANCO Elena</t>
        </is>
      </c>
      <c r="R90" s="196" t="inlineStr">
        <is>
          <t>FUENTES Lukas</t>
        </is>
      </c>
    </row>
    <row r="91" ht="15" customHeight="1">
      <c r="A91" s="141" t="n"/>
      <c r="B91" s="69" t="str">
        <f>IF('Calendario A'!B91="","",'Calendario A'!B91)</f>
        <v>PalaLupi, Via dello Sport 9, Lupiopoli LO</v>
      </c>
      <c r="C91" s="9" t="n"/>
      <c r="D91" s="9" t="n"/>
      <c r="E91" s="9" t="n"/>
      <c r="F91" s="9" t="n"/>
      <c r="G91" s="9" t="n"/>
      <c r="H91" s="10" t="n"/>
      <c r="I91" s="62" t="str">
        <f>IF('Calendario A'!I91="","",'Calendario A'!I91)</f>
        <v>A09</v>
      </c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</row>
    <row r="93" ht="20" customHeight="1">
      <c r="A93" s="55" t="str">
        <f>IF('Calendario A'!A93="","",'Calendario A'!A93)</f>
        <v>6A</v>
      </c>
      <c r="B93" s="56" t="str">
        <f>IF('Calendario A'!B93="","",'Calendario A'!B93)</f>
        <v>GIORNATA VI - GIRONE GOLD</v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  <c r="M93" s="193" t="inlineStr">
        <is>
          <t>ARBITRI</t>
        </is>
      </c>
      <c r="N93" s="9" t="n"/>
      <c r="O93" s="10" t="n"/>
      <c r="P93" s="193" t="inlineStr">
        <is>
          <t>UFFICIALI DI CAMPO</t>
        </is>
      </c>
      <c r="Q93" s="9" t="n"/>
      <c r="R93" s="10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>26</v>
      </c>
      <c r="B95" s="61" t="str">
        <f>IF('Calendario A'!B95="","",'Calendario A'!B95)</f>
        <v>Bufali Belligeranti</v>
      </c>
      <c r="C95" s="62" t="str">
        <f>IF('Calendario A'!C95="","",'Calendario A'!C95)</f>
        <v>A02</v>
      </c>
      <c r="D95" s="61" t="str">
        <f>IF('Calendario A'!D95="","",'Calendario A'!D95)</f>
        <v>Anaconde Audaci</v>
      </c>
      <c r="E95" s="62" t="str">
        <f>IF('Calendario A'!E95="","",'Calendario A'!E95)</f>
        <v>A01</v>
      </c>
      <c r="F95" s="63">
        <f>IF('Calendario A'!F95="","",'Calendario A'!F95)</f>
        <v>46348.395833333336</v>
      </c>
      <c r="G95" s="9" t="n"/>
      <c r="H95" s="9" t="n"/>
      <c r="I95" s="10" t="n"/>
      <c r="J95" s="195">
        <f>IF('Calendario A'!J95="","",'Calendario A'!J95)</f>
        <v>54</v>
      </c>
      <c r="K95" s="64" t="inlineStr">
        <is>
          <t>-</t>
        </is>
      </c>
      <c r="L95" s="195">
        <f>IF('Calendario A'!L95="","",'Calendario A'!L95)</f>
        <v>69</v>
      </c>
      <c r="M95" s="196" t="inlineStr">
        <is>
          <t>SOLER Stefano [A]</t>
        </is>
      </c>
      <c r="N95" s="196" t="inlineStr">
        <is>
          <t>ROSSINI Irene [AA]</t>
        </is>
      </c>
      <c r="O95" s="196" t="inlineStr">
        <is>
          <t>KRUGER Sofia [A]</t>
        </is>
      </c>
      <c r="P95" s="196" t="inlineStr">
        <is>
          <t>VIDMAR Ilaria</t>
        </is>
      </c>
      <c r="Q95" s="196" t="inlineStr">
        <is>
          <t>ZUPAN Noemi</t>
        </is>
      </c>
      <c r="R95" s="196" t="inlineStr">
        <is>
          <t>GAUTHIER Filippo</t>
        </is>
      </c>
    </row>
    <row r="96" ht="15" customHeight="1">
      <c r="A96" s="141" t="n"/>
      <c r="B96" s="69" t="str">
        <f>IF('Calendario A'!B96="","",'Calendario A'!B96)</f>
        <v>PalaAnaconde, Via dello Sport 1, Anacondeopoli AA</v>
      </c>
      <c r="C96" s="9" t="n"/>
      <c r="D96" s="9" t="n"/>
      <c r="E96" s="9" t="n"/>
      <c r="F96" s="9" t="n"/>
      <c r="G96" s="9" t="n"/>
      <c r="H96" s="10" t="n"/>
      <c r="I96" s="62" t="str">
        <f>IF('Calendario A'!I96="","",'Calendario A'!I96)</f>
        <v>A01</v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>27</v>
      </c>
      <c r="B98" s="61" t="str">
        <f>IF('Calendario A'!B98="","",'Calendario A'!B98)</f>
        <v>Marmotte Mobili</v>
      </c>
      <c r="C98" s="62" t="str">
        <f>IF('Calendario A'!C98="","",'Calendario A'!C98)</f>
        <v>A10</v>
      </c>
      <c r="D98" s="61" t="str">
        <f>IF('Calendario A'!D98="","",'Calendario A'!D98)</f>
        <v>Falchi Feroci</v>
      </c>
      <c r="E98" s="62" t="str">
        <f>IF('Calendario A'!E98="","",'Calendario A'!E98)</f>
        <v>A06</v>
      </c>
      <c r="F98" s="63">
        <f>IF('Calendario A'!F98="","",'Calendario A'!F98)</f>
        <v>46348.458333333336</v>
      </c>
      <c r="G98" s="9" t="n"/>
      <c r="H98" s="9" t="n"/>
      <c r="I98" s="10" t="n"/>
      <c r="J98" s="195">
        <f>IF('Calendario A'!J98="","",'Calendario A'!J98)</f>
        <v>60</v>
      </c>
      <c r="K98" s="64" t="inlineStr">
        <is>
          <t>-</t>
        </is>
      </c>
      <c r="L98" s="195">
        <f>IF('Calendario A'!L98="","",'Calendario A'!L98)</f>
        <v>77</v>
      </c>
      <c r="M98" s="196" t="inlineStr">
        <is>
          <t>ROSSINI Irene [AA]</t>
        </is>
      </c>
      <c r="N98" s="196" t="inlineStr">
        <is>
          <t>KRUGER Sofia [A]</t>
        </is>
      </c>
      <c r="O98" s="196" t="inlineStr">
        <is>
          <t>SANTORI Sofia [AA]</t>
        </is>
      </c>
      <c r="P98" s="196" t="inlineStr">
        <is>
          <t>WEBER Lea</t>
        </is>
      </c>
      <c r="Q98" s="196" t="inlineStr">
        <is>
          <t>SOLER Stefano</t>
        </is>
      </c>
      <c r="R98" s="196" t="inlineStr">
        <is>
          <t>WEBER Matteo</t>
        </is>
      </c>
    </row>
    <row r="99" ht="15" customHeight="1">
      <c r="A99" s="141" t="n"/>
      <c r="B99" s="69" t="str">
        <f>IF('Calendario A'!B99="","",'Calendario A'!B99)</f>
        <v>PalaAnaconde, Via dello Sport 1, Anacondeopoli AA</v>
      </c>
      <c r="C99" s="9" t="n"/>
      <c r="D99" s="9" t="n"/>
      <c r="E99" s="9" t="n"/>
      <c r="F99" s="9" t="n"/>
      <c r="G99" s="9" t="n"/>
      <c r="H99" s="10" t="n"/>
      <c r="I99" s="62" t="str">
        <f>IF('Calendario A'!I99="","",'Calendario A'!I99)</f>
        <v>A01</v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>28</v>
      </c>
      <c r="B101" s="61" t="str">
        <f>IF('Calendario A'!B101="","",'Calendario A'!B101)</f>
        <v>Gazzelle Gentili</v>
      </c>
      <c r="C101" s="62" t="str">
        <f>IF('Calendario A'!C101="","",'Calendario A'!C101)</f>
        <v>A07</v>
      </c>
      <c r="D101" s="61" t="str">
        <f>IF('Calendario A'!D101="","",'Calendario A'!D101)</f>
        <v>Ermellini Eleganti</v>
      </c>
      <c r="E101" s="62" t="str">
        <f>IF('Calendario A'!E101="","",'Calendario A'!E101)</f>
        <v>A05</v>
      </c>
      <c r="F101" s="63">
        <f>IF('Calendario A'!F101="","",'Calendario A'!F101)</f>
        <v>46348.604166666664</v>
      </c>
      <c r="G101" s="9" t="n"/>
      <c r="H101" s="9" t="n"/>
      <c r="I101" s="10" t="n"/>
      <c r="J101" s="195">
        <f>IF('Calendario A'!J101="","",'Calendario A'!J101)</f>
        <v>41</v>
      </c>
      <c r="K101" s="64" t="inlineStr">
        <is>
          <t>-</t>
        </is>
      </c>
      <c r="L101" s="195">
        <f>IF('Calendario A'!L101="","",'Calendario A'!L101)</f>
        <v>49</v>
      </c>
      <c r="M101" s="196" t="inlineStr">
        <is>
          <t>HORVAT Lea [A]</t>
        </is>
      </c>
      <c r="N101" s="196" t="inlineStr">
        <is>
          <t>ROMERO Elena [A]</t>
        </is>
      </c>
      <c r="O101" s="196" t="inlineStr">
        <is>
          <t>LEROUX Lea [Aest]</t>
        </is>
      </c>
      <c r="P101" s="196" t="inlineStr">
        <is>
          <t>BELLANDI Giulia</t>
        </is>
      </c>
      <c r="Q101" s="196" t="inlineStr">
        <is>
          <t>ORTEGA Alenka</t>
        </is>
      </c>
      <c r="R101" s="196" t="inlineStr">
        <is>
          <t>BLANCO Elena</t>
        </is>
      </c>
    </row>
    <row r="102" ht="15" customHeight="1">
      <c r="A102" s="141" t="n"/>
      <c r="B102" s="69" t="str">
        <f>IF('Calendario A'!B102="","",'Calendario A'!B102)</f>
        <v>PalaAnaconde, Via dello Sport 1, Anacondeopoli AA</v>
      </c>
      <c r="C102" s="9" t="n"/>
      <c r="D102" s="9" t="n"/>
      <c r="E102" s="9" t="n"/>
      <c r="F102" s="9" t="n"/>
      <c r="G102" s="9" t="n"/>
      <c r="H102" s="10" t="n"/>
      <c r="I102" s="62" t="str">
        <f>IF('Calendario A'!I102="","",'Calendario A'!I102)</f>
        <v>A01</v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3" ht="14" customHeight="1">
      <c r="A103" s="58" t="inlineStr">
        <is>
          <t>Gara N.</t>
        </is>
      </c>
      <c r="B103" s="58" t="inlineStr">
        <is>
          <t>Squadra A</t>
        </is>
      </c>
      <c r="C103" s="10" t="n"/>
      <c r="D103" s="58" t="inlineStr">
        <is>
          <t>Squadra B</t>
        </is>
      </c>
      <c r="E103" s="10" t="n"/>
      <c r="F103" s="58" t="inlineStr">
        <is>
          <t>Giorno</t>
        </is>
      </c>
      <c r="G103" s="58" t="inlineStr">
        <is>
          <t>Data</t>
        </is>
      </c>
      <c r="H103" s="58" t="inlineStr">
        <is>
          <t>Ora</t>
        </is>
      </c>
      <c r="I103" s="10" t="n"/>
      <c r="J103" s="58" t="inlineStr">
        <is>
          <t>Risultato</t>
        </is>
      </c>
      <c r="K103" s="9" t="n"/>
      <c r="L103" s="10" t="n"/>
      <c r="M103" s="194" t="inlineStr">
        <is>
          <t>1o Arbitro</t>
        </is>
      </c>
      <c r="N103" s="194" t="inlineStr">
        <is>
          <t>2o Arbitro</t>
        </is>
      </c>
      <c r="O103" s="194" t="inlineStr">
        <is>
          <t>3o Arbitro/Tirocinante</t>
        </is>
      </c>
      <c r="P103" s="194" t="inlineStr">
        <is>
          <t>Referto</t>
        </is>
      </c>
      <c r="Q103" s="194" t="inlineStr">
        <is>
          <t>Cronometro</t>
        </is>
      </c>
      <c r="R103" s="194" t="inlineStr">
        <is>
          <t>Foglio Tiri</t>
        </is>
      </c>
    </row>
    <row r="104" ht="22" customHeight="1">
      <c r="A104" s="60">
        <f>IF('Calendario A'!A104="","",'Calendario A'!A104)</f>
        <v>29</v>
      </c>
      <c r="B104" s="61" t="str">
        <f>IF('Calendario A'!B104="","",'Calendario A'!B104)</f>
        <v>Dingo Docili</v>
      </c>
      <c r="C104" s="62" t="str">
        <f>IF('Calendario A'!C104="","",'Calendario A'!C104)</f>
        <v>A04</v>
      </c>
      <c r="D104" s="61" t="str">
        <f>IF('Calendario A'!D104="","",'Calendario A'!D104)</f>
        <v>Ibis Instancabili</v>
      </c>
      <c r="E104" s="62" t="str">
        <f>IF('Calendario A'!E104="","",'Calendario A'!E104)</f>
        <v>A08</v>
      </c>
      <c r="F104" s="63">
        <f>IF('Calendario A'!F104="","",'Calendario A'!F104)</f>
        <v>46348.666666666664</v>
      </c>
      <c r="G104" s="9" t="n"/>
      <c r="H104" s="9" t="n"/>
      <c r="I104" s="10" t="n"/>
      <c r="J104" s="195">
        <f>IF('Calendario A'!J104="","",'Calendario A'!J104)</f>
        <v>45</v>
      </c>
      <c r="K104" s="64" t="inlineStr">
        <is>
          <t>-</t>
        </is>
      </c>
      <c r="L104" s="195">
        <f>IF('Calendario A'!L104="","",'Calendario A'!L104)</f>
        <v>24</v>
      </c>
      <c r="M104" s="196" t="inlineStr">
        <is>
          <t>FOURNIER Tommaso [AA]</t>
        </is>
      </c>
      <c r="N104" s="196" t="inlineStr">
        <is>
          <t>NAVARRO Matteo [AA]</t>
        </is>
      </c>
      <c r="O104" s="196" t="inlineStr">
        <is>
          <t>MARCHIONI Matteo [AAt]</t>
        </is>
      </c>
      <c r="P104" s="196" t="inlineStr">
        <is>
          <t>BLANCHET Matteo</t>
        </is>
      </c>
      <c r="Q104" s="196" t="inlineStr">
        <is>
          <t>WEBER Ilaria</t>
        </is>
      </c>
      <c r="R104" s="196" t="inlineStr">
        <is>
          <t>BLANCO Elena</t>
        </is>
      </c>
    </row>
    <row r="105" ht="15" customHeight="1">
      <c r="A105" s="141" t="n"/>
      <c r="B105" s="69" t="str">
        <f>IF('Calendario A'!B105="","",'Calendario A'!B105)</f>
        <v>PalaAnaconde, Via dello Sport 1, Anacondeopoli AA</v>
      </c>
      <c r="C105" s="9" t="n"/>
      <c r="D105" s="9" t="n"/>
      <c r="E105" s="9" t="n"/>
      <c r="F105" s="9" t="n"/>
      <c r="G105" s="9" t="n"/>
      <c r="H105" s="10" t="n"/>
      <c r="I105" s="62" t="str">
        <f>IF('Calendario A'!I105="","",'Calendario A'!I105)</f>
        <v>A01</v>
      </c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</row>
    <row r="106" ht="14" customHeight="1">
      <c r="A106" s="58" t="inlineStr">
        <is>
          <t>Gara N.</t>
        </is>
      </c>
      <c r="B106" s="58" t="inlineStr">
        <is>
          <t>Squadra A</t>
        </is>
      </c>
      <c r="C106" s="10" t="n"/>
      <c r="D106" s="58" t="inlineStr">
        <is>
          <t>Squadra B</t>
        </is>
      </c>
      <c r="E106" s="10" t="n"/>
      <c r="F106" s="58" t="inlineStr">
        <is>
          <t>Giorno</t>
        </is>
      </c>
      <c r="G106" s="58" t="inlineStr">
        <is>
          <t>Data</t>
        </is>
      </c>
      <c r="H106" s="58" t="inlineStr">
        <is>
          <t>Ora</t>
        </is>
      </c>
      <c r="I106" s="10" t="n"/>
      <c r="J106" s="58" t="inlineStr">
        <is>
          <t>Risultato</t>
        </is>
      </c>
      <c r="K106" s="9" t="n"/>
      <c r="L106" s="10" t="n"/>
      <c r="M106" s="194" t="inlineStr">
        <is>
          <t>1o Arbitro</t>
        </is>
      </c>
      <c r="N106" s="194" t="inlineStr">
        <is>
          <t>2o Arbitro</t>
        </is>
      </c>
      <c r="O106" s="194" t="inlineStr">
        <is>
          <t>3o Arbitro/Tirocinante</t>
        </is>
      </c>
      <c r="P106" s="194" t="inlineStr">
        <is>
          <t>Referto</t>
        </is>
      </c>
      <c r="Q106" s="194" t="inlineStr">
        <is>
          <t>Cronometro</t>
        </is>
      </c>
      <c r="R106" s="194" t="inlineStr">
        <is>
          <t>Foglio Tiri</t>
        </is>
      </c>
    </row>
    <row r="107" ht="22" customHeight="1">
      <c r="A107" s="60">
        <f>IF('Calendario A'!A107="","",'Calendario A'!A107)</f>
        <v>30</v>
      </c>
      <c r="B107" s="61" t="str">
        <f>IF('Calendario A'!B107="","",'Calendario A'!B107)</f>
        <v>Lupi Leali</v>
      </c>
      <c r="C107" s="62" t="str">
        <f>IF('Calendario A'!C107="","",'Calendario A'!C107)</f>
        <v>A09</v>
      </c>
      <c r="D107" s="61" t="str">
        <f>IF('Calendario A'!D107="","",'Calendario A'!D107)</f>
        <v>Cobra Celeri</v>
      </c>
      <c r="E107" s="62" t="str">
        <f>IF('Calendario A'!E107="","",'Calendario A'!E107)</f>
        <v>A03</v>
      </c>
      <c r="F107" s="63">
        <f>IF('Calendario A'!F107="","",'Calendario A'!F107)</f>
        <v>46348.729166666664</v>
      </c>
      <c r="G107" s="9" t="n"/>
      <c r="H107" s="9" t="n"/>
      <c r="I107" s="10" t="n"/>
      <c r="J107" s="195">
        <f>IF('Calendario A'!J107="","",'Calendario A'!J107)</f>
        <v>75</v>
      </c>
      <c r="K107" s="64" t="inlineStr">
        <is>
          <t>-</t>
        </is>
      </c>
      <c r="L107" s="195">
        <f>IF('Calendario A'!L107="","",'Calendario A'!L107)</f>
        <v>59</v>
      </c>
      <c r="M107" s="196" t="inlineStr">
        <is>
          <t>NAVARRO Matteo [AA]</t>
        </is>
      </c>
      <c r="N107" s="196" t="inlineStr">
        <is>
          <t>IGLESIAS Jonas [AAt]</t>
        </is>
      </c>
      <c r="O107" s="196" t="inlineStr">
        <is>
          <t>BRANDT Stefano [AAt]</t>
        </is>
      </c>
      <c r="P107" s="196" t="inlineStr">
        <is>
          <t>SOLER Pablo</t>
        </is>
      </c>
      <c r="Q107" s="196" t="inlineStr">
        <is>
          <t>BELLANDI Irene</t>
        </is>
      </c>
      <c r="R107" s="196" t="inlineStr">
        <is>
          <t>LEFEVRE Filippo</t>
        </is>
      </c>
    </row>
    <row r="108" ht="15" customHeight="1">
      <c r="A108" s="141" t="n"/>
      <c r="B108" s="69" t="str">
        <f>IF('Calendario A'!B108="","",'Calendario A'!B108)</f>
        <v>PalaAnaconde, Via dello Sport 1, Anacondeopoli AA</v>
      </c>
      <c r="C108" s="9" t="n"/>
      <c r="D108" s="9" t="n"/>
      <c r="E108" s="9" t="n"/>
      <c r="F108" s="9" t="n"/>
      <c r="G108" s="9" t="n"/>
      <c r="H108" s="10" t="n"/>
      <c r="I108" s="62" t="str">
        <f>IF('Calendario A'!I108="","",'Calendario A'!I108)</f>
        <v>A01</v>
      </c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</row>
    <row r="110" ht="20" customHeight="1">
      <c r="A110" s="55" t="str">
        <f>IF('Calendario A'!A110="","",'Calendario A'!A110)</f>
        <v>7A</v>
      </c>
      <c r="B110" s="56" t="str">
        <f>IF('Calendario A'!B110="","",'Calendario A'!B110)</f>
        <v>GIORNATA VII - GIRONE GOLD</v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  <c r="M110" s="193" t="inlineStr">
        <is>
          <t>ARBITRI</t>
        </is>
      </c>
      <c r="N110" s="9" t="n"/>
      <c r="O110" s="10" t="n"/>
      <c r="P110" s="193" t="inlineStr">
        <is>
          <t>UFFICIALI DI CAMPO</t>
        </is>
      </c>
      <c r="Q110" s="9" t="n"/>
      <c r="R110" s="10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>31</v>
      </c>
      <c r="B112" s="61" t="str">
        <f>IF('Calendario A'!B112="","",'Calendario A'!B112)</f>
        <v>Bufali Belligeranti</v>
      </c>
      <c r="C112" s="62" t="str">
        <f>IF('Calendario A'!C112="","",'Calendario A'!C112)</f>
        <v>A02</v>
      </c>
      <c r="D112" s="61" t="str">
        <f>IF('Calendario A'!D112="","",'Calendario A'!D112)</f>
        <v>Cobra Celeri</v>
      </c>
      <c r="E112" s="62" t="str">
        <f>IF('Calendario A'!E112="","",'Calendario A'!E112)</f>
        <v>A03</v>
      </c>
      <c r="F112" s="63">
        <f>IF('Calendario A'!F112="","",'Calendario A'!F112)</f>
        <v>46355.395833333336</v>
      </c>
      <c r="G112" s="9" t="n"/>
      <c r="H112" s="9" t="n"/>
      <c r="I112" s="10" t="n"/>
      <c r="J112" s="195">
        <f>IF('Calendario A'!J112="","",'Calendario A'!J112)</f>
        <v>53</v>
      </c>
      <c r="K112" s="64" t="inlineStr">
        <is>
          <t>-</t>
        </is>
      </c>
      <c r="L112" s="195">
        <f>IF('Calendario A'!L112="","",'Calendario A'!L112)</f>
        <v>48</v>
      </c>
      <c r="M112" s="196" t="inlineStr">
        <is>
          <t>KELLER Andrea [Aest]</t>
        </is>
      </c>
      <c r="N112" s="196" t="inlineStr">
        <is>
          <t>MODIC Katrin [A]</t>
        </is>
      </c>
      <c r="O112" s="196" t="inlineStr">
        <is>
          <t>ENGEL Gaelle [AAt]</t>
        </is>
      </c>
      <c r="P112" s="196" t="inlineStr">
        <is>
          <t>BLANCHET Luca</t>
        </is>
      </c>
      <c r="Q112" s="196" t="inlineStr">
        <is>
          <t>FOURNIER Lucia</t>
        </is>
      </c>
      <c r="R112" s="196" t="inlineStr">
        <is>
          <t>ORTEGA Alenka</t>
        </is>
      </c>
    </row>
    <row r="113" ht="15" customHeight="1">
      <c r="A113" s="141" t="n"/>
      <c r="B113" s="69" t="str">
        <f>IF('Calendario A'!B113="","",'Calendario A'!B113)</f>
        <v>PalaCobra, Via dello Sport 3, Cobraopoli CI</v>
      </c>
      <c r="C113" s="9" t="n"/>
      <c r="D113" s="9" t="n"/>
      <c r="E113" s="9" t="n"/>
      <c r="F113" s="9" t="n"/>
      <c r="G113" s="9" t="n"/>
      <c r="H113" s="10" t="n"/>
      <c r="I113" s="62" t="str">
        <f>IF('Calendario A'!I113="","",'Calendario A'!I113)</f>
        <v>A03</v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>32</v>
      </c>
      <c r="B115" s="61" t="str">
        <f>IF('Calendario A'!B115="","",'Calendario A'!B115)</f>
        <v>Gazzelle Gentili</v>
      </c>
      <c r="C115" s="62" t="str">
        <f>IF('Calendario A'!C115="","",'Calendario A'!C115)</f>
        <v>A07</v>
      </c>
      <c r="D115" s="61" t="str">
        <f>IF('Calendario A'!D115="","",'Calendario A'!D115)</f>
        <v>Marmotte Mobili</v>
      </c>
      <c r="E115" s="62" t="str">
        <f>IF('Calendario A'!E115="","",'Calendario A'!E115)</f>
        <v>A10</v>
      </c>
      <c r="F115" s="63">
        <f>IF('Calendario A'!F115="","",'Calendario A'!F115)</f>
        <v>46355.458333333336</v>
      </c>
      <c r="G115" s="9" t="n"/>
      <c r="H115" s="9" t="n"/>
      <c r="I115" s="10" t="n"/>
      <c r="J115" s="195">
        <f>IF('Calendario A'!J115="","",'Calendario A'!J115)</f>
        <v>33</v>
      </c>
      <c r="K115" s="64" t="inlineStr">
        <is>
          <t>-</t>
        </is>
      </c>
      <c r="L115" s="195">
        <f>IF('Calendario A'!L115="","",'Calendario A'!L115)</f>
        <v>52</v>
      </c>
      <c r="M115" s="196" t="inlineStr">
        <is>
          <t>SANTORI Sofia [AA]</t>
        </is>
      </c>
      <c r="N115" s="196" t="inlineStr">
        <is>
          <t>BLANCHET Anja [AA]</t>
        </is>
      </c>
      <c r="O115" s="196" t="inlineStr">
        <is>
          <t>CAMPOS Miha [Aest]</t>
        </is>
      </c>
      <c r="P115" s="196" t="inlineStr">
        <is>
          <t>MARCHIONI Miha</t>
        </is>
      </c>
      <c r="Q115" s="196" t="inlineStr">
        <is>
          <t>SOLER Stefano</t>
        </is>
      </c>
      <c r="R115" s="196" t="inlineStr">
        <is>
          <t>BELLANDI Giulia</t>
        </is>
      </c>
    </row>
    <row r="116" ht="15" customHeight="1">
      <c r="A116" s="141" t="n"/>
      <c r="B116" s="69" t="str">
        <f>IF('Calendario A'!B116="","",'Calendario A'!B116)</f>
        <v>PalaCobra, Via dello Sport 3, Cobraopoli CI</v>
      </c>
      <c r="C116" s="9" t="n"/>
      <c r="D116" s="9" t="n"/>
      <c r="E116" s="9" t="n"/>
      <c r="F116" s="9" t="n"/>
      <c r="G116" s="9" t="n"/>
      <c r="H116" s="10" t="n"/>
      <c r="I116" s="62" t="str">
        <f>IF('Calendario A'!I116="","",'Calendario A'!I116)</f>
        <v>A03</v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>33</v>
      </c>
      <c r="B118" s="61" t="str">
        <f>IF('Calendario A'!B118="","",'Calendario A'!B118)</f>
        <v>Falchi Feroci</v>
      </c>
      <c r="C118" s="62" t="str">
        <f>IF('Calendario A'!C118="","",'Calendario A'!C118)</f>
        <v>A06</v>
      </c>
      <c r="D118" s="61" t="str">
        <f>IF('Calendario A'!D118="","",'Calendario A'!D118)</f>
        <v>Ibis Instancabili</v>
      </c>
      <c r="E118" s="62" t="str">
        <f>IF('Calendario A'!E118="","",'Calendario A'!E118)</f>
        <v>A08</v>
      </c>
      <c r="F118" s="63">
        <f>IF('Calendario A'!F118="","",'Calendario A'!F118)</f>
        <v>46355.604166666664</v>
      </c>
      <c r="G118" s="9" t="n"/>
      <c r="H118" s="9" t="n"/>
      <c r="I118" s="10" t="n"/>
      <c r="J118" s="195">
        <f>IF('Calendario A'!J118="","",'Calendario A'!J118)</f>
        <v>50</v>
      </c>
      <c r="K118" s="64" t="inlineStr">
        <is>
          <t>-</t>
        </is>
      </c>
      <c r="L118" s="195">
        <f>IF('Calendario A'!L118="","",'Calendario A'!L118)</f>
        <v>38</v>
      </c>
      <c r="M118" s="196" t="inlineStr">
        <is>
          <t>MODIC Chiara [AA]</t>
        </is>
      </c>
      <c r="N118" s="196" t="inlineStr">
        <is>
          <t>ROSSINI Irene [AA]</t>
        </is>
      </c>
      <c r="O118" s="196" t="inlineStr">
        <is>
          <t>LANGER Marta [A]</t>
        </is>
      </c>
      <c r="P118" s="196" t="inlineStr">
        <is>
          <t>ORTEGA Alenka</t>
        </is>
      </c>
      <c r="Q118" s="196" t="inlineStr">
        <is>
          <t>FERRANTE Andrea</t>
        </is>
      </c>
      <c r="R118" s="196" t="inlineStr">
        <is>
          <t>SEVER Greta</t>
        </is>
      </c>
    </row>
    <row r="119" ht="15" customHeight="1">
      <c r="A119" s="141" t="n"/>
      <c r="B119" s="69" t="str">
        <f>IF('Calendario A'!B119="","",'Calendario A'!B119)</f>
        <v>PalaCobra, Via dello Sport 3, Cobraopoli CI</v>
      </c>
      <c r="C119" s="9" t="n"/>
      <c r="D119" s="9" t="n"/>
      <c r="E119" s="9" t="n"/>
      <c r="F119" s="9" t="n"/>
      <c r="G119" s="9" t="n"/>
      <c r="H119" s="10" t="n"/>
      <c r="I119" s="62" t="str">
        <f>IF('Calendario A'!I119="","",'Calendario A'!I119)</f>
        <v>A03</v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>34</v>
      </c>
      <c r="B121" s="61" t="str">
        <f>IF('Calendario A'!B121="","",'Calendario A'!B121)</f>
        <v>Lupi Leali</v>
      </c>
      <c r="C121" s="62" t="str">
        <f>IF('Calendario A'!C121="","",'Calendario A'!C121)</f>
        <v>A09</v>
      </c>
      <c r="D121" s="61" t="str">
        <f>IF('Calendario A'!D121="","",'Calendario A'!D121)</f>
        <v>Ermellini Eleganti</v>
      </c>
      <c r="E121" s="62" t="str">
        <f>IF('Calendario A'!E121="","",'Calendario A'!E121)</f>
        <v>A05</v>
      </c>
      <c r="F121" s="63">
        <f>IF('Calendario A'!F121="","",'Calendario A'!F121)</f>
        <v>46355.666666666664</v>
      </c>
      <c r="G121" s="9" t="n"/>
      <c r="H121" s="9" t="n"/>
      <c r="I121" s="10" t="n"/>
      <c r="J121" s="195">
        <f>IF('Calendario A'!J121="","",'Calendario A'!J121)</f>
        <v>54</v>
      </c>
      <c r="K121" s="64" t="inlineStr">
        <is>
          <t>-</t>
        </is>
      </c>
      <c r="L121" s="195">
        <f>IF('Calendario A'!L121="","",'Calendario A'!L121)</f>
        <v>35</v>
      </c>
      <c r="M121" s="196" t="inlineStr">
        <is>
          <t>MARCHIONI Matteo [AAt]</t>
        </is>
      </c>
      <c r="N121" s="196" t="inlineStr">
        <is>
          <t>MODIC Katrin [A]</t>
        </is>
      </c>
      <c r="O121" s="196" t="inlineStr">
        <is>
          <t>LEROUX Lea [Aest]</t>
        </is>
      </c>
      <c r="P121" s="196" t="inlineStr">
        <is>
          <t>BLANCHET Luca</t>
        </is>
      </c>
      <c r="Q121" s="196" t="inlineStr">
        <is>
          <t>WEBER Ilaria</t>
        </is>
      </c>
      <c r="R121" s="196" t="inlineStr">
        <is>
          <t>BELLANDI Irene</t>
        </is>
      </c>
    </row>
    <row r="122" ht="15" customHeight="1">
      <c r="A122" s="141" t="n"/>
      <c r="B122" s="69" t="str">
        <f>IF('Calendario A'!B122="","",'Calendario A'!B122)</f>
        <v>PalaCobra, Via dello Sport 3, Cobraopoli CI</v>
      </c>
      <c r="C122" s="9" t="n"/>
      <c r="D122" s="9" t="n"/>
      <c r="E122" s="9" t="n"/>
      <c r="F122" s="9" t="n"/>
      <c r="G122" s="9" t="n"/>
      <c r="H122" s="10" t="n"/>
      <c r="I122" s="62" t="str">
        <f>IF('Calendario A'!I122="","",'Calendario A'!I122)</f>
        <v>A03</v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>35</v>
      </c>
      <c r="B124" s="61" t="str">
        <f>IF('Calendario A'!B124="","",'Calendario A'!B124)</f>
        <v>Dingo Docili</v>
      </c>
      <c r="C124" s="62" t="str">
        <f>IF('Calendario A'!C124="","",'Calendario A'!C124)</f>
        <v>A04</v>
      </c>
      <c r="D124" s="61" t="str">
        <f>IF('Calendario A'!D124="","",'Calendario A'!D124)</f>
        <v>Anaconde Audaci</v>
      </c>
      <c r="E124" s="62" t="str">
        <f>IF('Calendario A'!E124="","",'Calendario A'!E124)</f>
        <v>A01</v>
      </c>
      <c r="F124" s="63">
        <f>IF('Calendario A'!F124="","",'Calendario A'!F124)</f>
        <v>46355.729166666664</v>
      </c>
      <c r="G124" s="9" t="n"/>
      <c r="H124" s="9" t="n"/>
      <c r="I124" s="10" t="n"/>
      <c r="J124" s="195">
        <f>IF('Calendario A'!J124="","",'Calendario A'!J124)</f>
        <v>60</v>
      </c>
      <c r="K124" s="64" t="inlineStr">
        <is>
          <t>-</t>
        </is>
      </c>
      <c r="L124" s="195">
        <f>IF('Calendario A'!L124="","",'Calendario A'!L124)</f>
        <v>77</v>
      </c>
      <c r="M124" s="196" t="inlineStr">
        <is>
          <t>BLANCHET Anja [AA]</t>
        </is>
      </c>
      <c r="N124" s="196" t="inlineStr">
        <is>
          <t>SCHAFER Giulia [AA]</t>
        </is>
      </c>
      <c r="O124" s="196" t="inlineStr">
        <is>
          <t>LEROUX Lea [Aest]</t>
        </is>
      </c>
      <c r="P124" s="196" t="inlineStr">
        <is>
          <t>HOFFMANN Davide</t>
        </is>
      </c>
      <c r="Q124" s="196" t="inlineStr">
        <is>
          <t>WEBER Ilaria</t>
        </is>
      </c>
      <c r="R124" s="196" t="inlineStr">
        <is>
          <t>WEBER Lea</t>
        </is>
      </c>
    </row>
    <row r="125" ht="15" customHeight="1">
      <c r="A125" s="141" t="n"/>
      <c r="B125" s="69" t="str">
        <f>IF('Calendario A'!B125="","",'Calendario A'!B125)</f>
        <v>PalaCobra, Via dello Sport 3, Cobraopoli CI</v>
      </c>
      <c r="C125" s="9" t="n"/>
      <c r="D125" s="9" t="n"/>
      <c r="E125" s="9" t="n"/>
      <c r="F125" s="9" t="n"/>
      <c r="G125" s="9" t="n"/>
      <c r="H125" s="10" t="n"/>
      <c r="I125" s="62" t="str">
        <f>IF('Calendario A'!I125="","",'Calendario A'!I125)</f>
        <v>A03</v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7" ht="20" customHeight="1">
      <c r="A127" s="55" t="str">
        <f>IF('Calendario A'!A127="","",'Calendario A'!A127)</f>
        <v>8A</v>
      </c>
      <c r="B127" s="56" t="str">
        <f>IF('Calendario A'!B127="","",'Calendario A'!B127)</f>
        <v>GIORNATA VIII - GIRONE GOLD</v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  <c r="M127" s="193" t="inlineStr">
        <is>
          <t>ARBITRI</t>
        </is>
      </c>
      <c r="N127" s="9" t="n"/>
      <c r="O127" s="10" t="n"/>
      <c r="P127" s="193" t="inlineStr">
        <is>
          <t>UFFICIALI DI CAMPO</t>
        </is>
      </c>
      <c r="Q127" s="9" t="n"/>
      <c r="R127" s="10" t="n"/>
    </row>
    <row r="128" ht="14" customHeight="1">
      <c r="A128" s="58" t="inlineStr">
        <is>
          <t>Gara N.</t>
        </is>
      </c>
      <c r="B128" s="58" t="inlineStr">
        <is>
          <t>Squadra A</t>
        </is>
      </c>
      <c r="C128" s="10" t="n"/>
      <c r="D128" s="58" t="inlineStr">
        <is>
          <t>Squadra B</t>
        </is>
      </c>
      <c r="E128" s="10" t="n"/>
      <c r="F128" s="58" t="inlineStr">
        <is>
          <t>Giorno</t>
        </is>
      </c>
      <c r="G128" s="58" t="inlineStr">
        <is>
          <t>Data</t>
        </is>
      </c>
      <c r="H128" s="58" t="inlineStr">
        <is>
          <t>Ora</t>
        </is>
      </c>
      <c r="I128" s="10" t="n"/>
      <c r="J128" s="58" t="inlineStr">
        <is>
          <t>Risultato</t>
        </is>
      </c>
      <c r="K128" s="9" t="n"/>
      <c r="L128" s="10" t="n"/>
      <c r="M128" s="194" t="inlineStr">
        <is>
          <t>1o Arbitro</t>
        </is>
      </c>
      <c r="N128" s="194" t="inlineStr">
        <is>
          <t>2o Arbitro</t>
        </is>
      </c>
      <c r="O128" s="194" t="inlineStr">
        <is>
          <t>3o Arbitro/Tirocinante</t>
        </is>
      </c>
      <c r="P128" s="194" t="inlineStr">
        <is>
          <t>Referto</t>
        </is>
      </c>
      <c r="Q128" s="194" t="inlineStr">
        <is>
          <t>Cronometro</t>
        </is>
      </c>
      <c r="R128" s="194" t="inlineStr">
        <is>
          <t>Foglio Tiri</t>
        </is>
      </c>
    </row>
    <row r="129" ht="22" customHeight="1">
      <c r="A129" s="60">
        <f>IF('Calendario A'!A129="","",'Calendario A'!A129)</f>
        <v>36</v>
      </c>
      <c r="B129" s="61" t="str">
        <f>IF('Calendario A'!B129="","",'Calendario A'!B129)</f>
        <v>Bufali Belligeranti</v>
      </c>
      <c r="C129" s="62" t="str">
        <f>IF('Calendario A'!C129="","",'Calendario A'!C129)</f>
        <v>A02</v>
      </c>
      <c r="D129" s="61" t="str">
        <f>IF('Calendario A'!D129="","",'Calendario A'!D129)</f>
        <v>Ermellini Eleganti</v>
      </c>
      <c r="E129" s="62" t="str">
        <f>IF('Calendario A'!E129="","",'Calendario A'!E129)</f>
        <v>A05</v>
      </c>
      <c r="F129" s="63">
        <f>IF('Calendario A'!F129="","",'Calendario A'!F129)</f>
        <v>46362.395833333336</v>
      </c>
      <c r="G129" s="9" t="n"/>
      <c r="H129" s="9" t="n"/>
      <c r="I129" s="10" t="n"/>
      <c r="J129" s="195">
        <f>IF('Calendario A'!J129="","",'Calendario A'!J129)</f>
        <v>50</v>
      </c>
      <c r="K129" s="64" t="inlineStr">
        <is>
          <t>-</t>
        </is>
      </c>
      <c r="L129" s="195">
        <f>IF('Calendario A'!L129="","",'Calendario A'!L129)</f>
        <v>40</v>
      </c>
      <c r="M129" s="196" t="inlineStr">
        <is>
          <t>CAMPOS Miha [Aest]</t>
        </is>
      </c>
      <c r="N129" s="196" t="inlineStr">
        <is>
          <t>KELLER Andrea [Aest]</t>
        </is>
      </c>
      <c r="O129" s="196" t="inlineStr">
        <is>
          <t>BLANCHET Anja [AA]</t>
        </is>
      </c>
      <c r="P129" s="196" t="inlineStr">
        <is>
          <t>MARCHIONI Irene</t>
        </is>
      </c>
      <c r="Q129" s="196" t="inlineStr">
        <is>
          <t>GAUTHIER Filippo</t>
        </is>
      </c>
      <c r="R129" s="196" t="inlineStr">
        <is>
          <t>WEBER Matteo</t>
        </is>
      </c>
    </row>
    <row r="130" ht="15" customHeight="1">
      <c r="A130" s="141" t="n"/>
      <c r="B130" s="69" t="str">
        <f>IF('Calendario A'!B130="","",'Calendario A'!B130)</f>
        <v>PalaErmellini, Via dello Sport 5, Ermelliniopoli EU</v>
      </c>
      <c r="C130" s="9" t="n"/>
      <c r="D130" s="9" t="n"/>
      <c r="E130" s="9" t="n"/>
      <c r="F130" s="9" t="n"/>
      <c r="G130" s="9" t="n"/>
      <c r="H130" s="10" t="n"/>
      <c r="I130" s="62" t="str">
        <f>IF('Calendario A'!I130="","",'Calendario A'!I130)</f>
        <v>A05</v>
      </c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</row>
    <row r="131" ht="14" customHeight="1">
      <c r="A131" s="58" t="inlineStr">
        <is>
          <t>Gara N.</t>
        </is>
      </c>
      <c r="B131" s="58" t="inlineStr">
        <is>
          <t>Squadra A</t>
        </is>
      </c>
      <c r="C131" s="10" t="n"/>
      <c r="D131" s="58" t="inlineStr">
        <is>
          <t>Squadra B</t>
        </is>
      </c>
      <c r="E131" s="10" t="n"/>
      <c r="F131" s="58" t="inlineStr">
        <is>
          <t>Giorno</t>
        </is>
      </c>
      <c r="G131" s="58" t="inlineStr">
        <is>
          <t>Data</t>
        </is>
      </c>
      <c r="H131" s="58" t="inlineStr">
        <is>
          <t>Ora</t>
        </is>
      </c>
      <c r="I131" s="10" t="n"/>
      <c r="J131" s="58" t="inlineStr">
        <is>
          <t>Risultato</t>
        </is>
      </c>
      <c r="K131" s="9" t="n"/>
      <c r="L131" s="10" t="n"/>
      <c r="M131" s="194" t="inlineStr">
        <is>
          <t>1o Arbitro</t>
        </is>
      </c>
      <c r="N131" s="194" t="inlineStr">
        <is>
          <t>2o Arbitro</t>
        </is>
      </c>
      <c r="O131" s="194" t="inlineStr">
        <is>
          <t>3o Arbitro/Tirocinante</t>
        </is>
      </c>
      <c r="P131" s="194" t="inlineStr">
        <is>
          <t>Referto</t>
        </is>
      </c>
      <c r="Q131" s="194" t="inlineStr">
        <is>
          <t>Cronometro</t>
        </is>
      </c>
      <c r="R131" s="194" t="inlineStr">
        <is>
          <t>Foglio Tiri</t>
        </is>
      </c>
    </row>
    <row r="132" ht="22" customHeight="1">
      <c r="A132" s="60">
        <f>IF('Calendario A'!A132="","",'Calendario A'!A132)</f>
        <v>37</v>
      </c>
      <c r="B132" s="61" t="str">
        <f>IF('Calendario A'!B132="","",'Calendario A'!B132)</f>
        <v>Marmotte Mobili</v>
      </c>
      <c r="C132" s="62" t="str">
        <f>IF('Calendario A'!C132="","",'Calendario A'!C132)</f>
        <v>A10</v>
      </c>
      <c r="D132" s="61" t="str">
        <f>IF('Calendario A'!D132="","",'Calendario A'!D132)</f>
        <v>Ibis Instancabili</v>
      </c>
      <c r="E132" s="62" t="str">
        <f>IF('Calendario A'!E132="","",'Calendario A'!E132)</f>
        <v>A08</v>
      </c>
      <c r="F132" s="63">
        <f>IF('Calendario A'!F132="","",'Calendario A'!F132)</f>
        <v>46362.458333333336</v>
      </c>
      <c r="G132" s="9" t="n"/>
      <c r="H132" s="9" t="n"/>
      <c r="I132" s="10" t="n"/>
      <c r="J132" s="195">
        <f>IF('Calendario A'!J132="","",'Calendario A'!J132)</f>
        <v>37</v>
      </c>
      <c r="K132" s="64" t="inlineStr">
        <is>
          <t>-</t>
        </is>
      </c>
      <c r="L132" s="195">
        <f>IF('Calendario A'!L132="","",'Calendario A'!L132)</f>
        <v>58</v>
      </c>
      <c r="M132" s="196" t="inlineStr">
        <is>
          <t>MARCHIONI Lea [AAt]</t>
        </is>
      </c>
      <c r="N132" s="196" t="inlineStr">
        <is>
          <t>NAVARRO Matteo [AA]</t>
        </is>
      </c>
      <c r="O132" s="196" t="inlineStr">
        <is>
          <t>MODIC Lukas [AAt]</t>
        </is>
      </c>
      <c r="P132" s="196" t="inlineStr">
        <is>
          <t>GAUTHIER Diego</t>
        </is>
      </c>
      <c r="Q132" s="196" t="inlineStr">
        <is>
          <t>MARCHIONI Miha</t>
        </is>
      </c>
      <c r="R132" s="196" t="inlineStr">
        <is>
          <t>PELLEGRI Lea</t>
        </is>
      </c>
    </row>
    <row r="133" ht="15" customHeight="1">
      <c r="A133" s="141" t="n"/>
      <c r="B133" s="69" t="str">
        <f>IF('Calendario A'!B133="","",'Calendario A'!B133)</f>
        <v>PalaErmellini, Via dello Sport 5, Ermelliniopoli EU</v>
      </c>
      <c r="C133" s="9" t="n"/>
      <c r="D133" s="9" t="n"/>
      <c r="E133" s="9" t="n"/>
      <c r="F133" s="9" t="n"/>
      <c r="G133" s="9" t="n"/>
      <c r="H133" s="10" t="n"/>
      <c r="I133" s="62" t="str">
        <f>IF('Calendario A'!I133="","",'Calendario A'!I133)</f>
        <v>A05</v>
      </c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</row>
    <row r="134" ht="14" customHeight="1">
      <c r="A134" s="58" t="inlineStr">
        <is>
          <t>Gara N.</t>
        </is>
      </c>
      <c r="B134" s="58" t="inlineStr">
        <is>
          <t>Squadra A</t>
        </is>
      </c>
      <c r="C134" s="10" t="n"/>
      <c r="D134" s="58" t="inlineStr">
        <is>
          <t>Squadra B</t>
        </is>
      </c>
      <c r="E134" s="10" t="n"/>
      <c r="F134" s="58" t="inlineStr">
        <is>
          <t>Giorno</t>
        </is>
      </c>
      <c r="G134" s="58" t="inlineStr">
        <is>
          <t>Data</t>
        </is>
      </c>
      <c r="H134" s="58" t="inlineStr">
        <is>
          <t>Ora</t>
        </is>
      </c>
      <c r="I134" s="10" t="n"/>
      <c r="J134" s="58" t="inlineStr">
        <is>
          <t>Risultato</t>
        </is>
      </c>
      <c r="K134" s="9" t="n"/>
      <c r="L134" s="10" t="n"/>
      <c r="M134" s="194" t="inlineStr">
        <is>
          <t>1o Arbitro</t>
        </is>
      </c>
      <c r="N134" s="194" t="inlineStr">
        <is>
          <t>2o Arbitro</t>
        </is>
      </c>
      <c r="O134" s="194" t="inlineStr">
        <is>
          <t>3o Arbitro/Tirocinante</t>
        </is>
      </c>
      <c r="P134" s="194" t="inlineStr">
        <is>
          <t>Referto</t>
        </is>
      </c>
      <c r="Q134" s="194" t="inlineStr">
        <is>
          <t>Cronometro</t>
        </is>
      </c>
      <c r="R134" s="194" t="inlineStr">
        <is>
          <t>Foglio Tiri</t>
        </is>
      </c>
    </row>
    <row r="135" ht="22" customHeight="1">
      <c r="A135" s="60">
        <f>IF('Calendario A'!A135="","",'Calendario A'!A135)</f>
        <v>38</v>
      </c>
      <c r="B135" s="61" t="str">
        <f>IF('Calendario A'!B135="","",'Calendario A'!B135)</f>
        <v>Lupi Leali</v>
      </c>
      <c r="C135" s="62" t="str">
        <f>IF('Calendario A'!C135="","",'Calendario A'!C135)</f>
        <v>A09</v>
      </c>
      <c r="D135" s="61" t="str">
        <f>IF('Calendario A'!D135="","",'Calendario A'!D135)</f>
        <v>Gazzelle Gentili</v>
      </c>
      <c r="E135" s="62" t="str">
        <f>IF('Calendario A'!E135="","",'Calendario A'!E135)</f>
        <v>A07</v>
      </c>
      <c r="F135" s="63">
        <f>IF('Calendario A'!F135="","",'Calendario A'!F135)</f>
        <v>46362.604166666664</v>
      </c>
      <c r="G135" s="9" t="n"/>
      <c r="H135" s="9" t="n"/>
      <c r="I135" s="10" t="n"/>
      <c r="J135" s="195">
        <f>IF('Calendario A'!J135="","",'Calendario A'!J135)</f>
        <v>80</v>
      </c>
      <c r="K135" s="64" t="inlineStr">
        <is>
          <t>-</t>
        </is>
      </c>
      <c r="L135" s="195">
        <f>IF('Calendario A'!L135="","",'Calendario A'!L135)</f>
        <v>69</v>
      </c>
      <c r="M135" s="196" t="inlineStr">
        <is>
          <t>MODIC Katrin [A]</t>
        </is>
      </c>
      <c r="N135" s="196" t="inlineStr">
        <is>
          <t>KRAJNC Marta [Aest]</t>
        </is>
      </c>
      <c r="O135" s="196" t="inlineStr">
        <is>
          <t>CARON Paolo [AA]</t>
        </is>
      </c>
      <c r="P135" s="196" t="inlineStr">
        <is>
          <t>GAUTHIER Filippo</t>
        </is>
      </c>
      <c r="Q135" s="196" t="inlineStr">
        <is>
          <t>WEBER Ilaria</t>
        </is>
      </c>
      <c r="R135" s="196" t="inlineStr">
        <is>
          <t>WEBER Lea</t>
        </is>
      </c>
    </row>
    <row r="136" ht="15" customHeight="1">
      <c r="A136" s="141" t="n"/>
      <c r="B136" s="69" t="str">
        <f>IF('Calendario A'!B136="","",'Calendario A'!B136)</f>
        <v>PalaErmellini, Via dello Sport 5, Ermelliniopoli EU</v>
      </c>
      <c r="C136" s="9" t="n"/>
      <c r="D136" s="9" t="n"/>
      <c r="E136" s="9" t="n"/>
      <c r="F136" s="9" t="n"/>
      <c r="G136" s="9" t="n"/>
      <c r="H136" s="10" t="n"/>
      <c r="I136" s="62" t="str">
        <f>IF('Calendario A'!I136="","",'Calendario A'!I136)</f>
        <v>A05</v>
      </c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>39</v>
      </c>
      <c r="B138" s="61" t="str">
        <f>IF('Calendario A'!B138="","",'Calendario A'!B138)</f>
        <v>Falchi Feroci</v>
      </c>
      <c r="C138" s="62" t="str">
        <f>IF('Calendario A'!C138="","",'Calendario A'!C138)</f>
        <v>A06</v>
      </c>
      <c r="D138" s="61" t="str">
        <f>IF('Calendario A'!D138="","",'Calendario A'!D138)</f>
        <v>Anaconde Audaci</v>
      </c>
      <c r="E138" s="62" t="str">
        <f>IF('Calendario A'!E138="","",'Calendario A'!E138)</f>
        <v>A01</v>
      </c>
      <c r="F138" s="63">
        <f>IF('Calendario A'!F138="","",'Calendario A'!F138)</f>
        <v>46362.666666666664</v>
      </c>
      <c r="G138" s="9" t="n"/>
      <c r="H138" s="9" t="n"/>
      <c r="I138" s="10" t="n"/>
      <c r="J138" s="195">
        <f>IF('Calendario A'!J138="","",'Calendario A'!J138)</f>
        <v>40</v>
      </c>
      <c r="K138" s="64" t="inlineStr">
        <is>
          <t>-</t>
        </is>
      </c>
      <c r="L138" s="195">
        <f>IF('Calendario A'!L138="","",'Calendario A'!L138)</f>
        <v>60</v>
      </c>
      <c r="M138" s="196" t="inlineStr">
        <is>
          <t>MARCHIONI Matteo [AAt]</t>
        </is>
      </c>
      <c r="N138" s="196" t="inlineStr">
        <is>
          <t>CAMPOS Miha [Aest]</t>
        </is>
      </c>
      <c r="O138" s="196" t="inlineStr">
        <is>
          <t>KELLER Andrea [Aest]</t>
        </is>
      </c>
      <c r="P138" s="196" t="inlineStr">
        <is>
          <t>BELLANDI Irene</t>
        </is>
      </c>
      <c r="Q138" s="196" t="inlineStr">
        <is>
          <t>PELLEGRI Lea</t>
        </is>
      </c>
      <c r="R138" s="196" t="inlineStr">
        <is>
          <t>BLANCHET Matteo</t>
        </is>
      </c>
    </row>
    <row r="139" ht="15" customHeight="1">
      <c r="A139" s="141" t="n"/>
      <c r="B139" s="69" t="str">
        <f>IF('Calendario A'!B139="","",'Calendario A'!B139)</f>
        <v>PalaErmellini, Via dello Sport 5, Ermelliniopoli EU</v>
      </c>
      <c r="C139" s="9" t="n"/>
      <c r="D139" s="9" t="n"/>
      <c r="E139" s="9" t="n"/>
      <c r="F139" s="9" t="n"/>
      <c r="G139" s="9" t="n"/>
      <c r="H139" s="10" t="n"/>
      <c r="I139" s="62" t="str">
        <f>IF('Calendario A'!I139="","",'Calendario A'!I139)</f>
        <v>A05</v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>40</v>
      </c>
      <c r="B141" s="61" t="str">
        <f>IF('Calendario A'!B141="","",'Calendario A'!B141)</f>
        <v>Dingo Docili</v>
      </c>
      <c r="C141" s="62" t="str">
        <f>IF('Calendario A'!C141="","",'Calendario A'!C141)</f>
        <v>A04</v>
      </c>
      <c r="D141" s="61" t="str">
        <f>IF('Calendario A'!D141="","",'Calendario A'!D141)</f>
        <v>Cobra Celeri</v>
      </c>
      <c r="E141" s="62" t="str">
        <f>IF('Calendario A'!E141="","",'Calendario A'!E141)</f>
        <v>A03</v>
      </c>
      <c r="F141" s="63">
        <f>IF('Calendario A'!F141="","",'Calendario A'!F141)</f>
        <v>46362.729166666664</v>
      </c>
      <c r="G141" s="9" t="n"/>
      <c r="H141" s="9" t="n"/>
      <c r="I141" s="10" t="n"/>
      <c r="J141" s="195">
        <f>IF('Calendario A'!J141="","",'Calendario A'!J141)</f>
        <v>80</v>
      </c>
      <c r="K141" s="64" t="inlineStr">
        <is>
          <t>-</t>
        </is>
      </c>
      <c r="L141" s="195">
        <f>IF('Calendario A'!L141="","",'Calendario A'!L141)</f>
        <v>75</v>
      </c>
      <c r="M141" s="196" t="inlineStr">
        <is>
          <t>MODIC Lukas [AAt]</t>
        </is>
      </c>
      <c r="N141" s="196" t="inlineStr">
        <is>
          <t>GALLINI Valerie [AA]</t>
        </is>
      </c>
      <c r="O141" s="196" t="inlineStr">
        <is>
          <t>SOLER Stefano [A]</t>
        </is>
      </c>
      <c r="P141" s="196" t="inlineStr">
        <is>
          <t>BLANCHET Matteo</t>
        </is>
      </c>
      <c r="Q141" s="196" t="inlineStr">
        <is>
          <t>MARCHIONI Miha</t>
        </is>
      </c>
      <c r="R141" s="196" t="inlineStr">
        <is>
          <t>FOURNIER Lucia</t>
        </is>
      </c>
    </row>
    <row r="142" ht="15" customHeight="1">
      <c r="A142" s="141" t="n"/>
      <c r="B142" s="69" t="str">
        <f>IF('Calendario A'!B142="","",'Calendario A'!B142)</f>
        <v>PalaErmellini, Via dello Sport 5, Ermelliniopoli EU</v>
      </c>
      <c r="C142" s="9" t="n"/>
      <c r="D142" s="9" t="n"/>
      <c r="E142" s="9" t="n"/>
      <c r="F142" s="9" t="n"/>
      <c r="G142" s="9" t="n"/>
      <c r="H142" s="10" t="n"/>
      <c r="I142" s="62" t="str">
        <f>IF('Calendario A'!I142="","",'Calendario A'!I142)</f>
        <v>A05</v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4" ht="20" customHeight="1">
      <c r="A144" s="55" t="str">
        <f>IF('Calendario A'!A144="","",'Calendario A'!A144)</f>
        <v>9A</v>
      </c>
      <c r="B144" s="56" t="str">
        <f>IF('Calendario A'!B144="","",'Calendario A'!B144)</f>
        <v>GIORNATA IX - GIRONE GOLD</v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  <c r="M144" s="193" t="inlineStr">
        <is>
          <t>ARBITRI</t>
        </is>
      </c>
      <c r="N144" s="9" t="n"/>
      <c r="O144" s="10" t="n"/>
      <c r="P144" s="193" t="inlineStr">
        <is>
          <t>UFFICIALI DI CAMPO</t>
        </is>
      </c>
      <c r="Q144" s="9" t="n"/>
      <c r="R144" s="10" t="n"/>
    </row>
    <row r="145" ht="14" customHeight="1">
      <c r="A145" s="58" t="inlineStr">
        <is>
          <t>Gara N.</t>
        </is>
      </c>
      <c r="B145" s="58" t="inlineStr">
        <is>
          <t>Squadra A</t>
        </is>
      </c>
      <c r="C145" s="10" t="n"/>
      <c r="D145" s="58" t="inlineStr">
        <is>
          <t>Squadra B</t>
        </is>
      </c>
      <c r="E145" s="10" t="n"/>
      <c r="F145" s="58" t="inlineStr">
        <is>
          <t>Giorno</t>
        </is>
      </c>
      <c r="G145" s="58" t="inlineStr">
        <is>
          <t>Data</t>
        </is>
      </c>
      <c r="H145" s="58" t="inlineStr">
        <is>
          <t>Ora</t>
        </is>
      </c>
      <c r="I145" s="10" t="n"/>
      <c r="J145" s="58" t="inlineStr">
        <is>
          <t>Risultato</t>
        </is>
      </c>
      <c r="K145" s="9" t="n"/>
      <c r="L145" s="10" t="n"/>
      <c r="M145" s="194" t="inlineStr">
        <is>
          <t>1o Arbitro</t>
        </is>
      </c>
      <c r="N145" s="194" t="inlineStr">
        <is>
          <t>2o Arbitro</t>
        </is>
      </c>
      <c r="O145" s="194" t="inlineStr">
        <is>
          <t>3o Arbitro/Tirocinante</t>
        </is>
      </c>
      <c r="P145" s="194" t="inlineStr">
        <is>
          <t>Referto</t>
        </is>
      </c>
      <c r="Q145" s="194" t="inlineStr">
        <is>
          <t>Cronometro</t>
        </is>
      </c>
      <c r="R145" s="194" t="inlineStr">
        <is>
          <t>Foglio Tiri</t>
        </is>
      </c>
    </row>
    <row r="146" ht="22" customHeight="1">
      <c r="A146" s="60">
        <f>IF('Calendario A'!A146="","",'Calendario A'!A146)</f>
        <v>41</v>
      </c>
      <c r="B146" s="61" t="str">
        <f>IF('Calendario A'!B146="","",'Calendario A'!B146)</f>
        <v>Bufali Belligeranti</v>
      </c>
      <c r="C146" s="62" t="str">
        <f>IF('Calendario A'!C146="","",'Calendario A'!C146)</f>
        <v>A02</v>
      </c>
      <c r="D146" s="61" t="str">
        <f>IF('Calendario A'!D146="","",'Calendario A'!D146)</f>
        <v>Gazzelle Gentili</v>
      </c>
      <c r="E146" s="62" t="str">
        <f>IF('Calendario A'!E146="","",'Calendario A'!E146)</f>
        <v>A07</v>
      </c>
      <c r="F146" s="63">
        <f>IF('Calendario A'!F146="","",'Calendario A'!F146)</f>
        <v>46369.395833333336</v>
      </c>
      <c r="G146" s="9" t="n"/>
      <c r="H146" s="9" t="n"/>
      <c r="I146" s="10" t="n"/>
      <c r="J146" s="195">
        <f>IF('Calendario A'!J146="","",'Calendario A'!J146)</f>
        <v>51</v>
      </c>
      <c r="K146" s="64" t="inlineStr">
        <is>
          <t>-</t>
        </is>
      </c>
      <c r="L146" s="195">
        <f>IF('Calendario A'!L146="","",'Calendario A'!L146)</f>
        <v>26</v>
      </c>
      <c r="M146" s="196" t="inlineStr">
        <is>
          <t>KELLER Andrea [Aest]</t>
        </is>
      </c>
      <c r="N146" s="196" t="inlineStr">
        <is>
          <t>IGLESIAS Jonas [AAt]</t>
        </is>
      </c>
      <c r="O146" s="196" t="inlineStr">
        <is>
          <t>NAVARRO Matteo [AA]</t>
        </is>
      </c>
      <c r="P146" s="196" t="inlineStr">
        <is>
          <t>BLANCO Elena</t>
        </is>
      </c>
      <c r="Q146" s="196" t="inlineStr">
        <is>
          <t>WEBER Lea</t>
        </is>
      </c>
      <c r="R146" s="196" t="inlineStr">
        <is>
          <t>MARCHIONI Miha</t>
        </is>
      </c>
    </row>
    <row r="147" ht="15" customHeight="1">
      <c r="A147" s="141" t="n"/>
      <c r="B147" s="69" t="str">
        <f>IF('Calendario A'!B147="","",'Calendario A'!B147)</f>
        <v>PalaGazzelle, Via dello Sport 7, Gazzelleopoli GE</v>
      </c>
      <c r="C147" s="9" t="n"/>
      <c r="D147" s="9" t="n"/>
      <c r="E147" s="9" t="n"/>
      <c r="F147" s="9" t="n"/>
      <c r="G147" s="9" t="n"/>
      <c r="H147" s="10" t="n"/>
      <c r="I147" s="62" t="str">
        <f>IF('Calendario A'!I147="","",'Calendario A'!I147)</f>
        <v>A07</v>
      </c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</row>
    <row r="148" ht="14" customHeight="1">
      <c r="A148" s="58" t="inlineStr">
        <is>
          <t>Gara N.</t>
        </is>
      </c>
      <c r="B148" s="58" t="inlineStr">
        <is>
          <t>Squadra A</t>
        </is>
      </c>
      <c r="C148" s="10" t="n"/>
      <c r="D148" s="58" t="inlineStr">
        <is>
          <t>Squadra B</t>
        </is>
      </c>
      <c r="E148" s="10" t="n"/>
      <c r="F148" s="58" t="inlineStr">
        <is>
          <t>Giorno</t>
        </is>
      </c>
      <c r="G148" s="58" t="inlineStr">
        <is>
          <t>Data</t>
        </is>
      </c>
      <c r="H148" s="58" t="inlineStr">
        <is>
          <t>Ora</t>
        </is>
      </c>
      <c r="I148" s="10" t="n"/>
      <c r="J148" s="58" t="inlineStr">
        <is>
          <t>Risultato</t>
        </is>
      </c>
      <c r="K148" s="9" t="n"/>
      <c r="L148" s="10" t="n"/>
      <c r="M148" s="194" t="inlineStr">
        <is>
          <t>1o Arbitro</t>
        </is>
      </c>
      <c r="N148" s="194" t="inlineStr">
        <is>
          <t>2o Arbitro</t>
        </is>
      </c>
      <c r="O148" s="194" t="inlineStr">
        <is>
          <t>3o Arbitro/Tirocinante</t>
        </is>
      </c>
      <c r="P148" s="194" t="inlineStr">
        <is>
          <t>Referto</t>
        </is>
      </c>
      <c r="Q148" s="194" t="inlineStr">
        <is>
          <t>Cronometro</t>
        </is>
      </c>
      <c r="R148" s="194" t="inlineStr">
        <is>
          <t>Foglio Tiri</t>
        </is>
      </c>
    </row>
    <row r="149" ht="22" customHeight="1">
      <c r="A149" s="60">
        <f>IF('Calendario A'!A149="","",'Calendario A'!A149)</f>
        <v>42</v>
      </c>
      <c r="B149" s="61" t="str">
        <f>IF('Calendario A'!B149="","",'Calendario A'!B149)</f>
        <v>Lupi Leali</v>
      </c>
      <c r="C149" s="62" t="str">
        <f>IF('Calendario A'!C149="","",'Calendario A'!C149)</f>
        <v>A09</v>
      </c>
      <c r="D149" s="61" t="str">
        <f>IF('Calendario A'!D149="","",'Calendario A'!D149)</f>
        <v>Marmotte Mobili</v>
      </c>
      <c r="E149" s="62" t="str">
        <f>IF('Calendario A'!E149="","",'Calendario A'!E149)</f>
        <v>A10</v>
      </c>
      <c r="F149" s="63">
        <f>IF('Calendario A'!F149="","",'Calendario A'!F149)</f>
        <v>46369.458333333336</v>
      </c>
      <c r="G149" s="9" t="n"/>
      <c r="H149" s="9" t="n"/>
      <c r="I149" s="10" t="n"/>
      <c r="J149" s="195">
        <f>IF('Calendario A'!J149="","",'Calendario A'!J149)</f>
        <v>80</v>
      </c>
      <c r="K149" s="64" t="inlineStr">
        <is>
          <t>-</t>
        </is>
      </c>
      <c r="L149" s="195">
        <f>IF('Calendario A'!L149="","",'Calendario A'!L149)</f>
        <v>60</v>
      </c>
      <c r="M149" s="196" t="inlineStr">
        <is>
          <t>KELLER Andrea [Aest]</t>
        </is>
      </c>
      <c r="N149" s="196" t="inlineStr">
        <is>
          <t>LANGER Marta [A]</t>
        </is>
      </c>
      <c r="O149" s="196" t="inlineStr">
        <is>
          <t>KRUGER Sofia [A]</t>
        </is>
      </c>
      <c r="P149" s="196" t="inlineStr">
        <is>
          <t>WEBER Ilaria</t>
        </is>
      </c>
      <c r="Q149" s="196" t="inlineStr">
        <is>
          <t>FOURNIER Lucia</t>
        </is>
      </c>
      <c r="R149" s="196" t="inlineStr">
        <is>
          <t>VOGEL Irene</t>
        </is>
      </c>
    </row>
    <row r="150" ht="15" customHeight="1">
      <c r="A150" s="141" t="n"/>
      <c r="B150" s="69" t="str">
        <f>IF('Calendario A'!B150="","",'Calendario A'!B150)</f>
        <v>PalaGazzelle, Via dello Sport 7, Gazzelleopoli GE</v>
      </c>
      <c r="C150" s="9" t="n"/>
      <c r="D150" s="9" t="n"/>
      <c r="E150" s="9" t="n"/>
      <c r="F150" s="9" t="n"/>
      <c r="G150" s="9" t="n"/>
      <c r="H150" s="10" t="n"/>
      <c r="I150" s="62" t="str">
        <f>IF('Calendario A'!I150="","",'Calendario A'!I150)</f>
        <v>A07</v>
      </c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</row>
    <row r="151" ht="14" customHeight="1">
      <c r="A151" s="58" t="inlineStr">
        <is>
          <t>Gara N.</t>
        </is>
      </c>
      <c r="B151" s="58" t="inlineStr">
        <is>
          <t>Squadra A</t>
        </is>
      </c>
      <c r="C151" s="10" t="n"/>
      <c r="D151" s="58" t="inlineStr">
        <is>
          <t>Squadra B</t>
        </is>
      </c>
      <c r="E151" s="10" t="n"/>
      <c r="F151" s="58" t="inlineStr">
        <is>
          <t>Giorno</t>
        </is>
      </c>
      <c r="G151" s="58" t="inlineStr">
        <is>
          <t>Data</t>
        </is>
      </c>
      <c r="H151" s="58" t="inlineStr">
        <is>
          <t>Ora</t>
        </is>
      </c>
      <c r="I151" s="10" t="n"/>
      <c r="J151" s="58" t="inlineStr">
        <is>
          <t>Risultato</t>
        </is>
      </c>
      <c r="K151" s="9" t="n"/>
      <c r="L151" s="10" t="n"/>
      <c r="M151" s="194" t="inlineStr">
        <is>
          <t>1o Arbitro</t>
        </is>
      </c>
      <c r="N151" s="194" t="inlineStr">
        <is>
          <t>2o Arbitro</t>
        </is>
      </c>
      <c r="O151" s="194" t="inlineStr">
        <is>
          <t>3o Arbitro/Tirocinante</t>
        </is>
      </c>
      <c r="P151" s="194" t="inlineStr">
        <is>
          <t>Referto</t>
        </is>
      </c>
      <c r="Q151" s="194" t="inlineStr">
        <is>
          <t>Cronometro</t>
        </is>
      </c>
      <c r="R151" s="194" t="inlineStr">
        <is>
          <t>Foglio Tiri</t>
        </is>
      </c>
    </row>
    <row r="152" ht="22" customHeight="1">
      <c r="A152" s="60">
        <f>IF('Calendario A'!A152="","",'Calendario A'!A152)</f>
        <v>43</v>
      </c>
      <c r="B152" s="61" t="str">
        <f>IF('Calendario A'!B152="","",'Calendario A'!B152)</f>
        <v>Ibis Instancabili</v>
      </c>
      <c r="C152" s="62" t="str">
        <f>IF('Calendario A'!C152="","",'Calendario A'!C152)</f>
        <v>A08</v>
      </c>
      <c r="D152" s="61" t="str">
        <f>IF('Calendario A'!D152="","",'Calendario A'!D152)</f>
        <v>Anaconde Audaci</v>
      </c>
      <c r="E152" s="62" t="str">
        <f>IF('Calendario A'!E152="","",'Calendario A'!E152)</f>
        <v>A01</v>
      </c>
      <c r="F152" s="63">
        <f>IF('Calendario A'!F152="","",'Calendario A'!F152)</f>
        <v>46369.604166666664</v>
      </c>
      <c r="G152" s="9" t="n"/>
      <c r="H152" s="9" t="n"/>
      <c r="I152" s="10" t="n"/>
      <c r="J152" s="195">
        <f>IF('Calendario A'!J152="","",'Calendario A'!J152)</f>
        <v>58</v>
      </c>
      <c r="K152" s="64" t="inlineStr">
        <is>
          <t>-</t>
        </is>
      </c>
      <c r="L152" s="195">
        <f>IF('Calendario A'!L152="","",'Calendario A'!L152)</f>
        <v>40</v>
      </c>
      <c r="M152" s="196" t="inlineStr">
        <is>
          <t>KRAJNC Marta [Aest]</t>
        </is>
      </c>
      <c r="N152" s="196" t="inlineStr">
        <is>
          <t>ROMERO Elena [A]</t>
        </is>
      </c>
      <c r="O152" s="196" t="inlineStr">
        <is>
          <t>ROSSINI Irene [AA]</t>
        </is>
      </c>
      <c r="P152" s="196" t="inlineStr">
        <is>
          <t>HORVAT Matteo</t>
        </is>
      </c>
      <c r="Q152" s="196" t="inlineStr">
        <is>
          <t>LANGER Valerie</t>
        </is>
      </c>
      <c r="R152" s="196" t="inlineStr">
        <is>
          <t>BELLANDI Irene</t>
        </is>
      </c>
    </row>
    <row r="153" ht="15" customHeight="1">
      <c r="A153" s="141" t="n"/>
      <c r="B153" s="69" t="str">
        <f>IF('Calendario A'!B153="","",'Calendario A'!B153)</f>
        <v>PalaGazzelle, Via dello Sport 7, Gazzelleopoli GE</v>
      </c>
      <c r="C153" s="9" t="n"/>
      <c r="D153" s="9" t="n"/>
      <c r="E153" s="9" t="n"/>
      <c r="F153" s="9" t="n"/>
      <c r="G153" s="9" t="n"/>
      <c r="H153" s="10" t="n"/>
      <c r="I153" s="62" t="str">
        <f>IF('Calendario A'!I153="","",'Calendario A'!I153)</f>
        <v>A07</v>
      </c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</row>
    <row r="154" ht="14" customHeight="1">
      <c r="A154" s="58" t="inlineStr">
        <is>
          <t>Gara N.</t>
        </is>
      </c>
      <c r="B154" s="58" t="inlineStr">
        <is>
          <t>Squadra A</t>
        </is>
      </c>
      <c r="C154" s="10" t="n"/>
      <c r="D154" s="58" t="inlineStr">
        <is>
          <t>Squadra B</t>
        </is>
      </c>
      <c r="E154" s="10" t="n"/>
      <c r="F154" s="58" t="inlineStr">
        <is>
          <t>Giorno</t>
        </is>
      </c>
      <c r="G154" s="58" t="inlineStr">
        <is>
          <t>Data</t>
        </is>
      </c>
      <c r="H154" s="58" t="inlineStr">
        <is>
          <t>Ora</t>
        </is>
      </c>
      <c r="I154" s="10" t="n"/>
      <c r="J154" s="58" t="inlineStr">
        <is>
          <t>Risultato</t>
        </is>
      </c>
      <c r="K154" s="9" t="n"/>
      <c r="L154" s="10" t="n"/>
      <c r="M154" s="194" t="inlineStr">
        <is>
          <t>1o Arbitro</t>
        </is>
      </c>
      <c r="N154" s="194" t="inlineStr">
        <is>
          <t>2o Arbitro</t>
        </is>
      </c>
      <c r="O154" s="194" t="inlineStr">
        <is>
          <t>3o Arbitro/Tirocinante</t>
        </is>
      </c>
      <c r="P154" s="194" t="inlineStr">
        <is>
          <t>Referto</t>
        </is>
      </c>
      <c r="Q154" s="194" t="inlineStr">
        <is>
          <t>Cronometro</t>
        </is>
      </c>
      <c r="R154" s="194" t="inlineStr">
        <is>
          <t>Foglio Tiri</t>
        </is>
      </c>
    </row>
    <row r="155" ht="22" customHeight="1">
      <c r="A155" s="60">
        <f>IF('Calendario A'!A155="","",'Calendario A'!A155)</f>
        <v>44</v>
      </c>
      <c r="B155" s="61" t="str">
        <f>IF('Calendario A'!B155="","",'Calendario A'!B155)</f>
        <v>Falchi Feroci</v>
      </c>
      <c r="C155" s="62" t="str">
        <f>IF('Calendario A'!C155="","",'Calendario A'!C155)</f>
        <v>A06</v>
      </c>
      <c r="D155" s="61" t="str">
        <f>IF('Calendario A'!D155="","",'Calendario A'!D155)</f>
        <v>Cobra Celeri</v>
      </c>
      <c r="E155" s="62" t="str">
        <f>IF('Calendario A'!E155="","",'Calendario A'!E155)</f>
        <v>A03</v>
      </c>
      <c r="F155" s="63">
        <f>IF('Calendario A'!F155="","",'Calendario A'!F155)</f>
        <v>46369.666666666664</v>
      </c>
      <c r="G155" s="9" t="n"/>
      <c r="H155" s="9" t="n"/>
      <c r="I155" s="10" t="n"/>
      <c r="J155" s="195">
        <f>IF('Calendario A'!J155="","",'Calendario A'!J155)</f>
        <v>44</v>
      </c>
      <c r="K155" s="64" t="inlineStr">
        <is>
          <t>-</t>
        </is>
      </c>
      <c r="L155" s="195">
        <f>IF('Calendario A'!L155="","",'Calendario A'!L155)</f>
        <v>65</v>
      </c>
      <c r="M155" s="196" t="inlineStr">
        <is>
          <t>BLANCHET Anja [AA]</t>
        </is>
      </c>
      <c r="N155" s="196" t="inlineStr">
        <is>
          <t>MODIC Chiara [AA]</t>
        </is>
      </c>
      <c r="O155" s="196" t="inlineStr">
        <is>
          <t>BIANCHELLI Paolo [AA]</t>
        </is>
      </c>
      <c r="P155" s="196" t="inlineStr">
        <is>
          <t>SEVER Greta</t>
        </is>
      </c>
      <c r="Q155" s="196" t="inlineStr">
        <is>
          <t>BLANCHET Luca</t>
        </is>
      </c>
      <c r="R155" s="196" t="inlineStr">
        <is>
          <t>WEBER Ilaria</t>
        </is>
      </c>
    </row>
    <row r="156" ht="15" customHeight="1">
      <c r="A156" s="141" t="n"/>
      <c r="B156" s="69" t="str">
        <f>IF('Calendario A'!B156="","",'Calendario A'!B156)</f>
        <v>PalaGazzelle, Via dello Sport 7, Gazzelleopoli GE</v>
      </c>
      <c r="C156" s="9" t="n"/>
      <c r="D156" s="9" t="n"/>
      <c r="E156" s="9" t="n"/>
      <c r="F156" s="9" t="n"/>
      <c r="G156" s="9" t="n"/>
      <c r="H156" s="10" t="n"/>
      <c r="I156" s="62" t="str">
        <f>IF('Calendario A'!I156="","",'Calendario A'!I156)</f>
        <v>A07</v>
      </c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</row>
    <row r="157" ht="14" customHeight="1">
      <c r="A157" s="58" t="inlineStr">
        <is>
          <t>Gara N.</t>
        </is>
      </c>
      <c r="B157" s="58" t="inlineStr">
        <is>
          <t>Squadra A</t>
        </is>
      </c>
      <c r="C157" s="10" t="n"/>
      <c r="D157" s="58" t="inlineStr">
        <is>
          <t>Squadra B</t>
        </is>
      </c>
      <c r="E157" s="10" t="n"/>
      <c r="F157" s="58" t="inlineStr">
        <is>
          <t>Giorno</t>
        </is>
      </c>
      <c r="G157" s="58" t="inlineStr">
        <is>
          <t>Data</t>
        </is>
      </c>
      <c r="H157" s="58" t="inlineStr">
        <is>
          <t>Ora</t>
        </is>
      </c>
      <c r="I157" s="10" t="n"/>
      <c r="J157" s="58" t="inlineStr">
        <is>
          <t>Risultato</t>
        </is>
      </c>
      <c r="K157" s="9" t="n"/>
      <c r="L157" s="10" t="n"/>
      <c r="M157" s="194" t="inlineStr">
        <is>
          <t>1o Arbitro</t>
        </is>
      </c>
      <c r="N157" s="194" t="inlineStr">
        <is>
          <t>2o Arbitro</t>
        </is>
      </c>
      <c r="O157" s="194" t="inlineStr">
        <is>
          <t>3o Arbitro/Tirocinante</t>
        </is>
      </c>
      <c r="P157" s="194" t="inlineStr">
        <is>
          <t>Referto</t>
        </is>
      </c>
      <c r="Q157" s="194" t="inlineStr">
        <is>
          <t>Cronometro</t>
        </is>
      </c>
      <c r="R157" s="194" t="inlineStr">
        <is>
          <t>Foglio Tiri</t>
        </is>
      </c>
    </row>
    <row r="158" ht="22" customHeight="1">
      <c r="A158" s="60">
        <f>IF('Calendario A'!A158="","",'Calendario A'!A158)</f>
        <v>45</v>
      </c>
      <c r="B158" s="61" t="str">
        <f>IF('Calendario A'!B158="","",'Calendario A'!B158)</f>
        <v>Dingo Docili</v>
      </c>
      <c r="C158" s="62" t="str">
        <f>IF('Calendario A'!C158="","",'Calendario A'!C158)</f>
        <v>A04</v>
      </c>
      <c r="D158" s="61" t="str">
        <f>IF('Calendario A'!D158="","",'Calendario A'!D158)</f>
        <v>Ermellini Eleganti</v>
      </c>
      <c r="E158" s="62" t="str">
        <f>IF('Calendario A'!E158="","",'Calendario A'!E158)</f>
        <v>A05</v>
      </c>
      <c r="F158" s="63">
        <f>IF('Calendario A'!F158="","",'Calendario A'!F158)</f>
        <v>46369.729166666664</v>
      </c>
      <c r="G158" s="9" t="n"/>
      <c r="H158" s="9" t="n"/>
      <c r="I158" s="10" t="n"/>
      <c r="J158" s="195">
        <f>IF('Calendario A'!J158="","",'Calendario A'!J158)</f>
        <v>48</v>
      </c>
      <c r="K158" s="64" t="inlineStr">
        <is>
          <t>-</t>
        </is>
      </c>
      <c r="L158" s="195">
        <f>IF('Calendario A'!L158="","",'Calendario A'!L158)</f>
        <v>29</v>
      </c>
      <c r="M158" s="196" t="inlineStr">
        <is>
          <t>GALLINI Valerie [AA]</t>
        </is>
      </c>
      <c r="N158" s="196" t="inlineStr">
        <is>
          <t>NAVARRO Matteo [AA]</t>
        </is>
      </c>
      <c r="O158" s="196" t="inlineStr">
        <is>
          <t>MARCHIONI Matteo [AAt]</t>
        </is>
      </c>
      <c r="P158" s="196" t="inlineStr">
        <is>
          <t>MARCHIONI Irene</t>
        </is>
      </c>
      <c r="Q158" s="196" t="inlineStr">
        <is>
          <t>FERRANTE Andrea</t>
        </is>
      </c>
      <c r="R158" s="196" t="inlineStr">
        <is>
          <t>VOGEL Irene</t>
        </is>
      </c>
    </row>
    <row r="159" ht="15" customHeight="1">
      <c r="A159" s="141" t="n"/>
      <c r="B159" s="69" t="str">
        <f>IF('Calendario A'!B159="","",'Calendario A'!B159)</f>
        <v>PalaGazzelle, Via dello Sport 7, Gazzelleopoli GE</v>
      </c>
      <c r="C159" s="9" t="n"/>
      <c r="D159" s="9" t="n"/>
      <c r="E159" s="9" t="n"/>
      <c r="F159" s="9" t="n"/>
      <c r="G159" s="9" t="n"/>
      <c r="H159" s="10" t="n"/>
      <c r="I159" s="62" t="str">
        <f>IF('Calendario A'!I159="","",'Calendario A'!I159)</f>
        <v>A07</v>
      </c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</row>
    <row r="193" ht="20" customHeight="1">
      <c r="A193" s="216" t="str">
        <f>IF('Playoff'!A8="","",'Playoff'!A8)</f>
        <v/>
      </c>
      <c r="B193" s="133" t="str">
        <f>IF('Playoff'!B8="","",'Playoff'!B8)</f>
        <v>PLAYOFF A 8 - QUARTI DI FINALE</v>
      </c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10" t="n"/>
      <c r="M193" s="217" t="inlineStr">
        <is>
          <t>ARBITRI</t>
        </is>
      </c>
      <c r="N193" s="9" t="n"/>
      <c r="O193" s="10" t="n"/>
      <c r="P193" s="217" t="inlineStr">
        <is>
          <t>UFFICIALI DI CAMPO</t>
        </is>
      </c>
      <c r="Q193" s="9" t="n"/>
      <c r="R193" s="10" t="n"/>
    </row>
    <row r="194" ht="14" customHeight="1">
      <c r="A194" s="135" t="inlineStr">
        <is>
          <t>Gara N.</t>
        </is>
      </c>
      <c r="B194" s="135" t="inlineStr">
        <is>
          <t>Squadra A</t>
        </is>
      </c>
      <c r="C194" s="10" t="n"/>
      <c r="D194" s="135" t="inlineStr">
        <is>
          <t>Squadra B</t>
        </is>
      </c>
      <c r="E194" s="10" t="n"/>
      <c r="F194" s="135" t="inlineStr">
        <is>
          <t>Giorno</t>
        </is>
      </c>
      <c r="G194" s="135" t="inlineStr">
        <is>
          <t>Data</t>
        </is>
      </c>
      <c r="H194" s="135" t="inlineStr">
        <is>
          <t>Ora</t>
        </is>
      </c>
      <c r="I194" s="10" t="n"/>
      <c r="J194" s="135" t="inlineStr">
        <is>
          <t>Risultato</t>
        </is>
      </c>
      <c r="K194" s="9" t="n"/>
      <c r="L194" s="10" t="n"/>
      <c r="M194" s="218" t="inlineStr">
        <is>
          <t>1o Arbitro</t>
        </is>
      </c>
      <c r="N194" s="218" t="inlineStr">
        <is>
          <t>2o Arbitro</t>
        </is>
      </c>
      <c r="O194" s="218" t="inlineStr">
        <is>
          <t>3o Arbitro/Tirocinante</t>
        </is>
      </c>
      <c r="P194" s="218" t="inlineStr">
        <is>
          <t>Referto</t>
        </is>
      </c>
      <c r="Q194" s="218" t="inlineStr">
        <is>
          <t>Cronometro</t>
        </is>
      </c>
      <c r="R194" s="218" t="inlineStr">
        <is>
          <t>Foglio Tiri</t>
        </is>
      </c>
    </row>
    <row r="195" ht="22" customHeight="1">
      <c r="A195" s="137">
        <f>IF('Playoff'!A10="","",'Playoff'!A10)</f>
        <v>46</v>
      </c>
      <c r="B195" s="61" t="str">
        <f>IF('Playoff'!B10="","",'Playoff'!B10)</f>
        <v>Dingo Docili</v>
      </c>
      <c r="C195" s="62" t="str">
        <f>IF('Playoff'!C10="","",'Playoff'!C10)</f>
        <v>A1</v>
      </c>
      <c r="D195" s="61" t="str">
        <f>IF('Playoff'!D10="","",'Playoff'!D10)</f>
        <v>Marmotte Mobili</v>
      </c>
      <c r="E195" s="62" t="str">
        <f>IF('Playoff'!E10="","",'Playoff'!E10)</f>
        <v>A8</v>
      </c>
      <c r="F195" s="63">
        <f>IF('Playoff'!F10="","",'Playoff'!F10)</f>
        <v>46404.395833333336</v>
      </c>
      <c r="G195" s="9" t="n"/>
      <c r="H195" s="9" t="n"/>
      <c r="I195" s="10" t="n"/>
      <c r="J195" s="195">
        <f>IF('Playoff'!J10="","",'Playoff'!J10)</f>
        <v>26</v>
      </c>
      <c r="K195" s="64" t="inlineStr">
        <is>
          <t>-</t>
        </is>
      </c>
      <c r="L195" s="195">
        <f>IF('Playoff'!L10="","",'Playoff'!L10)</f>
        <v>44</v>
      </c>
      <c r="M195" s="196" t="inlineStr">
        <is>
          <t>HORVAT Lea [A]</t>
        </is>
      </c>
      <c r="N195" s="196" t="inlineStr">
        <is>
          <t>FUENTES Matteo [Aest]</t>
        </is>
      </c>
      <c r="O195" s="196" t="inlineStr">
        <is>
          <t>FOURNIER Tommaso [AA]</t>
        </is>
      </c>
      <c r="P195" s="196" t="inlineStr">
        <is>
          <t>WEBER Ilaria</t>
        </is>
      </c>
      <c r="Q195" s="196" t="inlineStr">
        <is>
          <t>HOFFMANN Davide</t>
        </is>
      </c>
      <c r="R195" s="196" t="inlineStr">
        <is>
          <t>LEFEVRE Filippo</t>
        </is>
      </c>
    </row>
    <row r="196" ht="15" customHeight="1">
      <c r="A196" s="141" t="n"/>
      <c r="B196" s="69" t="str">
        <f>IF('Playoff'!B11="","",'Playoff'!B11)</f>
        <v>PalaCentrale, Viale dello Sport 1, Mediopoli MD</v>
      </c>
      <c r="C196" s="9" t="n"/>
      <c r="D196" s="9" t="n"/>
      <c r="E196" s="9" t="n"/>
      <c r="F196" s="9" t="n"/>
      <c r="G196" s="9" t="n"/>
      <c r="H196" s="10" t="n"/>
      <c r="I196" s="62" t="str">
        <f>IF('Playoff'!I11="","",'Playoff'!I11)</f>
        <v>PO1</v>
      </c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</row>
    <row r="197" ht="14" customHeight="1">
      <c r="A197" s="135" t="inlineStr">
        <is>
          <t>Gara N.</t>
        </is>
      </c>
      <c r="B197" s="135" t="inlineStr">
        <is>
          <t>Squadra A</t>
        </is>
      </c>
      <c r="C197" s="10" t="n"/>
      <c r="D197" s="135" t="inlineStr">
        <is>
          <t>Squadra B</t>
        </is>
      </c>
      <c r="E197" s="10" t="n"/>
      <c r="F197" s="135" t="inlineStr">
        <is>
          <t>Giorno</t>
        </is>
      </c>
      <c r="G197" s="135" t="inlineStr">
        <is>
          <t>Data</t>
        </is>
      </c>
      <c r="H197" s="135" t="inlineStr">
        <is>
          <t>Ora</t>
        </is>
      </c>
      <c r="I197" s="10" t="n"/>
      <c r="J197" s="135" t="inlineStr">
        <is>
          <t>Risultato</t>
        </is>
      </c>
      <c r="K197" s="9" t="n"/>
      <c r="L197" s="10" t="n"/>
      <c r="M197" s="218" t="inlineStr">
        <is>
          <t>1o Arbitro</t>
        </is>
      </c>
      <c r="N197" s="218" t="inlineStr">
        <is>
          <t>2o Arbitro</t>
        </is>
      </c>
      <c r="O197" s="218" t="inlineStr">
        <is>
          <t>3o Arbitro/Tirocinante</t>
        </is>
      </c>
      <c r="P197" s="218" t="inlineStr">
        <is>
          <t>Referto</t>
        </is>
      </c>
      <c r="Q197" s="218" t="inlineStr">
        <is>
          <t>Cronometro</t>
        </is>
      </c>
      <c r="R197" s="218" t="inlineStr">
        <is>
          <t>Foglio Tiri</t>
        </is>
      </c>
    </row>
    <row r="198" ht="22" customHeight="1">
      <c r="A198" s="137">
        <f>IF('Playoff'!A13="","",'Playoff'!A13)</f>
        <v>47</v>
      </c>
      <c r="B198" s="61" t="str">
        <f>IF('Playoff'!B13="","",'Playoff'!B13)</f>
        <v>Anaconde Audaci</v>
      </c>
      <c r="C198" s="62" t="str">
        <f>IF('Playoff'!C13="","",'Playoff'!C13)</f>
        <v>A2</v>
      </c>
      <c r="D198" s="61" t="str">
        <f>IF('Playoff'!D13="","",'Playoff'!D13)</f>
        <v>Bufali Belligeranti</v>
      </c>
      <c r="E198" s="62" t="str">
        <f>IF('Playoff'!E13="","",'Playoff'!E13)</f>
        <v>A7</v>
      </c>
      <c r="F198" s="63">
        <f>IF('Playoff'!F13="","",'Playoff'!F13)</f>
        <v>46404.395833333336</v>
      </c>
      <c r="G198" s="9" t="n"/>
      <c r="H198" s="9" t="n"/>
      <c r="I198" s="10" t="n"/>
      <c r="J198" s="195">
        <f>IF('Playoff'!J13="","",'Playoff'!J13)</f>
        <v>51</v>
      </c>
      <c r="K198" s="64" t="inlineStr">
        <is>
          <t>-</t>
        </is>
      </c>
      <c r="L198" s="195">
        <f>IF('Playoff'!L13="","",'Playoff'!L13)</f>
        <v>46</v>
      </c>
      <c r="M198" s="196" t="inlineStr">
        <is>
          <t>PRADO Eva [AAt]</t>
        </is>
      </c>
      <c r="N198" s="196" t="inlineStr">
        <is>
          <t>ROSSINI Irene [AA]</t>
        </is>
      </c>
      <c r="O198" s="196" t="inlineStr">
        <is>
          <t>BIANCHELLI Paolo [AA]</t>
        </is>
      </c>
      <c r="P198" s="196" t="inlineStr">
        <is>
          <t>LANGER Valerie</t>
        </is>
      </c>
      <c r="Q198" s="196" t="inlineStr">
        <is>
          <t>BLANCHET Luca</t>
        </is>
      </c>
      <c r="R198" s="196" t="inlineStr">
        <is>
          <t>FOURNIER Lucia</t>
        </is>
      </c>
    </row>
    <row r="199" ht="15" customHeight="1">
      <c r="A199" s="141" t="n"/>
      <c r="B199" s="69" t="str">
        <f>IF('Playoff'!B14="","",'Playoff'!B14)</f>
        <v>PalaMagnifico, Viale dello Sport 2, Mediopoli MD</v>
      </c>
      <c r="C199" s="9" t="n"/>
      <c r="D199" s="9" t="n"/>
      <c r="E199" s="9" t="n"/>
      <c r="F199" s="9" t="n"/>
      <c r="G199" s="9" t="n"/>
      <c r="H199" s="10" t="n"/>
      <c r="I199" s="62" t="str">
        <f>IF('Playoff'!I14="","",'Playoff'!I14)</f>
        <v>PO2</v>
      </c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</row>
    <row r="200" ht="14" customHeight="1">
      <c r="A200" s="135" t="inlineStr">
        <is>
          <t>Gara N.</t>
        </is>
      </c>
      <c r="B200" s="135" t="inlineStr">
        <is>
          <t>Squadra A</t>
        </is>
      </c>
      <c r="C200" s="10" t="n"/>
      <c r="D200" s="135" t="inlineStr">
        <is>
          <t>Squadra B</t>
        </is>
      </c>
      <c r="E200" s="10" t="n"/>
      <c r="F200" s="135" t="inlineStr">
        <is>
          <t>Giorno</t>
        </is>
      </c>
      <c r="G200" s="135" t="inlineStr">
        <is>
          <t>Data</t>
        </is>
      </c>
      <c r="H200" s="135" t="inlineStr">
        <is>
          <t>Ora</t>
        </is>
      </c>
      <c r="I200" s="10" t="n"/>
      <c r="J200" s="135" t="inlineStr">
        <is>
          <t>Risultato</t>
        </is>
      </c>
      <c r="K200" s="9" t="n"/>
      <c r="L200" s="10" t="n"/>
      <c r="M200" s="218" t="inlineStr">
        <is>
          <t>1o Arbitro</t>
        </is>
      </c>
      <c r="N200" s="218" t="inlineStr">
        <is>
          <t>2o Arbitro</t>
        </is>
      </c>
      <c r="O200" s="218" t="inlineStr">
        <is>
          <t>3o Arbitro/Tirocinante</t>
        </is>
      </c>
      <c r="P200" s="218" t="inlineStr">
        <is>
          <t>Referto</t>
        </is>
      </c>
      <c r="Q200" s="218" t="inlineStr">
        <is>
          <t>Cronometro</t>
        </is>
      </c>
      <c r="R200" s="218" t="inlineStr">
        <is>
          <t>Foglio Tiri</t>
        </is>
      </c>
    </row>
    <row r="201" ht="22" customHeight="1">
      <c r="A201" s="137">
        <f>IF('Playoff'!A16="","",'Playoff'!A16)</f>
        <v>48</v>
      </c>
      <c r="B201" s="61" t="str">
        <f>IF('Playoff'!B16="","",'Playoff'!B16)</f>
        <v>Lupi Leali</v>
      </c>
      <c r="C201" s="62" t="str">
        <f>IF('Playoff'!C16="","",'Playoff'!C16)</f>
        <v>A3</v>
      </c>
      <c r="D201" s="61" t="str">
        <f>IF('Playoff'!D16="","",'Playoff'!D16)</f>
        <v>Ibis Instancabili</v>
      </c>
      <c r="E201" s="62" t="str">
        <f>IF('Playoff'!E16="","",'Playoff'!E16)</f>
        <v>A6</v>
      </c>
      <c r="F201" s="63">
        <f>IF('Playoff'!F16="","",'Playoff'!F16)</f>
        <v>46404.604166666664</v>
      </c>
      <c r="G201" s="9" t="n"/>
      <c r="H201" s="9" t="n"/>
      <c r="I201" s="10" t="n"/>
      <c r="J201" s="195">
        <f>IF('Playoff'!J16="","",'Playoff'!J16)</f>
        <v>76</v>
      </c>
      <c r="K201" s="64" t="inlineStr">
        <is>
          <t>-</t>
        </is>
      </c>
      <c r="L201" s="195">
        <f>IF('Playoff'!L16="","",'Playoff'!L16)</f>
        <v>58</v>
      </c>
      <c r="M201" s="196" t="inlineStr">
        <is>
          <t>LANGER Marta [A]</t>
        </is>
      </c>
      <c r="N201" s="196" t="inlineStr">
        <is>
          <t>BLANCHET Anja [AA]</t>
        </is>
      </c>
      <c r="O201" s="196" t="inlineStr">
        <is>
          <t>SCHAFER Giulia [AA]</t>
        </is>
      </c>
      <c r="P201" s="196" t="inlineStr">
        <is>
          <t>MARCHIONI Irene</t>
        </is>
      </c>
      <c r="Q201" s="196" t="inlineStr">
        <is>
          <t>PELLEGRI Lea</t>
        </is>
      </c>
      <c r="R201" s="196" t="inlineStr">
        <is>
          <t>FERRANTE Andrea</t>
        </is>
      </c>
    </row>
    <row r="202" ht="15" customHeight="1">
      <c r="A202" s="141" t="n"/>
      <c r="B202" s="69" t="str">
        <f>IF('Playoff'!B17="","",'Playoff'!B17)</f>
        <v>PalaCentrale, Viale dello Sport 1, Mediopoli MD</v>
      </c>
      <c r="C202" s="9" t="n"/>
      <c r="D202" s="9" t="n"/>
      <c r="E202" s="9" t="n"/>
      <c r="F202" s="9" t="n"/>
      <c r="G202" s="9" t="n"/>
      <c r="H202" s="10" t="n"/>
      <c r="I202" s="62" t="str">
        <f>IF('Playoff'!I17="","",'Playoff'!I17)</f>
        <v>PO1</v>
      </c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</row>
    <row r="203" ht="14" customHeight="1">
      <c r="A203" s="135" t="inlineStr">
        <is>
          <t>Gara N.</t>
        </is>
      </c>
      <c r="B203" s="135" t="inlineStr">
        <is>
          <t>Squadra A</t>
        </is>
      </c>
      <c r="C203" s="10" t="n"/>
      <c r="D203" s="135" t="inlineStr">
        <is>
          <t>Squadra B</t>
        </is>
      </c>
      <c r="E203" s="10" t="n"/>
      <c r="F203" s="135" t="inlineStr">
        <is>
          <t>Giorno</t>
        </is>
      </c>
      <c r="G203" s="135" t="inlineStr">
        <is>
          <t>Data</t>
        </is>
      </c>
      <c r="H203" s="135" t="inlineStr">
        <is>
          <t>Ora</t>
        </is>
      </c>
      <c r="I203" s="10" t="n"/>
      <c r="J203" s="135" t="inlineStr">
        <is>
          <t>Risultato</t>
        </is>
      </c>
      <c r="K203" s="9" t="n"/>
      <c r="L203" s="10" t="n"/>
      <c r="M203" s="218" t="inlineStr">
        <is>
          <t>1o Arbitro</t>
        </is>
      </c>
      <c r="N203" s="218" t="inlineStr">
        <is>
          <t>2o Arbitro</t>
        </is>
      </c>
      <c r="O203" s="218" t="inlineStr">
        <is>
          <t>3o Arbitro/Tirocinante</t>
        </is>
      </c>
      <c r="P203" s="218" t="inlineStr">
        <is>
          <t>Referto</t>
        </is>
      </c>
      <c r="Q203" s="218" t="inlineStr">
        <is>
          <t>Cronometro</t>
        </is>
      </c>
      <c r="R203" s="218" t="inlineStr">
        <is>
          <t>Foglio Tiri</t>
        </is>
      </c>
    </row>
    <row r="204" ht="22" customHeight="1">
      <c r="A204" s="137">
        <f>IF('Playoff'!A19="","",'Playoff'!A19)</f>
        <v>49</v>
      </c>
      <c r="B204" s="61" t="str">
        <f>IF('Playoff'!B19="","",'Playoff'!B19)</f>
        <v>Falchi Feroci</v>
      </c>
      <c r="C204" s="62" t="str">
        <f>IF('Playoff'!C19="","",'Playoff'!C19)</f>
        <v>A4</v>
      </c>
      <c r="D204" s="61" t="str">
        <f>IF('Playoff'!D19="","",'Playoff'!D19)</f>
        <v>Cobra Celeri</v>
      </c>
      <c r="E204" s="62" t="str">
        <f>IF('Playoff'!E19="","",'Playoff'!E19)</f>
        <v>A5</v>
      </c>
      <c r="F204" s="63">
        <f>IF('Playoff'!F19="","",'Playoff'!F19)</f>
        <v>46404.604166666664</v>
      </c>
      <c r="G204" s="9" t="n"/>
      <c r="H204" s="9" t="n"/>
      <c r="I204" s="10" t="n"/>
      <c r="J204" s="195">
        <f>IF('Playoff'!J19="","",'Playoff'!J19)</f>
        <v>61</v>
      </c>
      <c r="K204" s="64" t="inlineStr">
        <is>
          <t>-</t>
        </is>
      </c>
      <c r="L204" s="195">
        <f>IF('Playoff'!L19="","",'Playoff'!L19)</f>
        <v>48</v>
      </c>
      <c r="M204" s="196" t="inlineStr">
        <is>
          <t>KRAJNC Marta [Aest]</t>
        </is>
      </c>
      <c r="N204" s="196" t="inlineStr">
        <is>
          <t>KRUGER Sofia [A]</t>
        </is>
      </c>
      <c r="O204" s="196" t="inlineStr">
        <is>
          <t>ROSSINI Irene [AA]</t>
        </is>
      </c>
      <c r="P204" s="196" t="inlineStr">
        <is>
          <t>FUENTES Lukas</t>
        </is>
      </c>
      <c r="Q204" s="196" t="inlineStr">
        <is>
          <t>SEVER Greta</t>
        </is>
      </c>
      <c r="R204" s="196" t="inlineStr">
        <is>
          <t>ZUPAN Noemi</t>
        </is>
      </c>
    </row>
    <row r="205" ht="15" customHeight="1">
      <c r="A205" s="141" t="n"/>
      <c r="B205" s="69" t="str">
        <f>IF('Playoff'!B20="","",'Playoff'!B20)</f>
        <v>PalaMagnifico, Viale dello Sport 2, Mediopoli MD</v>
      </c>
      <c r="C205" s="9" t="n"/>
      <c r="D205" s="9" t="n"/>
      <c r="E205" s="9" t="n"/>
      <c r="F205" s="9" t="n"/>
      <c r="G205" s="9" t="n"/>
      <c r="H205" s="10" t="n"/>
      <c r="I205" s="62" t="str">
        <f>IF('Playoff'!I20="","",'Playoff'!I20)</f>
        <v>PO2</v>
      </c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</row>
    <row r="207" ht="20" customHeight="1">
      <c r="A207" s="216" t="str">
        <f>IF('Playoff'!A22="","",'Playoff'!A22)</f>
        <v/>
      </c>
      <c r="B207" s="133" t="str">
        <f>IF('Playoff'!B22="","",'Playoff'!B22)</f>
        <v>PLAYOFF A 8 - SEMIFINALI</v>
      </c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10" t="n"/>
      <c r="M207" s="217" t="inlineStr">
        <is>
          <t>ARBITRI</t>
        </is>
      </c>
      <c r="N207" s="9" t="n"/>
      <c r="O207" s="10" t="n"/>
      <c r="P207" s="217" t="inlineStr">
        <is>
          <t>UFFICIALI DI CAMPO</t>
        </is>
      </c>
      <c r="Q207" s="9" t="n"/>
      <c r="R207" s="10" t="n"/>
    </row>
    <row r="208" ht="14" customHeight="1">
      <c r="A208" s="135" t="inlineStr">
        <is>
          <t>Gara N.</t>
        </is>
      </c>
      <c r="B208" s="135" t="inlineStr">
        <is>
          <t>Squadra A</t>
        </is>
      </c>
      <c r="C208" s="10" t="n"/>
      <c r="D208" s="135" t="inlineStr">
        <is>
          <t>Squadra B</t>
        </is>
      </c>
      <c r="E208" s="10" t="n"/>
      <c r="F208" s="135" t="inlineStr">
        <is>
          <t>Giorno</t>
        </is>
      </c>
      <c r="G208" s="135" t="inlineStr">
        <is>
          <t>Data</t>
        </is>
      </c>
      <c r="H208" s="135" t="inlineStr">
        <is>
          <t>Ora</t>
        </is>
      </c>
      <c r="I208" s="10" t="n"/>
      <c r="J208" s="135" t="inlineStr">
        <is>
          <t>Risultato</t>
        </is>
      </c>
      <c r="K208" s="9" t="n"/>
      <c r="L208" s="10" t="n"/>
      <c r="M208" s="218" t="inlineStr">
        <is>
          <t>1o Arbitro</t>
        </is>
      </c>
      <c r="N208" s="218" t="inlineStr">
        <is>
          <t>2o Arbitro</t>
        </is>
      </c>
      <c r="O208" s="218" t="inlineStr">
        <is>
          <t>3o Arbitro/Tirocinante</t>
        </is>
      </c>
      <c r="P208" s="218" t="inlineStr">
        <is>
          <t>Referto</t>
        </is>
      </c>
      <c r="Q208" s="218" t="inlineStr">
        <is>
          <t>Cronometro</t>
        </is>
      </c>
      <c r="R208" s="218" t="inlineStr">
        <is>
          <t>Foglio Tiri</t>
        </is>
      </c>
    </row>
    <row r="209" ht="22" customHeight="1">
      <c r="A209" s="137">
        <f>IF('Playoff'!A24="","",'Playoff'!A24)</f>
        <v>50</v>
      </c>
      <c r="B209" s="61" t="str">
        <f>IF('Playoff'!B24="","",'Playoff'!B24)</f>
        <v>Marmotte Mobili</v>
      </c>
      <c r="C209" s="62">
        <f>IF('Playoff'!C24="","",'Playoff'!C24)</f>
        <v>46</v>
      </c>
      <c r="D209" s="61" t="str">
        <f>IF('Playoff'!D24="","",'Playoff'!D24)</f>
        <v>Falchi Feroci</v>
      </c>
      <c r="E209" s="62">
        <f>IF('Playoff'!E24="","",'Playoff'!E24)</f>
        <v>49</v>
      </c>
      <c r="F209" s="63">
        <f>IF('Playoff'!F24="","",'Playoff'!F24)</f>
        <v>46411.395833333336</v>
      </c>
      <c r="G209" s="9" t="n"/>
      <c r="H209" s="9" t="n"/>
      <c r="I209" s="10" t="n"/>
      <c r="J209" s="195">
        <f>IF('Playoff'!J24="","",'Playoff'!J24)</f>
        <v>60</v>
      </c>
      <c r="K209" s="64" t="inlineStr">
        <is>
          <t>-</t>
        </is>
      </c>
      <c r="L209" s="195">
        <f>IF('Playoff'!L24="","",'Playoff'!L24)</f>
        <v>41</v>
      </c>
      <c r="M209" s="196" t="inlineStr">
        <is>
          <t>FUENTES Matteo [Aest]</t>
        </is>
      </c>
      <c r="N209" s="196" t="inlineStr">
        <is>
          <t>CARON Paolo [AA]</t>
        </is>
      </c>
      <c r="O209" s="196" t="inlineStr">
        <is>
          <t>ROMERO Elena [A]</t>
        </is>
      </c>
      <c r="P209" s="196" t="inlineStr">
        <is>
          <t>FUENTES Lukas</t>
        </is>
      </c>
      <c r="Q209" s="196" t="inlineStr">
        <is>
          <t>BLANCO Elena</t>
        </is>
      </c>
      <c r="R209" s="196" t="inlineStr">
        <is>
          <t>HORVAT Matteo</t>
        </is>
      </c>
    </row>
    <row r="210" ht="15" customHeight="1">
      <c r="A210" s="141" t="n"/>
      <c r="B210" s="69" t="str">
        <f>IF('Playoff'!B25="","",'Playoff'!B25)</f>
        <v>PalaCentrale, Viale dello Sport 1, Mediopoli MD</v>
      </c>
      <c r="C210" s="9" t="n"/>
      <c r="D210" s="9" t="n"/>
      <c r="E210" s="9" t="n"/>
      <c r="F210" s="9" t="n"/>
      <c r="G210" s="9" t="n"/>
      <c r="H210" s="10" t="n"/>
      <c r="I210" s="62" t="str">
        <f>IF('Playoff'!I25="","",'Playoff'!I25)</f>
        <v>PO1</v>
      </c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</row>
    <row r="211" ht="14" customHeight="1">
      <c r="A211" s="135" t="inlineStr">
        <is>
          <t>Gara N.</t>
        </is>
      </c>
      <c r="B211" s="135" t="inlineStr">
        <is>
          <t>Squadra A</t>
        </is>
      </c>
      <c r="C211" s="10" t="n"/>
      <c r="D211" s="135" t="inlineStr">
        <is>
          <t>Squadra B</t>
        </is>
      </c>
      <c r="E211" s="10" t="n"/>
      <c r="F211" s="135" t="inlineStr">
        <is>
          <t>Giorno</t>
        </is>
      </c>
      <c r="G211" s="135" t="inlineStr">
        <is>
          <t>Data</t>
        </is>
      </c>
      <c r="H211" s="135" t="inlineStr">
        <is>
          <t>Ora</t>
        </is>
      </c>
      <c r="I211" s="10" t="n"/>
      <c r="J211" s="135" t="inlineStr">
        <is>
          <t>Risultato</t>
        </is>
      </c>
      <c r="K211" s="9" t="n"/>
      <c r="L211" s="10" t="n"/>
      <c r="M211" s="218" t="inlineStr">
        <is>
          <t>1o Arbitro</t>
        </is>
      </c>
      <c r="N211" s="218" t="inlineStr">
        <is>
          <t>2o Arbitro</t>
        </is>
      </c>
      <c r="O211" s="218" t="inlineStr">
        <is>
          <t>3o Arbitro/Tirocinante</t>
        </is>
      </c>
      <c r="P211" s="218" t="inlineStr">
        <is>
          <t>Referto</t>
        </is>
      </c>
      <c r="Q211" s="218" t="inlineStr">
        <is>
          <t>Cronometro</t>
        </is>
      </c>
      <c r="R211" s="218" t="inlineStr">
        <is>
          <t>Foglio Tiri</t>
        </is>
      </c>
    </row>
    <row r="212" ht="22" customHeight="1">
      <c r="A212" s="137">
        <f>IF('Playoff'!A27="","",'Playoff'!A27)</f>
        <v>51</v>
      </c>
      <c r="B212" s="61" t="str">
        <f>IF('Playoff'!B27="","",'Playoff'!B27)</f>
        <v>Anaconde Audaci</v>
      </c>
      <c r="C212" s="62">
        <f>IF('Playoff'!C27="","",'Playoff'!C27)</f>
        <v>47</v>
      </c>
      <c r="D212" s="61" t="str">
        <f>IF('Playoff'!D27="","",'Playoff'!D27)</f>
        <v>Lupi Leali</v>
      </c>
      <c r="E212" s="62">
        <f>IF('Playoff'!E27="","",'Playoff'!E27)</f>
        <v>48</v>
      </c>
      <c r="F212" s="63">
        <f>IF('Playoff'!F27="","",'Playoff'!F27)</f>
        <v>46411.458333333336</v>
      </c>
      <c r="G212" s="9" t="n"/>
      <c r="H212" s="9" t="n"/>
      <c r="I212" s="10" t="n"/>
      <c r="J212" s="195">
        <f>IF('Playoff'!J27="","",'Playoff'!J27)</f>
        <v>80</v>
      </c>
      <c r="K212" s="64" t="inlineStr">
        <is>
          <t>-</t>
        </is>
      </c>
      <c r="L212" s="195">
        <f>IF('Playoff'!L27="","",'Playoff'!L27)</f>
        <v>75</v>
      </c>
      <c r="M212" s="196" t="inlineStr">
        <is>
          <t>KELLER Andrea [Aest]</t>
        </is>
      </c>
      <c r="N212" s="196" t="inlineStr">
        <is>
          <t>HORVAT Lea [A]</t>
        </is>
      </c>
      <c r="O212" s="196" t="inlineStr">
        <is>
          <t>SANTORI Sofia [AA]</t>
        </is>
      </c>
      <c r="P212" s="196" t="inlineStr">
        <is>
          <t>FUENTES Lukas</t>
        </is>
      </c>
      <c r="Q212" s="196" t="inlineStr">
        <is>
          <t>BLANCHET Matteo</t>
        </is>
      </c>
      <c r="R212" s="196" t="inlineStr">
        <is>
          <t>ZUPAN Paula</t>
        </is>
      </c>
    </row>
    <row r="213" ht="15" customHeight="1">
      <c r="A213" s="141" t="n"/>
      <c r="B213" s="69" t="str">
        <f>IF('Playoff'!B28="","",'Playoff'!B28)</f>
        <v>PalaCentrale, Viale dello Sport 1, Mediopoli MD</v>
      </c>
      <c r="C213" s="9" t="n"/>
      <c r="D213" s="9" t="n"/>
      <c r="E213" s="9" t="n"/>
      <c r="F213" s="9" t="n"/>
      <c r="G213" s="9" t="n"/>
      <c r="H213" s="10" t="n"/>
      <c r="I213" s="62" t="str">
        <f>IF('Playoff'!I28="","",'Playoff'!I28)</f>
        <v>PO1</v>
      </c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</row>
    <row r="215" ht="20" customHeight="1">
      <c r="A215" s="216" t="str">
        <f>IF('Playoff'!A30="","",'Playoff'!A30)</f>
        <v/>
      </c>
      <c r="B215" s="133" t="str">
        <f>IF('Playoff'!B30="","",'Playoff'!B30)</f>
        <v>PLAYOFF A 8 - FINALI</v>
      </c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10" t="n"/>
      <c r="M215" s="217" t="inlineStr">
        <is>
          <t>ARBITRI</t>
        </is>
      </c>
      <c r="N215" s="9" t="n"/>
      <c r="O215" s="10" t="n"/>
      <c r="P215" s="217" t="inlineStr">
        <is>
          <t>UFFICIALI DI CAMPO</t>
        </is>
      </c>
      <c r="Q215" s="9" t="n"/>
      <c r="R215" s="10" t="n"/>
    </row>
    <row r="216" ht="14" customHeight="1">
      <c r="A216" s="135" t="inlineStr">
        <is>
          <t>Gara N.</t>
        </is>
      </c>
      <c r="B216" s="135" t="inlineStr">
        <is>
          <t>Squadra A</t>
        </is>
      </c>
      <c r="C216" s="10" t="n"/>
      <c r="D216" s="135" t="inlineStr">
        <is>
          <t>Squadra B</t>
        </is>
      </c>
      <c r="E216" s="10" t="n"/>
      <c r="F216" s="135" t="inlineStr">
        <is>
          <t>Giorno</t>
        </is>
      </c>
      <c r="G216" s="135" t="inlineStr">
        <is>
          <t>Data</t>
        </is>
      </c>
      <c r="H216" s="135" t="inlineStr">
        <is>
          <t>Ora</t>
        </is>
      </c>
      <c r="I216" s="10" t="n"/>
      <c r="J216" s="135" t="inlineStr">
        <is>
          <t>Risultato</t>
        </is>
      </c>
      <c r="K216" s="9" t="n"/>
      <c r="L216" s="10" t="n"/>
      <c r="M216" s="218" t="inlineStr">
        <is>
          <t>1o Arbitro</t>
        </is>
      </c>
      <c r="N216" s="218" t="inlineStr">
        <is>
          <t>2o Arbitro</t>
        </is>
      </c>
      <c r="O216" s="218" t="inlineStr">
        <is>
          <t>3o Arbitro/Tirocinante</t>
        </is>
      </c>
      <c r="P216" s="218" t="inlineStr">
        <is>
          <t>Referto</t>
        </is>
      </c>
      <c r="Q216" s="218" t="inlineStr">
        <is>
          <t>Cronometro</t>
        </is>
      </c>
      <c r="R216" s="218" t="inlineStr">
        <is>
          <t>Foglio Tiri</t>
        </is>
      </c>
    </row>
    <row r="217" ht="22" customHeight="1">
      <c r="A217" s="137">
        <f>IF('Playoff'!A32="","",'Playoff'!A32)</f>
        <v>52</v>
      </c>
      <c r="B217" s="61" t="str">
        <f>IF('Playoff'!B32="","",'Playoff'!B32)</f>
        <v>Falchi Feroci</v>
      </c>
      <c r="C217" s="62">
        <f>IF('Playoff'!C32="","",'Playoff'!C32)</f>
        <v>50</v>
      </c>
      <c r="D217" s="61" t="str">
        <f>IF('Playoff'!D32="","",'Playoff'!D32)</f>
        <v>Lupi Leali</v>
      </c>
      <c r="E217" s="62">
        <f>IF('Playoff'!E32="","",'Playoff'!E32)</f>
        <v>51</v>
      </c>
      <c r="F217" s="63">
        <f>IF('Playoff'!F32="","",'Playoff'!F32)</f>
        <v>46418.604166666664</v>
      </c>
      <c r="G217" s="9" t="n"/>
      <c r="H217" s="9" t="n"/>
      <c r="I217" s="10" t="n"/>
      <c r="J217" s="195">
        <f>IF('Playoff'!J32="","",'Playoff'!J32)</f>
        <v>68</v>
      </c>
      <c r="K217" s="64" t="inlineStr">
        <is>
          <t>-</t>
        </is>
      </c>
      <c r="L217" s="195">
        <f>IF('Playoff'!L32="","",'Playoff'!L32)</f>
        <v>67</v>
      </c>
      <c r="M217" s="196" t="inlineStr">
        <is>
          <t>PRADO Eva [AAt]</t>
        </is>
      </c>
      <c r="N217" s="196" t="inlineStr">
        <is>
          <t>LEROUX Lea [Aest]</t>
        </is>
      </c>
      <c r="O217" s="196" t="inlineStr">
        <is>
          <t>HORVAT Lea [A]</t>
        </is>
      </c>
      <c r="P217" s="196" t="inlineStr">
        <is>
          <t>ORTEGA Alenka</t>
        </is>
      </c>
      <c r="Q217" s="196" t="inlineStr">
        <is>
          <t>HOFFMANN Davide</t>
        </is>
      </c>
      <c r="R217" s="196" t="inlineStr">
        <is>
          <t>PELLEGRI Lea</t>
        </is>
      </c>
    </row>
    <row r="218" ht="15" customHeight="1">
      <c r="A218" s="141" t="n"/>
      <c r="B218" s="69" t="str">
        <f>IF('Playoff'!B33="","",'Playoff'!B33)</f>
        <v>PalaCentrale, Viale dello Sport 1, Mediopoli MD</v>
      </c>
      <c r="C218" s="9" t="n"/>
      <c r="D218" s="9" t="n"/>
      <c r="E218" s="9" t="n"/>
      <c r="F218" s="9" t="n"/>
      <c r="G218" s="9" t="n"/>
      <c r="H218" s="10" t="n"/>
      <c r="I218" s="62" t="str">
        <f>IF('Playoff'!I33="","",'Playoff'!I33)</f>
        <v>PO1</v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135" t="inlineStr">
        <is>
          <t>Gara N.</t>
        </is>
      </c>
      <c r="B219" s="135" t="inlineStr">
        <is>
          <t>Squadra A</t>
        </is>
      </c>
      <c r="C219" s="10" t="n"/>
      <c r="D219" s="135" t="inlineStr">
        <is>
          <t>Squadra B</t>
        </is>
      </c>
      <c r="E219" s="10" t="n"/>
      <c r="F219" s="135" t="inlineStr">
        <is>
          <t>Giorno</t>
        </is>
      </c>
      <c r="G219" s="135" t="inlineStr">
        <is>
          <t>Data</t>
        </is>
      </c>
      <c r="H219" s="135" t="inlineStr">
        <is>
          <t>Ora</t>
        </is>
      </c>
      <c r="I219" s="10" t="n"/>
      <c r="J219" s="135" t="inlineStr">
        <is>
          <t>Risultato</t>
        </is>
      </c>
      <c r="K219" s="9" t="n"/>
      <c r="L219" s="10" t="n"/>
      <c r="M219" s="218" t="inlineStr">
        <is>
          <t>1o Arbitro</t>
        </is>
      </c>
      <c r="N219" s="218" t="inlineStr">
        <is>
          <t>2o Arbitro</t>
        </is>
      </c>
      <c r="O219" s="218" t="inlineStr">
        <is>
          <t>3o Arbitro/Tirocinante</t>
        </is>
      </c>
      <c r="P219" s="218" t="inlineStr">
        <is>
          <t>Referto</t>
        </is>
      </c>
      <c r="Q219" s="218" t="inlineStr">
        <is>
          <t>Cronometro</t>
        </is>
      </c>
      <c r="R219" s="218" t="inlineStr">
        <is>
          <t>Foglio Tiri</t>
        </is>
      </c>
    </row>
    <row r="220" ht="22" customHeight="1">
      <c r="A220" s="137">
        <f>IF('Playoff'!A35="","",'Playoff'!A35)</f>
        <v>53</v>
      </c>
      <c r="B220" s="61" t="str">
        <f>IF('Playoff'!B35="","",'Playoff'!B35)</f>
        <v>Marmotte Mobili</v>
      </c>
      <c r="C220" s="62">
        <f>IF('Playoff'!C35="","",'Playoff'!C35)</f>
        <v>50</v>
      </c>
      <c r="D220" s="61" t="str">
        <f>IF('Playoff'!D35="","",'Playoff'!D35)</f>
        <v>Anaconde Audaci</v>
      </c>
      <c r="E220" s="62">
        <f>IF('Playoff'!E35="","",'Playoff'!E35)</f>
        <v>51</v>
      </c>
      <c r="F220" s="63">
        <f>IF('Playoff'!F35="","",'Playoff'!F35)</f>
        <v>46418.666666666664</v>
      </c>
      <c r="G220" s="9" t="n"/>
      <c r="H220" s="9" t="n"/>
      <c r="I220" s="10" t="n"/>
      <c r="J220" s="195">
        <f>IF('Playoff'!J35="","",'Playoff'!J35)</f>
        <v>81</v>
      </c>
      <c r="K220" s="64" t="inlineStr">
        <is>
          <t>-</t>
        </is>
      </c>
      <c r="L220" s="195">
        <f>IF('Playoff'!L35="","",'Playoff'!L35)</f>
        <v>57</v>
      </c>
      <c r="M220" s="196" t="inlineStr">
        <is>
          <t>GALLINI Valerie [AA]</t>
        </is>
      </c>
      <c r="N220" s="196" t="inlineStr">
        <is>
          <t>MARCHIONI Matteo [AAt]</t>
        </is>
      </c>
      <c r="O220" s="196" t="inlineStr">
        <is>
          <t>IGLESIAS Jonas [AAt]</t>
        </is>
      </c>
      <c r="P220" s="196" t="inlineStr">
        <is>
          <t>BELLANDI Giulia</t>
        </is>
      </c>
      <c r="Q220" s="196" t="inlineStr">
        <is>
          <t>LANGER Valerie</t>
        </is>
      </c>
      <c r="R220" s="196" t="inlineStr">
        <is>
          <t>HOFFMANN Davide</t>
        </is>
      </c>
    </row>
    <row r="221" ht="15" customHeight="1">
      <c r="A221" s="141" t="n"/>
      <c r="B221" s="69" t="str">
        <f>IF('Playoff'!B36="","",'Playoff'!B36)</f>
        <v>PalaCentrale, Viale dello Sport 1, Mediopoli MD</v>
      </c>
      <c r="C221" s="9" t="n"/>
      <c r="D221" s="9" t="n"/>
      <c r="E221" s="9" t="n"/>
      <c r="F221" s="9" t="n"/>
      <c r="G221" s="9" t="n"/>
      <c r="H221" s="10" t="n"/>
      <c r="I221" s="62" t="str">
        <f>IF('Playoff'!I36="","",'Playoff'!I36)</f>
        <v>PO1</v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4">
      <c r="A224" s="51" t="inlineStr">
        <is>
          <t>Designazioni da compilare. Elenchi a discesa dai fogli 'Arbitri' e 'UdC'.</t>
        </is>
      </c>
    </row>
    <row r="225">
      <c r="A225" s="51" t="inlineStr">
        <is>
          <t>Formattazione condizionale attiva su tutte le 53 gare predisposte: evidenzia in rosa la stessa persona designata due volte nella stessa gara.</t>
        </is>
      </c>
    </row>
  </sheetData>
  <mergeCells count="888">
    <mergeCell ref="D60:E60"/>
    <mergeCell ref="N22:N23"/>
    <mergeCell ref="P84:P85"/>
    <mergeCell ref="R13:R14"/>
    <mergeCell ref="P22:P23"/>
    <mergeCell ref="R84:R85"/>
    <mergeCell ref="J151:L151"/>
    <mergeCell ref="R149:R150"/>
    <mergeCell ref="J197:L197"/>
    <mergeCell ref="M98:M99"/>
    <mergeCell ref="L53:L54"/>
    <mergeCell ref="H9:I9"/>
    <mergeCell ref="N53:N54"/>
    <mergeCell ref="M90:M91"/>
    <mergeCell ref="B12:C12"/>
    <mergeCell ref="M212:M213"/>
    <mergeCell ref="O146:O147"/>
    <mergeCell ref="O212:O213"/>
    <mergeCell ref="F132:I132"/>
    <mergeCell ref="K27:K28"/>
    <mergeCell ref="R30:R31"/>
    <mergeCell ref="O56:O57"/>
    <mergeCell ref="L209:L210"/>
    <mergeCell ref="M76:O76"/>
    <mergeCell ref="R81:R82"/>
    <mergeCell ref="Q220:Q221"/>
    <mergeCell ref="D134:E134"/>
    <mergeCell ref="J52:L52"/>
    <mergeCell ref="P207:R207"/>
    <mergeCell ref="P112:P113"/>
    <mergeCell ref="O67:O68"/>
    <mergeCell ref="R33:R34"/>
    <mergeCell ref="B55:C55"/>
    <mergeCell ref="P152:P153"/>
    <mergeCell ref="K53:K54"/>
    <mergeCell ref="R152:R153"/>
    <mergeCell ref="M53:M54"/>
    <mergeCell ref="K118:K119"/>
    <mergeCell ref="M47:M48"/>
    <mergeCell ref="M118:M119"/>
    <mergeCell ref="J73:J74"/>
    <mergeCell ref="H154:I154"/>
    <mergeCell ref="B154:C154"/>
    <mergeCell ref="R10:R11"/>
    <mergeCell ref="J10:J11"/>
    <mergeCell ref="Q146:Q147"/>
    <mergeCell ref="F13:I13"/>
    <mergeCell ref="B200:C200"/>
    <mergeCell ref="F56:I56"/>
    <mergeCell ref="A70:A71"/>
    <mergeCell ref="B25:L25"/>
    <mergeCell ref="B131:C131"/>
    <mergeCell ref="D131:E131"/>
    <mergeCell ref="B142:H142"/>
    <mergeCell ref="B213:H213"/>
    <mergeCell ref="F107:I107"/>
    <mergeCell ref="Q39:Q40"/>
    <mergeCell ref="J63:L63"/>
    <mergeCell ref="A87:A88"/>
    <mergeCell ref="L141:L142"/>
    <mergeCell ref="A158:A159"/>
    <mergeCell ref="B79:H79"/>
    <mergeCell ref="H157:I157"/>
    <mergeCell ref="L132:L133"/>
    <mergeCell ref="N132:N133"/>
    <mergeCell ref="N107:N108"/>
    <mergeCell ref="P36:P37"/>
    <mergeCell ref="P107:P108"/>
    <mergeCell ref="R36:R37"/>
    <mergeCell ref="D66:E66"/>
    <mergeCell ref="P101:P102"/>
    <mergeCell ref="R101:R102"/>
    <mergeCell ref="M27:M28"/>
    <mergeCell ref="D197:E197"/>
    <mergeCell ref="J101:J102"/>
    <mergeCell ref="M104:M105"/>
    <mergeCell ref="O104:O105"/>
    <mergeCell ref="B210:H210"/>
    <mergeCell ref="H111:I111"/>
    <mergeCell ref="F33:I33"/>
    <mergeCell ref="O70:O71"/>
    <mergeCell ref="F204:I204"/>
    <mergeCell ref="F198:I198"/>
    <mergeCell ref="M155:M156"/>
    <mergeCell ref="H12:I12"/>
    <mergeCell ref="O155:O156"/>
    <mergeCell ref="B15:C15"/>
    <mergeCell ref="D15:E15"/>
    <mergeCell ref="B80:C80"/>
    <mergeCell ref="Q149:Q150"/>
    <mergeCell ref="F135:I135"/>
    <mergeCell ref="J60:L60"/>
    <mergeCell ref="P193:R193"/>
    <mergeCell ref="N198:N199"/>
    <mergeCell ref="Q121:Q122"/>
    <mergeCell ref="Q115:Q116"/>
    <mergeCell ref="K124:K125"/>
    <mergeCell ref="B34:H34"/>
    <mergeCell ref="N212:N213"/>
    <mergeCell ref="B28:H28"/>
    <mergeCell ref="H106:I106"/>
    <mergeCell ref="B99:H99"/>
    <mergeCell ref="B144:L144"/>
    <mergeCell ref="O101:O102"/>
    <mergeCell ref="B74:H74"/>
    <mergeCell ref="B68:H68"/>
    <mergeCell ref="N56:N57"/>
    <mergeCell ref="F39:I39"/>
    <mergeCell ref="H43:I43"/>
    <mergeCell ref="P56:P57"/>
    <mergeCell ref="B208:C208"/>
    <mergeCell ref="D208:E208"/>
    <mergeCell ref="J55:L55"/>
    <mergeCell ref="H137:I137"/>
    <mergeCell ref="J87:J88"/>
    <mergeCell ref="L87:L88"/>
    <mergeCell ref="F64:I64"/>
    <mergeCell ref="J95:J96"/>
    <mergeCell ref="L138:L139"/>
    <mergeCell ref="B150:H150"/>
    <mergeCell ref="R50:R51"/>
    <mergeCell ref="J124:J125"/>
    <mergeCell ref="F217:I217"/>
    <mergeCell ref="P93:R93"/>
    <mergeCell ref="R115:R116"/>
    <mergeCell ref="J118:J119"/>
    <mergeCell ref="M193:O193"/>
    <mergeCell ref="Q70:Q71"/>
    <mergeCell ref="A209:A210"/>
    <mergeCell ref="K73:K74"/>
    <mergeCell ref="J90:J91"/>
    <mergeCell ref="L90:L91"/>
    <mergeCell ref="N146:N147"/>
    <mergeCell ref="P146:P147"/>
    <mergeCell ref="K10:K11"/>
    <mergeCell ref="B23:H23"/>
    <mergeCell ref="F50:I50"/>
    <mergeCell ref="D117:E117"/>
    <mergeCell ref="D55:E55"/>
    <mergeCell ref="P198:P199"/>
    <mergeCell ref="N135:N136"/>
    <mergeCell ref="B147:H147"/>
    <mergeCell ref="B94:C94"/>
    <mergeCell ref="P135:P136"/>
    <mergeCell ref="M201:M202"/>
    <mergeCell ref="D94:E94"/>
    <mergeCell ref="A98:A99"/>
    <mergeCell ref="K201:K202"/>
    <mergeCell ref="F141:I141"/>
    <mergeCell ref="R39:R40"/>
    <mergeCell ref="D69:E69"/>
    <mergeCell ref="P59:R59"/>
    <mergeCell ref="A212:A213"/>
    <mergeCell ref="J44:J45"/>
    <mergeCell ref="M132:M133"/>
    <mergeCell ref="O132:O133"/>
    <mergeCell ref="M107:M108"/>
    <mergeCell ref="O107:O108"/>
    <mergeCell ref="J86:L86"/>
    <mergeCell ref="D21:E21"/>
    <mergeCell ref="H114:I114"/>
    <mergeCell ref="J128:L128"/>
    <mergeCell ref="L64:L65"/>
    <mergeCell ref="B113:H113"/>
    <mergeCell ref="N64:N65"/>
    <mergeCell ref="B145:C145"/>
    <mergeCell ref="F78:I78"/>
    <mergeCell ref="A95:A96"/>
    <mergeCell ref="D145:E145"/>
    <mergeCell ref="Q152:Q153"/>
    <mergeCell ref="J21:L21"/>
    <mergeCell ref="K67:K68"/>
    <mergeCell ref="B102:H102"/>
    <mergeCell ref="M93:O93"/>
    <mergeCell ref="H203:I203"/>
    <mergeCell ref="M33:M34"/>
    <mergeCell ref="A47:A48"/>
    <mergeCell ref="J194:L194"/>
    <mergeCell ref="J219:L219"/>
    <mergeCell ref="P121:P122"/>
    <mergeCell ref="R121:R122"/>
    <mergeCell ref="D18:E18"/>
    <mergeCell ref="D211:E211"/>
    <mergeCell ref="K87:K88"/>
    <mergeCell ref="M87:M88"/>
    <mergeCell ref="H140:I140"/>
    <mergeCell ref="O13:O14"/>
    <mergeCell ref="M56:M57"/>
    <mergeCell ref="Q13:Q14"/>
    <mergeCell ref="A3:D3"/>
    <mergeCell ref="O78:O79"/>
    <mergeCell ref="F129:I129"/>
    <mergeCell ref="N217:N218"/>
    <mergeCell ref="N204:N205"/>
    <mergeCell ref="K64:K65"/>
    <mergeCell ref="B207:L207"/>
    <mergeCell ref="L98:L99"/>
    <mergeCell ref="M64:M65"/>
    <mergeCell ref="J19:J20"/>
    <mergeCell ref="L19:L20"/>
    <mergeCell ref="K158:K159"/>
    <mergeCell ref="N141:N142"/>
    <mergeCell ref="H35:I35"/>
    <mergeCell ref="B100:C100"/>
    <mergeCell ref="D100:E100"/>
    <mergeCell ref="F220:I220"/>
    <mergeCell ref="R118:R119"/>
    <mergeCell ref="F195:I195"/>
    <mergeCell ref="Q73:Q74"/>
    <mergeCell ref="A16:A17"/>
    <mergeCell ref="K138:K139"/>
    <mergeCell ref="K209:K210"/>
    <mergeCell ref="M138:M139"/>
    <mergeCell ref="B77:C77"/>
    <mergeCell ref="J103:L103"/>
    <mergeCell ref="Q10:Q11"/>
    <mergeCell ref="A27:A28"/>
    <mergeCell ref="D77:E77"/>
    <mergeCell ref="P149:P150"/>
    <mergeCell ref="F53:I53"/>
    <mergeCell ref="P70:P71"/>
    <mergeCell ref="R70:R71"/>
    <mergeCell ref="K90:K91"/>
    <mergeCell ref="H89:I89"/>
    <mergeCell ref="M217:M218"/>
    <mergeCell ref="K204:K205"/>
    <mergeCell ref="O217:O218"/>
    <mergeCell ref="M204:M205"/>
    <mergeCell ref="F84:I84"/>
    <mergeCell ref="M198:M199"/>
    <mergeCell ref="O198:O199"/>
    <mergeCell ref="A22:A23"/>
    <mergeCell ref="D72:E72"/>
    <mergeCell ref="J47:J48"/>
    <mergeCell ref="H72:I72"/>
    <mergeCell ref="P127:R127"/>
    <mergeCell ref="H128:I128"/>
    <mergeCell ref="M135:M136"/>
    <mergeCell ref="J201:J202"/>
    <mergeCell ref="O135:O136"/>
    <mergeCell ref="J22:J23"/>
    <mergeCell ref="L201:L202"/>
    <mergeCell ref="N90:N91"/>
    <mergeCell ref="B49:C49"/>
    <mergeCell ref="J29:L29"/>
    <mergeCell ref="A53:A54"/>
    <mergeCell ref="J138:J139"/>
    <mergeCell ref="J200:L200"/>
    <mergeCell ref="O39:O40"/>
    <mergeCell ref="B32:C32"/>
    <mergeCell ref="B116:H116"/>
    <mergeCell ref="B63:C63"/>
    <mergeCell ref="B26:C26"/>
    <mergeCell ref="P129:P130"/>
    <mergeCell ref="F81:I81"/>
    <mergeCell ref="D26:E26"/>
    <mergeCell ref="B37:H37"/>
    <mergeCell ref="J123:L123"/>
    <mergeCell ref="K95:K96"/>
    <mergeCell ref="B108:H108"/>
    <mergeCell ref="D148:E148"/>
    <mergeCell ref="B197:C197"/>
    <mergeCell ref="J89:L89"/>
    <mergeCell ref="L198:L199"/>
    <mergeCell ref="J26:L26"/>
    <mergeCell ref="O36:O37"/>
    <mergeCell ref="P124:P125"/>
    <mergeCell ref="O30:O31"/>
    <mergeCell ref="R124:R125"/>
    <mergeCell ref="P195:P196"/>
    <mergeCell ref="J27:J28"/>
    <mergeCell ref="H83:I83"/>
    <mergeCell ref="L33:L34"/>
    <mergeCell ref="N155:N156"/>
    <mergeCell ref="H49:I49"/>
    <mergeCell ref="Q81:Q82"/>
    <mergeCell ref="A195:A196"/>
    <mergeCell ref="P220:P221"/>
    <mergeCell ref="L84:L85"/>
    <mergeCell ref="N13:N14"/>
    <mergeCell ref="L22:L23"/>
    <mergeCell ref="N84:N85"/>
    <mergeCell ref="P13:P14"/>
    <mergeCell ref="B71:H71"/>
    <mergeCell ref="N78:N79"/>
    <mergeCell ref="B96:H96"/>
    <mergeCell ref="B103:C103"/>
    <mergeCell ref="P78:P79"/>
    <mergeCell ref="D103:E103"/>
    <mergeCell ref="N149:N150"/>
    <mergeCell ref="F30:I30"/>
    <mergeCell ref="P110:R110"/>
    <mergeCell ref="Q16:Q17"/>
    <mergeCell ref="D9:E9"/>
    <mergeCell ref="H80:I80"/>
    <mergeCell ref="A19:A20"/>
    <mergeCell ref="K19:K20"/>
    <mergeCell ref="J158:J159"/>
    <mergeCell ref="K212:K213"/>
    <mergeCell ref="N30:N31"/>
    <mergeCell ref="P30:P31"/>
    <mergeCell ref="D38:E38"/>
    <mergeCell ref="P73:P74"/>
    <mergeCell ref="Q107:Q108"/>
    <mergeCell ref="R73:R74"/>
    <mergeCell ref="J209:J210"/>
    <mergeCell ref="A107:A108"/>
    <mergeCell ref="N81:N82"/>
    <mergeCell ref="P10:P11"/>
    <mergeCell ref="O149:O150"/>
    <mergeCell ref="P81:P82"/>
    <mergeCell ref="H200:I200"/>
    <mergeCell ref="M220:M221"/>
    <mergeCell ref="O220:O221"/>
    <mergeCell ref="B134:C134"/>
    <mergeCell ref="D63:E63"/>
    <mergeCell ref="B194:C194"/>
    <mergeCell ref="F152:I152"/>
    <mergeCell ref="R87:R88"/>
    <mergeCell ref="L112:L113"/>
    <mergeCell ref="M25:O25"/>
    <mergeCell ref="M78:M79"/>
    <mergeCell ref="N112:N113"/>
    <mergeCell ref="R201:R202"/>
    <mergeCell ref="L217:L218"/>
    <mergeCell ref="L204:L205"/>
    <mergeCell ref="N33:N34"/>
    <mergeCell ref="B45:H45"/>
    <mergeCell ref="P155:P156"/>
    <mergeCell ref="B52:C52"/>
    <mergeCell ref="D52:E52"/>
    <mergeCell ref="J32:L32"/>
    <mergeCell ref="O44:O45"/>
    <mergeCell ref="J137:L137"/>
    <mergeCell ref="Q44:Q45"/>
    <mergeCell ref="J208:L208"/>
    <mergeCell ref="K47:K48"/>
    <mergeCell ref="H60:I60"/>
    <mergeCell ref="F87:I87"/>
    <mergeCell ref="Q19:Q20"/>
    <mergeCell ref="B218:H218"/>
    <mergeCell ref="B60:C60"/>
    <mergeCell ref="K98:K99"/>
    <mergeCell ref="P209:P210"/>
    <mergeCell ref="A13:A14"/>
    <mergeCell ref="D106:E106"/>
    <mergeCell ref="J203:L203"/>
    <mergeCell ref="B48:H48"/>
    <mergeCell ref="O129:O130"/>
    <mergeCell ref="Q129:Q130"/>
    <mergeCell ref="F36:I36"/>
    <mergeCell ref="M59:O59"/>
    <mergeCell ref="R67:R68"/>
    <mergeCell ref="Q95:Q96"/>
    <mergeCell ref="R61:R62"/>
    <mergeCell ref="P25:R25"/>
    <mergeCell ref="J67:J68"/>
    <mergeCell ref="J61:J62"/>
    <mergeCell ref="H86:I86"/>
    <mergeCell ref="F101:I101"/>
    <mergeCell ref="L61:L62"/>
    <mergeCell ref="D157:E157"/>
    <mergeCell ref="H151:I151"/>
    <mergeCell ref="A201:A202"/>
    <mergeCell ref="B216:C216"/>
    <mergeCell ref="K16:K17"/>
    <mergeCell ref="L36:L37"/>
    <mergeCell ref="L107:L108"/>
    <mergeCell ref="N36:N37"/>
    <mergeCell ref="L101:L102"/>
    <mergeCell ref="O195:O196"/>
    <mergeCell ref="Q124:Q125"/>
    <mergeCell ref="A67:A68"/>
    <mergeCell ref="N101:N102"/>
    <mergeCell ref="A138:A139"/>
    <mergeCell ref="Q195:Q196"/>
    <mergeCell ref="F115:I115"/>
    <mergeCell ref="A132:A133"/>
    <mergeCell ref="K33:K34"/>
    <mergeCell ref="B59:L59"/>
    <mergeCell ref="B46:C46"/>
    <mergeCell ref="J216:L216"/>
    <mergeCell ref="D46:E46"/>
    <mergeCell ref="B139:H139"/>
    <mergeCell ref="D111:E111"/>
    <mergeCell ref="A146:A147"/>
    <mergeCell ref="P158:P159"/>
    <mergeCell ref="K84:K85"/>
    <mergeCell ref="K22:K23"/>
    <mergeCell ref="M84:M85"/>
    <mergeCell ref="K155:K156"/>
    <mergeCell ref="M22:M23"/>
    <mergeCell ref="O84:O85"/>
    <mergeCell ref="R158:R159"/>
    <mergeCell ref="M149:M150"/>
    <mergeCell ref="A198:A199"/>
    <mergeCell ref="D219:E219"/>
    <mergeCell ref="B219:C219"/>
    <mergeCell ref="P95:P96"/>
    <mergeCell ref="R95:R96"/>
    <mergeCell ref="J114:L114"/>
    <mergeCell ref="O50:O51"/>
    <mergeCell ref="P16:P17"/>
    <mergeCell ref="A135:A136"/>
    <mergeCell ref="Q50:Q51"/>
    <mergeCell ref="R209:R210"/>
    <mergeCell ref="J16:J17"/>
    <mergeCell ref="J134:L134"/>
    <mergeCell ref="J212:J213"/>
    <mergeCell ref="B8:L8"/>
    <mergeCell ref="L212:L213"/>
    <mergeCell ref="M36:M37"/>
    <mergeCell ref="K101:K102"/>
    <mergeCell ref="M30:M31"/>
    <mergeCell ref="M101:M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P144:R144"/>
    <mergeCell ref="L220:L221"/>
    <mergeCell ref="O81:O82"/>
    <mergeCell ref="N220:N221"/>
    <mergeCell ref="B119:H119"/>
    <mergeCell ref="B114:C114"/>
    <mergeCell ref="J140:L140"/>
    <mergeCell ref="M207:O207"/>
    <mergeCell ref="Q47:Q48"/>
    <mergeCell ref="A64:A65"/>
    <mergeCell ref="K112:K113"/>
    <mergeCell ref="J211:L211"/>
    <mergeCell ref="M112:M113"/>
    <mergeCell ref="F90:I90"/>
    <mergeCell ref="B203:C203"/>
    <mergeCell ref="B76:L76"/>
    <mergeCell ref="L67:L68"/>
    <mergeCell ref="J77:L77"/>
    <mergeCell ref="A30:A31"/>
    <mergeCell ref="M152:M153"/>
    <mergeCell ref="F27:I27"/>
    <mergeCell ref="P44:P45"/>
    <mergeCell ref="N115:N116"/>
    <mergeCell ref="R44:R45"/>
    <mergeCell ref="M70:M71"/>
    <mergeCell ref="J35:L35"/>
    <mergeCell ref="J146:J147"/>
    <mergeCell ref="B51:H51"/>
    <mergeCell ref="L146:L147"/>
    <mergeCell ref="B215:L215"/>
    <mergeCell ref="I1:L3"/>
    <mergeCell ref="J98:J99"/>
    <mergeCell ref="B21:C21"/>
    <mergeCell ref="J66:L66"/>
    <mergeCell ref="R135:R136"/>
    <mergeCell ref="A217:A218"/>
    <mergeCell ref="P215:R215"/>
    <mergeCell ref="H94:I94"/>
    <mergeCell ref="F16:I16"/>
    <mergeCell ref="A204:A205"/>
    <mergeCell ref="L39:L40"/>
    <mergeCell ref="N39:N40"/>
    <mergeCell ref="B122:H122"/>
    <mergeCell ref="B69:C69"/>
    <mergeCell ref="J46:L46"/>
    <mergeCell ref="Q27:Q28"/>
    <mergeCell ref="A141:A142"/>
    <mergeCell ref="F118:I118"/>
    <mergeCell ref="K61:K62"/>
    <mergeCell ref="K132:K133"/>
    <mergeCell ref="M61:M62"/>
    <mergeCell ref="K107:K108"/>
    <mergeCell ref="J97:L97"/>
    <mergeCell ref="B11:H11"/>
    <mergeCell ref="N195:N196"/>
    <mergeCell ref="J72:L72"/>
    <mergeCell ref="D114:E114"/>
    <mergeCell ref="Q217:Q218"/>
    <mergeCell ref="F70:I70"/>
    <mergeCell ref="H15:I15"/>
    <mergeCell ref="H120:I120"/>
    <mergeCell ref="O152:O153"/>
    <mergeCell ref="R98:R99"/>
    <mergeCell ref="O53:O54"/>
    <mergeCell ref="F121:I121"/>
    <mergeCell ref="Q53:Q54"/>
    <mergeCell ref="R19:R20"/>
    <mergeCell ref="J155:J156"/>
    <mergeCell ref="Q158:Q159"/>
    <mergeCell ref="R212:R213"/>
    <mergeCell ref="A61:A62"/>
    <mergeCell ref="M39:M40"/>
    <mergeCell ref="D203:E203"/>
    <mergeCell ref="L121:L122"/>
    <mergeCell ref="N50:N51"/>
    <mergeCell ref="N129:N130"/>
    <mergeCell ref="N121:N122"/>
    <mergeCell ref="P50:P51"/>
    <mergeCell ref="B133:H133"/>
    <mergeCell ref="J148:L148"/>
    <mergeCell ref="B18:C18"/>
    <mergeCell ref="F98:I98"/>
    <mergeCell ref="P115:P116"/>
    <mergeCell ref="A90:A91"/>
    <mergeCell ref="B140:C140"/>
    <mergeCell ref="D140:E140"/>
    <mergeCell ref="Q209:Q210"/>
    <mergeCell ref="H148:I148"/>
    <mergeCell ref="M13:M14"/>
    <mergeCell ref="A56:A57"/>
    <mergeCell ref="K56:K57"/>
    <mergeCell ref="P39:P40"/>
    <mergeCell ref="B153:H153"/>
    <mergeCell ref="A129:A130"/>
    <mergeCell ref="J43:L43"/>
    <mergeCell ref="B199:H199"/>
    <mergeCell ref="L152:L153"/>
    <mergeCell ref="B29:C29"/>
    <mergeCell ref="P53:P54"/>
    <mergeCell ref="N118:N119"/>
    <mergeCell ref="P47:P48"/>
    <mergeCell ref="P118:P119"/>
    <mergeCell ref="R47:R48"/>
    <mergeCell ref="O73:O74"/>
    <mergeCell ref="L149:L150"/>
    <mergeCell ref="M115:M116"/>
    <mergeCell ref="O10:O11"/>
    <mergeCell ref="O115:O116"/>
    <mergeCell ref="B17:H17"/>
    <mergeCell ref="L70:L71"/>
    <mergeCell ref="B88:H88"/>
    <mergeCell ref="N70:N71"/>
    <mergeCell ref="B82:H82"/>
    <mergeCell ref="B89:C89"/>
    <mergeCell ref="F47:I47"/>
    <mergeCell ref="D89:E89"/>
    <mergeCell ref="J69:L69"/>
    <mergeCell ref="A220:A221"/>
    <mergeCell ref="K146:K147"/>
    <mergeCell ref="K217:K218"/>
    <mergeCell ref="H97:I97"/>
    <mergeCell ref="B97:C97"/>
    <mergeCell ref="K198:K199"/>
    <mergeCell ref="O141:O142"/>
    <mergeCell ref="B72:C72"/>
    <mergeCell ref="A84:A85"/>
    <mergeCell ref="Q141:Q142"/>
    <mergeCell ref="F61:I61"/>
    <mergeCell ref="A78:A79"/>
    <mergeCell ref="D128:E128"/>
    <mergeCell ref="Q135:Q136"/>
    <mergeCell ref="A149:A150"/>
    <mergeCell ref="K135:K136"/>
    <mergeCell ref="R16:R17"/>
    <mergeCell ref="A50:A51"/>
    <mergeCell ref="B20:H20"/>
    <mergeCell ref="P27:P28"/>
    <mergeCell ref="B85:H85"/>
    <mergeCell ref="P98:P99"/>
    <mergeCell ref="R27:R28"/>
    <mergeCell ref="H21:I21"/>
    <mergeCell ref="J132:J133"/>
    <mergeCell ref="F73:I73"/>
    <mergeCell ref="R104:R105"/>
    <mergeCell ref="J107:J108"/>
    <mergeCell ref="J104:J105"/>
    <mergeCell ref="K70:K71"/>
    <mergeCell ref="B42:L42"/>
    <mergeCell ref="L104:L105"/>
    <mergeCell ref="H123:I123"/>
    <mergeCell ref="L129:L130"/>
    <mergeCell ref="D194:E194"/>
    <mergeCell ref="F10:I10"/>
    <mergeCell ref="B148:C148"/>
    <mergeCell ref="B159:H159"/>
    <mergeCell ref="F124:I124"/>
    <mergeCell ref="R22:R23"/>
    <mergeCell ref="A104:A105"/>
    <mergeCell ref="P42:R42"/>
    <mergeCell ref="J18:L18"/>
    <mergeCell ref="Q61:Q62"/>
    <mergeCell ref="R155:R156"/>
    <mergeCell ref="J198:J199"/>
    <mergeCell ref="F201:I201"/>
    <mergeCell ref="Q98:Q99"/>
    <mergeCell ref="L124:L125"/>
    <mergeCell ref="A112:A113"/>
    <mergeCell ref="M127:O127"/>
    <mergeCell ref="N124:N125"/>
    <mergeCell ref="B136:H136"/>
    <mergeCell ref="B83:C83"/>
    <mergeCell ref="D12:E12"/>
    <mergeCell ref="R53:R54"/>
    <mergeCell ref="D83:E83"/>
    <mergeCell ref="F138:I138"/>
    <mergeCell ref="A155:A156"/>
    <mergeCell ref="Q212:Q213"/>
    <mergeCell ref="N201:N202"/>
    <mergeCell ref="M146:M147"/>
    <mergeCell ref="J33:J34"/>
    <mergeCell ref="Q56:Q57"/>
    <mergeCell ref="K121:K122"/>
    <mergeCell ref="M121:M122"/>
    <mergeCell ref="O121:O122"/>
    <mergeCell ref="J157:L157"/>
    <mergeCell ref="O87:O88"/>
    <mergeCell ref="J13:J14"/>
    <mergeCell ref="J84:J85"/>
    <mergeCell ref="L13:L14"/>
    <mergeCell ref="Q87:Q88"/>
    <mergeCell ref="J78:J79"/>
    <mergeCell ref="H103:I103"/>
    <mergeCell ref="H29:I29"/>
    <mergeCell ref="L78:L79"/>
    <mergeCell ref="H134:I134"/>
    <mergeCell ref="D80:E80"/>
    <mergeCell ref="O16:O17"/>
    <mergeCell ref="Q67:Q68"/>
    <mergeCell ref="Q132:Q133"/>
    <mergeCell ref="J30:J31"/>
    <mergeCell ref="L30:L31"/>
    <mergeCell ref="N152:N153"/>
    <mergeCell ref="O118:O119"/>
    <mergeCell ref="B111:C111"/>
    <mergeCell ref="L73:L74"/>
    <mergeCell ref="B91:H91"/>
    <mergeCell ref="Q118:Q119"/>
    <mergeCell ref="N73:N74"/>
    <mergeCell ref="B156:H156"/>
    <mergeCell ref="M8:O8"/>
    <mergeCell ref="F112:I112"/>
    <mergeCell ref="D154:E154"/>
    <mergeCell ref="J12:L12"/>
    <mergeCell ref="A101:A102"/>
    <mergeCell ref="L10:L11"/>
    <mergeCell ref="K149:K150"/>
    <mergeCell ref="K220:K221"/>
    <mergeCell ref="N10:N11"/>
    <mergeCell ref="D200:E200"/>
    <mergeCell ref="H194:I194"/>
    <mergeCell ref="N87:N88"/>
    <mergeCell ref="K13:K14"/>
    <mergeCell ref="R112:R113"/>
    <mergeCell ref="A81:A82"/>
    <mergeCell ref="A152:A153"/>
    <mergeCell ref="K78:K79"/>
    <mergeCell ref="J217:J218"/>
    <mergeCell ref="H131:I131"/>
    <mergeCell ref="J204:J205"/>
    <mergeCell ref="L155:L156"/>
    <mergeCell ref="M44:M45"/>
    <mergeCell ref="P132:P133"/>
    <mergeCell ref="J141:J142"/>
    <mergeCell ref="H18:I18"/>
    <mergeCell ref="M19:M20"/>
    <mergeCell ref="R132:R133"/>
    <mergeCell ref="J135:J136"/>
    <mergeCell ref="L135:L136"/>
    <mergeCell ref="F209:I209"/>
    <mergeCell ref="R107:R108"/>
    <mergeCell ref="M73:M74"/>
    <mergeCell ref="H26:I26"/>
    <mergeCell ref="O98:O99"/>
    <mergeCell ref="J117:L117"/>
    <mergeCell ref="H197:I197"/>
    <mergeCell ref="B40:H40"/>
    <mergeCell ref="F67:I67"/>
    <mergeCell ref="J83:L83"/>
    <mergeCell ref="Q64:Q65"/>
    <mergeCell ref="K129:K130"/>
    <mergeCell ref="K104:K105"/>
    <mergeCell ref="M129:M130"/>
    <mergeCell ref="H55:I55"/>
    <mergeCell ref="B193:L193"/>
    <mergeCell ref="B93:L93"/>
    <mergeCell ref="N67:N68"/>
    <mergeCell ref="N61:N62"/>
    <mergeCell ref="P67:P68"/>
    <mergeCell ref="B86:C86"/>
    <mergeCell ref="P61:P62"/>
    <mergeCell ref="D86:E86"/>
    <mergeCell ref="Q155:Q156"/>
    <mergeCell ref="B151:C151"/>
    <mergeCell ref="D151:E151"/>
    <mergeCell ref="J36:J37"/>
    <mergeCell ref="K195:K196"/>
    <mergeCell ref="M124:M125"/>
    <mergeCell ref="M195:M196"/>
    <mergeCell ref="H52:I52"/>
    <mergeCell ref="O124:O125"/>
    <mergeCell ref="B38:C38"/>
    <mergeCell ref="F158:I158"/>
    <mergeCell ref="Q90:Q91"/>
    <mergeCell ref="A33:A34"/>
    <mergeCell ref="R56:R57"/>
    <mergeCell ref="L81:L82"/>
    <mergeCell ref="B130:H130"/>
    <mergeCell ref="H208:I208"/>
    <mergeCell ref="B211:C211"/>
    <mergeCell ref="O27:O28"/>
    <mergeCell ref="F95:I95"/>
    <mergeCell ref="J129:J130"/>
    <mergeCell ref="L158:L159"/>
    <mergeCell ref="O19:O20"/>
    <mergeCell ref="N158:N159"/>
    <mergeCell ref="J38:L38"/>
    <mergeCell ref="P201:P202"/>
    <mergeCell ref="L95:L96"/>
    <mergeCell ref="N95:N96"/>
    <mergeCell ref="M110:O110"/>
    <mergeCell ref="L16:L17"/>
    <mergeCell ref="M50:M51"/>
    <mergeCell ref="N16:N17"/>
    <mergeCell ref="N138:N139"/>
    <mergeCell ref="N209:N210"/>
    <mergeCell ref="P138:P139"/>
    <mergeCell ref="B35:C35"/>
    <mergeCell ref="B196:H196"/>
    <mergeCell ref="B106:C106"/>
    <mergeCell ref="D35:E35"/>
    <mergeCell ref="J15:L15"/>
    <mergeCell ref="R138:R139"/>
    <mergeCell ref="J80:L80"/>
    <mergeCell ref="K30:K31"/>
    <mergeCell ref="K152:K153"/>
    <mergeCell ref="H63:I63"/>
    <mergeCell ref="B66:C66"/>
    <mergeCell ref="P90:P91"/>
    <mergeCell ref="P217:P218"/>
    <mergeCell ref="R146:R147"/>
    <mergeCell ref="K81:K82"/>
    <mergeCell ref="M10:M11"/>
    <mergeCell ref="J220:J221"/>
    <mergeCell ref="M81:M82"/>
    <mergeCell ref="P204:P205"/>
    <mergeCell ref="R204:R205"/>
    <mergeCell ref="H117:I117"/>
    <mergeCell ref="R198:R199"/>
    <mergeCell ref="B117:C117"/>
    <mergeCell ref="O112:O113"/>
    <mergeCell ref="F44:I44"/>
    <mergeCell ref="O47:O48"/>
    <mergeCell ref="B54:H54"/>
    <mergeCell ref="B125:H125"/>
    <mergeCell ref="O201:O202"/>
    <mergeCell ref="F19:I19"/>
    <mergeCell ref="O22:O23"/>
    <mergeCell ref="B157:C157"/>
    <mergeCell ref="F146:I146"/>
    <mergeCell ref="Q201:Q202"/>
    <mergeCell ref="Q78:Q79"/>
    <mergeCell ref="F212:I212"/>
    <mergeCell ref="J106:L106"/>
    <mergeCell ref="H69:I69"/>
    <mergeCell ref="L44:L45"/>
    <mergeCell ref="O138:O139"/>
    <mergeCell ref="N44:N45"/>
    <mergeCell ref="B105:H105"/>
    <mergeCell ref="P87:P88"/>
    <mergeCell ref="A121:A122"/>
    <mergeCell ref="A10:A11"/>
    <mergeCell ref="A115:A116"/>
    <mergeCell ref="B127:L127"/>
    <mergeCell ref="B57:H57"/>
    <mergeCell ref="D29:E29"/>
    <mergeCell ref="P64:P65"/>
    <mergeCell ref="A39:A40"/>
    <mergeCell ref="R64:R65"/>
    <mergeCell ref="Q198:Q199"/>
    <mergeCell ref="D216:E216"/>
    <mergeCell ref="J64:J65"/>
    <mergeCell ref="H145:I145"/>
    <mergeCell ref="H216:I216"/>
    <mergeCell ref="J39:J40"/>
    <mergeCell ref="M67:M68"/>
    <mergeCell ref="P8:R8"/>
    <mergeCell ref="H38:I38"/>
    <mergeCell ref="O33:O34"/>
    <mergeCell ref="Q33:Q34"/>
    <mergeCell ref="A36:A37"/>
    <mergeCell ref="J195:J196"/>
    <mergeCell ref="L195:L196"/>
    <mergeCell ref="H211:I211"/>
    <mergeCell ref="B43:C43"/>
    <mergeCell ref="Q84:Q85"/>
    <mergeCell ref="M42:O42"/>
    <mergeCell ref="Q22:Q23"/>
    <mergeCell ref="D49:E49"/>
    <mergeCell ref="B120:C120"/>
    <mergeCell ref="D120:E120"/>
    <mergeCell ref="R217:R218"/>
    <mergeCell ref="B62:H62"/>
    <mergeCell ref="N98:N99"/>
    <mergeCell ref="O64:O65"/>
    <mergeCell ref="N19:N20"/>
    <mergeCell ref="B31:H31"/>
    <mergeCell ref="M158:M159"/>
    <mergeCell ref="P19:P20"/>
    <mergeCell ref="P141:P142"/>
    <mergeCell ref="O158:O159"/>
    <mergeCell ref="R141:R142"/>
    <mergeCell ref="B202:H202"/>
    <mergeCell ref="P212:P213"/>
    <mergeCell ref="J149:J150"/>
    <mergeCell ref="Q30:Q31"/>
    <mergeCell ref="H100:I100"/>
    <mergeCell ref="M95:M96"/>
    <mergeCell ref="J50:J51"/>
    <mergeCell ref="J121:J122"/>
    <mergeCell ref="L50:L51"/>
    <mergeCell ref="J115:J116"/>
    <mergeCell ref="M209:M210"/>
    <mergeCell ref="H66:I66"/>
    <mergeCell ref="B9:C9"/>
    <mergeCell ref="L115:L116"/>
    <mergeCell ref="Q138:Q139"/>
    <mergeCell ref="O209:O210"/>
    <mergeCell ref="P76:R76"/>
    <mergeCell ref="H77:I77"/>
    <mergeCell ref="R220:R221"/>
    <mergeCell ref="Q104:Q105"/>
    <mergeCell ref="O90:O91"/>
    <mergeCell ref="J9:L9"/>
    <mergeCell ref="Q112:Q113"/>
    <mergeCell ref="R78:R79"/>
    <mergeCell ref="J81:J82"/>
    <mergeCell ref="M144:O144"/>
    <mergeCell ref="J152:J153"/>
    <mergeCell ref="O204:O205"/>
    <mergeCell ref="F22:I22"/>
    <mergeCell ref="F155:I155"/>
    <mergeCell ref="Q204:Q205"/>
    <mergeCell ref="F149:I149"/>
    <mergeCell ref="A1:D2"/>
    <mergeCell ref="E1:G3"/>
    <mergeCell ref="K36:K37"/>
    <mergeCell ref="J49:L49"/>
    <mergeCell ref="J53:J54"/>
    <mergeCell ref="L47:L48"/>
    <mergeCell ref="B65:H65"/>
    <mergeCell ref="L118:L119"/>
    <mergeCell ref="N47:N48"/>
    <mergeCell ref="J112:J113"/>
    <mergeCell ref="R90:R91"/>
    <mergeCell ref="J100:L100"/>
    <mergeCell ref="K50:K51"/>
    <mergeCell ref="A124:A125"/>
    <mergeCell ref="J94:L94"/>
    <mergeCell ref="K44:K45"/>
    <mergeCell ref="A118:A119"/>
    <mergeCell ref="K115:K116"/>
    <mergeCell ref="B221:H221"/>
    <mergeCell ref="J70:J71"/>
    <mergeCell ref="H46:I46"/>
    <mergeCell ref="M16:M17"/>
    <mergeCell ref="D32:E32"/>
    <mergeCell ref="R129:R130"/>
    <mergeCell ref="K39:K40"/>
    <mergeCell ref="D97:E97"/>
    <mergeCell ref="H219:I219"/>
    <mergeCell ref="O95:O96"/>
    <mergeCell ref="K141:K142"/>
    <mergeCell ref="M141:M142"/>
    <mergeCell ref="O61:O62"/>
    <mergeCell ref="B128:C128"/>
    <mergeCell ref="J154:L154"/>
    <mergeCell ref="M215:O215"/>
    <mergeCell ref="F104:I104"/>
    <mergeCell ref="Q36:Q37"/>
    <mergeCell ref="R195:R196"/>
    <mergeCell ref="J120:L120"/>
    <mergeCell ref="Q101:Q102"/>
    <mergeCell ref="L27:L28"/>
    <mergeCell ref="A44:A45"/>
    <mergeCell ref="N27:N28"/>
    <mergeCell ref="B14:H14"/>
    <mergeCell ref="J131:L131"/>
    <mergeCell ref="N104:N105"/>
    <mergeCell ref="P33:P34"/>
    <mergeCell ref="P104:P105"/>
    <mergeCell ref="B123:C123"/>
    <mergeCell ref="A73:A74"/>
    <mergeCell ref="D123:E123"/>
    <mergeCell ref="B205:H205"/>
    <mergeCell ref="B110:L110"/>
  </mergeCells>
  <conditionalFormatting sqref="M10:R10 M13:R13 M16:R16 M19:R19 M22:R22 M27:R27 M30:R30 M33:R33 M36:R36 M39:R39 M44:R44 M47:R47 M50:R50 M53:R53 M56:R56 M61:R61 M64:R64 M67:R67 M70:R70 M73:R73 M78:R78 M81:R81 M84:R84 M87:R87 M90:R90 M95:R95 M98:R98 M101:R101 M104:R104 M107:R107 M112:R112 M115:R115 M118:R118 M121:R121 M124:R124 M129:R129 M132:R132 M135:R135 M138:R138 M141:R141 M146:R146 M149:R149 M152:R152 M155:R155 M158:R158 M195:R195 M198:R198 M201:R201 M204:R204 M209:R209 M212:R212 M217:R217 M220:R220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7:O27 M30:O30 M33:O33 M36:O36 M39:O39 M44:O44 M47:O47 M50:O50 M53:O53 M56:O56 M61:O61 M64:O64 M67:O67 M70:O70 M73:O73 M78:O78 M81:O81 M84:O84 M87:O87 M90:O90 M95:O95 M98:O98 M101:O101 M104:O104 M107:O107 M112:O112 M115:O115 M118:O118 M121:O121 M124:O124 M129:O129 M132:O132 M135:O135 M138:O138 M141:O141 M146:O146 M149:O149 M152:O152 M155:O155 M158:O158 M195:O195 M198:O198 M201:O201 M204:O204 M209:O209 M212:O212 M217:O217 M220:O220" showDropDown="0" showInputMessage="0" showErrorMessage="0" allowBlank="1" errorTitle="Arbitro non valido" error="Nominativo non presente nell'elenco del foglio Arbitri." type="list">
      <formula1>Arbitri!$D$5:$D$34</formula1>
    </dataValidation>
    <dataValidation sqref="P10:R10 P13:R13 P16:R16 P19:R19 P22:R22 P27:R27 P30:R30 P33:R33 P36:R36 P39:R39 P44:R44 P47:R47 P50:R50 P53:R53 P56:R56 P61:R61 P64:R64 P67:R67 P70:R70 P73:R73 P78:R78 P81:R81 P84:R84 P87:R87 P90:R90 P95:R95 P98:R98 P101:R101 P104:R104 P107:R107 P112:R112 P115:R115 P118:R118 P121:R121 P124:R124 P129:R129 P132:R132 P135:R135 P138:R138 P141:R141 P146:R146 P149:R149 P152:R152 P155:R155 P158:R158 P195:R195 P198:R198 P201:R201 P204:R204 P209:R209 P212:R212 P217:R217 P220:R220" showDropDown="0" showInputMessage="0" showErrorMessage="0" allowBlank="1" errorTitle="Ufficiale di campo non valido" error="Nominativo non presente nell'elenco del foglio UdC." type="list">
      <formula1>UdC!$D$5:$D$34</formula1>
    </dataValidation>
  </dataValidation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3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 t="str">
        <f>Campionato!$D$2&amp;""</f>
        <v>Campionato Baskin Demo - ESEMPIO 10 Squadre</v>
      </c>
    </row>
    <row r="2">
      <c r="A2" s="219" t="str">
        <f>"Arbitri - Stagione "&amp;Campionato!$D$6</f>
        <v>Arbitri - Stagione 2026/2027</v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inlineStr">
        <is>
          <t>FUENTES Matteo [Aest]</t>
        </is>
      </c>
      <c r="E5" s="220" t="n"/>
      <c r="L5" s="64">
        <f>IF($D5="","",SUM(M5:O5))</f>
        <v>4</v>
      </c>
      <c r="M5" s="64">
        <f>IF($D5="","",COUNTIF(DESIGNAZIONI!M$8:M$228,$D5))</f>
        <v>2</v>
      </c>
      <c r="N5" s="64">
        <f>IF($D5="","",COUNTIF(DESIGNAZIONI!N$8:N$228,$D5))</f>
        <v>1</v>
      </c>
      <c r="O5" s="64">
        <f>IF($D5="","",COUNTIF(DESIGNAZIONI!O$8:O$228,$D5))</f>
        <v>1</v>
      </c>
    </row>
    <row r="6">
      <c r="C6" s="224" t="n"/>
      <c r="D6" s="13" t="inlineStr">
        <is>
          <t>LANGER Marta [A]</t>
        </is>
      </c>
      <c r="E6" s="220" t="n"/>
      <c r="L6" s="64">
        <f>IF($D6="","",SUM(M6:O6))</f>
        <v>6</v>
      </c>
      <c r="M6" s="64">
        <f>IF($D6="","",COUNTIF(DESIGNAZIONI!M$8:M$228,$D6))</f>
        <v>1</v>
      </c>
      <c r="N6" s="64">
        <f>IF($D6="","",COUNTIF(DESIGNAZIONI!N$8:N$228,$D6))</f>
        <v>4</v>
      </c>
      <c r="O6" s="64">
        <f>IF($D6="","",COUNTIF(DESIGNAZIONI!O$8:O$228,$D6))</f>
        <v>1</v>
      </c>
    </row>
    <row r="7">
      <c r="C7" s="224" t="n"/>
      <c r="D7" s="13" t="inlineStr">
        <is>
          <t>MODIC Chiara [AA]</t>
        </is>
      </c>
      <c r="E7" s="220" t="n"/>
      <c r="L7" s="64">
        <f>IF($D7="","",SUM(M7:O7))</f>
        <v>5</v>
      </c>
      <c r="M7" s="64">
        <f>IF($D7="","",COUNTIF(DESIGNAZIONI!M$8:M$228,$D7))</f>
        <v>3</v>
      </c>
      <c r="N7" s="64">
        <f>IF($D7="","",COUNTIF(DESIGNAZIONI!N$8:N$228,$D7))</f>
        <v>1</v>
      </c>
      <c r="O7" s="64">
        <f>IF($D7="","",COUNTIF(DESIGNAZIONI!O$8:O$228,$D7))</f>
        <v>1</v>
      </c>
    </row>
    <row r="8">
      <c r="C8" s="224" t="n"/>
      <c r="D8" s="13" t="inlineStr">
        <is>
          <t>CARON Paolo [AA]</t>
        </is>
      </c>
      <c r="E8" s="220" t="n"/>
      <c r="L8" s="64">
        <f>IF($D8="","",SUM(M8:O8))</f>
        <v>4</v>
      </c>
      <c r="M8" s="64">
        <f>IF($D8="","",COUNTIF(DESIGNAZIONI!M$8:M$228,$D8))</f>
        <v>1</v>
      </c>
      <c r="N8" s="64">
        <f>IF($D8="","",COUNTIF(DESIGNAZIONI!N$8:N$228,$D8))</f>
        <v>1</v>
      </c>
      <c r="O8" s="64">
        <f>IF($D8="","",COUNTIF(DESIGNAZIONI!O$8:O$228,$D8))</f>
        <v>2</v>
      </c>
    </row>
    <row r="9">
      <c r="C9" s="224" t="n"/>
      <c r="D9" s="13" t="inlineStr">
        <is>
          <t>BRANDT Stefano [AAt]</t>
        </is>
      </c>
      <c r="E9" s="220" t="n"/>
      <c r="L9" s="64">
        <f>IF($D9="","",SUM(M9:O9))</f>
        <v>4</v>
      </c>
      <c r="M9" s="64">
        <f>IF($D9="","",COUNTIF(DESIGNAZIONI!M$8:M$228,$D9))</f>
        <v>1</v>
      </c>
      <c r="N9" s="64">
        <f>IF($D9="","",COUNTIF(DESIGNAZIONI!N$8:N$228,$D9))</f>
        <v>2</v>
      </c>
      <c r="O9" s="64">
        <f>IF($D9="","",COUNTIF(DESIGNAZIONI!O$8:O$228,$D9))</f>
        <v>1</v>
      </c>
    </row>
    <row r="10">
      <c r="C10" s="224" t="n"/>
      <c r="D10" s="13" t="inlineStr">
        <is>
          <t>AUBERT Filippo [AA]</t>
        </is>
      </c>
      <c r="E10" s="220" t="n"/>
      <c r="L10" s="64">
        <f>IF($D10="","",SUM(M10:O10))</f>
        <v>2</v>
      </c>
      <c r="M10" s="64">
        <f>IF($D10="","",COUNTIF(DESIGNAZIONI!M$8:M$228,$D10))</f>
        <v>1</v>
      </c>
      <c r="N10" s="64">
        <f>IF($D10="","",COUNTIF(DESIGNAZIONI!N$8:N$228,$D10))</f>
        <v>1</v>
      </c>
      <c r="O10" s="64">
        <f>IF($D10="","",COUNTIF(DESIGNAZIONI!O$8:O$228,$D10))</f>
        <v>0</v>
      </c>
    </row>
    <row r="11">
      <c r="C11" s="224" t="n"/>
      <c r="D11" s="13" t="inlineStr">
        <is>
          <t>MARCHIONI Matteo [AAt]</t>
        </is>
      </c>
      <c r="E11" s="220" t="n"/>
      <c r="L11" s="64">
        <f>IF($D11="","",SUM(M11:O11))</f>
        <v>7</v>
      </c>
      <c r="M11" s="64">
        <f>IF($D11="","",COUNTIF(DESIGNAZIONI!M$8:M$228,$D11))</f>
        <v>4</v>
      </c>
      <c r="N11" s="64">
        <f>IF($D11="","",COUNTIF(DESIGNAZIONI!N$8:N$228,$D11))</f>
        <v>1</v>
      </c>
      <c r="O11" s="64">
        <f>IF($D11="","",COUNTIF(DESIGNAZIONI!O$8:O$228,$D11))</f>
        <v>2</v>
      </c>
    </row>
    <row r="12">
      <c r="C12" s="224" t="n"/>
      <c r="D12" s="13" t="inlineStr">
        <is>
          <t>NAVARRO Matteo [AA]</t>
        </is>
      </c>
      <c r="E12" s="220" t="n"/>
      <c r="L12" s="64">
        <f>IF($D12="","",SUM(M12:O12))</f>
        <v>8</v>
      </c>
      <c r="M12" s="64">
        <f>IF($D12="","",COUNTIF(DESIGNAZIONI!M$8:M$228,$D12))</f>
        <v>2</v>
      </c>
      <c r="N12" s="64">
        <f>IF($D12="","",COUNTIF(DESIGNAZIONI!N$8:N$228,$D12))</f>
        <v>4</v>
      </c>
      <c r="O12" s="64">
        <f>IF($D12="","",COUNTIF(DESIGNAZIONI!O$8:O$228,$D12))</f>
        <v>2</v>
      </c>
    </row>
    <row r="13">
      <c r="C13" s="224" t="n"/>
      <c r="D13" s="13" t="inlineStr">
        <is>
          <t>FOURNIER Tommaso [AA]</t>
        </is>
      </c>
      <c r="E13" s="220" t="n"/>
      <c r="L13" s="64">
        <f>IF($D13="","",SUM(M13:O13))</f>
        <v>6</v>
      </c>
      <c r="M13" s="64">
        <f>IF($D13="","",COUNTIF(DESIGNAZIONI!M$8:M$228,$D13))</f>
        <v>2</v>
      </c>
      <c r="N13" s="64">
        <f>IF($D13="","",COUNTIF(DESIGNAZIONI!N$8:N$228,$D13))</f>
        <v>1</v>
      </c>
      <c r="O13" s="64">
        <f>IF($D13="","",COUNTIF(DESIGNAZIONI!O$8:O$228,$D13))</f>
        <v>3</v>
      </c>
    </row>
    <row r="14">
      <c r="C14" s="224" t="n"/>
      <c r="D14" s="13" t="inlineStr">
        <is>
          <t>MODIC Katrin [A]</t>
        </is>
      </c>
      <c r="E14" s="220" t="n"/>
      <c r="L14" s="64">
        <f>IF($D14="","",SUM(M14:O14))</f>
        <v>5</v>
      </c>
      <c r="M14" s="64">
        <f>IF($D14="","",COUNTIF(DESIGNAZIONI!M$8:M$228,$D14))</f>
        <v>2</v>
      </c>
      <c r="N14" s="64">
        <f>IF($D14="","",COUNTIF(DESIGNAZIONI!N$8:N$228,$D14))</f>
        <v>3</v>
      </c>
      <c r="O14" s="64">
        <f>IF($D14="","",COUNTIF(DESIGNAZIONI!O$8:O$228,$D14))</f>
        <v>0</v>
      </c>
    </row>
    <row r="15">
      <c r="C15" s="224" t="n"/>
      <c r="D15" s="13" t="inlineStr">
        <is>
          <t>LEROUX Lea [Aest]</t>
        </is>
      </c>
      <c r="E15" s="220" t="n"/>
      <c r="L15" s="64">
        <f>IF($D15="","",SUM(M15:O15))</f>
        <v>6</v>
      </c>
      <c r="M15" s="64">
        <f>IF($D15="","",COUNTIF(DESIGNAZIONI!M$8:M$228,$D15))</f>
        <v>1</v>
      </c>
      <c r="N15" s="64">
        <f>IF($D15="","",COUNTIF(DESIGNAZIONI!N$8:N$228,$D15))</f>
        <v>1</v>
      </c>
      <c r="O15" s="64">
        <f>IF($D15="","",COUNTIF(DESIGNAZIONI!O$8:O$228,$D15))</f>
        <v>4</v>
      </c>
    </row>
    <row r="16">
      <c r="C16" s="224" t="n"/>
      <c r="D16" s="13" t="inlineStr">
        <is>
          <t>KRUGER Sofia [A]</t>
        </is>
      </c>
      <c r="E16" s="220" t="n"/>
      <c r="L16" s="64">
        <f>IF($D16="","",SUM(M16:O16))</f>
        <v>7</v>
      </c>
      <c r="M16" s="64">
        <f>IF($D16="","",COUNTIF(DESIGNAZIONI!M$8:M$228,$D16))</f>
        <v>1</v>
      </c>
      <c r="N16" s="64">
        <f>IF($D16="","",COUNTIF(DESIGNAZIONI!N$8:N$228,$D16))</f>
        <v>3</v>
      </c>
      <c r="O16" s="64">
        <f>IF($D16="","",COUNTIF(DESIGNAZIONI!O$8:O$228,$D16))</f>
        <v>3</v>
      </c>
    </row>
    <row r="17">
      <c r="C17" s="224" t="n"/>
      <c r="D17" s="13" t="inlineStr">
        <is>
          <t>BIANCHELLI Paolo [AA]</t>
        </is>
      </c>
      <c r="E17" s="220" t="n"/>
      <c r="L17" s="64">
        <f>IF($D17="","",SUM(M17:O17))</f>
        <v>3</v>
      </c>
      <c r="M17" s="64">
        <f>IF($D17="","",COUNTIF(DESIGNAZIONI!M$8:M$228,$D17))</f>
        <v>0</v>
      </c>
      <c r="N17" s="64">
        <f>IF($D17="","",COUNTIF(DESIGNAZIONI!N$8:N$228,$D17))</f>
        <v>1</v>
      </c>
      <c r="O17" s="64">
        <f>IF($D17="","",COUNTIF(DESIGNAZIONI!O$8:O$228,$D17))</f>
        <v>2</v>
      </c>
    </row>
    <row r="18">
      <c r="C18" s="224" t="n"/>
      <c r="D18" s="13" t="inlineStr">
        <is>
          <t>KRAJNC Marta [Aest]</t>
        </is>
      </c>
      <c r="E18" s="220" t="n"/>
      <c r="L18" s="64">
        <f>IF($D18="","",SUM(M18:O18))</f>
        <v>3</v>
      </c>
      <c r="M18" s="64">
        <f>IF($D18="","",COUNTIF(DESIGNAZIONI!M$8:M$228,$D18))</f>
        <v>2</v>
      </c>
      <c r="N18" s="64">
        <f>IF($D18="","",COUNTIF(DESIGNAZIONI!N$8:N$228,$D18))</f>
        <v>1</v>
      </c>
      <c r="O18" s="64">
        <f>IF($D18="","",COUNTIF(DESIGNAZIONI!O$8:O$228,$D18))</f>
        <v>0</v>
      </c>
    </row>
    <row r="19">
      <c r="C19" s="224" t="n"/>
      <c r="D19" s="13" t="inlineStr">
        <is>
          <t>SOLER Stefano [A]</t>
        </is>
      </c>
      <c r="E19" s="220" t="n"/>
      <c r="L19" s="64">
        <f>IF($D19="","",SUM(M19:O19))</f>
        <v>9</v>
      </c>
      <c r="M19" s="64">
        <f>IF($D19="","",COUNTIF(DESIGNAZIONI!M$8:M$228,$D19))</f>
        <v>3</v>
      </c>
      <c r="N19" s="64">
        <f>IF($D19="","",COUNTIF(DESIGNAZIONI!N$8:N$228,$D19))</f>
        <v>4</v>
      </c>
      <c r="O19" s="64">
        <f>IF($D19="","",COUNTIF(DESIGNAZIONI!O$8:O$228,$D19))</f>
        <v>2</v>
      </c>
    </row>
    <row r="20">
      <c r="C20" s="224" t="n"/>
      <c r="D20" s="13" t="inlineStr">
        <is>
          <t>MARCHIONI Lea [AAt]</t>
        </is>
      </c>
      <c r="E20" s="220" t="n"/>
      <c r="L20" s="64">
        <f>IF($D20="","",SUM(M20:O20))</f>
        <v>3</v>
      </c>
      <c r="M20" s="64">
        <f>IF($D20="","",COUNTIF(DESIGNAZIONI!M$8:M$228,$D20))</f>
        <v>2</v>
      </c>
      <c r="N20" s="64">
        <f>IF($D20="","",COUNTIF(DESIGNAZIONI!N$8:N$228,$D20))</f>
        <v>0</v>
      </c>
      <c r="O20" s="64">
        <f>IF($D20="","",COUNTIF(DESIGNAZIONI!O$8:O$228,$D20))</f>
        <v>1</v>
      </c>
    </row>
    <row r="21">
      <c r="C21" s="224" t="n"/>
      <c r="D21" s="13" t="inlineStr">
        <is>
          <t>MODIC Lukas [AAt]</t>
        </is>
      </c>
      <c r="E21" s="220" t="n"/>
      <c r="L21" s="64">
        <f>IF($D21="","",SUM(M21:O21))</f>
        <v>4</v>
      </c>
      <c r="M21" s="64">
        <f>IF($D21="","",COUNTIF(DESIGNAZIONI!M$8:M$228,$D21))</f>
        <v>1</v>
      </c>
      <c r="N21" s="64">
        <f>IF($D21="","",COUNTIF(DESIGNAZIONI!N$8:N$228,$D21))</f>
        <v>1</v>
      </c>
      <c r="O21" s="64">
        <f>IF($D21="","",COUNTIF(DESIGNAZIONI!O$8:O$228,$D21))</f>
        <v>2</v>
      </c>
    </row>
    <row r="22">
      <c r="C22" s="224" t="n"/>
      <c r="D22" s="13" t="inlineStr">
        <is>
          <t>PRADO Eva [AAt]</t>
        </is>
      </c>
      <c r="E22" s="220" t="n"/>
      <c r="L22" s="64">
        <f>IF($D22="","",SUM(M22:O22))</f>
        <v>4</v>
      </c>
      <c r="M22" s="64">
        <f>IF($D22="","",COUNTIF(DESIGNAZIONI!M$8:M$228,$D22))</f>
        <v>3</v>
      </c>
      <c r="N22" s="64">
        <f>IF($D22="","",COUNTIF(DESIGNAZIONI!N$8:N$228,$D22))</f>
        <v>0</v>
      </c>
      <c r="O22" s="64">
        <f>IF($D22="","",COUNTIF(DESIGNAZIONI!O$8:O$228,$D22))</f>
        <v>1</v>
      </c>
    </row>
    <row r="23">
      <c r="C23" s="224" t="n"/>
      <c r="D23" s="13" t="inlineStr">
        <is>
          <t>HORVAT Lea [A]</t>
        </is>
      </c>
      <c r="E23" s="220" t="n"/>
      <c r="L23" s="64">
        <f>IF($D23="","",SUM(M23:O23))</f>
        <v>8</v>
      </c>
      <c r="M23" s="64">
        <f>IF($D23="","",COUNTIF(DESIGNAZIONI!M$8:M$228,$D23))</f>
        <v>4</v>
      </c>
      <c r="N23" s="64">
        <f>IF($D23="","",COUNTIF(DESIGNAZIONI!N$8:N$228,$D23))</f>
        <v>2</v>
      </c>
      <c r="O23" s="64">
        <f>IF($D23="","",COUNTIF(DESIGNAZIONI!O$8:O$228,$D23))</f>
        <v>2</v>
      </c>
    </row>
    <row r="24">
      <c r="C24" s="224" t="n"/>
      <c r="D24" s="13" t="inlineStr">
        <is>
          <t>ROMERO Elena [A]</t>
        </is>
      </c>
      <c r="E24" s="220" t="n"/>
      <c r="L24" s="64">
        <f>IF($D24="","",SUM(M24:O24))</f>
        <v>6</v>
      </c>
      <c r="M24" s="64">
        <f>IF($D24="","",COUNTIF(DESIGNAZIONI!M$8:M$228,$D24))</f>
        <v>1</v>
      </c>
      <c r="N24" s="64">
        <f>IF($D24="","",COUNTIF(DESIGNAZIONI!N$8:N$228,$D24))</f>
        <v>3</v>
      </c>
      <c r="O24" s="64">
        <f>IF($D24="","",COUNTIF(DESIGNAZIONI!O$8:O$228,$D24))</f>
        <v>2</v>
      </c>
    </row>
    <row r="25">
      <c r="C25" s="224" t="n"/>
      <c r="D25" s="13" t="inlineStr">
        <is>
          <t>PRADO Giulia [AAt]</t>
        </is>
      </c>
      <c r="E25" s="220" t="n"/>
      <c r="L25" s="64">
        <f>IF($D25="","",SUM(M25:O25))</f>
        <v>3</v>
      </c>
      <c r="M25" s="64">
        <f>IF($D25="","",COUNTIF(DESIGNAZIONI!M$8:M$228,$D25))</f>
        <v>0</v>
      </c>
      <c r="N25" s="64">
        <f>IF($D25="","",COUNTIF(DESIGNAZIONI!N$8:N$228,$D25))</f>
        <v>0</v>
      </c>
      <c r="O25" s="64">
        <f>IF($D25="","",COUNTIF(DESIGNAZIONI!O$8:O$228,$D25))</f>
        <v>3</v>
      </c>
    </row>
    <row r="26">
      <c r="C26" s="224" t="n"/>
      <c r="D26" s="13" t="inlineStr">
        <is>
          <t>SANTORI Sofia [AA]</t>
        </is>
      </c>
      <c r="E26" s="220" t="n"/>
      <c r="L26" s="64">
        <f>IF($D26="","",SUM(M26:O26))</f>
        <v>6</v>
      </c>
      <c r="M26" s="64">
        <f>IF($D26="","",COUNTIF(DESIGNAZIONI!M$8:M$228,$D26))</f>
        <v>2</v>
      </c>
      <c r="N26" s="64">
        <f>IF($D26="","",COUNTIF(DESIGNAZIONI!N$8:N$228,$D26))</f>
        <v>0</v>
      </c>
      <c r="O26" s="64">
        <f>IF($D26="","",COUNTIF(DESIGNAZIONI!O$8:O$228,$D26))</f>
        <v>4</v>
      </c>
    </row>
    <row r="27">
      <c r="C27" s="224" t="n"/>
      <c r="D27" s="13" t="inlineStr">
        <is>
          <t>CAMPOS Miha [Aest]</t>
        </is>
      </c>
      <c r="E27" s="220" t="n"/>
      <c r="L27" s="64">
        <f>IF($D27="","",SUM(M27:O27))</f>
        <v>7</v>
      </c>
      <c r="M27" s="64">
        <f>IF($D27="","",COUNTIF(DESIGNAZIONI!M$8:M$228,$D27))</f>
        <v>1</v>
      </c>
      <c r="N27" s="64">
        <f>IF($D27="","",COUNTIF(DESIGNAZIONI!N$8:N$228,$D27))</f>
        <v>3</v>
      </c>
      <c r="O27" s="64">
        <f>IF($D27="","",COUNTIF(DESIGNAZIONI!O$8:O$228,$D27))</f>
        <v>3</v>
      </c>
    </row>
    <row r="28">
      <c r="C28" s="224" t="n"/>
      <c r="D28" s="13" t="inlineStr">
        <is>
          <t>ROSSINI Irene [AA]</t>
        </is>
      </c>
      <c r="E28" s="220" t="n"/>
      <c r="L28" s="64">
        <f>IF($D28="","",SUM(M28:O28))</f>
        <v>7</v>
      </c>
      <c r="M28" s="64">
        <f>IF($D28="","",COUNTIF(DESIGNAZIONI!M$8:M$228,$D28))</f>
        <v>1</v>
      </c>
      <c r="N28" s="64">
        <f>IF($D28="","",COUNTIF(DESIGNAZIONI!N$8:N$228,$D28))</f>
        <v>4</v>
      </c>
      <c r="O28" s="64">
        <f>IF($D28="","",COUNTIF(DESIGNAZIONI!O$8:O$228,$D28))</f>
        <v>2</v>
      </c>
    </row>
    <row r="29">
      <c r="C29" s="224" t="n"/>
      <c r="D29" s="13" t="inlineStr">
        <is>
          <t>BLANCHET Anja [AA]</t>
        </is>
      </c>
      <c r="E29" s="220" t="n"/>
      <c r="L29" s="64">
        <f>IF($D29="","",SUM(M29:O29))</f>
        <v>5</v>
      </c>
      <c r="M29" s="64">
        <f>IF($D29="","",COUNTIF(DESIGNAZIONI!M$8:M$228,$D29))</f>
        <v>2</v>
      </c>
      <c r="N29" s="64">
        <f>IF($D29="","",COUNTIF(DESIGNAZIONI!N$8:N$228,$D29))</f>
        <v>2</v>
      </c>
      <c r="O29" s="64">
        <f>IF($D29="","",COUNTIF(DESIGNAZIONI!O$8:O$228,$D29))</f>
        <v>1</v>
      </c>
    </row>
    <row r="30">
      <c r="C30" s="224" t="n"/>
      <c r="D30" s="13" t="inlineStr">
        <is>
          <t>GALLINI Valerie [AA]</t>
        </is>
      </c>
      <c r="E30" s="220" t="n"/>
      <c r="L30" s="64">
        <f>IF($D30="","",SUM(M30:O30))</f>
        <v>4</v>
      </c>
      <c r="M30" s="64">
        <f>IF($D30="","",COUNTIF(DESIGNAZIONI!M$8:M$228,$D30))</f>
        <v>3</v>
      </c>
      <c r="N30" s="64">
        <f>IF($D30="","",COUNTIF(DESIGNAZIONI!N$8:N$228,$D30))</f>
        <v>1</v>
      </c>
      <c r="O30" s="64">
        <f>IF($D30="","",COUNTIF(DESIGNAZIONI!O$8:O$228,$D30))</f>
        <v>0</v>
      </c>
    </row>
    <row r="31">
      <c r="C31" s="224" t="n"/>
      <c r="D31" s="13" t="inlineStr">
        <is>
          <t>SCHAFER Giulia [AA]</t>
        </is>
      </c>
      <c r="E31" s="220" t="n"/>
      <c r="L31" s="64">
        <f>IF($D31="","",SUM(M31:O31))</f>
        <v>8</v>
      </c>
      <c r="M31" s="64">
        <f>IF($D31="","",COUNTIF(DESIGNAZIONI!M$8:M$228,$D31))</f>
        <v>2</v>
      </c>
      <c r="N31" s="64">
        <f>IF($D31="","",COUNTIF(DESIGNAZIONI!N$8:N$228,$D31))</f>
        <v>4</v>
      </c>
      <c r="O31" s="64">
        <f>IF($D31="","",COUNTIF(DESIGNAZIONI!O$8:O$228,$D31))</f>
        <v>2</v>
      </c>
    </row>
    <row r="32">
      <c r="C32" s="224" t="n"/>
      <c r="D32" s="13" t="inlineStr">
        <is>
          <t>IGLESIAS Jonas [AAt]</t>
        </is>
      </c>
      <c r="E32" s="220" t="n"/>
      <c r="L32" s="64">
        <f>IF($D32="","",SUM(M32:O32))</f>
        <v>4</v>
      </c>
      <c r="M32" s="64">
        <f>IF($D32="","",COUNTIF(DESIGNAZIONI!M$8:M$228,$D32))</f>
        <v>0</v>
      </c>
      <c r="N32" s="64">
        <f>IF($D32="","",COUNTIF(DESIGNAZIONI!N$8:N$228,$D32))</f>
        <v>3</v>
      </c>
      <c r="O32" s="64">
        <f>IF($D32="","",COUNTIF(DESIGNAZIONI!O$8:O$228,$D32))</f>
        <v>1</v>
      </c>
    </row>
    <row r="33">
      <c r="C33" s="224" t="n"/>
      <c r="D33" s="13" t="inlineStr">
        <is>
          <t>KELLER Andrea [Aest]</t>
        </is>
      </c>
      <c r="E33" s="220" t="n"/>
      <c r="L33" s="64">
        <f>IF($D33="","",SUM(M33:O33))</f>
        <v>9</v>
      </c>
      <c r="M33" s="64">
        <f>IF($D33="","",COUNTIF(DESIGNAZIONI!M$8:M$228,$D33))</f>
        <v>4</v>
      </c>
      <c r="N33" s="64">
        <f>IF($D33="","",COUNTIF(DESIGNAZIONI!N$8:N$228,$D33))</f>
        <v>1</v>
      </c>
      <c r="O33" s="64">
        <f>IF($D33="","",COUNTIF(DESIGNAZIONI!O$8:O$228,$D33))</f>
        <v>4</v>
      </c>
    </row>
    <row r="34">
      <c r="C34" s="224" t="n"/>
      <c r="D34" s="13" t="inlineStr">
        <is>
          <t>ENGEL Gaelle [AAt]</t>
        </is>
      </c>
      <c r="E34" s="220" t="n"/>
      <c r="L34" s="64">
        <f>IF($D34="","",SUM(M34:O34))</f>
        <v>2</v>
      </c>
      <c r="M34" s="64">
        <f>IF($D34="","",COUNTIF(DESIGNAZIONI!M$8:M$228,$D34))</f>
        <v>1</v>
      </c>
      <c r="N34" s="64">
        <f>IF($D34="","",COUNTIF(DESIGNAZIONI!N$8:N$228,$D34))</f>
        <v>0</v>
      </c>
      <c r="O34" s="64">
        <f>IF($D34="","",COUNTIF(DESIGNAZIONI!O$8:O$228,$D34))</f>
        <v>1</v>
      </c>
    </row>
  </sheetData>
  <mergeCells count="1">
    <mergeCell ref="C5:C34"/>
  </mergeCells>
  <conditionalFormatting sqref="L5:O3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3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 t="str">
        <f>Campionato!$D$2&amp;""</f>
        <v>Campionato Baskin Demo - ESEMPIO 10 Squadre</v>
      </c>
    </row>
    <row r="2">
      <c r="A2" s="219" t="str">
        <f>"Ufficiali di campo - Stagione "&amp;Campionato!$D$6</f>
        <v>Ufficiali di campo - Stagione 2026/2027</v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inlineStr">
        <is>
          <t>MARCHIONI Irene</t>
        </is>
      </c>
      <c r="E5" s="220" t="n"/>
      <c r="L5" s="64">
        <f>IF($D5="","",SUM(M5:O5))</f>
        <v>6</v>
      </c>
      <c r="M5" s="64">
        <f>IF($D5="","",COUNTIF(DESIGNAZIONI!P$8:P$228,$D5))</f>
        <v>4</v>
      </c>
      <c r="N5" s="64">
        <f>IF($D5="","",COUNTIF(DESIGNAZIONI!Q$8:Q$228,$D5))</f>
        <v>1</v>
      </c>
      <c r="O5" s="64">
        <f>IF($D5="","",COUNTIF(DESIGNAZIONI!R$8:R$228,$D5))</f>
        <v>1</v>
      </c>
    </row>
    <row r="6">
      <c r="C6" s="224" t="n"/>
      <c r="D6" s="13" t="inlineStr">
        <is>
          <t>VOGEL Irene</t>
        </is>
      </c>
      <c r="E6" s="220" t="n"/>
      <c r="L6" s="64">
        <f>IF($D6="","",SUM(M6:O6))</f>
        <v>4</v>
      </c>
      <c r="M6" s="64">
        <f>IF($D6="","",COUNTIF(DESIGNAZIONI!P$8:P$228,$D6))</f>
        <v>0</v>
      </c>
      <c r="N6" s="64">
        <f>IF($D6="","",COUNTIF(DESIGNAZIONI!Q$8:Q$228,$D6))</f>
        <v>1</v>
      </c>
      <c r="O6" s="64">
        <f>IF($D6="","",COUNTIF(DESIGNAZIONI!R$8:R$228,$D6))</f>
        <v>3</v>
      </c>
    </row>
    <row r="7">
      <c r="C7" s="224" t="n"/>
      <c r="D7" s="13" t="inlineStr">
        <is>
          <t>ORTEGA Alenka</t>
        </is>
      </c>
      <c r="E7" s="220" t="n"/>
      <c r="L7" s="64">
        <f>IF($D7="","",SUM(M7:O7))</f>
        <v>6</v>
      </c>
      <c r="M7" s="64">
        <f>IF($D7="","",COUNTIF(DESIGNAZIONI!P$8:P$228,$D7))</f>
        <v>2</v>
      </c>
      <c r="N7" s="64">
        <f>IF($D7="","",COUNTIF(DESIGNAZIONI!Q$8:Q$228,$D7))</f>
        <v>1</v>
      </c>
      <c r="O7" s="64">
        <f>IF($D7="","",COUNTIF(DESIGNAZIONI!R$8:R$228,$D7))</f>
        <v>3</v>
      </c>
    </row>
    <row r="8">
      <c r="C8" s="224" t="n"/>
      <c r="D8" s="13" t="inlineStr">
        <is>
          <t>BELLANDI Irene</t>
        </is>
      </c>
      <c r="E8" s="220" t="n"/>
      <c r="L8" s="64">
        <f>IF($D8="","",SUM(M8:O8))</f>
        <v>5</v>
      </c>
      <c r="M8" s="64">
        <f>IF($D8="","",COUNTIF(DESIGNAZIONI!P$8:P$228,$D8))</f>
        <v>1</v>
      </c>
      <c r="N8" s="64">
        <f>IF($D8="","",COUNTIF(DESIGNAZIONI!Q$8:Q$228,$D8))</f>
        <v>2</v>
      </c>
      <c r="O8" s="64">
        <f>IF($D8="","",COUNTIF(DESIGNAZIONI!R$8:R$228,$D8))</f>
        <v>2</v>
      </c>
    </row>
    <row r="9">
      <c r="C9" s="224" t="n"/>
      <c r="D9" s="13" t="inlineStr">
        <is>
          <t>BLANCHET Matteo</t>
        </is>
      </c>
      <c r="E9" s="220" t="n"/>
      <c r="L9" s="64">
        <f>IF($D9="","",SUM(M9:O9))</f>
        <v>7</v>
      </c>
      <c r="M9" s="64">
        <f>IF($D9="","",COUNTIF(DESIGNAZIONI!P$8:P$228,$D9))</f>
        <v>2</v>
      </c>
      <c r="N9" s="64">
        <f>IF($D9="","",COUNTIF(DESIGNAZIONI!Q$8:Q$228,$D9))</f>
        <v>2</v>
      </c>
      <c r="O9" s="64">
        <f>IF($D9="","",COUNTIF(DESIGNAZIONI!R$8:R$228,$D9))</f>
        <v>3</v>
      </c>
    </row>
    <row r="10">
      <c r="C10" s="224" t="n"/>
      <c r="D10" s="13" t="inlineStr">
        <is>
          <t>LEFEVRE Filippo</t>
        </is>
      </c>
      <c r="E10" s="220" t="n"/>
      <c r="L10" s="64">
        <f>IF($D10="","",SUM(M10:O10))</f>
        <v>6</v>
      </c>
      <c r="M10" s="64">
        <f>IF($D10="","",COUNTIF(DESIGNAZIONI!P$8:P$228,$D10))</f>
        <v>2</v>
      </c>
      <c r="N10" s="64">
        <f>IF($D10="","",COUNTIF(DESIGNAZIONI!Q$8:Q$228,$D10))</f>
        <v>0</v>
      </c>
      <c r="O10" s="64">
        <f>IF($D10="","",COUNTIF(DESIGNAZIONI!R$8:R$228,$D10))</f>
        <v>4</v>
      </c>
    </row>
    <row r="11">
      <c r="C11" s="224" t="n"/>
      <c r="D11" s="13" t="inlineStr">
        <is>
          <t>BELLANDI Giulia</t>
        </is>
      </c>
      <c r="E11" s="220" t="n"/>
      <c r="L11" s="64">
        <f>IF($D11="","",SUM(M11:O11))</f>
        <v>5</v>
      </c>
      <c r="M11" s="64">
        <f>IF($D11="","",COUNTIF(DESIGNAZIONI!P$8:P$228,$D11))</f>
        <v>2</v>
      </c>
      <c r="N11" s="64">
        <f>IF($D11="","",COUNTIF(DESIGNAZIONI!Q$8:Q$228,$D11))</f>
        <v>1</v>
      </c>
      <c r="O11" s="64">
        <f>IF($D11="","",COUNTIF(DESIGNAZIONI!R$8:R$228,$D11))</f>
        <v>2</v>
      </c>
    </row>
    <row r="12">
      <c r="C12" s="224" t="n"/>
      <c r="D12" s="13" t="inlineStr">
        <is>
          <t>VIDMAR Ilaria</t>
        </is>
      </c>
      <c r="E12" s="220" t="n"/>
      <c r="L12" s="64">
        <f>IF($D12="","",SUM(M12:O12))</f>
        <v>5</v>
      </c>
      <c r="M12" s="64">
        <f>IF($D12="","",COUNTIF(DESIGNAZIONI!P$8:P$228,$D12))</f>
        <v>3</v>
      </c>
      <c r="N12" s="64">
        <f>IF($D12="","",COUNTIF(DESIGNAZIONI!Q$8:Q$228,$D12))</f>
        <v>1</v>
      </c>
      <c r="O12" s="64">
        <f>IF($D12="","",COUNTIF(DESIGNAZIONI!R$8:R$228,$D12))</f>
        <v>1</v>
      </c>
    </row>
    <row r="13">
      <c r="C13" s="224" t="n"/>
      <c r="D13" s="13" t="inlineStr">
        <is>
          <t>GAUTHIER Filippo</t>
        </is>
      </c>
      <c r="E13" s="220" t="n"/>
      <c r="L13" s="64">
        <f>IF($D13="","",SUM(M13:O13))</f>
        <v>8</v>
      </c>
      <c r="M13" s="64">
        <f>IF($D13="","",COUNTIF(DESIGNAZIONI!P$8:P$228,$D13))</f>
        <v>4</v>
      </c>
      <c r="N13" s="64">
        <f>IF($D13="","",COUNTIF(DESIGNAZIONI!Q$8:Q$228,$D13))</f>
        <v>2</v>
      </c>
      <c r="O13" s="64">
        <f>IF($D13="","",COUNTIF(DESIGNAZIONI!R$8:R$228,$D13))</f>
        <v>2</v>
      </c>
    </row>
    <row r="14">
      <c r="C14" s="224" t="n"/>
      <c r="D14" s="13" t="inlineStr">
        <is>
          <t>GAUTHIER Diego</t>
        </is>
      </c>
      <c r="E14" s="220" t="n"/>
      <c r="L14" s="64">
        <f>IF($D14="","",SUM(M14:O14))</f>
        <v>6</v>
      </c>
      <c r="M14" s="64">
        <f>IF($D14="","",COUNTIF(DESIGNAZIONI!P$8:P$228,$D14))</f>
        <v>2</v>
      </c>
      <c r="N14" s="64">
        <f>IF($D14="","",COUNTIF(DESIGNAZIONI!Q$8:Q$228,$D14))</f>
        <v>1</v>
      </c>
      <c r="O14" s="64">
        <f>IF($D14="","",COUNTIF(DESIGNAZIONI!R$8:R$228,$D14))</f>
        <v>3</v>
      </c>
    </row>
    <row r="15">
      <c r="C15" s="224" t="n"/>
      <c r="D15" s="13" t="inlineStr">
        <is>
          <t>SOLER Stefano</t>
        </is>
      </c>
      <c r="E15" s="220" t="n"/>
      <c r="L15" s="64">
        <f>IF($D15="","",SUM(M15:O15))</f>
        <v>5</v>
      </c>
      <c r="M15" s="64">
        <f>IF($D15="","",COUNTIF(DESIGNAZIONI!P$8:P$228,$D15))</f>
        <v>0</v>
      </c>
      <c r="N15" s="64">
        <f>IF($D15="","",COUNTIF(DESIGNAZIONI!Q$8:Q$228,$D15))</f>
        <v>3</v>
      </c>
      <c r="O15" s="64">
        <f>IF($D15="","",COUNTIF(DESIGNAZIONI!R$8:R$228,$D15))</f>
        <v>2</v>
      </c>
    </row>
    <row r="16">
      <c r="C16" s="224" t="n"/>
      <c r="D16" s="13" t="inlineStr">
        <is>
          <t>PELLEGRI Lea</t>
        </is>
      </c>
      <c r="E16" s="220" t="n"/>
      <c r="L16" s="64">
        <f>IF($D16="","",SUM(M16:O16))</f>
        <v>9</v>
      </c>
      <c r="M16" s="64">
        <f>IF($D16="","",COUNTIF(DESIGNAZIONI!P$8:P$228,$D16))</f>
        <v>2</v>
      </c>
      <c r="N16" s="64">
        <f>IF($D16="","",COUNTIF(DESIGNAZIONI!Q$8:Q$228,$D16))</f>
        <v>3</v>
      </c>
      <c r="O16" s="64">
        <f>IF($D16="","",COUNTIF(DESIGNAZIONI!R$8:R$228,$D16))</f>
        <v>4</v>
      </c>
    </row>
    <row r="17">
      <c r="C17" s="224" t="n"/>
      <c r="D17" s="13" t="inlineStr">
        <is>
          <t>HORVAT Matteo</t>
        </is>
      </c>
      <c r="E17" s="220" t="n"/>
      <c r="L17" s="64">
        <f>IF($D17="","",SUM(M17:O17))</f>
        <v>6</v>
      </c>
      <c r="M17" s="64">
        <f>IF($D17="","",COUNTIF(DESIGNAZIONI!P$8:P$228,$D17))</f>
        <v>1</v>
      </c>
      <c r="N17" s="64">
        <f>IF($D17="","",COUNTIF(DESIGNAZIONI!Q$8:Q$228,$D17))</f>
        <v>3</v>
      </c>
      <c r="O17" s="64">
        <f>IF($D17="","",COUNTIF(DESIGNAZIONI!R$8:R$228,$D17))</f>
        <v>2</v>
      </c>
    </row>
    <row r="18">
      <c r="C18" s="224" t="n"/>
      <c r="D18" s="13" t="inlineStr">
        <is>
          <t>FOURNIER Lucia</t>
        </is>
      </c>
      <c r="E18" s="220" t="n"/>
      <c r="L18" s="64">
        <f>IF($D18="","",SUM(M18:O18))</f>
        <v>5</v>
      </c>
      <c r="M18" s="64">
        <f>IF($D18="","",COUNTIF(DESIGNAZIONI!P$8:P$228,$D18))</f>
        <v>0</v>
      </c>
      <c r="N18" s="64">
        <f>IF($D18="","",COUNTIF(DESIGNAZIONI!Q$8:Q$228,$D18))</f>
        <v>3</v>
      </c>
      <c r="O18" s="64">
        <f>IF($D18="","",COUNTIF(DESIGNAZIONI!R$8:R$228,$D18))</f>
        <v>2</v>
      </c>
    </row>
    <row r="19">
      <c r="C19" s="224" t="n"/>
      <c r="D19" s="13" t="inlineStr">
        <is>
          <t>SOLER Pablo</t>
        </is>
      </c>
      <c r="E19" s="220" t="n"/>
      <c r="L19" s="64">
        <f>IF($D19="","",SUM(M19:O19))</f>
        <v>3</v>
      </c>
      <c r="M19" s="64">
        <f>IF($D19="","",COUNTIF(DESIGNAZIONI!P$8:P$228,$D19))</f>
        <v>2</v>
      </c>
      <c r="N19" s="64">
        <f>IF($D19="","",COUNTIF(DESIGNAZIONI!Q$8:Q$228,$D19))</f>
        <v>1</v>
      </c>
      <c r="O19" s="64">
        <f>IF($D19="","",COUNTIF(DESIGNAZIONI!R$8:R$228,$D19))</f>
        <v>0</v>
      </c>
    </row>
    <row r="20">
      <c r="C20" s="224" t="n"/>
      <c r="D20" s="13" t="inlineStr">
        <is>
          <t>GAUTHIER Andrea</t>
        </is>
      </c>
      <c r="E20" s="220" t="n"/>
      <c r="L20" s="64">
        <f>IF($D20="","",SUM(M20:O20))</f>
        <v>1</v>
      </c>
      <c r="M20" s="64">
        <f>IF($D20="","",COUNTIF(DESIGNAZIONI!P$8:P$228,$D20))</f>
        <v>0</v>
      </c>
      <c r="N20" s="64">
        <f>IF($D20="","",COUNTIF(DESIGNAZIONI!Q$8:Q$228,$D20))</f>
        <v>0</v>
      </c>
      <c r="O20" s="64">
        <f>IF($D20="","",COUNTIF(DESIGNAZIONI!R$8:R$228,$D20))</f>
        <v>1</v>
      </c>
    </row>
    <row r="21">
      <c r="C21" s="224" t="n"/>
      <c r="D21" s="13" t="inlineStr">
        <is>
          <t>WEBER Ilaria</t>
        </is>
      </c>
      <c r="E21" s="220" t="n"/>
      <c r="L21" s="64">
        <f>IF($D21="","",SUM(M21:O21))</f>
        <v>9</v>
      </c>
      <c r="M21" s="64">
        <f>IF($D21="","",COUNTIF(DESIGNAZIONI!P$8:P$228,$D21))</f>
        <v>3</v>
      </c>
      <c r="N21" s="64">
        <f>IF($D21="","",COUNTIF(DESIGNAZIONI!Q$8:Q$228,$D21))</f>
        <v>5</v>
      </c>
      <c r="O21" s="64">
        <f>IF($D21="","",COUNTIF(DESIGNAZIONI!R$8:R$228,$D21))</f>
        <v>1</v>
      </c>
    </row>
    <row r="22">
      <c r="C22" s="224" t="n"/>
      <c r="D22" s="13" t="inlineStr">
        <is>
          <t>MARCHIONI Miha</t>
        </is>
      </c>
      <c r="E22" s="220" t="n"/>
      <c r="L22" s="64">
        <f>IF($D22="","",SUM(M22:O22))</f>
        <v>6</v>
      </c>
      <c r="M22" s="64">
        <f>IF($D22="","",COUNTIF(DESIGNAZIONI!P$8:P$228,$D22))</f>
        <v>3</v>
      </c>
      <c r="N22" s="64">
        <f>IF($D22="","",COUNTIF(DESIGNAZIONI!Q$8:Q$228,$D22))</f>
        <v>2</v>
      </c>
      <c r="O22" s="64">
        <f>IF($D22="","",COUNTIF(DESIGNAZIONI!R$8:R$228,$D22))</f>
        <v>1</v>
      </c>
    </row>
    <row r="23">
      <c r="C23" s="224" t="n"/>
      <c r="D23" s="13" t="inlineStr">
        <is>
          <t>WEBER Matteo</t>
        </is>
      </c>
      <c r="E23" s="220" t="n"/>
      <c r="L23" s="64">
        <f>IF($D23="","",SUM(M23:O23))</f>
        <v>3</v>
      </c>
      <c r="M23" s="64">
        <f>IF($D23="","",COUNTIF(DESIGNAZIONI!P$8:P$228,$D23))</f>
        <v>0</v>
      </c>
      <c r="N23" s="64">
        <f>IF($D23="","",COUNTIF(DESIGNAZIONI!Q$8:Q$228,$D23))</f>
        <v>1</v>
      </c>
      <c r="O23" s="64">
        <f>IF($D23="","",COUNTIF(DESIGNAZIONI!R$8:R$228,$D23))</f>
        <v>2</v>
      </c>
    </row>
    <row r="24">
      <c r="C24" s="224" t="n"/>
      <c r="D24" s="13" t="inlineStr">
        <is>
          <t>WEBER Lea</t>
        </is>
      </c>
      <c r="E24" s="220" t="n"/>
      <c r="L24" s="64">
        <f>IF($D24="","",SUM(M24:O24))</f>
        <v>4</v>
      </c>
      <c r="M24" s="64">
        <f>IF($D24="","",COUNTIF(DESIGNAZIONI!P$8:P$228,$D24))</f>
        <v>1</v>
      </c>
      <c r="N24" s="64">
        <f>IF($D24="","",COUNTIF(DESIGNAZIONI!Q$8:Q$228,$D24))</f>
        <v>1</v>
      </c>
      <c r="O24" s="64">
        <f>IF($D24="","",COUNTIF(DESIGNAZIONI!R$8:R$228,$D24))</f>
        <v>2</v>
      </c>
    </row>
    <row r="25">
      <c r="C25" s="224" t="n"/>
      <c r="D25" s="13" t="inlineStr">
        <is>
          <t>ZUPAN Katrin</t>
        </is>
      </c>
      <c r="E25" s="220" t="n"/>
      <c r="L25" s="64">
        <f>IF($D25="","",SUM(M25:O25))</f>
        <v>1</v>
      </c>
      <c r="M25" s="64">
        <f>IF($D25="","",COUNTIF(DESIGNAZIONI!P$8:P$228,$D25))</f>
        <v>0</v>
      </c>
      <c r="N25" s="64">
        <f>IF($D25="","",COUNTIF(DESIGNAZIONI!Q$8:Q$228,$D25))</f>
        <v>1</v>
      </c>
      <c r="O25" s="64">
        <f>IF($D25="","",COUNTIF(DESIGNAZIONI!R$8:R$228,$D25))</f>
        <v>0</v>
      </c>
    </row>
    <row r="26">
      <c r="C26" s="224" t="n"/>
      <c r="D26" s="13" t="inlineStr">
        <is>
          <t>SEVER Greta</t>
        </is>
      </c>
      <c r="E26" s="220" t="n"/>
      <c r="L26" s="64">
        <f>IF($D26="","",SUM(M26:O26))</f>
        <v>4</v>
      </c>
      <c r="M26" s="64">
        <f>IF($D26="","",COUNTIF(DESIGNAZIONI!P$8:P$228,$D26))</f>
        <v>1</v>
      </c>
      <c r="N26" s="64">
        <f>IF($D26="","",COUNTIF(DESIGNAZIONI!Q$8:Q$228,$D26))</f>
        <v>1</v>
      </c>
      <c r="O26" s="64">
        <f>IF($D26="","",COUNTIF(DESIGNAZIONI!R$8:R$228,$D26))</f>
        <v>2</v>
      </c>
    </row>
    <row r="27">
      <c r="C27" s="224" t="n"/>
      <c r="D27" s="13" t="inlineStr">
        <is>
          <t>LANGER Valerie</t>
        </is>
      </c>
      <c r="E27" s="220" t="n"/>
      <c r="L27" s="64">
        <f>IF($D27="","",SUM(M27:O27))</f>
        <v>7</v>
      </c>
      <c r="M27" s="64">
        <f>IF($D27="","",COUNTIF(DESIGNAZIONI!P$8:P$228,$D27))</f>
        <v>3</v>
      </c>
      <c r="N27" s="64">
        <f>IF($D27="","",COUNTIF(DESIGNAZIONI!Q$8:Q$228,$D27))</f>
        <v>4</v>
      </c>
      <c r="O27" s="64">
        <f>IF($D27="","",COUNTIF(DESIGNAZIONI!R$8:R$228,$D27))</f>
        <v>0</v>
      </c>
    </row>
    <row r="28">
      <c r="C28" s="224" t="n"/>
      <c r="D28" s="13" t="inlineStr">
        <is>
          <t>BLANCHET Luca</t>
        </is>
      </c>
      <c r="E28" s="220" t="n"/>
      <c r="L28" s="64">
        <f>IF($D28="","",SUM(M28:O28))</f>
        <v>5</v>
      </c>
      <c r="M28" s="64">
        <f>IF($D28="","",COUNTIF(DESIGNAZIONI!P$8:P$228,$D28))</f>
        <v>3</v>
      </c>
      <c r="N28" s="64">
        <f>IF($D28="","",COUNTIF(DESIGNAZIONI!Q$8:Q$228,$D28))</f>
        <v>2</v>
      </c>
      <c r="O28" s="64">
        <f>IF($D28="","",COUNTIF(DESIGNAZIONI!R$8:R$228,$D28))</f>
        <v>0</v>
      </c>
    </row>
    <row r="29">
      <c r="C29" s="224" t="n"/>
      <c r="D29" s="13" t="inlineStr">
        <is>
          <t>BLANCO Elena</t>
        </is>
      </c>
      <c r="E29" s="220" t="n"/>
      <c r="L29" s="64">
        <f>IF($D29="","",SUM(M29:O29))</f>
        <v>8</v>
      </c>
      <c r="M29" s="64">
        <f>IF($D29="","",COUNTIF(DESIGNAZIONI!P$8:P$228,$D29))</f>
        <v>3</v>
      </c>
      <c r="N29" s="64">
        <f>IF($D29="","",COUNTIF(DESIGNAZIONI!Q$8:Q$228,$D29))</f>
        <v>2</v>
      </c>
      <c r="O29" s="64">
        <f>IF($D29="","",COUNTIF(DESIGNAZIONI!R$8:R$228,$D29))</f>
        <v>3</v>
      </c>
    </row>
    <row r="30">
      <c r="C30" s="224" t="n"/>
      <c r="D30" s="13" t="inlineStr">
        <is>
          <t>ZUPAN Paula</t>
        </is>
      </c>
      <c r="E30" s="220" t="n"/>
      <c r="L30" s="64">
        <f>IF($D30="","",SUM(M30:O30))</f>
        <v>8</v>
      </c>
      <c r="M30" s="64">
        <f>IF($D30="","",COUNTIF(DESIGNAZIONI!P$8:P$228,$D30))</f>
        <v>3</v>
      </c>
      <c r="N30" s="64">
        <f>IF($D30="","",COUNTIF(DESIGNAZIONI!Q$8:Q$228,$D30))</f>
        <v>2</v>
      </c>
      <c r="O30" s="64">
        <f>IF($D30="","",COUNTIF(DESIGNAZIONI!R$8:R$228,$D30))</f>
        <v>3</v>
      </c>
    </row>
    <row r="31">
      <c r="C31" s="224" t="n"/>
      <c r="D31" s="13" t="inlineStr">
        <is>
          <t>ZUPAN Noemi</t>
        </is>
      </c>
      <c r="E31" s="220" t="n"/>
      <c r="L31" s="64">
        <f>IF($D31="","",SUM(M31:O31))</f>
        <v>2</v>
      </c>
      <c r="M31" s="64">
        <f>IF($D31="","",COUNTIF(DESIGNAZIONI!P$8:P$228,$D31))</f>
        <v>0</v>
      </c>
      <c r="N31" s="64">
        <f>IF($D31="","",COUNTIF(DESIGNAZIONI!Q$8:Q$228,$D31))</f>
        <v>1</v>
      </c>
      <c r="O31" s="64">
        <f>IF($D31="","",COUNTIF(DESIGNAZIONI!R$8:R$228,$D31))</f>
        <v>1</v>
      </c>
    </row>
    <row r="32">
      <c r="C32" s="224" t="n"/>
      <c r="D32" s="13" t="inlineStr">
        <is>
          <t>HOFFMANN Davide</t>
        </is>
      </c>
      <c r="E32" s="220" t="n"/>
      <c r="L32" s="64">
        <f>IF($D32="","",SUM(M32:O32))</f>
        <v>6</v>
      </c>
      <c r="M32" s="64">
        <f>IF($D32="","",COUNTIF(DESIGNAZIONI!P$8:P$228,$D32))</f>
        <v>2</v>
      </c>
      <c r="N32" s="64">
        <f>IF($D32="","",COUNTIF(DESIGNAZIONI!Q$8:Q$228,$D32))</f>
        <v>3</v>
      </c>
      <c r="O32" s="64">
        <f>IF($D32="","",COUNTIF(DESIGNAZIONI!R$8:R$228,$D32))</f>
        <v>1</v>
      </c>
    </row>
    <row r="33">
      <c r="C33" s="224" t="n"/>
      <c r="D33" s="13" t="inlineStr">
        <is>
          <t>FUENTES Lukas</t>
        </is>
      </c>
      <c r="E33" s="220" t="n"/>
      <c r="L33" s="64">
        <f>IF($D33="","",SUM(M33:O33))</f>
        <v>5</v>
      </c>
      <c r="M33" s="64">
        <f>IF($D33="","",COUNTIF(DESIGNAZIONI!P$8:P$228,$D33))</f>
        <v>4</v>
      </c>
      <c r="N33" s="64">
        <f>IF($D33="","",COUNTIF(DESIGNAZIONI!Q$8:Q$228,$D33))</f>
        <v>0</v>
      </c>
      <c r="O33" s="64">
        <f>IF($D33="","",COUNTIF(DESIGNAZIONI!R$8:R$228,$D33))</f>
        <v>1</v>
      </c>
    </row>
    <row r="34">
      <c r="C34" s="224" t="n"/>
      <c r="D34" s="13" t="inlineStr">
        <is>
          <t>FERRANTE Andrea</t>
        </is>
      </c>
      <c r="E34" s="220" t="n"/>
      <c r="L34" s="64">
        <f>IF($D34="","",SUM(M34:O34))</f>
        <v>4</v>
      </c>
      <c r="M34" s="64">
        <f>IF($D34="","",COUNTIF(DESIGNAZIONI!P$8:P$228,$D34))</f>
        <v>0</v>
      </c>
      <c r="N34" s="64">
        <f>IF($D34="","",COUNTIF(DESIGNAZIONI!Q$8:Q$228,$D34))</f>
        <v>3</v>
      </c>
      <c r="O34" s="64">
        <f>IF($D34="","",COUNTIF(DESIGNAZIONI!R$8:R$228,$D34))</f>
        <v>1</v>
      </c>
    </row>
  </sheetData>
  <mergeCells count="1">
    <mergeCell ref="C5:C34"/>
  </mergeCells>
  <conditionalFormatting sqref="L5:O3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9"/>
  <sheetViews>
    <sheetView showGridLines="0" tabSelected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FILE DI ESEMPIO</t>
        </is>
      </c>
    </row>
    <row r="3">
      <c r="A3" s="225" t="inlineStr">
        <is>
          <t>* File di ESEMPIO: tutti i 53 risultati (45 di girone + 8 di playoff) sono compilati e simulati.</t>
        </is>
      </c>
    </row>
    <row r="4">
      <c r="A4" s="225" t="inlineStr">
        <is>
          <t>* Le classifiche, gli accoppiamenti playoff e la classifica finale derivano interamente da quei risultati.</t>
        </is>
      </c>
    </row>
    <row r="5">
      <c r="A5" s="225" t="inlineStr">
        <is>
          <t>* Anche il foglio DESIGNAZIONI e' compilato: 3 arbitri e 3 ufficiali di campo per ognuna delle 53 gare, 318 designazioni.</t>
        </is>
      </c>
    </row>
    <row r="6">
      <c r="A6" s="225" t="inlineStr">
        <is>
          <t>* Tutti i nomi (squadre, campi, arbitri, ufficiali di campo) sono di fantasia.</t>
        </is>
      </c>
    </row>
    <row r="8">
      <c r="A8" s="226" t="inlineStr">
        <is>
          <t>COSA COMPILARE, nell'ordine:</t>
        </is>
      </c>
    </row>
    <row r="9">
      <c r="A9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10">
      <c r="A10" s="225" t="inlineStr">
        <is>
          <t>2) Foglio Campionato, colonna C righe 14-23 (blocco SQUADRE, 10 per girone): i nomi squadra nel formato 'Nome-Citta PR'. La lettera in colonna E decide il girone: cambiandola la squadra cambia girone, ma vanno poi sistemati a mano il calendario e i colori.</t>
        </is>
      </c>
    </row>
    <row r="11">
      <c r="A11" s="225" t="inlineStr">
        <is>
          <t>3) Foglio Campionato, blocco CAMPI: righe 27-36 nome e link mappa del campo di ogni squadra; righe 37-44 gli otto campi neutri PO1-PO8 per la fase a eliminazione diretta.</t>
        </is>
      </c>
    </row>
    <row r="12">
      <c r="A12" s="225" t="inlineStr">
        <is>
          <t>4) Fogli Calendario A-A: per ogni gara i codici squadra (colonne C ed E), la data con orario (colonna F) e il codice campo (colonna I della riga sottostante).</t>
        </is>
      </c>
    </row>
    <row r="13">
      <c r="A13" s="225" t="inlineStr">
        <is>
          <t>5) Fogli Arbitri e UdC, colonna D righe 5-34: i nominativi che alimentano gli elenchi a discesa delle designazioni.</t>
        </is>
      </c>
    </row>
    <row r="14">
      <c r="A14" s="225" t="inlineStr">
        <is>
          <t>6) Foglio DESIGNAZIONI: arbitri e ufficiali di campo, scelti dagli elenchi a discesa.</t>
        </is>
      </c>
    </row>
    <row r="15">
      <c r="A15" s="225" t="inlineStr">
        <is>
          <t>* Durante la stagione si inseriscono solo i punteggi nelle colonne Risultato dei fogli Calendario e Playoff: tutto il resto si aggiorna da solo.</t>
        </is>
      </c>
    </row>
    <row r="16">
      <c r="A16" s="225" t="inlineStr">
        <is>
          <t>* Capienza del modello: fino a 10 squadre distribuite su un massimo di 1 gironi (A-A) da 10 squadre ciascuno.</t>
        </is>
      </c>
    </row>
    <row r="17">
      <c r="A17" s="225" t="inlineStr">
        <is>
          <t>* Nome squadra: se contiene un trattino (es. Nome-Citta PR) nei calendari compare la parte prima del trattino, altrimenti il nome per intero.</t>
        </is>
      </c>
    </row>
    <row r="18">
      <c r="A18" s="225" t="inlineStr">
        <is>
          <t>* Il girone di una squadra dipende SOLO dalla lettera in colonna E del foglio Campionato, non dalla riga in cui si trova.</t>
        </is>
      </c>
    </row>
    <row r="19">
      <c r="A19" s="225" t="inlineStr">
        <is>
          <t>* I gironi si elencano separati da virgola nella cella dei parametri (es. A,B,C,D): cosi' si possono usare anche lettere non consecutive.</t>
        </is>
      </c>
    </row>
    <row r="20">
      <c r="A20" s="225" t="inlineStr">
        <is>
          <t>* La colonna E ha un elenco a discesa con le lettere di girone previste.</t>
        </is>
      </c>
    </row>
    <row r="21">
      <c r="A21" s="225" t="inlineStr">
        <is>
          <t>* Cambiando la lettera in colonna E la squadra passa di girone in classifica; calendario e colori vanno poi sistemati a mano.</t>
        </is>
      </c>
    </row>
    <row r="22">
      <c r="A22" s="225" t="inlineStr">
        <is>
          <t>* Playoff a 8 squadre: le prime otto classificate del girone, con la relativa classifica finale.</t>
        </is>
      </c>
    </row>
    <row r="23">
      <c r="A23" s="225" t="inlineStr">
        <is>
          <t>* Ogni girone ha il proprio foglio calendario ('Calendario A' ... 'Calendario A') e un colore identificativo.</t>
        </is>
      </c>
    </row>
    <row r="24">
      <c r="A24" s="225" t="inlineStr">
        <is>
          <t>* Calendario di sola andata generato con il metodo del girone all'italiana (Berger): 9 giornate da 5 gare, 45 gare per girone, 45 gare in totale.</t>
        </is>
      </c>
    </row>
    <row r="25">
      <c r="A25" s="225" t="inlineStr">
        <is>
          <t>* Ogni giornata e' un concentramento unico: 5 gare consecutive (09:30, 11:00, 14:30, 16:00, 17:30) sullo stesso campo.</t>
        </is>
      </c>
    </row>
    <row r="26">
      <c r="A26" s="225" t="inlineStr">
        <is>
          <t>* L'ospitalita' ruota fra le squadre del girone: la squadra ospitante della giornata determina il campo.</t>
        </is>
      </c>
    </row>
    <row r="27">
      <c r="A27" s="225" t="inlineStr">
        <is>
          <t>* Il foglio nascosto 'Dati' consolida le righe di servizio dei 1 calendari: le classifiche cercano li' per nome squadra.</t>
        </is>
      </c>
    </row>
    <row r="28">
      <c r="A28" s="225" t="inlineStr">
        <is>
          <t>* Playoff: quarti 1-8, 2-7, 3-6, 4-5 (1A-8A, 2A-7A, 3A-6A, 4A-5A); semifinali V.Q1-V.Q4 e V.Q2-V.Q3; poi le finali.</t>
        </is>
      </c>
    </row>
    <row r="29">
      <c r="A29" s="225" t="inlineStr">
        <is>
          <t>* Gli accoppiamenti dei turni successivi si aggiornano da soli inserendo i risultati del turno precedente. Le gare di playoff sono numerate di seguito a quelle di girone, dalla 46.</t>
        </is>
      </c>
    </row>
    <row r="30">
      <c r="A30" s="225" t="inlineStr">
        <is>
          <t>* Per usare meno squadre basta lasciare vuota la colonna C delle righe non utilizzate: classifiche e calendari si adeguano.</t>
        </is>
      </c>
    </row>
    <row r="31">
      <c r="A31" s="225" t="inlineStr">
        <is>
          <t>* Le classifiche si popolano automaticamente inserendo i punteggi nelle colonne Risultato dei fogli calendario.</t>
        </is>
      </c>
    </row>
    <row r="32">
      <c r="A32" s="225" t="inlineStr">
        <is>
          <t>* Il punteggio di forfait e' parametrico (foglio Campionato, cella D9): il valore predefinito e' 40-0.</t>
        </is>
      </c>
    </row>
    <row r="33">
      <c r="A33" s="225" t="inlineStr">
        <is>
          <t>* Foglio DESIGNAZIONI: convalida a elenco e formattazione condizionale anti-duplicato attive su TUTTE le righe predisposte.</t>
        </is>
      </c>
    </row>
    <row r="34">
      <c r="A34" s="225" t="inlineStr">
        <is>
          <t>* La formattazione condizionale evidenzia in rosa la stessa persona designata due volte nella stessa gara.</t>
        </is>
      </c>
    </row>
    <row r="35">
      <c r="A35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A'. Se la cella e' vuota, o manca un nome, si usa la lettera.</t>
        </is>
      </c>
    </row>
    <row r="36">
      <c r="A36" s="225" t="inlineStr">
        <is>
          <t>* Loghi: i link ai due loghi (URL pubblico di un'immagine) vanno nelle celle D3 e D4 del foglio Campionato. Compaiono, con la funzione IMAGE, nelle intestazioni di Calendario A-A, Playoff, Classifica, Classifica Finale e DESIGNAZIONI. Funziona in Google Sheets; in Excel serve la versione 365.</t>
        </is>
      </c>
    </row>
    <row r="37">
      <c r="A37" s="225" t="inlineStr">
        <is>
          <t>* Colori dei gironi: A oro (Gold).</t>
        </is>
      </c>
    </row>
    <row r="39">
      <c r="A39" s="225" t="inlineStr">
        <is>
          <t>* Con 10 squadre e 45 gare il ricalcolo completo puo' richiedere alcuni secondi: il file e' pensato per essere compilato gara per gara.</t>
        </is>
      </c>
    </row>
  </sheetData>
  <pageMargins left="0.4" right="0.4" top="0.5" bottom="0.5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tabColor rgb="FF757575"/>
    <outlinePr summaryBelow="1" summaryRight="1"/>
    <pageSetUpPr/>
  </sheetPr>
  <dimension ref="A1:I56"/>
  <sheetViews>
    <sheetView showGridLines="0" tabSelected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 t="str">
        <f>"BEGIN:VCALENDAR
VERSION:2.0
PRODID:ClaudeCoworkBaskin
CALSCALE:GREGORIAN
BEGIN:VTIMEZONE
TZID:Europe/Rome
END:VTIMEZONE"</f>
        <v>BEGIN:VCALENDAR
VERSION:2.0
PRODID:ClaudeCoworkBaskin
CALSCALE:GREGORIAN
BEGIN:VTIMEZONE
TZID:Europe/Rome
END:VTIMEZONE</v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 t="str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>BEGIN:VEVENT
DTSTAMP:20261018T000001Z
UID:evt1@ClaudeCoworkBaskin
DTSTART;TZID=Europe/Rome:20261018T093000
DTEND;TZID=Europe/Rome:20261018T113000
SUMMARY:Anaconde Audaci vs Marmotte Mobili [Girone A]
LOCATION:PalaAnaconde, Via dello Sport 1, Anacondeopoli AA
DESCRIPTION:Campionato Baskin Demo - ESEMPIO 10 Squadre 2026/2027
END:VEVENT</v>
      </c>
      <c r="B2" s="68" t="str">
        <f>IF('Calendario A'!$B10="","",'Calendario A'!$B10&amp;" vs "&amp;'Calendario A'!$D10&amp;" "&amp;'Calendario A'!$AC10)</f>
        <v>Anaconde Audaci vs Marmotte Mobili [Girone A]</v>
      </c>
      <c r="C2" s="222">
        <f>IF($B2="","",DATE(YEAR('Calendario A'!$F10),MONTH('Calendario A'!$F10),DAY('Calendario A'!$F10)))</f>
        <v>46313.0</v>
      </c>
      <c r="D2" s="223">
        <f>IF($B2="","",TIME(HOUR('Calendario A'!$F10),MINUTE('Calendario A'!$F10),0))</f>
        <v>0.3958333333333333</v>
      </c>
      <c r="E2" s="222">
        <f>IF($B2="","",DATE(YEAR('Calendario A'!$F10),MONTH('Calendario A'!$F10),DAY('Calendario A'!$F10)))</f>
        <v>46313.0</v>
      </c>
      <c r="F2" s="223">
        <f>IF($B2="","",TIME(HOUR('Calendario A'!$F10)+2,MINUTE('Calendario A'!$F10),0))</f>
        <v>0.4791666666666667</v>
      </c>
      <c r="G2" s="68" t="str">
        <f>IF($B2="","",'Calendario A'!$B11)</f>
        <v>PalaAnaconde, Via dello Sport 1, Anacondeopoli AA</v>
      </c>
      <c r="H2" s="68" t="str">
        <f>IF($B2="","",Campionato!$D$2&amp;" "&amp;Campionato!$D$6)</f>
        <v>Campionato Baskin Demo - ESEMPIO 10 Squadre 2026/2027</v>
      </c>
      <c r="I2" s="68" t="n"/>
    </row>
    <row r="3">
      <c r="A3" s="68" t="str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>BEGIN:VEVENT
DTSTAMP:20261018T000001Z
UID:evt2@ClaudeCoworkBaskin
DTSTART;TZID=Europe/Rome:20261018T110000
DTEND;TZID=Europe/Rome:20261018T130000
SUMMARY:Lupi Leali vs Bufali Belligeranti [Girone A]
LOCATION:PalaAnaconde, Via dello Sport 1, Anacondeopoli AA
DESCRIPTION:Campionato Baskin Demo - ESEMPIO 10 Squadre 2026/2027
END:VEVENT</v>
      </c>
      <c r="B3" s="68" t="str">
        <f>IF('Calendario A'!$B13="","",'Calendario A'!$B13&amp;" vs "&amp;'Calendario A'!$D13&amp;" "&amp;'Calendario A'!$AC13)</f>
        <v>Lupi Leali vs Bufali Belligeranti [Girone A]</v>
      </c>
      <c r="C3" s="222">
        <f>IF($B3="","",DATE(YEAR('Calendario A'!$F13),MONTH('Calendario A'!$F13),DAY('Calendario A'!$F13)))</f>
        <v>46313.0</v>
      </c>
      <c r="D3" s="223">
        <f>IF($B3="","",TIME(HOUR('Calendario A'!$F13),MINUTE('Calendario A'!$F13),0))</f>
        <v>0.4583333333333333</v>
      </c>
      <c r="E3" s="222">
        <f>IF($B3="","",DATE(YEAR('Calendario A'!$F13),MONTH('Calendario A'!$F13),DAY('Calendario A'!$F13)))</f>
        <v>46313.0</v>
      </c>
      <c r="F3" s="223">
        <f>IF($B3="","",TIME(HOUR('Calendario A'!$F13)+2,MINUTE('Calendario A'!$F13),0))</f>
        <v>0.5416666666666666</v>
      </c>
      <c r="G3" s="68" t="str">
        <f>IF($B3="","",'Calendario A'!$B14)</f>
        <v>PalaAnaconde, Via dello Sport 1, Anacondeopoli AA</v>
      </c>
      <c r="H3" s="68" t="str">
        <f>IF($B3="","",Campionato!$D$2&amp;" "&amp;Campionato!$D$6)</f>
        <v>Campionato Baskin Demo - ESEMPIO 10 Squadre 2026/2027</v>
      </c>
      <c r="I3" s="68" t="n"/>
    </row>
    <row r="4">
      <c r="A4" s="68" t="str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>BEGIN:VEVENT
DTSTAMP:20261018T000001Z
UID:evt3@ClaudeCoworkBaskin
DTSTART;TZID=Europe/Rome:20261018T143000
DTEND;TZID=Europe/Rome:20261018T163000
SUMMARY:Cobra Celeri vs Ibis Instancabili [Girone A]
LOCATION:PalaAnaconde, Via dello Sport 1, Anacondeopoli AA
DESCRIPTION:Campionato Baskin Demo - ESEMPIO 10 Squadre 2026/2027
END:VEVENT</v>
      </c>
      <c r="B4" s="68" t="str">
        <f>IF('Calendario A'!$B16="","",'Calendario A'!$B16&amp;" vs "&amp;'Calendario A'!$D16&amp;" "&amp;'Calendario A'!$AC16)</f>
        <v>Cobra Celeri vs Ibis Instancabili [Girone A]</v>
      </c>
      <c r="C4" s="222">
        <f>IF($B4="","",DATE(YEAR('Calendario A'!$F16),MONTH('Calendario A'!$F16),DAY('Calendario A'!$F16)))</f>
        <v>46313.0</v>
      </c>
      <c r="D4" s="223">
        <f>IF($B4="","",TIME(HOUR('Calendario A'!$F16),MINUTE('Calendario A'!$F16),0))</f>
        <v>0.6041666666666666</v>
      </c>
      <c r="E4" s="222">
        <f>IF($B4="","",DATE(YEAR('Calendario A'!$F16),MONTH('Calendario A'!$F16),DAY('Calendario A'!$F16)))</f>
        <v>46313.0</v>
      </c>
      <c r="F4" s="223">
        <f>IF($B4="","",TIME(HOUR('Calendario A'!$F16)+2,MINUTE('Calendario A'!$F16),0))</f>
        <v>0.6875</v>
      </c>
      <c r="G4" s="68" t="str">
        <f>IF($B4="","",'Calendario A'!$B17)</f>
        <v>PalaAnaconde, Via dello Sport 1, Anacondeopoli AA</v>
      </c>
      <c r="H4" s="68" t="str">
        <f>IF($B4="","",Campionato!$D$2&amp;" "&amp;Campionato!$D$6)</f>
        <v>Campionato Baskin Demo - ESEMPIO 10 Squadre 2026/2027</v>
      </c>
      <c r="I4" s="68" t="n"/>
    </row>
    <row r="5">
      <c r="A5" s="68" t="str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>BEGIN:VEVENT
DTSTAMP:20261018T000001Z
UID:evt4@ClaudeCoworkBaskin
DTSTART;TZID=Europe/Rome:20261018T160000
DTEND;TZID=Europe/Rome:20261018T180000
SUMMARY:Gazzelle Gentili vs Dingo Docili [Girone A]
LOCATION:PalaAnaconde, Via dello Sport 1, Anacondeopoli AA
DESCRIPTION:Campionato Baskin Demo - ESEMPIO 10 Squadre 2026/2027
END:VEVENT</v>
      </c>
      <c r="B5" s="68" t="str">
        <f>IF('Calendario A'!$B19="","",'Calendario A'!$B19&amp;" vs "&amp;'Calendario A'!$D19&amp;" "&amp;'Calendario A'!$AC19)</f>
        <v>Gazzelle Gentili vs Dingo Docili [Girone A]</v>
      </c>
      <c r="C5" s="222">
        <f>IF($B5="","",DATE(YEAR('Calendario A'!$F19),MONTH('Calendario A'!$F19),DAY('Calendario A'!$F19)))</f>
        <v>46313.0</v>
      </c>
      <c r="D5" s="223">
        <f>IF($B5="","",TIME(HOUR('Calendario A'!$F19),MINUTE('Calendario A'!$F19),0))</f>
        <v>0.6666666666666666</v>
      </c>
      <c r="E5" s="222">
        <f>IF($B5="","",DATE(YEAR('Calendario A'!$F19),MONTH('Calendario A'!$F19),DAY('Calendario A'!$F19)))</f>
        <v>46313.0</v>
      </c>
      <c r="F5" s="223">
        <f>IF($B5="","",TIME(HOUR('Calendario A'!$F19)+2,MINUTE('Calendario A'!$F19),0))</f>
        <v>0.75</v>
      </c>
      <c r="G5" s="68" t="str">
        <f>IF($B5="","",'Calendario A'!$B20)</f>
        <v>PalaAnaconde, Via dello Sport 1, Anacondeopoli AA</v>
      </c>
      <c r="H5" s="68" t="str">
        <f>IF($B5="","",Campionato!$D$2&amp;" "&amp;Campionato!$D$6)</f>
        <v>Campionato Baskin Demo - ESEMPIO 10 Squadre 2026/2027</v>
      </c>
      <c r="I5" s="68" t="n"/>
    </row>
    <row r="6">
      <c r="A6" s="68" t="str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>BEGIN:VEVENT
DTSTAMP:20261018T000001Z
UID:evt5@ClaudeCoworkBaskin
DTSTART;TZID=Europe/Rome:20261018T173000
DTEND;TZID=Europe/Rome:20261018T193000
SUMMARY:Ermellini Eleganti vs Falchi Feroci [Girone A]
LOCATION:PalaAnaconde, Via dello Sport 1, Anacondeopoli AA
DESCRIPTION:Campionato Baskin Demo - ESEMPIO 10 Squadre 2026/2027
END:VEVENT</v>
      </c>
      <c r="B6" s="68" t="str">
        <f>IF('Calendario A'!$B22="","",'Calendario A'!$B22&amp;" vs "&amp;'Calendario A'!$D22&amp;" "&amp;'Calendario A'!$AC22)</f>
        <v>Ermellini Eleganti vs Falchi Feroci [Girone A]</v>
      </c>
      <c r="C6" s="222">
        <f>IF($B6="","",DATE(YEAR('Calendario A'!$F22),MONTH('Calendario A'!$F22),DAY('Calendario A'!$F22)))</f>
        <v>46313.0</v>
      </c>
      <c r="D6" s="223">
        <f>IF($B6="","",TIME(HOUR('Calendario A'!$F22),MINUTE('Calendario A'!$F22),0))</f>
        <v>0.7291666666666666</v>
      </c>
      <c r="E6" s="222">
        <f>IF($B6="","",DATE(YEAR('Calendario A'!$F22),MONTH('Calendario A'!$F22),DAY('Calendario A'!$F22)))</f>
        <v>46313.0</v>
      </c>
      <c r="F6" s="223">
        <f>IF($B6="","",TIME(HOUR('Calendario A'!$F22)+2,MINUTE('Calendario A'!$F22),0))</f>
        <v>0.8125</v>
      </c>
      <c r="G6" s="68" t="str">
        <f>IF($B6="","",'Calendario A'!$B23)</f>
        <v>PalaAnaconde, Via dello Sport 1, Anacondeopoli AA</v>
      </c>
      <c r="H6" s="68" t="str">
        <f>IF($B6="","",Campionato!$D$2&amp;" "&amp;Campionato!$D$6)</f>
        <v>Campionato Baskin Demo - ESEMPIO 10 Squadre 2026/2027</v>
      </c>
      <c r="I6" s="68" t="n"/>
    </row>
    <row r="7">
      <c r="A7" s="68" t="str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>BEGIN:VEVENT
DTSTAMP:20261018T000001Z
UID:evt6@ClaudeCoworkBaskin
DTSTART;TZID=Europe/Rome:20261025T093000
DTEND;TZID=Europe/Rome:20261025T113000
SUMMARY:Cobra Celeri vs Anaconde Audaci [Girone A]
LOCATION:PalaCobra, Via dello Sport 3, Cobraopoli CI
DESCRIPTION:Campionato Baskin Demo - ESEMPIO 10 Squadre 2026/2027
END:VEVENT</v>
      </c>
      <c r="B7" s="68" t="str">
        <f>IF('Calendario A'!$B27="","",'Calendario A'!$B27&amp;" vs "&amp;'Calendario A'!$D27&amp;" "&amp;'Calendario A'!$AC27)</f>
        <v>Cobra Celeri vs Anaconde Audaci [Girone A]</v>
      </c>
      <c r="C7" s="222">
        <f>IF($B7="","",DATE(YEAR('Calendario A'!$F27),MONTH('Calendario A'!$F27),DAY('Calendario A'!$F27)))</f>
        <v>46320.0</v>
      </c>
      <c r="D7" s="223">
        <f>IF($B7="","",TIME(HOUR('Calendario A'!$F27),MINUTE('Calendario A'!$F27),0))</f>
        <v>0.3958333333333333</v>
      </c>
      <c r="E7" s="222">
        <f>IF($B7="","",DATE(YEAR('Calendario A'!$F27),MONTH('Calendario A'!$F27),DAY('Calendario A'!$F27)))</f>
        <v>46320.0</v>
      </c>
      <c r="F7" s="223">
        <f>IF($B7="","",TIME(HOUR('Calendario A'!$F27)+2,MINUTE('Calendario A'!$F27),0))</f>
        <v>0.4791666666666667</v>
      </c>
      <c r="G7" s="68" t="str">
        <f>IF($B7="","",'Calendario A'!$B28)</f>
        <v>PalaCobra, Via dello Sport 3, Cobraopoli CI</v>
      </c>
      <c r="H7" s="68" t="str">
        <f>IF($B7="","",Campionato!$D$2&amp;" "&amp;Campionato!$D$6)</f>
        <v>Campionato Baskin Demo - ESEMPIO 10 Squadre 2026/2027</v>
      </c>
      <c r="I7" s="68" t="n"/>
    </row>
    <row r="8">
      <c r="A8" s="68" t="str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>BEGIN:VEVENT
DTSTAMP:20261018T000001Z
UID:evt7@ClaudeCoworkBaskin
DTSTART;TZID=Europe/Rome:20261025T110000
DTEND;TZID=Europe/Rome:20261025T130000
SUMMARY:Marmotte Mobili vs Bufali Belligeranti [Girone A]
LOCATION:PalaCobra, Via dello Sport 3, Cobraopoli CI
DESCRIPTION:Campionato Baskin Demo - ESEMPIO 10 Squadre 2026/2027
END:VEVENT</v>
      </c>
      <c r="B8" s="68" t="str">
        <f>IF('Calendario A'!$B30="","",'Calendario A'!$B30&amp;" vs "&amp;'Calendario A'!$D30&amp;" "&amp;'Calendario A'!$AC30)</f>
        <v>Marmotte Mobili vs Bufali Belligeranti [Girone A]</v>
      </c>
      <c r="C8" s="222">
        <f>IF($B8="","",DATE(YEAR('Calendario A'!$F30),MONTH('Calendario A'!$F30),DAY('Calendario A'!$F30)))</f>
        <v>46320.0</v>
      </c>
      <c r="D8" s="223">
        <f>IF($B8="","",TIME(HOUR('Calendario A'!$F30),MINUTE('Calendario A'!$F30),0))</f>
        <v>0.4583333333333333</v>
      </c>
      <c r="E8" s="222">
        <f>IF($B8="","",DATE(YEAR('Calendario A'!$F30),MONTH('Calendario A'!$F30),DAY('Calendario A'!$F30)))</f>
        <v>46320.0</v>
      </c>
      <c r="F8" s="223">
        <f>IF($B8="","",TIME(HOUR('Calendario A'!$F30)+2,MINUTE('Calendario A'!$F30),0))</f>
        <v>0.5416666666666666</v>
      </c>
      <c r="G8" s="68" t="str">
        <f>IF($B8="","",'Calendario A'!$B31)</f>
        <v>PalaCobra, Via dello Sport 3, Cobraopoli CI</v>
      </c>
      <c r="H8" s="68" t="str">
        <f>IF($B8="","",Campionato!$D$2&amp;" "&amp;Campionato!$D$6)</f>
        <v>Campionato Baskin Demo - ESEMPIO 10 Squadre 2026/2027</v>
      </c>
      <c r="I8" s="68" t="n"/>
    </row>
    <row r="9">
      <c r="A9" s="68" t="str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>BEGIN:VEVENT
DTSTAMP:20261018T000001Z
UID:evt8@ClaudeCoworkBaskin
DTSTART;TZID=Europe/Rome:20261025T143000
DTEND;TZID=Europe/Rome:20261025T163000
SUMMARY:Lupi Leali vs Dingo Docili [Girone A]
LOCATION:PalaCobra, Via dello Sport 3, Cobraopoli CI
DESCRIPTION:Campionato Baskin Demo - ESEMPIO 10 Squadre 2026/2027
END:VEVENT</v>
      </c>
      <c r="B9" s="68" t="str">
        <f>IF('Calendario A'!$B33="","",'Calendario A'!$B33&amp;" vs "&amp;'Calendario A'!$D33&amp;" "&amp;'Calendario A'!$AC33)</f>
        <v>Lupi Leali vs Dingo Docili [Girone A]</v>
      </c>
      <c r="C9" s="222">
        <f>IF($B9="","",DATE(YEAR('Calendario A'!$F33),MONTH('Calendario A'!$F33),DAY('Calendario A'!$F33)))</f>
        <v>46320.0</v>
      </c>
      <c r="D9" s="223">
        <f>IF($B9="","",TIME(HOUR('Calendario A'!$F33),MINUTE('Calendario A'!$F33),0))</f>
        <v>0.6041666666666666</v>
      </c>
      <c r="E9" s="222">
        <f>IF($B9="","",DATE(YEAR('Calendario A'!$F33),MONTH('Calendario A'!$F33),DAY('Calendario A'!$F33)))</f>
        <v>46320.0</v>
      </c>
      <c r="F9" s="223">
        <f>IF($B9="","",TIME(HOUR('Calendario A'!$F33)+2,MINUTE('Calendario A'!$F33),0))</f>
        <v>0.6875</v>
      </c>
      <c r="G9" s="68" t="str">
        <f>IF($B9="","",'Calendario A'!$B34)</f>
        <v>PalaCobra, Via dello Sport 3, Cobraopoli CI</v>
      </c>
      <c r="H9" s="68" t="str">
        <f>IF($B9="","",Campionato!$D$2&amp;" "&amp;Campionato!$D$6)</f>
        <v>Campionato Baskin Demo - ESEMPIO 10 Squadre 2026/2027</v>
      </c>
      <c r="I9" s="68" t="n"/>
    </row>
    <row r="10">
      <c r="A10" s="68" t="str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>BEGIN:VEVENT
DTSTAMP:20261018T000001Z
UID:evt9@ClaudeCoworkBaskin
DTSTART;TZID=Europe/Rome:20261025T160000
DTEND;TZID=Europe/Rome:20261025T180000
SUMMARY:Ermellini Eleganti vs Ibis Instancabili [Girone A]
LOCATION:PalaCobra, Via dello Sport 3, Cobraopoli CI
DESCRIPTION:Campionato Baskin Demo - ESEMPIO 10 Squadre 2026/2027
END:VEVENT</v>
      </c>
      <c r="B10" s="68" t="str">
        <f>IF('Calendario A'!$B36="","",'Calendario A'!$B36&amp;" vs "&amp;'Calendario A'!$D36&amp;" "&amp;'Calendario A'!$AC36)</f>
        <v>Ermellini Eleganti vs Ibis Instancabili [Girone A]</v>
      </c>
      <c r="C10" s="222">
        <f>IF($B10="","",DATE(YEAR('Calendario A'!$F36),MONTH('Calendario A'!$F36),DAY('Calendario A'!$F36)))</f>
        <v>46320.0</v>
      </c>
      <c r="D10" s="223">
        <f>IF($B10="","",TIME(HOUR('Calendario A'!$F36),MINUTE('Calendario A'!$F36),0))</f>
        <v>0.6666666666666666</v>
      </c>
      <c r="E10" s="222">
        <f>IF($B10="","",DATE(YEAR('Calendario A'!$F36),MONTH('Calendario A'!$F36),DAY('Calendario A'!$F36)))</f>
        <v>46320.0</v>
      </c>
      <c r="F10" s="223">
        <f>IF($B10="","",TIME(HOUR('Calendario A'!$F36)+2,MINUTE('Calendario A'!$F36),0))</f>
        <v>0.75</v>
      </c>
      <c r="G10" s="68" t="str">
        <f>IF($B10="","",'Calendario A'!$B37)</f>
        <v>PalaCobra, Via dello Sport 3, Cobraopoli CI</v>
      </c>
      <c r="H10" s="68" t="str">
        <f>IF($B10="","",Campionato!$D$2&amp;" "&amp;Campionato!$D$6)</f>
        <v>Campionato Baskin Demo - ESEMPIO 10 Squadre 2026/2027</v>
      </c>
      <c r="I10" s="68" t="n"/>
    </row>
    <row r="11">
      <c r="A11" s="68" t="str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>BEGIN:VEVENT
DTSTAMP:20261018T000001Z
UID:evt10@ClaudeCoworkBaskin
DTSTART;TZID=Europe/Rome:20261025T173000
DTEND;TZID=Europe/Rome:20261025T193000
SUMMARY:Gazzelle Gentili vs Falchi Feroci [Girone A]
LOCATION:PalaCobra, Via dello Sport 3, Cobraopoli CI
DESCRIPTION:Campionato Baskin Demo - ESEMPIO 10 Squadre 2026/2027
END:VEVENT</v>
      </c>
      <c r="B11" s="68" t="str">
        <f>IF('Calendario A'!$B39="","",'Calendario A'!$B39&amp;" vs "&amp;'Calendario A'!$D39&amp;" "&amp;'Calendario A'!$AC39)</f>
        <v>Gazzelle Gentili vs Falchi Feroci [Girone A]</v>
      </c>
      <c r="C11" s="222">
        <f>IF($B11="","",DATE(YEAR('Calendario A'!$F39),MONTH('Calendario A'!$F39),DAY('Calendario A'!$F39)))</f>
        <v>46320.0</v>
      </c>
      <c r="D11" s="223">
        <f>IF($B11="","",TIME(HOUR('Calendario A'!$F39),MINUTE('Calendario A'!$F39),0))</f>
        <v>0.7291666666666666</v>
      </c>
      <c r="E11" s="222">
        <f>IF($B11="","",DATE(YEAR('Calendario A'!$F39),MONTH('Calendario A'!$F39),DAY('Calendario A'!$F39)))</f>
        <v>46320.0</v>
      </c>
      <c r="F11" s="223">
        <f>IF($B11="","",TIME(HOUR('Calendario A'!$F39)+2,MINUTE('Calendario A'!$F39),0))</f>
        <v>0.8125</v>
      </c>
      <c r="G11" s="68" t="str">
        <f>IF($B11="","",'Calendario A'!$B40)</f>
        <v>PalaCobra, Via dello Sport 3, Cobraopoli CI</v>
      </c>
      <c r="H11" s="68" t="str">
        <f>IF($B11="","",Campionato!$D$2&amp;" "&amp;Campionato!$D$6)</f>
        <v>Campionato Baskin Demo - ESEMPIO 10 Squadre 2026/2027</v>
      </c>
      <c r="I11" s="68" t="n"/>
    </row>
    <row r="12">
      <c r="A12" s="68" t="str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>BEGIN:VEVENT
DTSTAMP:20261018T000001Z
UID:evt11@ClaudeCoworkBaskin
DTSTART;TZID=Europe/Rome:20261101T093000
DTEND;TZID=Europe/Rome:20261101T113000
SUMMARY:Ermellini Eleganti vs Anaconde Audaci [Girone A]
LOCATION:PalaErmellini, Via dello Sport 5, Ermelliniopoli EU
DESCRIPTION:Campionato Baskin Demo - ESEMPIO 10 Squadre 2026/2027
END:VEVENT</v>
      </c>
      <c r="B12" s="68" t="str">
        <f>IF('Calendario A'!$B44="","",'Calendario A'!$B44&amp;" vs "&amp;'Calendario A'!$D44&amp;" "&amp;'Calendario A'!$AC44)</f>
        <v>Ermellini Eleganti vs Anaconde Audaci [Girone A]</v>
      </c>
      <c r="C12" s="222">
        <f>IF($B12="","",DATE(YEAR('Calendario A'!$F44),MONTH('Calendario A'!$F44),DAY('Calendario A'!$F44)))</f>
        <v>46327.0</v>
      </c>
      <c r="D12" s="223">
        <f>IF($B12="","",TIME(HOUR('Calendario A'!$F44),MINUTE('Calendario A'!$F44),0))</f>
        <v>0.3958333333333333</v>
      </c>
      <c r="E12" s="222">
        <f>IF($B12="","",DATE(YEAR('Calendario A'!$F44),MONTH('Calendario A'!$F44),DAY('Calendario A'!$F44)))</f>
        <v>46327.0</v>
      </c>
      <c r="F12" s="223">
        <f>IF($B12="","",TIME(HOUR('Calendario A'!$F44)+2,MINUTE('Calendario A'!$F44),0))</f>
        <v>0.4791666666666667</v>
      </c>
      <c r="G12" s="68" t="str">
        <f>IF($B12="","",'Calendario A'!$B45)</f>
        <v>PalaErmellini, Via dello Sport 5, Ermelliniopoli EU</v>
      </c>
      <c r="H12" s="68" t="str">
        <f>IF($B12="","",Campionato!$D$2&amp;" "&amp;Campionato!$D$6)</f>
        <v>Campionato Baskin Demo - ESEMPIO 10 Squadre 2026/2027</v>
      </c>
      <c r="I12" s="68" t="n"/>
    </row>
    <row r="13">
      <c r="A13" s="68" t="str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>BEGIN:VEVENT
DTSTAMP:20261018T000001Z
UID:evt12@ClaudeCoworkBaskin
DTSTART;TZID=Europe/Rome:20261101T110000
DTEND;TZID=Europe/Rome:20261101T130000
SUMMARY:Cobra Celeri vs Marmotte Mobili [Girone A]
LOCATION:PalaErmellini, Via dello Sport 5, Ermelliniopoli EU
DESCRIPTION:Campionato Baskin Demo - ESEMPIO 10 Squadre 2026/2027
END:VEVENT</v>
      </c>
      <c r="B13" s="68" t="str">
        <f>IF('Calendario A'!$B47="","",'Calendario A'!$B47&amp;" vs "&amp;'Calendario A'!$D47&amp;" "&amp;'Calendario A'!$AC47)</f>
        <v>Cobra Celeri vs Marmotte Mobili [Girone A]</v>
      </c>
      <c r="C13" s="222">
        <f>IF($B13="","",DATE(YEAR('Calendario A'!$F47),MONTH('Calendario A'!$F47),DAY('Calendario A'!$F47)))</f>
        <v>46327.0</v>
      </c>
      <c r="D13" s="223">
        <f>IF($B13="","",TIME(HOUR('Calendario A'!$F47),MINUTE('Calendario A'!$F47),0))</f>
        <v>0.4583333333333333</v>
      </c>
      <c r="E13" s="222">
        <f>IF($B13="","",DATE(YEAR('Calendario A'!$F47),MONTH('Calendario A'!$F47),DAY('Calendario A'!$F47)))</f>
        <v>46327.0</v>
      </c>
      <c r="F13" s="223">
        <f>IF($B13="","",TIME(HOUR('Calendario A'!$F47)+2,MINUTE('Calendario A'!$F47),0))</f>
        <v>0.5416666666666666</v>
      </c>
      <c r="G13" s="68" t="str">
        <f>IF($B13="","",'Calendario A'!$B48)</f>
        <v>PalaErmellini, Via dello Sport 5, Ermelliniopoli EU</v>
      </c>
      <c r="H13" s="68" t="str">
        <f>IF($B13="","",Campionato!$D$2&amp;" "&amp;Campionato!$D$6)</f>
        <v>Campionato Baskin Demo - ESEMPIO 10 Squadre 2026/2027</v>
      </c>
      <c r="I13" s="68" t="n"/>
    </row>
    <row r="14">
      <c r="A14" s="68" t="str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>BEGIN:VEVENT
DTSTAMP:20261018T000001Z
UID:evt13@ClaudeCoworkBaskin
DTSTART;TZID=Europe/Rome:20261101T143000
DTEND;TZID=Europe/Rome:20261101T163000
SUMMARY:Bufali Belligeranti vs Dingo Docili [Girone A]
LOCATION:PalaErmellini, Via dello Sport 5, Ermelliniopoli EU
DESCRIPTION:Campionato Baskin Demo - ESEMPIO 10 Squadre 2026/2027
END:VEVENT</v>
      </c>
      <c r="B14" s="68" t="str">
        <f>IF('Calendario A'!$B50="","",'Calendario A'!$B50&amp;" vs "&amp;'Calendario A'!$D50&amp;" "&amp;'Calendario A'!$AC50)</f>
        <v>Bufali Belligeranti vs Dingo Docili [Girone A]</v>
      </c>
      <c r="C14" s="222">
        <f>IF($B14="","",DATE(YEAR('Calendario A'!$F50),MONTH('Calendario A'!$F50),DAY('Calendario A'!$F50)))</f>
        <v>46327.0</v>
      </c>
      <c r="D14" s="223">
        <f>IF($B14="","",TIME(HOUR('Calendario A'!$F50),MINUTE('Calendario A'!$F50),0))</f>
        <v>0.6041666666666666</v>
      </c>
      <c r="E14" s="222">
        <f>IF($B14="","",DATE(YEAR('Calendario A'!$F50),MONTH('Calendario A'!$F50),DAY('Calendario A'!$F50)))</f>
        <v>46327.0</v>
      </c>
      <c r="F14" s="223">
        <f>IF($B14="","",TIME(HOUR('Calendario A'!$F50)+2,MINUTE('Calendario A'!$F50),0))</f>
        <v>0.6875</v>
      </c>
      <c r="G14" s="68" t="str">
        <f>IF($B14="","",'Calendario A'!$B51)</f>
        <v>PalaErmellini, Via dello Sport 5, Ermelliniopoli EU</v>
      </c>
      <c r="H14" s="68" t="str">
        <f>IF($B14="","",Campionato!$D$2&amp;" "&amp;Campionato!$D$6)</f>
        <v>Campionato Baskin Demo - ESEMPIO 10 Squadre 2026/2027</v>
      </c>
      <c r="I14" s="68" t="n"/>
    </row>
    <row r="15">
      <c r="A15" s="68" t="str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>BEGIN:VEVENT
DTSTAMP:20261018T000001Z
UID:evt14@ClaudeCoworkBaskin
DTSTART;TZID=Europe/Rome:20261101T160000
DTEND;TZID=Europe/Rome:20261101T180000
SUMMARY:Lupi Leali vs Falchi Feroci [Girone A]
LOCATION:PalaErmellini, Via dello Sport 5, Ermelliniopoli EU
DESCRIPTION:Campionato Baskin Demo - ESEMPIO 10 Squadre 2026/2027
END:VEVENT</v>
      </c>
      <c r="B15" s="68" t="str">
        <f>IF('Calendario A'!$B53="","",'Calendario A'!$B53&amp;" vs "&amp;'Calendario A'!$D53&amp;" "&amp;'Calendario A'!$AC53)</f>
        <v>Lupi Leali vs Falchi Feroci [Girone A]</v>
      </c>
      <c r="C15" s="222">
        <f>IF($B15="","",DATE(YEAR('Calendario A'!$F53),MONTH('Calendario A'!$F53),DAY('Calendario A'!$F53)))</f>
        <v>46327.0</v>
      </c>
      <c r="D15" s="223">
        <f>IF($B15="","",TIME(HOUR('Calendario A'!$F53),MINUTE('Calendario A'!$F53),0))</f>
        <v>0.6666666666666666</v>
      </c>
      <c r="E15" s="222">
        <f>IF($B15="","",DATE(YEAR('Calendario A'!$F53),MONTH('Calendario A'!$F53),DAY('Calendario A'!$F53)))</f>
        <v>46327.0</v>
      </c>
      <c r="F15" s="223">
        <f>IF($B15="","",TIME(HOUR('Calendario A'!$F53)+2,MINUTE('Calendario A'!$F53),0))</f>
        <v>0.75</v>
      </c>
      <c r="G15" s="68" t="str">
        <f>IF($B15="","",'Calendario A'!$B54)</f>
        <v>PalaErmellini, Via dello Sport 5, Ermelliniopoli EU</v>
      </c>
      <c r="H15" s="68" t="str">
        <f>IF($B15="","",Campionato!$D$2&amp;" "&amp;Campionato!$D$6)</f>
        <v>Campionato Baskin Demo - ESEMPIO 10 Squadre 2026/2027</v>
      </c>
      <c r="I15" s="68" t="n"/>
    </row>
    <row r="16">
      <c r="A16" s="68" t="str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>BEGIN:VEVENT
DTSTAMP:20261018T000001Z
UID:evt15@ClaudeCoworkBaskin
DTSTART;TZID=Europe/Rome:20261101T173000
DTEND;TZID=Europe/Rome:20261101T193000
SUMMARY:Gazzelle Gentili vs Ibis Instancabili [Girone A]
LOCATION:PalaErmellini, Via dello Sport 5, Ermelliniopoli EU
DESCRIPTION:Campionato Baskin Demo - ESEMPIO 10 Squadre 2026/2027
END:VEVENT</v>
      </c>
      <c r="B16" s="68" t="str">
        <f>IF('Calendario A'!$B56="","",'Calendario A'!$B56&amp;" vs "&amp;'Calendario A'!$D56&amp;" "&amp;'Calendario A'!$AC56)</f>
        <v>Gazzelle Gentili vs Ibis Instancabili [Girone A]</v>
      </c>
      <c r="C16" s="222">
        <f>IF($B16="","",DATE(YEAR('Calendario A'!$F56),MONTH('Calendario A'!$F56),DAY('Calendario A'!$F56)))</f>
        <v>46327.0</v>
      </c>
      <c r="D16" s="223">
        <f>IF($B16="","",TIME(HOUR('Calendario A'!$F56),MINUTE('Calendario A'!$F56),0))</f>
        <v>0.7291666666666666</v>
      </c>
      <c r="E16" s="222">
        <f>IF($B16="","",DATE(YEAR('Calendario A'!$F56),MONTH('Calendario A'!$F56),DAY('Calendario A'!$F56)))</f>
        <v>46327.0</v>
      </c>
      <c r="F16" s="223">
        <f>IF($B16="","",TIME(HOUR('Calendario A'!$F56)+2,MINUTE('Calendario A'!$F56),0))</f>
        <v>0.8125</v>
      </c>
      <c r="G16" s="68" t="str">
        <f>IF($B16="","",'Calendario A'!$B57)</f>
        <v>PalaErmellini, Via dello Sport 5, Ermelliniopoli EU</v>
      </c>
      <c r="H16" s="68" t="str">
        <f>IF($B16="","",Campionato!$D$2&amp;" "&amp;Campionato!$D$6)</f>
        <v>Campionato Baskin Demo - ESEMPIO 10 Squadre 2026/2027</v>
      </c>
      <c r="I16" s="68" t="n"/>
    </row>
    <row r="17">
      <c r="A17" s="68" t="str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>BEGIN:VEVENT
DTSTAMP:20261018T000001Z
UID:evt16@ClaudeCoworkBaskin
DTSTART;TZID=Europe/Rome:20261108T093000
DTEND;TZID=Europe/Rome:20261108T113000
SUMMARY:Gazzelle Gentili vs Anaconde Audaci [Girone A]
LOCATION:PalaGazzelle, Via dello Sport 7, Gazzelleopoli GE
DESCRIPTION:Campionato Baskin Demo - ESEMPIO 10 Squadre 2026/2027
END:VEVENT</v>
      </c>
      <c r="B17" s="68" t="str">
        <f>IF('Calendario A'!$B61="","",'Calendario A'!$B61&amp;" vs "&amp;'Calendario A'!$D61&amp;" "&amp;'Calendario A'!$AC61)</f>
        <v>Gazzelle Gentili vs Anaconde Audaci [Girone A]</v>
      </c>
      <c r="C17" s="222">
        <f>IF($B17="","",DATE(YEAR('Calendario A'!$F61),MONTH('Calendario A'!$F61),DAY('Calendario A'!$F61)))</f>
        <v>46334.0</v>
      </c>
      <c r="D17" s="223">
        <f>IF($B17="","",TIME(HOUR('Calendario A'!$F61),MINUTE('Calendario A'!$F61),0))</f>
        <v>0.3958333333333333</v>
      </c>
      <c r="E17" s="222">
        <f>IF($B17="","",DATE(YEAR('Calendario A'!$F61),MONTH('Calendario A'!$F61),DAY('Calendario A'!$F61)))</f>
        <v>46334.0</v>
      </c>
      <c r="F17" s="223">
        <f>IF($B17="","",TIME(HOUR('Calendario A'!$F61)+2,MINUTE('Calendario A'!$F61),0))</f>
        <v>0.4791666666666667</v>
      </c>
      <c r="G17" s="68" t="str">
        <f>IF($B17="","",'Calendario A'!$B62)</f>
        <v>PalaGazzelle, Via dello Sport 7, Gazzelleopoli GE</v>
      </c>
      <c r="H17" s="68" t="str">
        <f>IF($B17="","",Campionato!$D$2&amp;" "&amp;Campionato!$D$6)</f>
        <v>Campionato Baskin Demo - ESEMPIO 10 Squadre 2026/2027</v>
      </c>
      <c r="I17" s="68" t="n"/>
    </row>
    <row r="18">
      <c r="A18" s="68" t="str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>BEGIN:VEVENT
DTSTAMP:20261018T000001Z
UID:evt17@ClaudeCoworkBaskin
DTSTART;TZID=Europe/Rome:20261108T110000
DTEND;TZID=Europe/Rome:20261108T130000
SUMMARY:Marmotte Mobili vs Dingo Docili [Girone A]
LOCATION:PalaGazzelle, Via dello Sport 7, Gazzelleopoli GE
DESCRIPTION:Campionato Baskin Demo - ESEMPIO 10 Squadre 2026/2027
END:VEVENT</v>
      </c>
      <c r="B18" s="68" t="str">
        <f>IF('Calendario A'!$B64="","",'Calendario A'!$B64&amp;" vs "&amp;'Calendario A'!$D64&amp;" "&amp;'Calendario A'!$AC64)</f>
        <v>Marmotte Mobili vs Dingo Docili [Girone A]</v>
      </c>
      <c r="C18" s="222">
        <f>IF($B18="","",DATE(YEAR('Calendario A'!$F64),MONTH('Calendario A'!$F64),DAY('Calendario A'!$F64)))</f>
        <v>46334.0</v>
      </c>
      <c r="D18" s="223">
        <f>IF($B18="","",TIME(HOUR('Calendario A'!$F64),MINUTE('Calendario A'!$F64),0))</f>
        <v>0.4583333333333333</v>
      </c>
      <c r="E18" s="222">
        <f>IF($B18="","",DATE(YEAR('Calendario A'!$F64),MONTH('Calendario A'!$F64),DAY('Calendario A'!$F64)))</f>
        <v>46334.0</v>
      </c>
      <c r="F18" s="223">
        <f>IF($B18="","",TIME(HOUR('Calendario A'!$F64)+2,MINUTE('Calendario A'!$F64),0))</f>
        <v>0.5416666666666666</v>
      </c>
      <c r="G18" s="68" t="str">
        <f>IF($B18="","",'Calendario A'!$B65)</f>
        <v>PalaGazzelle, Via dello Sport 7, Gazzelleopoli GE</v>
      </c>
      <c r="H18" s="68" t="str">
        <f>IF($B18="","",Campionato!$D$2&amp;" "&amp;Campionato!$D$6)</f>
        <v>Campionato Baskin Demo - ESEMPIO 10 Squadre 2026/2027</v>
      </c>
      <c r="I18" s="68" t="n"/>
    </row>
    <row r="19">
      <c r="A19" s="68" t="str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>BEGIN:VEVENT
DTSTAMP:20261018T000001Z
UID:evt18@ClaudeCoworkBaskin
DTSTART;TZID=Europe/Rome:20261108T143000
DTEND;TZID=Europe/Rome:20261108T163000
SUMMARY:Ermellini Eleganti vs Cobra Celeri [Girone A]
LOCATION:PalaGazzelle, Via dello Sport 7, Gazzelleopoli GE
DESCRIPTION:Campionato Baskin Demo - ESEMPIO 10 Squadre 2026/2027
END:VEVENT</v>
      </c>
      <c r="B19" s="68" t="str">
        <f>IF('Calendario A'!$B67="","",'Calendario A'!$B67&amp;" vs "&amp;'Calendario A'!$D67&amp;" "&amp;'Calendario A'!$AC67)</f>
        <v>Ermellini Eleganti vs Cobra Celeri [Girone A]</v>
      </c>
      <c r="C19" s="222">
        <f>IF($B19="","",DATE(YEAR('Calendario A'!$F67),MONTH('Calendario A'!$F67),DAY('Calendario A'!$F67)))</f>
        <v>46334.0</v>
      </c>
      <c r="D19" s="223">
        <f>IF($B19="","",TIME(HOUR('Calendario A'!$F67),MINUTE('Calendario A'!$F67),0))</f>
        <v>0.6041666666666666</v>
      </c>
      <c r="E19" s="222">
        <f>IF($B19="","",DATE(YEAR('Calendario A'!$F67),MONTH('Calendario A'!$F67),DAY('Calendario A'!$F67)))</f>
        <v>46334.0</v>
      </c>
      <c r="F19" s="223">
        <f>IF($B19="","",TIME(HOUR('Calendario A'!$F67)+2,MINUTE('Calendario A'!$F67),0))</f>
        <v>0.6875</v>
      </c>
      <c r="G19" s="68" t="str">
        <f>IF($B19="","",'Calendario A'!$B68)</f>
        <v>PalaGazzelle, Via dello Sport 7, Gazzelleopoli GE</v>
      </c>
      <c r="H19" s="68" t="str">
        <f>IF($B19="","",Campionato!$D$2&amp;" "&amp;Campionato!$D$6)</f>
        <v>Campionato Baskin Demo - ESEMPIO 10 Squadre 2026/2027</v>
      </c>
      <c r="I19" s="68" t="n"/>
    </row>
    <row r="20">
      <c r="A20" s="68" t="str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>BEGIN:VEVENT
DTSTAMP:20261018T000001Z
UID:evt19@ClaudeCoworkBaskin
DTSTART;TZID=Europe/Rome:20261108T160000
DTEND;TZID=Europe/Rome:20261108T180000
SUMMARY:Bufali Belligeranti vs Falchi Feroci [Girone A]
LOCATION:PalaGazzelle, Via dello Sport 7, Gazzelleopoli GE
DESCRIPTION:Campionato Baskin Demo - ESEMPIO 10 Squadre 2026/2027
END:VEVENT</v>
      </c>
      <c r="B20" s="68" t="str">
        <f>IF('Calendario A'!$B70="","",'Calendario A'!$B70&amp;" vs "&amp;'Calendario A'!$D70&amp;" "&amp;'Calendario A'!$AC70)</f>
        <v>Bufali Belligeranti vs Falchi Feroci [Girone A]</v>
      </c>
      <c r="C20" s="222">
        <f>IF($B20="","",DATE(YEAR('Calendario A'!$F70),MONTH('Calendario A'!$F70),DAY('Calendario A'!$F70)))</f>
        <v>46334.0</v>
      </c>
      <c r="D20" s="223">
        <f>IF($B20="","",TIME(HOUR('Calendario A'!$F70),MINUTE('Calendario A'!$F70),0))</f>
        <v>0.6666666666666666</v>
      </c>
      <c r="E20" s="222">
        <f>IF($B20="","",DATE(YEAR('Calendario A'!$F70),MONTH('Calendario A'!$F70),DAY('Calendario A'!$F70)))</f>
        <v>46334.0</v>
      </c>
      <c r="F20" s="223">
        <f>IF($B20="","",TIME(HOUR('Calendario A'!$F70)+2,MINUTE('Calendario A'!$F70),0))</f>
        <v>0.75</v>
      </c>
      <c r="G20" s="68" t="str">
        <f>IF($B20="","",'Calendario A'!$B71)</f>
        <v>PalaGazzelle, Via dello Sport 7, Gazzelleopoli GE</v>
      </c>
      <c r="H20" s="68" t="str">
        <f>IF($B20="","",Campionato!$D$2&amp;" "&amp;Campionato!$D$6)</f>
        <v>Campionato Baskin Demo - ESEMPIO 10 Squadre 2026/2027</v>
      </c>
      <c r="I20" s="68" t="n"/>
    </row>
    <row r="21">
      <c r="A21" s="68" t="str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>BEGIN:VEVENT
DTSTAMP:20261018T000001Z
UID:evt20@ClaudeCoworkBaskin
DTSTART;TZID=Europe/Rome:20261108T173000
DTEND;TZID=Europe/Rome:20261108T193000
SUMMARY:Lupi Leali vs Ibis Instancabili [Girone A]
LOCATION:PalaGazzelle, Via dello Sport 7, Gazzelleopoli GE
DESCRIPTION:Campionato Baskin Demo - ESEMPIO 10 Squadre 2026/2027
END:VEVENT</v>
      </c>
      <c r="B21" s="68" t="str">
        <f>IF('Calendario A'!$B73="","",'Calendario A'!$B73&amp;" vs "&amp;'Calendario A'!$D73&amp;" "&amp;'Calendario A'!$AC73)</f>
        <v>Lupi Leali vs Ibis Instancabili [Girone A]</v>
      </c>
      <c r="C21" s="222">
        <f>IF($B21="","",DATE(YEAR('Calendario A'!$F73),MONTH('Calendario A'!$F73),DAY('Calendario A'!$F73)))</f>
        <v>46334.0</v>
      </c>
      <c r="D21" s="223">
        <f>IF($B21="","",TIME(HOUR('Calendario A'!$F73),MINUTE('Calendario A'!$F73),0))</f>
        <v>0.7291666666666666</v>
      </c>
      <c r="E21" s="222">
        <f>IF($B21="","",DATE(YEAR('Calendario A'!$F73),MONTH('Calendario A'!$F73),DAY('Calendario A'!$F73)))</f>
        <v>46334.0</v>
      </c>
      <c r="F21" s="223">
        <f>IF($B21="","",TIME(HOUR('Calendario A'!$F73)+2,MINUTE('Calendario A'!$F73),0))</f>
        <v>0.8125</v>
      </c>
      <c r="G21" s="68" t="str">
        <f>IF($B21="","",'Calendario A'!$B74)</f>
        <v>PalaGazzelle, Via dello Sport 7, Gazzelleopoli GE</v>
      </c>
      <c r="H21" s="68" t="str">
        <f>IF($B21="","",Campionato!$D$2&amp;" "&amp;Campionato!$D$6)</f>
        <v>Campionato Baskin Demo - ESEMPIO 10 Squadre 2026/2027</v>
      </c>
      <c r="I21" s="68" t="n"/>
    </row>
    <row r="22">
      <c r="A22" s="68" t="str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>BEGIN:VEVENT
DTSTAMP:20261018T000001Z
UID:evt21@ClaudeCoworkBaskin
DTSTART;TZID=Europe/Rome:20261115T093000
DTEND;TZID=Europe/Rome:20261115T113000
SUMMARY:Lupi Leali vs Anaconde Audaci [Girone A]
LOCATION:PalaLupi, Via dello Sport 9, Lupiopoli LO
DESCRIPTION:Campionato Baskin Demo - ESEMPIO 10 Squadre 2026/2027
END:VEVENT</v>
      </c>
      <c r="B22" s="68" t="str">
        <f>IF('Calendario A'!$B78="","",'Calendario A'!$B78&amp;" vs "&amp;'Calendario A'!$D78&amp;" "&amp;'Calendario A'!$AC78)</f>
        <v>Lupi Leali vs Anaconde Audaci [Girone A]</v>
      </c>
      <c r="C22" s="222">
        <f>IF($B22="","",DATE(YEAR('Calendario A'!$F78),MONTH('Calendario A'!$F78),DAY('Calendario A'!$F78)))</f>
        <v>46341.0</v>
      </c>
      <c r="D22" s="223">
        <f>IF($B22="","",TIME(HOUR('Calendario A'!$F78),MINUTE('Calendario A'!$F78),0))</f>
        <v>0.3958333333333333</v>
      </c>
      <c r="E22" s="222">
        <f>IF($B22="","",DATE(YEAR('Calendario A'!$F78),MONTH('Calendario A'!$F78),DAY('Calendario A'!$F78)))</f>
        <v>46341.0</v>
      </c>
      <c r="F22" s="223">
        <f>IF($B22="","",TIME(HOUR('Calendario A'!$F78)+2,MINUTE('Calendario A'!$F78),0))</f>
        <v>0.4791666666666667</v>
      </c>
      <c r="G22" s="68" t="str">
        <f>IF($B22="","",'Calendario A'!$B79)</f>
        <v>PalaLupi, Via dello Sport 9, Lupiopoli LO</v>
      </c>
      <c r="H22" s="68" t="str">
        <f>IF($B22="","",Campionato!$D$2&amp;" "&amp;Campionato!$D$6)</f>
        <v>Campionato Baskin Demo - ESEMPIO 10 Squadre 2026/2027</v>
      </c>
      <c r="I22" s="68" t="n"/>
    </row>
    <row r="23">
      <c r="A23" s="68" t="str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>BEGIN:VEVENT
DTSTAMP:20261018T000001Z
UID:evt22@ClaudeCoworkBaskin
DTSTART;TZID=Europe/Rome:20261115T110000
DTEND;TZID=Europe/Rome:20261115T130000
SUMMARY:Ermellini Eleganti vs Marmotte Mobili [Girone A]
LOCATION:PalaLupi, Via dello Sport 9, Lupiopoli LO
DESCRIPTION:Campionato Baskin Demo - ESEMPIO 10 Squadre 2026/2027
END:VEVENT</v>
      </c>
      <c r="B23" s="68" t="str">
        <f>IF('Calendario A'!$B81="","",'Calendario A'!$B81&amp;" vs "&amp;'Calendario A'!$D81&amp;" "&amp;'Calendario A'!$AC81)</f>
        <v>Ermellini Eleganti vs Marmotte Mobili [Girone A]</v>
      </c>
      <c r="C23" s="222">
        <f>IF($B23="","",DATE(YEAR('Calendario A'!$F81),MONTH('Calendario A'!$F81),DAY('Calendario A'!$F81)))</f>
        <v>46341.0</v>
      </c>
      <c r="D23" s="223">
        <f>IF($B23="","",TIME(HOUR('Calendario A'!$F81),MINUTE('Calendario A'!$F81),0))</f>
        <v>0.4583333333333333</v>
      </c>
      <c r="E23" s="222">
        <f>IF($B23="","",DATE(YEAR('Calendario A'!$F81),MONTH('Calendario A'!$F81),DAY('Calendario A'!$F81)))</f>
        <v>46341.0</v>
      </c>
      <c r="F23" s="223">
        <f>IF($B23="","",TIME(HOUR('Calendario A'!$F81)+2,MINUTE('Calendario A'!$F81),0))</f>
        <v>0.5416666666666666</v>
      </c>
      <c r="G23" s="68" t="str">
        <f>IF($B23="","",'Calendario A'!$B82)</f>
        <v>PalaLupi, Via dello Sport 9, Lupiopoli LO</v>
      </c>
      <c r="H23" s="68" t="str">
        <f>IF($B23="","",Campionato!$D$2&amp;" "&amp;Campionato!$D$6)</f>
        <v>Campionato Baskin Demo - ESEMPIO 10 Squadre 2026/2027</v>
      </c>
      <c r="I23" s="68" t="n"/>
    </row>
    <row r="24">
      <c r="A24" s="68" t="str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>BEGIN:VEVENT
DTSTAMP:20261018T000001Z
UID:evt23@ClaudeCoworkBaskin
DTSTART;TZID=Europe/Rome:20261115T143000
DTEND;TZID=Europe/Rome:20261115T163000
SUMMARY:Dingo Docili vs Falchi Feroci [Girone A]
LOCATION:PalaLupi, Via dello Sport 9, Lupiopoli LO
DESCRIPTION:Campionato Baskin Demo - ESEMPIO 10 Squadre 2026/2027
END:VEVENT</v>
      </c>
      <c r="B24" s="68" t="str">
        <f>IF('Calendario A'!$B84="","",'Calendario A'!$B84&amp;" vs "&amp;'Calendario A'!$D84&amp;" "&amp;'Calendario A'!$AC84)</f>
        <v>Dingo Docili vs Falchi Feroci [Girone A]</v>
      </c>
      <c r="C24" s="222">
        <f>IF($B24="","",DATE(YEAR('Calendario A'!$F84),MONTH('Calendario A'!$F84),DAY('Calendario A'!$F84)))</f>
        <v>46341.0</v>
      </c>
      <c r="D24" s="223">
        <f>IF($B24="","",TIME(HOUR('Calendario A'!$F84),MINUTE('Calendario A'!$F84),0))</f>
        <v>0.6041666666666666</v>
      </c>
      <c r="E24" s="222">
        <f>IF($B24="","",DATE(YEAR('Calendario A'!$F84),MONTH('Calendario A'!$F84),DAY('Calendario A'!$F84)))</f>
        <v>46341.0</v>
      </c>
      <c r="F24" s="223">
        <f>IF($B24="","",TIME(HOUR('Calendario A'!$F84)+2,MINUTE('Calendario A'!$F84),0))</f>
        <v>0.6875</v>
      </c>
      <c r="G24" s="68" t="str">
        <f>IF($B24="","",'Calendario A'!$B85)</f>
        <v>PalaLupi, Via dello Sport 9, Lupiopoli LO</v>
      </c>
      <c r="H24" s="68" t="str">
        <f>IF($B24="","",Campionato!$D$2&amp;" "&amp;Campionato!$D$6)</f>
        <v>Campionato Baskin Demo - ESEMPIO 10 Squadre 2026/2027</v>
      </c>
      <c r="I24" s="68" t="n"/>
    </row>
    <row r="25">
      <c r="A25" s="68" t="str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>BEGIN:VEVENT
DTSTAMP:20261018T000001Z
UID:evt24@ClaudeCoworkBaskin
DTSTART;TZID=Europe/Rome:20261115T160000
DTEND;TZID=Europe/Rome:20261115T180000
SUMMARY:Gazzelle Gentili vs Cobra Celeri [Girone A]
LOCATION:PalaLupi, Via dello Sport 9, Lupiopoli LO
DESCRIPTION:Campionato Baskin Demo - ESEMPIO 10 Squadre 2026/2027
END:VEVENT</v>
      </c>
      <c r="B25" s="68" t="str">
        <f>IF('Calendario A'!$B87="","",'Calendario A'!$B87&amp;" vs "&amp;'Calendario A'!$D87&amp;" "&amp;'Calendario A'!$AC87)</f>
        <v>Gazzelle Gentili vs Cobra Celeri [Girone A]</v>
      </c>
      <c r="C25" s="222">
        <f>IF($B25="","",DATE(YEAR('Calendario A'!$F87),MONTH('Calendario A'!$F87),DAY('Calendario A'!$F87)))</f>
        <v>46341.0</v>
      </c>
      <c r="D25" s="223">
        <f>IF($B25="","",TIME(HOUR('Calendario A'!$F87),MINUTE('Calendario A'!$F87),0))</f>
        <v>0.6666666666666666</v>
      </c>
      <c r="E25" s="222">
        <f>IF($B25="","",DATE(YEAR('Calendario A'!$F87),MONTH('Calendario A'!$F87),DAY('Calendario A'!$F87)))</f>
        <v>46341.0</v>
      </c>
      <c r="F25" s="223">
        <f>IF($B25="","",TIME(HOUR('Calendario A'!$F87)+2,MINUTE('Calendario A'!$F87),0))</f>
        <v>0.75</v>
      </c>
      <c r="G25" s="68" t="str">
        <f>IF($B25="","",'Calendario A'!$B88)</f>
        <v>PalaLupi, Via dello Sport 9, Lupiopoli LO</v>
      </c>
      <c r="H25" s="68" t="str">
        <f>IF($B25="","",Campionato!$D$2&amp;" "&amp;Campionato!$D$6)</f>
        <v>Campionato Baskin Demo - ESEMPIO 10 Squadre 2026/2027</v>
      </c>
      <c r="I25" s="68" t="n"/>
    </row>
    <row r="26">
      <c r="A26" s="68" t="str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>BEGIN:VEVENT
DTSTAMP:20261018T000001Z
UID:evt25@ClaudeCoworkBaskin
DTSTART;TZID=Europe/Rome:20261115T173000
DTEND;TZID=Europe/Rome:20261115T193000
SUMMARY:Bufali Belligeranti vs Ibis Instancabili [Girone A]
LOCATION:PalaLupi, Via dello Sport 9, Lupiopoli LO
DESCRIPTION:Campionato Baskin Demo - ESEMPIO 10 Squadre 2026/2027
END:VEVENT</v>
      </c>
      <c r="B26" s="68" t="str">
        <f>IF('Calendario A'!$B90="","",'Calendario A'!$B90&amp;" vs "&amp;'Calendario A'!$D90&amp;" "&amp;'Calendario A'!$AC90)</f>
        <v>Bufali Belligeranti vs Ibis Instancabili [Girone A]</v>
      </c>
      <c r="C26" s="222">
        <f>IF($B26="","",DATE(YEAR('Calendario A'!$F90),MONTH('Calendario A'!$F90),DAY('Calendario A'!$F90)))</f>
        <v>46341.0</v>
      </c>
      <c r="D26" s="223">
        <f>IF($B26="","",TIME(HOUR('Calendario A'!$F90),MINUTE('Calendario A'!$F90),0))</f>
        <v>0.7291666666666666</v>
      </c>
      <c r="E26" s="222">
        <f>IF($B26="","",DATE(YEAR('Calendario A'!$F90),MONTH('Calendario A'!$F90),DAY('Calendario A'!$F90)))</f>
        <v>46341.0</v>
      </c>
      <c r="F26" s="223">
        <f>IF($B26="","",TIME(HOUR('Calendario A'!$F90)+2,MINUTE('Calendario A'!$F90),0))</f>
        <v>0.8125</v>
      </c>
      <c r="G26" s="68" t="str">
        <f>IF($B26="","",'Calendario A'!$B91)</f>
        <v>PalaLupi, Via dello Sport 9, Lupiopoli LO</v>
      </c>
      <c r="H26" s="68" t="str">
        <f>IF($B26="","",Campionato!$D$2&amp;" "&amp;Campionato!$D$6)</f>
        <v>Campionato Baskin Demo - ESEMPIO 10 Squadre 2026/2027</v>
      </c>
      <c r="I26" s="68" t="n"/>
    </row>
    <row r="27">
      <c r="A27" s="68" t="str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>BEGIN:VEVENT
DTSTAMP:20261018T000001Z
UID:evt26@ClaudeCoworkBaskin
DTSTART;TZID=Europe/Rome:20261122T093000
DTEND;TZID=Europe/Rome:20261122T113000
SUMMARY:Bufali Belligeranti vs Anaconde Audaci [Girone A]
LOCATION:PalaAnaconde, Via dello Sport 1, Anacondeopoli AA
DESCRIPTION:Campionato Baskin Demo - ESEMPIO 10 Squadre 2026/2027
END:VEVENT</v>
      </c>
      <c r="B27" s="68" t="str">
        <f>IF('Calendario A'!$B95="","",'Calendario A'!$B95&amp;" vs "&amp;'Calendario A'!$D95&amp;" "&amp;'Calendario A'!$AC95)</f>
        <v>Bufali Belligeranti vs Anaconde Audaci [Girone A]</v>
      </c>
      <c r="C27" s="222">
        <f>IF($B27="","",DATE(YEAR('Calendario A'!$F95),MONTH('Calendario A'!$F95),DAY('Calendario A'!$F95)))</f>
        <v>46348.0</v>
      </c>
      <c r="D27" s="223">
        <f>IF($B27="","",TIME(HOUR('Calendario A'!$F95),MINUTE('Calendario A'!$F95),0))</f>
        <v>0.3958333333333333</v>
      </c>
      <c r="E27" s="222">
        <f>IF($B27="","",DATE(YEAR('Calendario A'!$F95),MONTH('Calendario A'!$F95),DAY('Calendario A'!$F95)))</f>
        <v>46348.0</v>
      </c>
      <c r="F27" s="223">
        <f>IF($B27="","",TIME(HOUR('Calendario A'!$F95)+2,MINUTE('Calendario A'!$F95),0))</f>
        <v>0.4791666666666667</v>
      </c>
      <c r="G27" s="68" t="str">
        <f>IF($B27="","",'Calendario A'!$B96)</f>
        <v>PalaAnaconde, Via dello Sport 1, Anacondeopoli AA</v>
      </c>
      <c r="H27" s="68" t="str">
        <f>IF($B27="","",Campionato!$D$2&amp;" "&amp;Campionato!$D$6)</f>
        <v>Campionato Baskin Demo - ESEMPIO 10 Squadre 2026/2027</v>
      </c>
      <c r="I27" s="68" t="n"/>
    </row>
    <row r="28">
      <c r="A28" s="68" t="str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>BEGIN:VEVENT
DTSTAMP:20261018T000001Z
UID:evt27@ClaudeCoworkBaskin
DTSTART;TZID=Europe/Rome:20261122T110000
DTEND;TZID=Europe/Rome:20261122T130000
SUMMARY:Marmotte Mobili vs Falchi Feroci [Girone A]
LOCATION:PalaAnaconde, Via dello Sport 1, Anacondeopoli AA
DESCRIPTION:Campionato Baskin Demo - ESEMPIO 10 Squadre 2026/2027
END:VEVENT</v>
      </c>
      <c r="B28" s="68" t="str">
        <f>IF('Calendario A'!$B98="","",'Calendario A'!$B98&amp;" vs "&amp;'Calendario A'!$D98&amp;" "&amp;'Calendario A'!$AC98)</f>
        <v>Marmotte Mobili vs Falchi Feroci [Girone A]</v>
      </c>
      <c r="C28" s="222">
        <f>IF($B28="","",DATE(YEAR('Calendario A'!$F98),MONTH('Calendario A'!$F98),DAY('Calendario A'!$F98)))</f>
        <v>46348.0</v>
      </c>
      <c r="D28" s="223">
        <f>IF($B28="","",TIME(HOUR('Calendario A'!$F98),MINUTE('Calendario A'!$F98),0))</f>
        <v>0.4583333333333333</v>
      </c>
      <c r="E28" s="222">
        <f>IF($B28="","",DATE(YEAR('Calendario A'!$F98),MONTH('Calendario A'!$F98),DAY('Calendario A'!$F98)))</f>
        <v>46348.0</v>
      </c>
      <c r="F28" s="223">
        <f>IF($B28="","",TIME(HOUR('Calendario A'!$F98)+2,MINUTE('Calendario A'!$F98),0))</f>
        <v>0.5416666666666666</v>
      </c>
      <c r="G28" s="68" t="str">
        <f>IF($B28="","",'Calendario A'!$B99)</f>
        <v>PalaAnaconde, Via dello Sport 1, Anacondeopoli AA</v>
      </c>
      <c r="H28" s="68" t="str">
        <f>IF($B28="","",Campionato!$D$2&amp;" "&amp;Campionato!$D$6)</f>
        <v>Campionato Baskin Demo - ESEMPIO 10 Squadre 2026/2027</v>
      </c>
      <c r="I28" s="68" t="n"/>
    </row>
    <row r="29">
      <c r="A29" s="68" t="str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>BEGIN:VEVENT
DTSTAMP:20261018T000001Z
UID:evt28@ClaudeCoworkBaskin
DTSTART;TZID=Europe/Rome:20261122T143000
DTEND;TZID=Europe/Rome:20261122T163000
SUMMARY:Gazzelle Gentili vs Ermellini Eleganti [Girone A]
LOCATION:PalaAnaconde, Via dello Sport 1, Anacondeopoli AA
DESCRIPTION:Campionato Baskin Demo - ESEMPIO 10 Squadre 2026/2027
END:VEVENT</v>
      </c>
      <c r="B29" s="68" t="str">
        <f>IF('Calendario A'!$B101="","",'Calendario A'!$B101&amp;" vs "&amp;'Calendario A'!$D101&amp;" "&amp;'Calendario A'!$AC101)</f>
        <v>Gazzelle Gentili vs Ermellini Eleganti [Girone A]</v>
      </c>
      <c r="C29" s="222">
        <f>IF($B29="","",DATE(YEAR('Calendario A'!$F101),MONTH('Calendario A'!$F101),DAY('Calendario A'!$F101)))</f>
        <v>46348.0</v>
      </c>
      <c r="D29" s="223">
        <f>IF($B29="","",TIME(HOUR('Calendario A'!$F101),MINUTE('Calendario A'!$F101),0))</f>
        <v>0.6041666666666666</v>
      </c>
      <c r="E29" s="222">
        <f>IF($B29="","",DATE(YEAR('Calendario A'!$F101),MONTH('Calendario A'!$F101),DAY('Calendario A'!$F101)))</f>
        <v>46348.0</v>
      </c>
      <c r="F29" s="223">
        <f>IF($B29="","",TIME(HOUR('Calendario A'!$F101)+2,MINUTE('Calendario A'!$F101),0))</f>
        <v>0.6875</v>
      </c>
      <c r="G29" s="68" t="str">
        <f>IF($B29="","",'Calendario A'!$B102)</f>
        <v>PalaAnaconde, Via dello Sport 1, Anacondeopoli AA</v>
      </c>
      <c r="H29" s="68" t="str">
        <f>IF($B29="","",Campionato!$D$2&amp;" "&amp;Campionato!$D$6)</f>
        <v>Campionato Baskin Demo - ESEMPIO 10 Squadre 2026/2027</v>
      </c>
      <c r="I29" s="68" t="n"/>
    </row>
    <row r="30">
      <c r="A30" s="68" t="str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>BEGIN:VEVENT
DTSTAMP:20261018T000001Z
UID:evt29@ClaudeCoworkBaskin
DTSTART;TZID=Europe/Rome:20261122T160000
DTEND;TZID=Europe/Rome:20261122T180000
SUMMARY:Dingo Docili vs Ibis Instancabili [Girone A]
LOCATION:PalaAnaconde, Via dello Sport 1, Anacondeopoli AA
DESCRIPTION:Campionato Baskin Demo - ESEMPIO 10 Squadre 2026/2027
END:VEVENT</v>
      </c>
      <c r="B30" s="68" t="str">
        <f>IF('Calendario A'!$B104="","",'Calendario A'!$B104&amp;" vs "&amp;'Calendario A'!$D104&amp;" "&amp;'Calendario A'!$AC104)</f>
        <v>Dingo Docili vs Ibis Instancabili [Girone A]</v>
      </c>
      <c r="C30" s="222">
        <f>IF($B30="","",DATE(YEAR('Calendario A'!$F104),MONTH('Calendario A'!$F104),DAY('Calendario A'!$F104)))</f>
        <v>46348.0</v>
      </c>
      <c r="D30" s="223">
        <f>IF($B30="","",TIME(HOUR('Calendario A'!$F104),MINUTE('Calendario A'!$F104),0))</f>
        <v>0.6666666666666666</v>
      </c>
      <c r="E30" s="222">
        <f>IF($B30="","",DATE(YEAR('Calendario A'!$F104),MONTH('Calendario A'!$F104),DAY('Calendario A'!$F104)))</f>
        <v>46348.0</v>
      </c>
      <c r="F30" s="223">
        <f>IF($B30="","",TIME(HOUR('Calendario A'!$F104)+2,MINUTE('Calendario A'!$F104),0))</f>
        <v>0.75</v>
      </c>
      <c r="G30" s="68" t="str">
        <f>IF($B30="","",'Calendario A'!$B105)</f>
        <v>PalaAnaconde, Via dello Sport 1, Anacondeopoli AA</v>
      </c>
      <c r="H30" s="68" t="str">
        <f>IF($B30="","",Campionato!$D$2&amp;" "&amp;Campionato!$D$6)</f>
        <v>Campionato Baskin Demo - ESEMPIO 10 Squadre 2026/2027</v>
      </c>
      <c r="I30" s="68" t="n"/>
    </row>
    <row r="31">
      <c r="A31" s="68" t="str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>BEGIN:VEVENT
DTSTAMP:20261018T000001Z
UID:evt30@ClaudeCoworkBaskin
DTSTART;TZID=Europe/Rome:20261122T173000
DTEND;TZID=Europe/Rome:20261122T193000
SUMMARY:Lupi Leali vs Cobra Celeri [Girone A]
LOCATION:PalaAnaconde, Via dello Sport 1, Anacondeopoli AA
DESCRIPTION:Campionato Baskin Demo - ESEMPIO 10 Squadre 2026/2027
END:VEVENT</v>
      </c>
      <c r="B31" s="68" t="str">
        <f>IF('Calendario A'!$B107="","",'Calendario A'!$B107&amp;" vs "&amp;'Calendario A'!$D107&amp;" "&amp;'Calendario A'!$AC107)</f>
        <v>Lupi Leali vs Cobra Celeri [Girone A]</v>
      </c>
      <c r="C31" s="222">
        <f>IF($B31="","",DATE(YEAR('Calendario A'!$F107),MONTH('Calendario A'!$F107),DAY('Calendario A'!$F107)))</f>
        <v>46348.0</v>
      </c>
      <c r="D31" s="223">
        <f>IF($B31="","",TIME(HOUR('Calendario A'!$F107),MINUTE('Calendario A'!$F107),0))</f>
        <v>0.7291666666666666</v>
      </c>
      <c r="E31" s="222">
        <f>IF($B31="","",DATE(YEAR('Calendario A'!$F107),MONTH('Calendario A'!$F107),DAY('Calendario A'!$F107)))</f>
        <v>46348.0</v>
      </c>
      <c r="F31" s="223">
        <f>IF($B31="","",TIME(HOUR('Calendario A'!$F107)+2,MINUTE('Calendario A'!$F107),0))</f>
        <v>0.8125</v>
      </c>
      <c r="G31" s="68" t="str">
        <f>IF($B31="","",'Calendario A'!$B108)</f>
        <v>PalaAnaconde, Via dello Sport 1, Anacondeopoli AA</v>
      </c>
      <c r="H31" s="68" t="str">
        <f>IF($B31="","",Campionato!$D$2&amp;" "&amp;Campionato!$D$6)</f>
        <v>Campionato Baskin Demo - ESEMPIO 10 Squadre 2026/2027</v>
      </c>
      <c r="I31" s="68" t="n"/>
    </row>
    <row r="32">
      <c r="A32" s="68" t="str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>BEGIN:VEVENT
DTSTAMP:20261018T000001Z
UID:evt31@ClaudeCoworkBaskin
DTSTART;TZID=Europe/Rome:20261129T093000
DTEND;TZID=Europe/Rome:20261129T113000
SUMMARY:Bufali Belligeranti vs Cobra Celeri [Girone A]
LOCATION:PalaCobra, Via dello Sport 3, Cobraopoli CI
DESCRIPTION:Campionato Baskin Demo - ESEMPIO 10 Squadre 2026/2027
END:VEVENT</v>
      </c>
      <c r="B32" s="68" t="str">
        <f>IF('Calendario A'!$B112="","",'Calendario A'!$B112&amp;" vs "&amp;'Calendario A'!$D112&amp;" "&amp;'Calendario A'!$AC112)</f>
        <v>Bufali Belligeranti vs Cobra Celeri [Girone A]</v>
      </c>
      <c r="C32" s="222">
        <f>IF($B32="","",DATE(YEAR('Calendario A'!$F112),MONTH('Calendario A'!$F112),DAY('Calendario A'!$F112)))</f>
        <v>46355.0</v>
      </c>
      <c r="D32" s="223">
        <f>IF($B32="","",TIME(HOUR('Calendario A'!$F112),MINUTE('Calendario A'!$F112),0))</f>
        <v>0.3958333333333333</v>
      </c>
      <c r="E32" s="222">
        <f>IF($B32="","",DATE(YEAR('Calendario A'!$F112),MONTH('Calendario A'!$F112),DAY('Calendario A'!$F112)))</f>
        <v>46355.0</v>
      </c>
      <c r="F32" s="223">
        <f>IF($B32="","",TIME(HOUR('Calendario A'!$F112)+2,MINUTE('Calendario A'!$F112),0))</f>
        <v>0.4791666666666667</v>
      </c>
      <c r="G32" s="68" t="str">
        <f>IF($B32="","",'Calendario A'!$B113)</f>
        <v>PalaCobra, Via dello Sport 3, Cobraopoli CI</v>
      </c>
      <c r="H32" s="68" t="str">
        <f>IF($B32="","",Campionato!$D$2&amp;" "&amp;Campionato!$D$6)</f>
        <v>Campionato Baskin Demo - ESEMPIO 10 Squadre 2026/2027</v>
      </c>
      <c r="I32" s="68" t="n"/>
    </row>
    <row r="33">
      <c r="A33" s="68" t="str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>BEGIN:VEVENT
DTSTAMP:20261018T000001Z
UID:evt32@ClaudeCoworkBaskin
DTSTART;TZID=Europe/Rome:20261129T110000
DTEND;TZID=Europe/Rome:20261129T130000
SUMMARY:Gazzelle Gentili vs Marmotte Mobili [Girone A]
LOCATION:PalaCobra, Via dello Sport 3, Cobraopoli CI
DESCRIPTION:Campionato Baskin Demo - ESEMPIO 10 Squadre 2026/2027
END:VEVENT</v>
      </c>
      <c r="B33" s="68" t="str">
        <f>IF('Calendario A'!$B115="","",'Calendario A'!$B115&amp;" vs "&amp;'Calendario A'!$D115&amp;" "&amp;'Calendario A'!$AC115)</f>
        <v>Gazzelle Gentili vs Marmotte Mobili [Girone A]</v>
      </c>
      <c r="C33" s="222">
        <f>IF($B33="","",DATE(YEAR('Calendario A'!$F115),MONTH('Calendario A'!$F115),DAY('Calendario A'!$F115)))</f>
        <v>46355.0</v>
      </c>
      <c r="D33" s="223">
        <f>IF($B33="","",TIME(HOUR('Calendario A'!$F115),MINUTE('Calendario A'!$F115),0))</f>
        <v>0.4583333333333333</v>
      </c>
      <c r="E33" s="222">
        <f>IF($B33="","",DATE(YEAR('Calendario A'!$F115),MONTH('Calendario A'!$F115),DAY('Calendario A'!$F115)))</f>
        <v>46355.0</v>
      </c>
      <c r="F33" s="223">
        <f>IF($B33="","",TIME(HOUR('Calendario A'!$F115)+2,MINUTE('Calendario A'!$F115),0))</f>
        <v>0.5416666666666666</v>
      </c>
      <c r="G33" s="68" t="str">
        <f>IF($B33="","",'Calendario A'!$B116)</f>
        <v>PalaCobra, Via dello Sport 3, Cobraopoli CI</v>
      </c>
      <c r="H33" s="68" t="str">
        <f>IF($B33="","",Campionato!$D$2&amp;" "&amp;Campionato!$D$6)</f>
        <v>Campionato Baskin Demo - ESEMPIO 10 Squadre 2026/2027</v>
      </c>
      <c r="I33" s="68" t="n"/>
    </row>
    <row r="34">
      <c r="A34" s="68" t="str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>BEGIN:VEVENT
DTSTAMP:20261018T000001Z
UID:evt33@ClaudeCoworkBaskin
DTSTART;TZID=Europe/Rome:20261129T143000
DTEND;TZID=Europe/Rome:20261129T163000
SUMMARY:Falchi Feroci vs Ibis Instancabili [Girone A]
LOCATION:PalaCobra, Via dello Sport 3, Cobraopoli CI
DESCRIPTION:Campionato Baskin Demo - ESEMPIO 10 Squadre 2026/2027
END:VEVENT</v>
      </c>
      <c r="B34" s="68" t="str">
        <f>IF('Calendario A'!$B118="","",'Calendario A'!$B118&amp;" vs "&amp;'Calendario A'!$D118&amp;" "&amp;'Calendario A'!$AC118)</f>
        <v>Falchi Feroci vs Ibis Instancabili [Girone A]</v>
      </c>
      <c r="C34" s="222">
        <f>IF($B34="","",DATE(YEAR('Calendario A'!$F118),MONTH('Calendario A'!$F118),DAY('Calendario A'!$F118)))</f>
        <v>46355.0</v>
      </c>
      <c r="D34" s="223">
        <f>IF($B34="","",TIME(HOUR('Calendario A'!$F118),MINUTE('Calendario A'!$F118),0))</f>
        <v>0.6041666666666666</v>
      </c>
      <c r="E34" s="222">
        <f>IF($B34="","",DATE(YEAR('Calendario A'!$F118),MONTH('Calendario A'!$F118),DAY('Calendario A'!$F118)))</f>
        <v>46355.0</v>
      </c>
      <c r="F34" s="223">
        <f>IF($B34="","",TIME(HOUR('Calendario A'!$F118)+2,MINUTE('Calendario A'!$F118),0))</f>
        <v>0.6875</v>
      </c>
      <c r="G34" s="68" t="str">
        <f>IF($B34="","",'Calendario A'!$B119)</f>
        <v>PalaCobra, Via dello Sport 3, Cobraopoli CI</v>
      </c>
      <c r="H34" s="68" t="str">
        <f>IF($B34="","",Campionato!$D$2&amp;" "&amp;Campionato!$D$6)</f>
        <v>Campionato Baskin Demo - ESEMPIO 10 Squadre 2026/2027</v>
      </c>
      <c r="I34" s="68" t="n"/>
    </row>
    <row r="35">
      <c r="A35" s="68" t="str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>BEGIN:VEVENT
DTSTAMP:20261018T000001Z
UID:evt34@ClaudeCoworkBaskin
DTSTART;TZID=Europe/Rome:20261129T160000
DTEND;TZID=Europe/Rome:20261129T180000
SUMMARY:Lupi Leali vs Ermellini Eleganti [Girone A]
LOCATION:PalaCobra, Via dello Sport 3, Cobraopoli CI
DESCRIPTION:Campionato Baskin Demo - ESEMPIO 10 Squadre 2026/2027
END:VEVENT</v>
      </c>
      <c r="B35" s="68" t="str">
        <f>IF('Calendario A'!$B121="","",'Calendario A'!$B121&amp;" vs "&amp;'Calendario A'!$D121&amp;" "&amp;'Calendario A'!$AC121)</f>
        <v>Lupi Leali vs Ermellini Eleganti [Girone A]</v>
      </c>
      <c r="C35" s="222">
        <f>IF($B35="","",DATE(YEAR('Calendario A'!$F121),MONTH('Calendario A'!$F121),DAY('Calendario A'!$F121)))</f>
        <v>46355.0</v>
      </c>
      <c r="D35" s="223">
        <f>IF($B35="","",TIME(HOUR('Calendario A'!$F121),MINUTE('Calendario A'!$F121),0))</f>
        <v>0.6666666666666666</v>
      </c>
      <c r="E35" s="222">
        <f>IF($B35="","",DATE(YEAR('Calendario A'!$F121),MONTH('Calendario A'!$F121),DAY('Calendario A'!$F121)))</f>
        <v>46355.0</v>
      </c>
      <c r="F35" s="223">
        <f>IF($B35="","",TIME(HOUR('Calendario A'!$F121)+2,MINUTE('Calendario A'!$F121),0))</f>
        <v>0.75</v>
      </c>
      <c r="G35" s="68" t="str">
        <f>IF($B35="","",'Calendario A'!$B122)</f>
        <v>PalaCobra, Via dello Sport 3, Cobraopoli CI</v>
      </c>
      <c r="H35" s="68" t="str">
        <f>IF($B35="","",Campionato!$D$2&amp;" "&amp;Campionato!$D$6)</f>
        <v>Campionato Baskin Demo - ESEMPIO 10 Squadre 2026/2027</v>
      </c>
      <c r="I35" s="68" t="n"/>
    </row>
    <row r="36">
      <c r="A36" s="68" t="str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>BEGIN:VEVENT
DTSTAMP:20261018T000001Z
UID:evt35@ClaudeCoworkBaskin
DTSTART;TZID=Europe/Rome:20261129T173000
DTEND;TZID=Europe/Rome:20261129T193000
SUMMARY:Dingo Docili vs Anaconde Audaci [Girone A]
LOCATION:PalaCobra, Via dello Sport 3, Cobraopoli CI
DESCRIPTION:Campionato Baskin Demo - ESEMPIO 10 Squadre 2026/2027
END:VEVENT</v>
      </c>
      <c r="B36" s="68" t="str">
        <f>IF('Calendario A'!$B124="","",'Calendario A'!$B124&amp;" vs "&amp;'Calendario A'!$D124&amp;" "&amp;'Calendario A'!$AC124)</f>
        <v>Dingo Docili vs Anaconde Audaci [Girone A]</v>
      </c>
      <c r="C36" s="222">
        <f>IF($B36="","",DATE(YEAR('Calendario A'!$F124),MONTH('Calendario A'!$F124),DAY('Calendario A'!$F124)))</f>
        <v>46355.0</v>
      </c>
      <c r="D36" s="223">
        <f>IF($B36="","",TIME(HOUR('Calendario A'!$F124),MINUTE('Calendario A'!$F124),0))</f>
        <v>0.7291666666666666</v>
      </c>
      <c r="E36" s="222">
        <f>IF($B36="","",DATE(YEAR('Calendario A'!$F124),MONTH('Calendario A'!$F124),DAY('Calendario A'!$F124)))</f>
        <v>46355.0</v>
      </c>
      <c r="F36" s="223">
        <f>IF($B36="","",TIME(HOUR('Calendario A'!$F124)+2,MINUTE('Calendario A'!$F124),0))</f>
        <v>0.8125</v>
      </c>
      <c r="G36" s="68" t="str">
        <f>IF($B36="","",'Calendario A'!$B125)</f>
        <v>PalaCobra, Via dello Sport 3, Cobraopoli CI</v>
      </c>
      <c r="H36" s="68" t="str">
        <f>IF($B36="","",Campionato!$D$2&amp;" "&amp;Campionato!$D$6)</f>
        <v>Campionato Baskin Demo - ESEMPIO 10 Squadre 2026/2027</v>
      </c>
      <c r="I36" s="68" t="n"/>
    </row>
    <row r="37">
      <c r="A37" s="68" t="str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>BEGIN:VEVENT
DTSTAMP:20261018T000001Z
UID:evt36@ClaudeCoworkBaskin
DTSTART;TZID=Europe/Rome:20261206T093000
DTEND;TZID=Europe/Rome:20261206T113000
SUMMARY:Bufali Belligeranti vs Ermellini Eleganti [Girone A]
LOCATION:PalaErmellini, Via dello Sport 5, Ermelliniopoli EU
DESCRIPTION:Campionato Baskin Demo - ESEMPIO 10 Squadre 2026/2027
END:VEVENT</v>
      </c>
      <c r="B37" s="68" t="str">
        <f>IF('Calendario A'!$B129="","",'Calendario A'!$B129&amp;" vs "&amp;'Calendario A'!$D129&amp;" "&amp;'Calendario A'!$AC129)</f>
        <v>Bufali Belligeranti vs Ermellini Eleganti [Girone A]</v>
      </c>
      <c r="C37" s="222">
        <f>IF($B37="","",DATE(YEAR('Calendario A'!$F129),MONTH('Calendario A'!$F129),DAY('Calendario A'!$F129)))</f>
        <v>46362.0</v>
      </c>
      <c r="D37" s="223">
        <f>IF($B37="","",TIME(HOUR('Calendario A'!$F129),MINUTE('Calendario A'!$F129),0))</f>
        <v>0.3958333333333333</v>
      </c>
      <c r="E37" s="222">
        <f>IF($B37="","",DATE(YEAR('Calendario A'!$F129),MONTH('Calendario A'!$F129),DAY('Calendario A'!$F129)))</f>
        <v>46362.0</v>
      </c>
      <c r="F37" s="223">
        <f>IF($B37="","",TIME(HOUR('Calendario A'!$F129)+2,MINUTE('Calendario A'!$F129),0))</f>
        <v>0.4791666666666667</v>
      </c>
      <c r="G37" s="68" t="str">
        <f>IF($B37="","",'Calendario A'!$B130)</f>
        <v>PalaErmellini, Via dello Sport 5, Ermelliniopoli EU</v>
      </c>
      <c r="H37" s="68" t="str">
        <f>IF($B37="","",Campionato!$D$2&amp;" "&amp;Campionato!$D$6)</f>
        <v>Campionato Baskin Demo - ESEMPIO 10 Squadre 2026/2027</v>
      </c>
      <c r="I37" s="68" t="n"/>
    </row>
    <row r="38">
      <c r="A38" s="68" t="str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>BEGIN:VEVENT
DTSTAMP:20261018T000001Z
UID:evt37@ClaudeCoworkBaskin
DTSTART;TZID=Europe/Rome:20261206T110000
DTEND;TZID=Europe/Rome:20261206T130000
SUMMARY:Marmotte Mobili vs Ibis Instancabili [Girone A]
LOCATION:PalaErmellini, Via dello Sport 5, Ermelliniopoli EU
DESCRIPTION:Campionato Baskin Demo - ESEMPIO 10 Squadre 2026/2027
END:VEVENT</v>
      </c>
      <c r="B38" s="68" t="str">
        <f>IF('Calendario A'!$B132="","",'Calendario A'!$B132&amp;" vs "&amp;'Calendario A'!$D132&amp;" "&amp;'Calendario A'!$AC132)</f>
        <v>Marmotte Mobili vs Ibis Instancabili [Girone A]</v>
      </c>
      <c r="C38" s="222">
        <f>IF($B38="","",DATE(YEAR('Calendario A'!$F132),MONTH('Calendario A'!$F132),DAY('Calendario A'!$F132)))</f>
        <v>46362.0</v>
      </c>
      <c r="D38" s="223">
        <f>IF($B38="","",TIME(HOUR('Calendario A'!$F132),MINUTE('Calendario A'!$F132),0))</f>
        <v>0.4583333333333333</v>
      </c>
      <c r="E38" s="222">
        <f>IF($B38="","",DATE(YEAR('Calendario A'!$F132),MONTH('Calendario A'!$F132),DAY('Calendario A'!$F132)))</f>
        <v>46362.0</v>
      </c>
      <c r="F38" s="223">
        <f>IF($B38="","",TIME(HOUR('Calendario A'!$F132)+2,MINUTE('Calendario A'!$F132),0))</f>
        <v>0.5416666666666666</v>
      </c>
      <c r="G38" s="68" t="str">
        <f>IF($B38="","",'Calendario A'!$B133)</f>
        <v>PalaErmellini, Via dello Sport 5, Ermelliniopoli EU</v>
      </c>
      <c r="H38" s="68" t="str">
        <f>IF($B38="","",Campionato!$D$2&amp;" "&amp;Campionato!$D$6)</f>
        <v>Campionato Baskin Demo - ESEMPIO 10 Squadre 2026/2027</v>
      </c>
      <c r="I38" s="68" t="n"/>
    </row>
    <row r="39">
      <c r="A39" s="68" t="str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>BEGIN:VEVENT
DTSTAMP:20261018T000001Z
UID:evt38@ClaudeCoworkBaskin
DTSTART;TZID=Europe/Rome:20261206T143000
DTEND;TZID=Europe/Rome:20261206T163000
SUMMARY:Lupi Leali vs Gazzelle Gentili [Girone A]
LOCATION:PalaErmellini, Via dello Sport 5, Ermelliniopoli EU
DESCRIPTION:Campionato Baskin Demo - ESEMPIO 10 Squadre 2026/2027
END:VEVENT</v>
      </c>
      <c r="B39" s="68" t="str">
        <f>IF('Calendario A'!$B135="","",'Calendario A'!$B135&amp;" vs "&amp;'Calendario A'!$D135&amp;" "&amp;'Calendario A'!$AC135)</f>
        <v>Lupi Leali vs Gazzelle Gentili [Girone A]</v>
      </c>
      <c r="C39" s="222">
        <f>IF($B39="","",DATE(YEAR('Calendario A'!$F135),MONTH('Calendario A'!$F135),DAY('Calendario A'!$F135)))</f>
        <v>46362.0</v>
      </c>
      <c r="D39" s="223">
        <f>IF($B39="","",TIME(HOUR('Calendario A'!$F135),MINUTE('Calendario A'!$F135),0))</f>
        <v>0.6041666666666666</v>
      </c>
      <c r="E39" s="222">
        <f>IF($B39="","",DATE(YEAR('Calendario A'!$F135),MONTH('Calendario A'!$F135),DAY('Calendario A'!$F135)))</f>
        <v>46362.0</v>
      </c>
      <c r="F39" s="223">
        <f>IF($B39="","",TIME(HOUR('Calendario A'!$F135)+2,MINUTE('Calendario A'!$F135),0))</f>
        <v>0.6875</v>
      </c>
      <c r="G39" s="68" t="str">
        <f>IF($B39="","",'Calendario A'!$B136)</f>
        <v>PalaErmellini, Via dello Sport 5, Ermelliniopoli EU</v>
      </c>
      <c r="H39" s="68" t="str">
        <f>IF($B39="","",Campionato!$D$2&amp;" "&amp;Campionato!$D$6)</f>
        <v>Campionato Baskin Demo - ESEMPIO 10 Squadre 2026/2027</v>
      </c>
      <c r="I39" s="68" t="n"/>
    </row>
    <row r="40">
      <c r="A40" s="68" t="str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>BEGIN:VEVENT
DTSTAMP:20261018T000001Z
UID:evt39@ClaudeCoworkBaskin
DTSTART;TZID=Europe/Rome:20261206T160000
DTEND;TZID=Europe/Rome:20261206T180000
SUMMARY:Falchi Feroci vs Anaconde Audaci [Girone A]
LOCATION:PalaErmellini, Via dello Sport 5, Ermelliniopoli EU
DESCRIPTION:Campionato Baskin Demo - ESEMPIO 10 Squadre 2026/2027
END:VEVENT</v>
      </c>
      <c r="B40" s="68" t="str">
        <f>IF('Calendario A'!$B138="","",'Calendario A'!$B138&amp;" vs "&amp;'Calendario A'!$D138&amp;" "&amp;'Calendario A'!$AC138)</f>
        <v>Falchi Feroci vs Anaconde Audaci [Girone A]</v>
      </c>
      <c r="C40" s="222">
        <f>IF($B40="","",DATE(YEAR('Calendario A'!$F138),MONTH('Calendario A'!$F138),DAY('Calendario A'!$F138)))</f>
        <v>46362.0</v>
      </c>
      <c r="D40" s="223">
        <f>IF($B40="","",TIME(HOUR('Calendario A'!$F138),MINUTE('Calendario A'!$F138),0))</f>
        <v>0.6666666666666666</v>
      </c>
      <c r="E40" s="222">
        <f>IF($B40="","",DATE(YEAR('Calendario A'!$F138),MONTH('Calendario A'!$F138),DAY('Calendario A'!$F138)))</f>
        <v>46362.0</v>
      </c>
      <c r="F40" s="223">
        <f>IF($B40="","",TIME(HOUR('Calendario A'!$F138)+2,MINUTE('Calendario A'!$F138),0))</f>
        <v>0.75</v>
      </c>
      <c r="G40" s="68" t="str">
        <f>IF($B40="","",'Calendario A'!$B139)</f>
        <v>PalaErmellini, Via dello Sport 5, Ermelliniopoli EU</v>
      </c>
      <c r="H40" s="68" t="str">
        <f>IF($B40="","",Campionato!$D$2&amp;" "&amp;Campionato!$D$6)</f>
        <v>Campionato Baskin Demo - ESEMPIO 10 Squadre 2026/2027</v>
      </c>
      <c r="I40" s="68" t="n"/>
    </row>
    <row r="41">
      <c r="A41" s="68" t="str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>BEGIN:VEVENT
DTSTAMP:20261018T000001Z
UID:evt40@ClaudeCoworkBaskin
DTSTART;TZID=Europe/Rome:20261206T173000
DTEND;TZID=Europe/Rome:20261206T193000
SUMMARY:Dingo Docili vs Cobra Celeri [Girone A]
LOCATION:PalaErmellini, Via dello Sport 5, Ermelliniopoli EU
DESCRIPTION:Campionato Baskin Demo - ESEMPIO 10 Squadre 2026/2027
END:VEVENT</v>
      </c>
      <c r="B41" s="68" t="str">
        <f>IF('Calendario A'!$B141="","",'Calendario A'!$B141&amp;" vs "&amp;'Calendario A'!$D141&amp;" "&amp;'Calendario A'!$AC141)</f>
        <v>Dingo Docili vs Cobra Celeri [Girone A]</v>
      </c>
      <c r="C41" s="222">
        <f>IF($B41="","",DATE(YEAR('Calendario A'!$F141),MONTH('Calendario A'!$F141),DAY('Calendario A'!$F141)))</f>
        <v>46362.0</v>
      </c>
      <c r="D41" s="223">
        <f>IF($B41="","",TIME(HOUR('Calendario A'!$F141),MINUTE('Calendario A'!$F141),0))</f>
        <v>0.7291666666666666</v>
      </c>
      <c r="E41" s="222">
        <f>IF($B41="","",DATE(YEAR('Calendario A'!$F141),MONTH('Calendario A'!$F141),DAY('Calendario A'!$F141)))</f>
        <v>46362.0</v>
      </c>
      <c r="F41" s="223">
        <f>IF($B41="","",TIME(HOUR('Calendario A'!$F141)+2,MINUTE('Calendario A'!$F141),0))</f>
        <v>0.8125</v>
      </c>
      <c r="G41" s="68" t="str">
        <f>IF($B41="","",'Calendario A'!$B142)</f>
        <v>PalaErmellini, Via dello Sport 5, Ermelliniopoli EU</v>
      </c>
      <c r="H41" s="68" t="str">
        <f>IF($B41="","",Campionato!$D$2&amp;" "&amp;Campionato!$D$6)</f>
        <v>Campionato Baskin Demo - ESEMPIO 10 Squadre 2026/2027</v>
      </c>
      <c r="I41" s="68" t="n"/>
    </row>
    <row r="42">
      <c r="A42" s="68" t="str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>BEGIN:VEVENT
DTSTAMP:20261018T000001Z
UID:evt41@ClaudeCoworkBaskin
DTSTART;TZID=Europe/Rome:20261213T093000
DTEND;TZID=Europe/Rome:20261213T113000
SUMMARY:Bufali Belligeranti vs Gazzelle Gentili [Girone A]
LOCATION:PalaGazzelle, Via dello Sport 7, Gazzelleopoli GE
DESCRIPTION:Campionato Baskin Demo - ESEMPIO 10 Squadre 2026/2027
END:VEVENT</v>
      </c>
      <c r="B42" s="68" t="str">
        <f>IF('Calendario A'!$B146="","",'Calendario A'!$B146&amp;" vs "&amp;'Calendario A'!$D146&amp;" "&amp;'Calendario A'!$AC146)</f>
        <v>Bufali Belligeranti vs Gazzelle Gentili [Girone A]</v>
      </c>
      <c r="C42" s="222">
        <f>IF($B42="","",DATE(YEAR('Calendario A'!$F146),MONTH('Calendario A'!$F146),DAY('Calendario A'!$F146)))</f>
        <v>46369.0</v>
      </c>
      <c r="D42" s="223">
        <f>IF($B42="","",TIME(HOUR('Calendario A'!$F146),MINUTE('Calendario A'!$F146),0))</f>
        <v>0.3958333333333333</v>
      </c>
      <c r="E42" s="222">
        <f>IF($B42="","",DATE(YEAR('Calendario A'!$F146),MONTH('Calendario A'!$F146),DAY('Calendario A'!$F146)))</f>
        <v>46369.0</v>
      </c>
      <c r="F42" s="223">
        <f>IF($B42="","",TIME(HOUR('Calendario A'!$F146)+2,MINUTE('Calendario A'!$F146),0))</f>
        <v>0.4791666666666667</v>
      </c>
      <c r="G42" s="68" t="str">
        <f>IF($B42="","",'Calendario A'!$B147)</f>
        <v>PalaGazzelle, Via dello Sport 7, Gazzelleopoli GE</v>
      </c>
      <c r="H42" s="68" t="str">
        <f>IF($B42="","",Campionato!$D$2&amp;" "&amp;Campionato!$D$6)</f>
        <v>Campionato Baskin Demo - ESEMPIO 10 Squadre 2026/2027</v>
      </c>
      <c r="I42" s="68" t="n"/>
    </row>
    <row r="43">
      <c r="A43" s="68" t="str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>BEGIN:VEVENT
DTSTAMP:20261018T000001Z
UID:evt42@ClaudeCoworkBaskin
DTSTART;TZID=Europe/Rome:20261213T110000
DTEND;TZID=Europe/Rome:20261213T130000
SUMMARY:Lupi Leali vs Marmotte Mobili [Girone A]
LOCATION:PalaGazzelle, Via dello Sport 7, Gazzelleopoli GE
DESCRIPTION:Campionato Baskin Demo - ESEMPIO 10 Squadre 2026/2027
END:VEVENT</v>
      </c>
      <c r="B43" s="68" t="str">
        <f>IF('Calendario A'!$B149="","",'Calendario A'!$B149&amp;" vs "&amp;'Calendario A'!$D149&amp;" "&amp;'Calendario A'!$AC149)</f>
        <v>Lupi Leali vs Marmotte Mobili [Girone A]</v>
      </c>
      <c r="C43" s="222">
        <f>IF($B43="","",DATE(YEAR('Calendario A'!$F149),MONTH('Calendario A'!$F149),DAY('Calendario A'!$F149)))</f>
        <v>46369.0</v>
      </c>
      <c r="D43" s="223">
        <f>IF($B43="","",TIME(HOUR('Calendario A'!$F149),MINUTE('Calendario A'!$F149),0))</f>
        <v>0.4583333333333333</v>
      </c>
      <c r="E43" s="222">
        <f>IF($B43="","",DATE(YEAR('Calendario A'!$F149),MONTH('Calendario A'!$F149),DAY('Calendario A'!$F149)))</f>
        <v>46369.0</v>
      </c>
      <c r="F43" s="223">
        <f>IF($B43="","",TIME(HOUR('Calendario A'!$F149)+2,MINUTE('Calendario A'!$F149),0))</f>
        <v>0.5416666666666666</v>
      </c>
      <c r="G43" s="68" t="str">
        <f>IF($B43="","",'Calendario A'!$B150)</f>
        <v>PalaGazzelle, Via dello Sport 7, Gazzelleopoli GE</v>
      </c>
      <c r="H43" s="68" t="str">
        <f>IF($B43="","",Campionato!$D$2&amp;" "&amp;Campionato!$D$6)</f>
        <v>Campionato Baskin Demo - ESEMPIO 10 Squadre 2026/2027</v>
      </c>
      <c r="I43" s="68" t="n"/>
    </row>
    <row r="44">
      <c r="A44" s="68" t="str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>BEGIN:VEVENT
DTSTAMP:20261018T000001Z
UID:evt43@ClaudeCoworkBaskin
DTSTART;TZID=Europe/Rome:20261213T143000
DTEND;TZID=Europe/Rome:20261213T163000
SUMMARY:Ibis Instancabili vs Anaconde Audaci [Girone A]
LOCATION:PalaGazzelle, Via dello Sport 7, Gazzelleopoli GE
DESCRIPTION:Campionato Baskin Demo - ESEMPIO 10 Squadre 2026/2027
END:VEVENT</v>
      </c>
      <c r="B44" s="68" t="str">
        <f>IF('Calendario A'!$B152="","",'Calendario A'!$B152&amp;" vs "&amp;'Calendario A'!$D152&amp;" "&amp;'Calendario A'!$AC152)</f>
        <v>Ibis Instancabili vs Anaconde Audaci [Girone A]</v>
      </c>
      <c r="C44" s="222">
        <f>IF($B44="","",DATE(YEAR('Calendario A'!$F152),MONTH('Calendario A'!$F152),DAY('Calendario A'!$F152)))</f>
        <v>46369.0</v>
      </c>
      <c r="D44" s="223">
        <f>IF($B44="","",TIME(HOUR('Calendario A'!$F152),MINUTE('Calendario A'!$F152),0))</f>
        <v>0.6041666666666666</v>
      </c>
      <c r="E44" s="222">
        <f>IF($B44="","",DATE(YEAR('Calendario A'!$F152),MONTH('Calendario A'!$F152),DAY('Calendario A'!$F152)))</f>
        <v>46369.0</v>
      </c>
      <c r="F44" s="223">
        <f>IF($B44="","",TIME(HOUR('Calendario A'!$F152)+2,MINUTE('Calendario A'!$F152),0))</f>
        <v>0.6875</v>
      </c>
      <c r="G44" s="68" t="str">
        <f>IF($B44="","",'Calendario A'!$B153)</f>
        <v>PalaGazzelle, Via dello Sport 7, Gazzelleopoli GE</v>
      </c>
      <c r="H44" s="68" t="str">
        <f>IF($B44="","",Campionato!$D$2&amp;" "&amp;Campionato!$D$6)</f>
        <v>Campionato Baskin Demo - ESEMPIO 10 Squadre 2026/2027</v>
      </c>
      <c r="I44" s="68" t="n"/>
    </row>
    <row r="45">
      <c r="A45" s="68" t="str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>BEGIN:VEVENT
DTSTAMP:20261018T000001Z
UID:evt44@ClaudeCoworkBaskin
DTSTART;TZID=Europe/Rome:20261213T160000
DTEND;TZID=Europe/Rome:20261213T180000
SUMMARY:Falchi Feroci vs Cobra Celeri [Girone A]
LOCATION:PalaGazzelle, Via dello Sport 7, Gazzelleopoli GE
DESCRIPTION:Campionato Baskin Demo - ESEMPIO 10 Squadre 2026/2027
END:VEVENT</v>
      </c>
      <c r="B45" s="68" t="str">
        <f>IF('Calendario A'!$B155="","",'Calendario A'!$B155&amp;" vs "&amp;'Calendario A'!$D155&amp;" "&amp;'Calendario A'!$AC155)</f>
        <v>Falchi Feroci vs Cobra Celeri [Girone A]</v>
      </c>
      <c r="C45" s="222">
        <f>IF($B45="","",DATE(YEAR('Calendario A'!$F155),MONTH('Calendario A'!$F155),DAY('Calendario A'!$F155)))</f>
        <v>46369.0</v>
      </c>
      <c r="D45" s="223">
        <f>IF($B45="","",TIME(HOUR('Calendario A'!$F155),MINUTE('Calendario A'!$F155),0))</f>
        <v>0.6666666666666666</v>
      </c>
      <c r="E45" s="222">
        <f>IF($B45="","",DATE(YEAR('Calendario A'!$F155),MONTH('Calendario A'!$F155),DAY('Calendario A'!$F155)))</f>
        <v>46369.0</v>
      </c>
      <c r="F45" s="223">
        <f>IF($B45="","",TIME(HOUR('Calendario A'!$F155)+2,MINUTE('Calendario A'!$F155),0))</f>
        <v>0.75</v>
      </c>
      <c r="G45" s="68" t="str">
        <f>IF($B45="","",'Calendario A'!$B156)</f>
        <v>PalaGazzelle, Via dello Sport 7, Gazzelleopoli GE</v>
      </c>
      <c r="H45" s="68" t="str">
        <f>IF($B45="","",Campionato!$D$2&amp;" "&amp;Campionato!$D$6)</f>
        <v>Campionato Baskin Demo - ESEMPIO 10 Squadre 2026/2027</v>
      </c>
      <c r="I45" s="68" t="n"/>
    </row>
    <row r="46">
      <c r="A46" s="68" t="str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>BEGIN:VEVENT
DTSTAMP:20261018T000001Z
UID:evt45@ClaudeCoworkBaskin
DTSTART;TZID=Europe/Rome:20261213T173000
DTEND;TZID=Europe/Rome:20261213T193000
SUMMARY:Dingo Docili vs Ermellini Eleganti [Girone A]
LOCATION:PalaGazzelle, Via dello Sport 7, Gazzelleopoli GE
DESCRIPTION:Campionato Baskin Demo - ESEMPIO 10 Squadre 2026/2027
END:VEVENT</v>
      </c>
      <c r="B46" s="68" t="str">
        <f>IF('Calendario A'!$B158="","",'Calendario A'!$B158&amp;" vs "&amp;'Calendario A'!$D158&amp;" "&amp;'Calendario A'!$AC158)</f>
        <v>Dingo Docili vs Ermellini Eleganti [Girone A]</v>
      </c>
      <c r="C46" s="222">
        <f>IF($B46="","",DATE(YEAR('Calendario A'!$F158),MONTH('Calendario A'!$F158),DAY('Calendario A'!$F158)))</f>
        <v>46369.0</v>
      </c>
      <c r="D46" s="223">
        <f>IF($B46="","",TIME(HOUR('Calendario A'!$F158),MINUTE('Calendario A'!$F158),0))</f>
        <v>0.7291666666666666</v>
      </c>
      <c r="E46" s="222">
        <f>IF($B46="","",DATE(YEAR('Calendario A'!$F158),MONTH('Calendario A'!$F158),DAY('Calendario A'!$F158)))</f>
        <v>46369.0</v>
      </c>
      <c r="F46" s="223">
        <f>IF($B46="","",TIME(HOUR('Calendario A'!$F158)+2,MINUTE('Calendario A'!$F158),0))</f>
        <v>0.8125</v>
      </c>
      <c r="G46" s="68" t="str">
        <f>IF($B46="","",'Calendario A'!$B159)</f>
        <v>PalaGazzelle, Via dello Sport 7, Gazzelleopoli GE</v>
      </c>
      <c r="H46" s="68" t="str">
        <f>IF($B46="","",Campionato!$D$2&amp;" "&amp;Campionato!$D$6)</f>
        <v>Campionato Baskin Demo - ESEMPIO 10 Squadre 2026/2027</v>
      </c>
      <c r="I46" s="68" t="n"/>
    </row>
    <row r="47">
      <c r="A47" s="68" t="str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>BEGIN:VEVENT
DTSTAMP:20261018T000001Z
UID:evt46@ClaudeCoworkBaskin
DTSTART;TZID=Europe/Rome:20270117T093000
DTEND;TZID=Europe/Rome:20270117T113000
SUMMARY:Dingo Docili vs Marmotte Mobili [Playoff a 8 - Quarti]
LOCATION:PalaCentrale, Viale dello Sport 1, Mediopoli MD
DESCRIPTION:Campionato Baskin Demo - ESEMPIO 10 Squadre 2026/2027
END:VEVENT</v>
      </c>
      <c r="B47" s="68" t="str">
        <f>IF('Playoff'!$B10="","",'Playoff'!$B10&amp;" vs "&amp;'Playoff'!$D10&amp;" "&amp;'Playoff'!$AC10)</f>
        <v>Dingo Docili vs Marmotte Mobili [Playoff a 8 - Quarti]</v>
      </c>
      <c r="C47" s="222">
        <f>IF($B47="","",DATE(YEAR('Playoff'!$F10),MONTH('Playoff'!$F10),DAY('Playoff'!$F10)))</f>
        <v>46404.0</v>
      </c>
      <c r="D47" s="223">
        <f>IF($B47="","",TIME(HOUR('Playoff'!$F10),MINUTE('Playoff'!$F10),0))</f>
        <v>0.3958333333333333</v>
      </c>
      <c r="E47" s="222">
        <f>IF($B47="","",DATE(YEAR('Playoff'!$F10),MONTH('Playoff'!$F10),DAY('Playoff'!$F10)))</f>
        <v>46404.0</v>
      </c>
      <c r="F47" s="223">
        <f>IF($B47="","",TIME(HOUR('Playoff'!$F10)+2,MINUTE('Playoff'!$F10),0))</f>
        <v>0.4791666666666667</v>
      </c>
      <c r="G47" s="68" t="str">
        <f>IF($B47="","",'Playoff'!$B11)</f>
        <v>PalaCentrale, Viale dello Sport 1, Mediopoli MD</v>
      </c>
      <c r="H47" s="68" t="str">
        <f>IF($B47="","",Campionato!$D$2&amp;" "&amp;Campionato!$D$6)</f>
        <v>Campionato Baskin Demo - ESEMPIO 10 Squadre 2026/2027</v>
      </c>
      <c r="I47" s="68" t="n"/>
    </row>
    <row r="48">
      <c r="A48" s="68" t="str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>BEGIN:VEVENT
DTSTAMP:20261018T000001Z
UID:evt47@ClaudeCoworkBaskin
DTSTART;TZID=Europe/Rome:20270117T093000
DTEND;TZID=Europe/Rome:20270117T113000
SUMMARY:Anaconde Audaci vs Bufali Belligeranti [Playoff a 8 - Quarti]
LOCATION:PalaMagnifico, Viale dello Sport 2, Mediopoli MD
DESCRIPTION:Campionato Baskin Demo - ESEMPIO 10 Squadre 2026/2027
END:VEVENT</v>
      </c>
      <c r="B48" s="68" t="str">
        <f>IF('Playoff'!$B13="","",'Playoff'!$B13&amp;" vs "&amp;'Playoff'!$D13&amp;" "&amp;'Playoff'!$AC13)</f>
        <v>Anaconde Audaci vs Bufali Belligeranti [Playoff a 8 - Quarti]</v>
      </c>
      <c r="C48" s="222">
        <f>IF($B48="","",DATE(YEAR('Playoff'!$F13),MONTH('Playoff'!$F13),DAY('Playoff'!$F13)))</f>
        <v>46404.0</v>
      </c>
      <c r="D48" s="223">
        <f>IF($B48="","",TIME(HOUR('Playoff'!$F13),MINUTE('Playoff'!$F13),0))</f>
        <v>0.3958333333333333</v>
      </c>
      <c r="E48" s="222">
        <f>IF($B48="","",DATE(YEAR('Playoff'!$F13),MONTH('Playoff'!$F13),DAY('Playoff'!$F13)))</f>
        <v>46404.0</v>
      </c>
      <c r="F48" s="223">
        <f>IF($B48="","",TIME(HOUR('Playoff'!$F13)+2,MINUTE('Playoff'!$F13),0))</f>
        <v>0.4791666666666667</v>
      </c>
      <c r="G48" s="68" t="str">
        <f>IF($B48="","",'Playoff'!$B14)</f>
        <v>PalaMagnifico, Viale dello Sport 2, Mediopoli MD</v>
      </c>
      <c r="H48" s="68" t="str">
        <f>IF($B48="","",Campionato!$D$2&amp;" "&amp;Campionato!$D$6)</f>
        <v>Campionato Baskin Demo - ESEMPIO 10 Squadre 2026/2027</v>
      </c>
      <c r="I48" s="68" t="n"/>
    </row>
    <row r="49">
      <c r="A49" s="68" t="str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>BEGIN:VEVENT
DTSTAMP:20261018T000001Z
UID:evt48@ClaudeCoworkBaskin
DTSTART;TZID=Europe/Rome:20270117T143000
DTEND;TZID=Europe/Rome:20270117T163000
SUMMARY:Lupi Leali vs Ibis Instancabili [Playoff a 8 - Quarti]
LOCATION:PalaCentrale, Viale dello Sport 1, Mediopoli MD
DESCRIPTION:Campionato Baskin Demo - ESEMPIO 10 Squadre 2026/2027
END:VEVENT</v>
      </c>
      <c r="B49" s="68" t="str">
        <f>IF('Playoff'!$B16="","",'Playoff'!$B16&amp;" vs "&amp;'Playoff'!$D16&amp;" "&amp;'Playoff'!$AC16)</f>
        <v>Lupi Leali vs Ibis Instancabili [Playoff a 8 - Quarti]</v>
      </c>
      <c r="C49" s="222">
        <f>IF($B49="","",DATE(YEAR('Playoff'!$F16),MONTH('Playoff'!$F16),DAY('Playoff'!$F16)))</f>
        <v>46404.0</v>
      </c>
      <c r="D49" s="223">
        <f>IF($B49="","",TIME(HOUR('Playoff'!$F16),MINUTE('Playoff'!$F16),0))</f>
        <v>0.6041666666666666</v>
      </c>
      <c r="E49" s="222">
        <f>IF($B49="","",DATE(YEAR('Playoff'!$F16),MONTH('Playoff'!$F16),DAY('Playoff'!$F16)))</f>
        <v>46404.0</v>
      </c>
      <c r="F49" s="223">
        <f>IF($B49="","",TIME(HOUR('Playoff'!$F16)+2,MINUTE('Playoff'!$F16),0))</f>
        <v>0.6875</v>
      </c>
      <c r="G49" s="68" t="str">
        <f>IF($B49="","",'Playoff'!$B17)</f>
        <v>PalaCentrale, Viale dello Sport 1, Mediopoli MD</v>
      </c>
      <c r="H49" s="68" t="str">
        <f>IF($B49="","",Campionato!$D$2&amp;" "&amp;Campionato!$D$6)</f>
        <v>Campionato Baskin Demo - ESEMPIO 10 Squadre 2026/2027</v>
      </c>
      <c r="I49" s="68" t="n"/>
    </row>
    <row r="50">
      <c r="A50" s="68" t="str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>BEGIN:VEVENT
DTSTAMP:20261018T000001Z
UID:evt49@ClaudeCoworkBaskin
DTSTART;TZID=Europe/Rome:20270117T143000
DTEND;TZID=Europe/Rome:20270117T163000
SUMMARY:Falchi Feroci vs Cobra Celeri [Playoff a 8 - Quarti]
LOCATION:PalaMagnifico, Viale dello Sport 2, Mediopoli MD
DESCRIPTION:Campionato Baskin Demo - ESEMPIO 10 Squadre 2026/2027
END:VEVENT</v>
      </c>
      <c r="B50" s="68" t="str">
        <f>IF('Playoff'!$B19="","",'Playoff'!$B19&amp;" vs "&amp;'Playoff'!$D19&amp;" "&amp;'Playoff'!$AC19)</f>
        <v>Falchi Feroci vs Cobra Celeri [Playoff a 8 - Quarti]</v>
      </c>
      <c r="C50" s="222">
        <f>IF($B50="","",DATE(YEAR('Playoff'!$F19),MONTH('Playoff'!$F19),DAY('Playoff'!$F19)))</f>
        <v>46404.0</v>
      </c>
      <c r="D50" s="223">
        <f>IF($B50="","",TIME(HOUR('Playoff'!$F19),MINUTE('Playoff'!$F19),0))</f>
        <v>0.6041666666666666</v>
      </c>
      <c r="E50" s="222">
        <f>IF($B50="","",DATE(YEAR('Playoff'!$F19),MONTH('Playoff'!$F19),DAY('Playoff'!$F19)))</f>
        <v>46404.0</v>
      </c>
      <c r="F50" s="223">
        <f>IF($B50="","",TIME(HOUR('Playoff'!$F19)+2,MINUTE('Playoff'!$F19),0))</f>
        <v>0.6875</v>
      </c>
      <c r="G50" s="68" t="str">
        <f>IF($B50="","",'Playoff'!$B20)</f>
        <v>PalaMagnifico, Viale dello Sport 2, Mediopoli MD</v>
      </c>
      <c r="H50" s="68" t="str">
        <f>IF($B50="","",Campionato!$D$2&amp;" "&amp;Campionato!$D$6)</f>
        <v>Campionato Baskin Demo - ESEMPIO 10 Squadre 2026/2027</v>
      </c>
      <c r="I50" s="68" t="n"/>
    </row>
    <row r="51">
      <c r="A51" s="68" t="str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>BEGIN:VEVENT
DTSTAMP:20261018T000001Z
UID:evt50@ClaudeCoworkBaskin
DTSTART;TZID=Europe/Rome:20270124T093000
DTEND;TZID=Europe/Rome:20270124T113000
SUMMARY:Marmotte Mobili vs Falchi Feroci [Playoff a 8 - Semifinali]
LOCATION:PalaCentrale, Viale dello Sport 1, Mediopoli MD
DESCRIPTION:Campionato Baskin Demo - ESEMPIO 10 Squadre 2026/2027
END:VEVENT</v>
      </c>
      <c r="B51" s="68" t="str">
        <f>IF('Playoff'!$B24="","",'Playoff'!$B24&amp;" vs "&amp;'Playoff'!$D24&amp;" "&amp;'Playoff'!$AC24)</f>
        <v>Marmotte Mobili vs Falchi Feroci [Playoff a 8 - Semifinali]</v>
      </c>
      <c r="C51" s="222">
        <f>IF($B51="","",DATE(YEAR('Playoff'!$F24),MONTH('Playoff'!$F24),DAY('Playoff'!$F24)))</f>
        <v>46411.0</v>
      </c>
      <c r="D51" s="223">
        <f>IF($B51="","",TIME(HOUR('Playoff'!$F24),MINUTE('Playoff'!$F24),0))</f>
        <v>0.3958333333333333</v>
      </c>
      <c r="E51" s="222">
        <f>IF($B51="","",DATE(YEAR('Playoff'!$F24),MONTH('Playoff'!$F24),DAY('Playoff'!$F24)))</f>
        <v>46411.0</v>
      </c>
      <c r="F51" s="223">
        <f>IF($B51="","",TIME(HOUR('Playoff'!$F24)+2,MINUTE('Playoff'!$F24),0))</f>
        <v>0.4791666666666667</v>
      </c>
      <c r="G51" s="68" t="str">
        <f>IF($B51="","",'Playoff'!$B25)</f>
        <v>PalaCentrale, Viale dello Sport 1, Mediopoli MD</v>
      </c>
      <c r="H51" s="68" t="str">
        <f>IF($B51="","",Campionato!$D$2&amp;" "&amp;Campionato!$D$6)</f>
        <v>Campionato Baskin Demo - ESEMPIO 10 Squadre 2026/2027</v>
      </c>
      <c r="I51" s="68" t="n"/>
    </row>
    <row r="52">
      <c r="A52" s="68" t="str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>BEGIN:VEVENT
DTSTAMP:20261018T000001Z
UID:evt51@ClaudeCoworkBaskin
DTSTART;TZID=Europe/Rome:20270124T110000
DTEND;TZID=Europe/Rome:20270124T130000
SUMMARY:Anaconde Audaci vs Lupi Leali [Playoff a 8 - Semifinali]
LOCATION:PalaCentrale, Viale dello Sport 1, Mediopoli MD
DESCRIPTION:Campionato Baskin Demo - ESEMPIO 10 Squadre 2026/2027
END:VEVENT</v>
      </c>
      <c r="B52" s="68" t="str">
        <f>IF('Playoff'!$B27="","",'Playoff'!$B27&amp;" vs "&amp;'Playoff'!$D27&amp;" "&amp;'Playoff'!$AC27)</f>
        <v>Anaconde Audaci vs Lupi Leali [Playoff a 8 - Semifinali]</v>
      </c>
      <c r="C52" s="222">
        <f>IF($B52="","",DATE(YEAR('Playoff'!$F27),MONTH('Playoff'!$F27),DAY('Playoff'!$F27)))</f>
        <v>46411.0</v>
      </c>
      <c r="D52" s="223">
        <f>IF($B52="","",TIME(HOUR('Playoff'!$F27),MINUTE('Playoff'!$F27),0))</f>
        <v>0.4583333333333333</v>
      </c>
      <c r="E52" s="222">
        <f>IF($B52="","",DATE(YEAR('Playoff'!$F27),MONTH('Playoff'!$F27),DAY('Playoff'!$F27)))</f>
        <v>46411.0</v>
      </c>
      <c r="F52" s="223">
        <f>IF($B52="","",TIME(HOUR('Playoff'!$F27)+2,MINUTE('Playoff'!$F27),0))</f>
        <v>0.5416666666666666</v>
      </c>
      <c r="G52" s="68" t="str">
        <f>IF($B52="","",'Playoff'!$B28)</f>
        <v>PalaCentrale, Viale dello Sport 1, Mediopoli MD</v>
      </c>
      <c r="H52" s="68" t="str">
        <f>IF($B52="","",Campionato!$D$2&amp;" "&amp;Campionato!$D$6)</f>
        <v>Campionato Baskin Demo - ESEMPIO 10 Squadre 2026/2027</v>
      </c>
      <c r="I52" s="68" t="n"/>
    </row>
    <row r="53">
      <c r="A53" s="68" t="str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>BEGIN:VEVENT
DTSTAMP:20261018T000001Z
UID:evt52@ClaudeCoworkBaskin
DTSTART;TZID=Europe/Rome:20270131T143000
DTEND;TZID=Europe/Rome:20270131T163000
SUMMARY:Falchi Feroci vs Lupi Leali [Playoff a 8 - Finale 3-4]
LOCATION:PalaCentrale, Viale dello Sport 1, Mediopoli MD
DESCRIPTION:Campionato Baskin Demo - ESEMPIO 10 Squadre 2026/2027
END:VEVENT</v>
      </c>
      <c r="B53" s="68" t="str">
        <f>IF('Playoff'!$B32="","",'Playoff'!$B32&amp;" vs "&amp;'Playoff'!$D32&amp;" "&amp;'Playoff'!$AC32)</f>
        <v>Falchi Feroci vs Lupi Leali [Playoff a 8 - Finale 3-4]</v>
      </c>
      <c r="C53" s="222">
        <f>IF($B53="","",DATE(YEAR('Playoff'!$F32),MONTH('Playoff'!$F32),DAY('Playoff'!$F32)))</f>
        <v>46418.0</v>
      </c>
      <c r="D53" s="223">
        <f>IF($B53="","",TIME(HOUR('Playoff'!$F32),MINUTE('Playoff'!$F32),0))</f>
        <v>0.6041666666666666</v>
      </c>
      <c r="E53" s="222">
        <f>IF($B53="","",DATE(YEAR('Playoff'!$F32),MONTH('Playoff'!$F32),DAY('Playoff'!$F32)))</f>
        <v>46418.0</v>
      </c>
      <c r="F53" s="223">
        <f>IF($B53="","",TIME(HOUR('Playoff'!$F32)+2,MINUTE('Playoff'!$F32),0))</f>
        <v>0.6875</v>
      </c>
      <c r="G53" s="68" t="str">
        <f>IF($B53="","",'Playoff'!$B33)</f>
        <v>PalaCentrale, Viale dello Sport 1, Mediopoli MD</v>
      </c>
      <c r="H53" s="68" t="str">
        <f>IF($B53="","",Campionato!$D$2&amp;" "&amp;Campionato!$D$6)</f>
        <v>Campionato Baskin Demo - ESEMPIO 10 Squadre 2026/2027</v>
      </c>
      <c r="I53" s="68" t="n"/>
    </row>
    <row r="54">
      <c r="A54" s="68" t="str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>BEGIN:VEVENT
DTSTAMP:20261018T000001Z
UID:evt53@ClaudeCoworkBaskin
DTSTART;TZID=Europe/Rome:20270131T160000
DTEND;TZID=Europe/Rome:20270131T180000
SUMMARY:Marmotte Mobili vs Anaconde Audaci [Playoff a 8 - Finale 1-2]
LOCATION:PalaCentrale, Viale dello Sport 1, Mediopoli MD
DESCRIPTION:Campionato Baskin Demo - ESEMPIO 10 Squadre 2026/2027
END:VEVENT</v>
      </c>
      <c r="B54" s="68" t="str">
        <f>IF('Playoff'!$B35="","",'Playoff'!$B35&amp;" vs "&amp;'Playoff'!$D35&amp;" "&amp;'Playoff'!$AC35)</f>
        <v>Marmotte Mobili vs Anaconde Audaci [Playoff a 8 - Finale 1-2]</v>
      </c>
      <c r="C54" s="222">
        <f>IF($B54="","",DATE(YEAR('Playoff'!$F35),MONTH('Playoff'!$F35),DAY('Playoff'!$F35)))</f>
        <v>46418.0</v>
      </c>
      <c r="D54" s="223">
        <f>IF($B54="","",TIME(HOUR('Playoff'!$F35),MINUTE('Playoff'!$F35),0))</f>
        <v>0.6666666666666666</v>
      </c>
      <c r="E54" s="222">
        <f>IF($B54="","",DATE(YEAR('Playoff'!$F35),MONTH('Playoff'!$F35),DAY('Playoff'!$F35)))</f>
        <v>46418.0</v>
      </c>
      <c r="F54" s="223">
        <f>IF($B54="","",TIME(HOUR('Playoff'!$F35)+2,MINUTE('Playoff'!$F35),0))</f>
        <v>0.75</v>
      </c>
      <c r="G54" s="68" t="str">
        <f>IF($B54="","",'Playoff'!$B36)</f>
        <v>PalaCentrale, Viale dello Sport 1, Mediopoli MD</v>
      </c>
      <c r="H54" s="68" t="str">
        <f>IF($B54="","",Campionato!$D$2&amp;" "&amp;Campionato!$D$6)</f>
        <v>Campionato Baskin Demo - ESEMPIO 10 Squadre 2026/2027</v>
      </c>
      <c r="I54" s="68" t="n"/>
    </row>
    <row r="56">
      <c r="A56" s="68" t="str">
        <f>"END:VCALENDAR"</f>
        <v>END:VCALENDAR</v>
      </c>
    </row>
  </sheetData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A-A: una riga per gara. Le classifiche cercano qui per NOME squadra, quindi il girone dipende solo dalla lettera in Campionato!E.</t>
        </is>
      </c>
    </row>
    <row r="2">
      <c r="A2" s="68" t="str">
        <f>'Calendario A'!M10</f>
        <v>Anaconde Audaci</v>
      </c>
      <c r="B2" s="68">
        <f>'Calendario A'!N10</f>
        <v>0</v>
      </c>
      <c r="C2" s="68">
        <f>'Calendario A'!O10</f>
        <v>0</v>
      </c>
      <c r="D2" s="68">
        <f>'Calendario A'!P10</f>
        <v>1</v>
      </c>
      <c r="E2" s="68">
        <f>'Calendario A'!Q10</f>
        <v>42</v>
      </c>
      <c r="F2" s="68">
        <f>'Calendario A'!R10</f>
        <v>53</v>
      </c>
      <c r="G2" s="68">
        <f>'Calendario A'!S10</f>
        <v>-11</v>
      </c>
      <c r="H2" s="68" t="str">
        <f>'Calendario A'!T10</f>
        <v>Marmotte Mobili</v>
      </c>
      <c r="I2" s="68">
        <f>'Calendario A'!U10</f>
        <v>1</v>
      </c>
      <c r="J2" s="68">
        <f>'Calendario A'!V10</f>
        <v>0</v>
      </c>
      <c r="K2" s="68">
        <f>'Calendario A'!W10</f>
        <v>0</v>
      </c>
      <c r="L2" s="68">
        <f>'Calendario A'!X10</f>
        <v>53</v>
      </c>
      <c r="M2" s="68">
        <f>'Calendario A'!Y10</f>
        <v>42</v>
      </c>
      <c r="N2" s="68">
        <f>'Calendario A'!Z10</f>
        <v>11</v>
      </c>
    </row>
    <row r="3">
      <c r="A3" s="68" t="str">
        <f>'Calendario A'!M13</f>
        <v>Lupi Leali</v>
      </c>
      <c r="B3" s="68">
        <f>'Calendario A'!N13</f>
        <v>1</v>
      </c>
      <c r="C3" s="68">
        <f>'Calendario A'!O13</f>
        <v>0</v>
      </c>
      <c r="D3" s="68">
        <f>'Calendario A'!P13</f>
        <v>0</v>
      </c>
      <c r="E3" s="68">
        <f>'Calendario A'!Q13</f>
        <v>66</v>
      </c>
      <c r="F3" s="68">
        <f>'Calendario A'!R13</f>
        <v>49</v>
      </c>
      <c r="G3" s="68">
        <f>'Calendario A'!S13</f>
        <v>17</v>
      </c>
      <c r="H3" s="68" t="str">
        <f>'Calendario A'!T13</f>
        <v>Bufali Belligeranti</v>
      </c>
      <c r="I3" s="68">
        <f>'Calendario A'!U13</f>
        <v>0</v>
      </c>
      <c r="J3" s="68">
        <f>'Calendario A'!V13</f>
        <v>0</v>
      </c>
      <c r="K3" s="68">
        <f>'Calendario A'!W13</f>
        <v>1</v>
      </c>
      <c r="L3" s="68">
        <f>'Calendario A'!X13</f>
        <v>49</v>
      </c>
      <c r="M3" s="68">
        <f>'Calendario A'!Y13</f>
        <v>66</v>
      </c>
      <c r="N3" s="68">
        <f>'Calendario A'!Z13</f>
        <v>-17</v>
      </c>
    </row>
    <row r="4">
      <c r="A4" s="68" t="str">
        <f>'Calendario A'!M16</f>
        <v>Cobra Celeri</v>
      </c>
      <c r="B4" s="68">
        <f>'Calendario A'!N16</f>
        <v>1</v>
      </c>
      <c r="C4" s="68">
        <f>'Calendario A'!O16</f>
        <v>0</v>
      </c>
      <c r="D4" s="68">
        <f>'Calendario A'!P16</f>
        <v>0</v>
      </c>
      <c r="E4" s="68">
        <f>'Calendario A'!Q16</f>
        <v>58</v>
      </c>
      <c r="F4" s="68">
        <f>'Calendario A'!R16</f>
        <v>51</v>
      </c>
      <c r="G4" s="68">
        <f>'Calendario A'!S16</f>
        <v>7</v>
      </c>
      <c r="H4" s="68" t="str">
        <f>'Calendario A'!T16</f>
        <v>Ibis Instancabili</v>
      </c>
      <c r="I4" s="68">
        <f>'Calendario A'!U16</f>
        <v>0</v>
      </c>
      <c r="J4" s="68">
        <f>'Calendario A'!V16</f>
        <v>0</v>
      </c>
      <c r="K4" s="68">
        <f>'Calendario A'!W16</f>
        <v>1</v>
      </c>
      <c r="L4" s="68">
        <f>'Calendario A'!X16</f>
        <v>51</v>
      </c>
      <c r="M4" s="68">
        <f>'Calendario A'!Y16</f>
        <v>58</v>
      </c>
      <c r="N4" s="68">
        <f>'Calendario A'!Z16</f>
        <v>-7</v>
      </c>
    </row>
    <row r="5">
      <c r="A5" s="68" t="str">
        <f>'Calendario A'!M19</f>
        <v>Gazzelle Gentili</v>
      </c>
      <c r="B5" s="68">
        <f>'Calendario A'!N19</f>
        <v>0</v>
      </c>
      <c r="C5" s="68">
        <f>'Calendario A'!O19</f>
        <v>0</v>
      </c>
      <c r="D5" s="68">
        <f>'Calendario A'!P19</f>
        <v>1</v>
      </c>
      <c r="E5" s="68">
        <f>'Calendario A'!Q19</f>
        <v>46</v>
      </c>
      <c r="F5" s="68">
        <f>'Calendario A'!R19</f>
        <v>70</v>
      </c>
      <c r="G5" s="68">
        <f>'Calendario A'!S19</f>
        <v>-24</v>
      </c>
      <c r="H5" s="68" t="str">
        <f>'Calendario A'!T19</f>
        <v>Dingo Docili</v>
      </c>
      <c r="I5" s="68">
        <f>'Calendario A'!U19</f>
        <v>1</v>
      </c>
      <c r="J5" s="68">
        <f>'Calendario A'!V19</f>
        <v>0</v>
      </c>
      <c r="K5" s="68">
        <f>'Calendario A'!W19</f>
        <v>0</v>
      </c>
      <c r="L5" s="68">
        <f>'Calendario A'!X19</f>
        <v>70</v>
      </c>
      <c r="M5" s="68">
        <f>'Calendario A'!Y19</f>
        <v>46</v>
      </c>
      <c r="N5" s="68">
        <f>'Calendario A'!Z19</f>
        <v>24</v>
      </c>
    </row>
    <row r="6">
      <c r="A6" s="68" t="str">
        <f>'Calendario A'!M22</f>
        <v>Ermellini Eleganti</v>
      </c>
      <c r="B6" s="68">
        <f>'Calendario A'!N22</f>
        <v>0</v>
      </c>
      <c r="C6" s="68">
        <f>'Calendario A'!O22</f>
        <v>0</v>
      </c>
      <c r="D6" s="68">
        <f>'Calendario A'!P22</f>
        <v>1</v>
      </c>
      <c r="E6" s="68">
        <f>'Calendario A'!Q22</f>
        <v>41</v>
      </c>
      <c r="F6" s="68">
        <f>'Calendario A'!R22</f>
        <v>65</v>
      </c>
      <c r="G6" s="68">
        <f>'Calendario A'!S22</f>
        <v>-24</v>
      </c>
      <c r="H6" s="68" t="str">
        <f>'Calendario A'!T22</f>
        <v>Falchi Feroci</v>
      </c>
      <c r="I6" s="68">
        <f>'Calendario A'!U22</f>
        <v>1</v>
      </c>
      <c r="J6" s="68">
        <f>'Calendario A'!V22</f>
        <v>0</v>
      </c>
      <c r="K6" s="68">
        <f>'Calendario A'!W22</f>
        <v>0</v>
      </c>
      <c r="L6" s="68">
        <f>'Calendario A'!X22</f>
        <v>65</v>
      </c>
      <c r="M6" s="68">
        <f>'Calendario A'!Y22</f>
        <v>41</v>
      </c>
      <c r="N6" s="68">
        <f>'Calendario A'!Z22</f>
        <v>24</v>
      </c>
    </row>
    <row r="7">
      <c r="A7" s="68" t="str">
        <f>'Calendario A'!M27</f>
        <v>Cobra Celeri</v>
      </c>
      <c r="B7" s="68">
        <f>'Calendario A'!N27</f>
        <v>0</v>
      </c>
      <c r="C7" s="68">
        <f>'Calendario A'!O27</f>
        <v>0</v>
      </c>
      <c r="D7" s="68">
        <f>'Calendario A'!P27</f>
        <v>1</v>
      </c>
      <c r="E7" s="68">
        <f>'Calendario A'!Q27</f>
        <v>37</v>
      </c>
      <c r="F7" s="68">
        <f>'Calendario A'!R27</f>
        <v>47</v>
      </c>
      <c r="G7" s="68">
        <f>'Calendario A'!S27</f>
        <v>-10</v>
      </c>
      <c r="H7" s="68" t="str">
        <f>'Calendario A'!T27</f>
        <v>Anaconde Audaci</v>
      </c>
      <c r="I7" s="68">
        <f>'Calendario A'!U27</f>
        <v>1</v>
      </c>
      <c r="J7" s="68">
        <f>'Calendario A'!V27</f>
        <v>0</v>
      </c>
      <c r="K7" s="68">
        <f>'Calendario A'!W27</f>
        <v>0</v>
      </c>
      <c r="L7" s="68">
        <f>'Calendario A'!X27</f>
        <v>47</v>
      </c>
      <c r="M7" s="68">
        <f>'Calendario A'!Y27</f>
        <v>37</v>
      </c>
      <c r="N7" s="68">
        <f>'Calendario A'!Z27</f>
        <v>10</v>
      </c>
    </row>
    <row r="8">
      <c r="A8" s="68" t="str">
        <f>'Calendario A'!M30</f>
        <v>Marmotte Mobili</v>
      </c>
      <c r="B8" s="68">
        <f>'Calendario A'!N30</f>
        <v>1</v>
      </c>
      <c r="C8" s="68">
        <f>'Calendario A'!O30</f>
        <v>0</v>
      </c>
      <c r="D8" s="68">
        <f>'Calendario A'!P30</f>
        <v>0</v>
      </c>
      <c r="E8" s="68">
        <f>'Calendario A'!Q30</f>
        <v>50</v>
      </c>
      <c r="F8" s="68">
        <f>'Calendario A'!R30</f>
        <v>40</v>
      </c>
      <c r="G8" s="68">
        <f>'Calendario A'!S30</f>
        <v>10</v>
      </c>
      <c r="H8" s="68" t="str">
        <f>'Calendario A'!T30</f>
        <v>Bufali Belligeranti</v>
      </c>
      <c r="I8" s="68">
        <f>'Calendario A'!U30</f>
        <v>0</v>
      </c>
      <c r="J8" s="68">
        <f>'Calendario A'!V30</f>
        <v>0</v>
      </c>
      <c r="K8" s="68">
        <f>'Calendario A'!W30</f>
        <v>1</v>
      </c>
      <c r="L8" s="68">
        <f>'Calendario A'!X30</f>
        <v>40</v>
      </c>
      <c r="M8" s="68">
        <f>'Calendario A'!Y30</f>
        <v>50</v>
      </c>
      <c r="N8" s="68">
        <f>'Calendario A'!Z30</f>
        <v>-10</v>
      </c>
    </row>
    <row r="9">
      <c r="A9" s="68" t="str">
        <f>'Calendario A'!M33</f>
        <v>Lupi Leali</v>
      </c>
      <c r="B9" s="68">
        <f>'Calendario A'!N33</f>
        <v>0</v>
      </c>
      <c r="C9" s="68">
        <f>'Calendario A'!O33</f>
        <v>0</v>
      </c>
      <c r="D9" s="68">
        <f>'Calendario A'!P33</f>
        <v>1</v>
      </c>
      <c r="E9" s="68">
        <f>'Calendario A'!Q33</f>
        <v>64</v>
      </c>
      <c r="F9" s="68">
        <f>'Calendario A'!R33</f>
        <v>76</v>
      </c>
      <c r="G9" s="68">
        <f>'Calendario A'!S33</f>
        <v>-12</v>
      </c>
      <c r="H9" s="68" t="str">
        <f>'Calendario A'!T33</f>
        <v>Dingo Docili</v>
      </c>
      <c r="I9" s="68">
        <f>'Calendario A'!U33</f>
        <v>1</v>
      </c>
      <c r="J9" s="68">
        <f>'Calendario A'!V33</f>
        <v>0</v>
      </c>
      <c r="K9" s="68">
        <f>'Calendario A'!W33</f>
        <v>0</v>
      </c>
      <c r="L9" s="68">
        <f>'Calendario A'!X33</f>
        <v>76</v>
      </c>
      <c r="M9" s="68">
        <f>'Calendario A'!Y33</f>
        <v>64</v>
      </c>
      <c r="N9" s="68">
        <f>'Calendario A'!Z33</f>
        <v>12</v>
      </c>
    </row>
    <row r="10">
      <c r="A10" s="68" t="str">
        <f>'Calendario A'!M36</f>
        <v>Ermellini Eleganti</v>
      </c>
      <c r="B10" s="68">
        <f>'Calendario A'!N36</f>
        <v>1</v>
      </c>
      <c r="C10" s="68">
        <f>'Calendario A'!O36</f>
        <v>0</v>
      </c>
      <c r="D10" s="68">
        <f>'Calendario A'!P36</f>
        <v>0</v>
      </c>
      <c r="E10" s="68">
        <f>'Calendario A'!Q36</f>
        <v>59</v>
      </c>
      <c r="F10" s="68">
        <f>'Calendario A'!R36</f>
        <v>50</v>
      </c>
      <c r="G10" s="68">
        <f>'Calendario A'!S36</f>
        <v>9</v>
      </c>
      <c r="H10" s="68" t="str">
        <f>'Calendario A'!T36</f>
        <v>Ibis Instancabili</v>
      </c>
      <c r="I10" s="68">
        <f>'Calendario A'!U36</f>
        <v>0</v>
      </c>
      <c r="J10" s="68">
        <f>'Calendario A'!V36</f>
        <v>0</v>
      </c>
      <c r="K10" s="68">
        <f>'Calendario A'!W36</f>
        <v>1</v>
      </c>
      <c r="L10" s="68">
        <f>'Calendario A'!X36</f>
        <v>50</v>
      </c>
      <c r="M10" s="68">
        <f>'Calendario A'!Y36</f>
        <v>59</v>
      </c>
      <c r="N10" s="68">
        <f>'Calendario A'!Z36</f>
        <v>-9</v>
      </c>
    </row>
    <row r="11">
      <c r="A11" s="68" t="str">
        <f>'Calendario A'!M39</f>
        <v>Gazzelle Gentili</v>
      </c>
      <c r="B11" s="68">
        <f>'Calendario A'!N39</f>
        <v>0</v>
      </c>
      <c r="C11" s="68">
        <f>'Calendario A'!O39</f>
        <v>0</v>
      </c>
      <c r="D11" s="68">
        <f>'Calendario A'!P39</f>
        <v>1</v>
      </c>
      <c r="E11" s="68">
        <f>'Calendario A'!Q39</f>
        <v>69</v>
      </c>
      <c r="F11" s="68">
        <f>'Calendario A'!R39</f>
        <v>73</v>
      </c>
      <c r="G11" s="68">
        <f>'Calendario A'!S39</f>
        <v>-4</v>
      </c>
      <c r="H11" s="68" t="str">
        <f>'Calendario A'!T39</f>
        <v>Falchi Feroci</v>
      </c>
      <c r="I11" s="68">
        <f>'Calendario A'!U39</f>
        <v>1</v>
      </c>
      <c r="J11" s="68">
        <f>'Calendario A'!V39</f>
        <v>0</v>
      </c>
      <c r="K11" s="68">
        <f>'Calendario A'!W39</f>
        <v>0</v>
      </c>
      <c r="L11" s="68">
        <f>'Calendario A'!X39</f>
        <v>73</v>
      </c>
      <c r="M11" s="68">
        <f>'Calendario A'!Y39</f>
        <v>69</v>
      </c>
      <c r="N11" s="68">
        <f>'Calendario A'!Z39</f>
        <v>4</v>
      </c>
    </row>
    <row r="12">
      <c r="A12" s="68" t="str">
        <f>'Calendario A'!M44</f>
        <v>Ermellini Eleganti</v>
      </c>
      <c r="B12" s="68">
        <f>'Calendario A'!N44</f>
        <v>0</v>
      </c>
      <c r="C12" s="68">
        <f>'Calendario A'!O44</f>
        <v>0</v>
      </c>
      <c r="D12" s="68">
        <f>'Calendario A'!P44</f>
        <v>1</v>
      </c>
      <c r="E12" s="68">
        <f>'Calendario A'!Q44</f>
        <v>59</v>
      </c>
      <c r="F12" s="68">
        <f>'Calendario A'!R44</f>
        <v>70</v>
      </c>
      <c r="G12" s="68">
        <f>'Calendario A'!S44</f>
        <v>-11</v>
      </c>
      <c r="H12" s="68" t="str">
        <f>'Calendario A'!T44</f>
        <v>Anaconde Audaci</v>
      </c>
      <c r="I12" s="68">
        <f>'Calendario A'!U44</f>
        <v>1</v>
      </c>
      <c r="J12" s="68">
        <f>'Calendario A'!V44</f>
        <v>0</v>
      </c>
      <c r="K12" s="68">
        <f>'Calendario A'!W44</f>
        <v>0</v>
      </c>
      <c r="L12" s="68">
        <f>'Calendario A'!X44</f>
        <v>70</v>
      </c>
      <c r="M12" s="68">
        <f>'Calendario A'!Y44</f>
        <v>59</v>
      </c>
      <c r="N12" s="68">
        <f>'Calendario A'!Z44</f>
        <v>11</v>
      </c>
    </row>
    <row r="13">
      <c r="A13" s="68" t="str">
        <f>'Calendario A'!M47</f>
        <v>Cobra Celeri</v>
      </c>
      <c r="B13" s="68">
        <f>'Calendario A'!N47</f>
        <v>1</v>
      </c>
      <c r="C13" s="68">
        <f>'Calendario A'!O47</f>
        <v>0</v>
      </c>
      <c r="D13" s="68">
        <f>'Calendario A'!P47</f>
        <v>0</v>
      </c>
      <c r="E13" s="68">
        <f>'Calendario A'!Q47</f>
        <v>78</v>
      </c>
      <c r="F13" s="68">
        <f>'Calendario A'!R47</f>
        <v>68</v>
      </c>
      <c r="G13" s="68">
        <f>'Calendario A'!S47</f>
        <v>10</v>
      </c>
      <c r="H13" s="68" t="str">
        <f>'Calendario A'!T47</f>
        <v>Marmotte Mobili</v>
      </c>
      <c r="I13" s="68">
        <f>'Calendario A'!U47</f>
        <v>0</v>
      </c>
      <c r="J13" s="68">
        <f>'Calendario A'!V47</f>
        <v>0</v>
      </c>
      <c r="K13" s="68">
        <f>'Calendario A'!W47</f>
        <v>1</v>
      </c>
      <c r="L13" s="68">
        <f>'Calendario A'!X47</f>
        <v>68</v>
      </c>
      <c r="M13" s="68">
        <f>'Calendario A'!Y47</f>
        <v>78</v>
      </c>
      <c r="N13" s="68">
        <f>'Calendario A'!Z47</f>
        <v>-10</v>
      </c>
    </row>
    <row r="14">
      <c r="A14" s="68" t="str">
        <f>'Calendario A'!M50</f>
        <v>Bufali Belligeranti</v>
      </c>
      <c r="B14" s="68">
        <f>'Calendario A'!N50</f>
        <v>0</v>
      </c>
      <c r="C14" s="68">
        <f>'Calendario A'!O50</f>
        <v>0</v>
      </c>
      <c r="D14" s="68">
        <f>'Calendario A'!P50</f>
        <v>1</v>
      </c>
      <c r="E14" s="68">
        <f>'Calendario A'!Q50</f>
        <v>42</v>
      </c>
      <c r="F14" s="68">
        <f>'Calendario A'!R50</f>
        <v>61</v>
      </c>
      <c r="G14" s="68">
        <f>'Calendario A'!S50</f>
        <v>-19</v>
      </c>
      <c r="H14" s="68" t="str">
        <f>'Calendario A'!T50</f>
        <v>Dingo Docili</v>
      </c>
      <c r="I14" s="68">
        <f>'Calendario A'!U50</f>
        <v>1</v>
      </c>
      <c r="J14" s="68">
        <f>'Calendario A'!V50</f>
        <v>0</v>
      </c>
      <c r="K14" s="68">
        <f>'Calendario A'!W50</f>
        <v>0</v>
      </c>
      <c r="L14" s="68">
        <f>'Calendario A'!X50</f>
        <v>61</v>
      </c>
      <c r="M14" s="68">
        <f>'Calendario A'!Y50</f>
        <v>42</v>
      </c>
      <c r="N14" s="68">
        <f>'Calendario A'!Z50</f>
        <v>19</v>
      </c>
    </row>
    <row r="15">
      <c r="A15" s="68" t="str">
        <f>'Calendario A'!M53</f>
        <v>Lupi Leali</v>
      </c>
      <c r="B15" s="68">
        <f>'Calendario A'!N53</f>
        <v>0</v>
      </c>
      <c r="C15" s="68">
        <f>'Calendario A'!O53</f>
        <v>0</v>
      </c>
      <c r="D15" s="68">
        <f>'Calendario A'!P53</f>
        <v>1</v>
      </c>
      <c r="E15" s="68">
        <f>'Calendario A'!Q53</f>
        <v>50</v>
      </c>
      <c r="F15" s="68">
        <f>'Calendario A'!R53</f>
        <v>55</v>
      </c>
      <c r="G15" s="68">
        <f>'Calendario A'!S53</f>
        <v>-5</v>
      </c>
      <c r="H15" s="68" t="str">
        <f>'Calendario A'!T53</f>
        <v>Falchi Feroci</v>
      </c>
      <c r="I15" s="68">
        <f>'Calendario A'!U53</f>
        <v>1</v>
      </c>
      <c r="J15" s="68">
        <f>'Calendario A'!V53</f>
        <v>0</v>
      </c>
      <c r="K15" s="68">
        <f>'Calendario A'!W53</f>
        <v>0</v>
      </c>
      <c r="L15" s="68">
        <f>'Calendario A'!X53</f>
        <v>55</v>
      </c>
      <c r="M15" s="68">
        <f>'Calendario A'!Y53</f>
        <v>50</v>
      </c>
      <c r="N15" s="68">
        <f>'Calendario A'!Z53</f>
        <v>5</v>
      </c>
    </row>
    <row r="16">
      <c r="A16" s="68" t="str">
        <f>'Calendario A'!M56</f>
        <v>Gazzelle Gentili</v>
      </c>
      <c r="B16" s="68">
        <f>'Calendario A'!N56</f>
        <v>0</v>
      </c>
      <c r="C16" s="68">
        <f>'Calendario A'!O56</f>
        <v>0</v>
      </c>
      <c r="D16" s="68">
        <f>'Calendario A'!P56</f>
        <v>1</v>
      </c>
      <c r="E16" s="68">
        <f>'Calendario A'!Q56</f>
        <v>40</v>
      </c>
      <c r="F16" s="68">
        <f>'Calendario A'!R56</f>
        <v>51</v>
      </c>
      <c r="G16" s="68">
        <f>'Calendario A'!S56</f>
        <v>-11</v>
      </c>
      <c r="H16" s="68" t="str">
        <f>'Calendario A'!T56</f>
        <v>Ibis Instancabili</v>
      </c>
      <c r="I16" s="68">
        <f>'Calendario A'!U56</f>
        <v>1</v>
      </c>
      <c r="J16" s="68">
        <f>'Calendario A'!V56</f>
        <v>0</v>
      </c>
      <c r="K16" s="68">
        <f>'Calendario A'!W56</f>
        <v>0</v>
      </c>
      <c r="L16" s="68">
        <f>'Calendario A'!X56</f>
        <v>51</v>
      </c>
      <c r="M16" s="68">
        <f>'Calendario A'!Y56</f>
        <v>40</v>
      </c>
      <c r="N16" s="68">
        <f>'Calendario A'!Z56</f>
        <v>11</v>
      </c>
    </row>
    <row r="17">
      <c r="A17" s="68" t="str">
        <f>'Calendario A'!M61</f>
        <v>Gazzelle Gentili</v>
      </c>
      <c r="B17" s="68">
        <f>'Calendario A'!N61</f>
        <v>0</v>
      </c>
      <c r="C17" s="68">
        <f>'Calendario A'!O61</f>
        <v>0</v>
      </c>
      <c r="D17" s="68">
        <f>'Calendario A'!P61</f>
        <v>1</v>
      </c>
      <c r="E17" s="68">
        <f>'Calendario A'!Q61</f>
        <v>62</v>
      </c>
      <c r="F17" s="68">
        <f>'Calendario A'!R61</f>
        <v>75</v>
      </c>
      <c r="G17" s="68">
        <f>'Calendario A'!S61</f>
        <v>-13</v>
      </c>
      <c r="H17" s="68" t="str">
        <f>'Calendario A'!T61</f>
        <v>Anaconde Audaci</v>
      </c>
      <c r="I17" s="68">
        <f>'Calendario A'!U61</f>
        <v>1</v>
      </c>
      <c r="J17" s="68">
        <f>'Calendario A'!V61</f>
        <v>0</v>
      </c>
      <c r="K17" s="68">
        <f>'Calendario A'!W61</f>
        <v>0</v>
      </c>
      <c r="L17" s="68">
        <f>'Calendario A'!X61</f>
        <v>75</v>
      </c>
      <c r="M17" s="68">
        <f>'Calendario A'!Y61</f>
        <v>62</v>
      </c>
      <c r="N17" s="68">
        <f>'Calendario A'!Z61</f>
        <v>13</v>
      </c>
    </row>
    <row r="18">
      <c r="A18" s="68" t="str">
        <f>'Calendario A'!M64</f>
        <v>Marmotte Mobili</v>
      </c>
      <c r="B18" s="68">
        <f>'Calendario A'!N64</f>
        <v>0</v>
      </c>
      <c r="C18" s="68">
        <f>'Calendario A'!O64</f>
        <v>0</v>
      </c>
      <c r="D18" s="68">
        <f>'Calendario A'!P64</f>
        <v>1</v>
      </c>
      <c r="E18" s="68">
        <f>'Calendario A'!Q64</f>
        <v>35</v>
      </c>
      <c r="F18" s="68">
        <f>'Calendario A'!R64</f>
        <v>60</v>
      </c>
      <c r="G18" s="68">
        <f>'Calendario A'!S64</f>
        <v>-25</v>
      </c>
      <c r="H18" s="68" t="str">
        <f>'Calendario A'!T64</f>
        <v>Dingo Docili</v>
      </c>
      <c r="I18" s="68">
        <f>'Calendario A'!U64</f>
        <v>1</v>
      </c>
      <c r="J18" s="68">
        <f>'Calendario A'!V64</f>
        <v>0</v>
      </c>
      <c r="K18" s="68">
        <f>'Calendario A'!W64</f>
        <v>0</v>
      </c>
      <c r="L18" s="68">
        <f>'Calendario A'!X64</f>
        <v>60</v>
      </c>
      <c r="M18" s="68">
        <f>'Calendario A'!Y64</f>
        <v>35</v>
      </c>
      <c r="N18" s="68">
        <f>'Calendario A'!Z64</f>
        <v>25</v>
      </c>
    </row>
    <row r="19">
      <c r="A19" s="68" t="str">
        <f>'Calendario A'!M67</f>
        <v>Ermellini Eleganti</v>
      </c>
      <c r="B19" s="68">
        <f>'Calendario A'!N67</f>
        <v>0</v>
      </c>
      <c r="C19" s="68">
        <f>'Calendario A'!O67</f>
        <v>0</v>
      </c>
      <c r="D19" s="68">
        <f>'Calendario A'!P67</f>
        <v>1</v>
      </c>
      <c r="E19" s="68">
        <f>'Calendario A'!Q67</f>
        <v>52</v>
      </c>
      <c r="F19" s="68">
        <f>'Calendario A'!R67</f>
        <v>67</v>
      </c>
      <c r="G19" s="68">
        <f>'Calendario A'!S67</f>
        <v>-15</v>
      </c>
      <c r="H19" s="68" t="str">
        <f>'Calendario A'!T67</f>
        <v>Cobra Celeri</v>
      </c>
      <c r="I19" s="68">
        <f>'Calendario A'!U67</f>
        <v>1</v>
      </c>
      <c r="J19" s="68">
        <f>'Calendario A'!V67</f>
        <v>0</v>
      </c>
      <c r="K19" s="68">
        <f>'Calendario A'!W67</f>
        <v>0</v>
      </c>
      <c r="L19" s="68">
        <f>'Calendario A'!X67</f>
        <v>67</v>
      </c>
      <c r="M19" s="68">
        <f>'Calendario A'!Y67</f>
        <v>52</v>
      </c>
      <c r="N19" s="68">
        <f>'Calendario A'!Z67</f>
        <v>15</v>
      </c>
    </row>
    <row r="20">
      <c r="A20" s="68" t="str">
        <f>'Calendario A'!M70</f>
        <v>Bufali Belligeranti</v>
      </c>
      <c r="B20" s="68">
        <f>'Calendario A'!N70</f>
        <v>0</v>
      </c>
      <c r="C20" s="68">
        <f>'Calendario A'!O70</f>
        <v>0</v>
      </c>
      <c r="D20" s="68">
        <f>'Calendario A'!P70</f>
        <v>1</v>
      </c>
      <c r="E20" s="68">
        <f>'Calendario A'!Q70</f>
        <v>43</v>
      </c>
      <c r="F20" s="68">
        <f>'Calendario A'!R70</f>
        <v>54</v>
      </c>
      <c r="G20" s="68">
        <f>'Calendario A'!S70</f>
        <v>-11</v>
      </c>
      <c r="H20" s="68" t="str">
        <f>'Calendario A'!T70</f>
        <v>Falchi Feroci</v>
      </c>
      <c r="I20" s="68">
        <f>'Calendario A'!U70</f>
        <v>1</v>
      </c>
      <c r="J20" s="68">
        <f>'Calendario A'!V70</f>
        <v>0</v>
      </c>
      <c r="K20" s="68">
        <f>'Calendario A'!W70</f>
        <v>0</v>
      </c>
      <c r="L20" s="68">
        <f>'Calendario A'!X70</f>
        <v>54</v>
      </c>
      <c r="M20" s="68">
        <f>'Calendario A'!Y70</f>
        <v>43</v>
      </c>
      <c r="N20" s="68">
        <f>'Calendario A'!Z70</f>
        <v>11</v>
      </c>
    </row>
    <row r="21">
      <c r="A21" s="68" t="str">
        <f>'Calendario A'!M73</f>
        <v>Lupi Leali</v>
      </c>
      <c r="B21" s="68">
        <f>'Calendario A'!N73</f>
        <v>0</v>
      </c>
      <c r="C21" s="68">
        <f>'Calendario A'!O73</f>
        <v>0</v>
      </c>
      <c r="D21" s="68">
        <f>'Calendario A'!P73</f>
        <v>1</v>
      </c>
      <c r="E21" s="68">
        <f>'Calendario A'!Q73</f>
        <v>47</v>
      </c>
      <c r="F21" s="68">
        <f>'Calendario A'!R73</f>
        <v>66</v>
      </c>
      <c r="G21" s="68">
        <f>'Calendario A'!S73</f>
        <v>-19</v>
      </c>
      <c r="H21" s="68" t="str">
        <f>'Calendario A'!T73</f>
        <v>Ibis Instancabili</v>
      </c>
      <c r="I21" s="68">
        <f>'Calendario A'!U73</f>
        <v>1</v>
      </c>
      <c r="J21" s="68">
        <f>'Calendario A'!V73</f>
        <v>0</v>
      </c>
      <c r="K21" s="68">
        <f>'Calendario A'!W73</f>
        <v>0</v>
      </c>
      <c r="L21" s="68">
        <f>'Calendario A'!X73</f>
        <v>66</v>
      </c>
      <c r="M21" s="68">
        <f>'Calendario A'!Y73</f>
        <v>47</v>
      </c>
      <c r="N21" s="68">
        <f>'Calendario A'!Z73</f>
        <v>19</v>
      </c>
    </row>
    <row r="22">
      <c r="A22" s="68" t="str">
        <f>'Calendario A'!M78</f>
        <v>Lupi Leali</v>
      </c>
      <c r="B22" s="68">
        <f>'Calendario A'!N78</f>
        <v>1</v>
      </c>
      <c r="C22" s="68">
        <f>'Calendario A'!O78</f>
        <v>0</v>
      </c>
      <c r="D22" s="68">
        <f>'Calendario A'!P78</f>
        <v>0</v>
      </c>
      <c r="E22" s="68">
        <f>'Calendario A'!Q78</f>
        <v>52</v>
      </c>
      <c r="F22" s="68">
        <f>'Calendario A'!R78</f>
        <v>50</v>
      </c>
      <c r="G22" s="68">
        <f>'Calendario A'!S78</f>
        <v>2</v>
      </c>
      <c r="H22" s="68" t="str">
        <f>'Calendario A'!T78</f>
        <v>Anaconde Audaci</v>
      </c>
      <c r="I22" s="68">
        <f>'Calendario A'!U78</f>
        <v>0</v>
      </c>
      <c r="J22" s="68">
        <f>'Calendario A'!V78</f>
        <v>0</v>
      </c>
      <c r="K22" s="68">
        <f>'Calendario A'!W78</f>
        <v>1</v>
      </c>
      <c r="L22" s="68">
        <f>'Calendario A'!X78</f>
        <v>50</v>
      </c>
      <c r="M22" s="68">
        <f>'Calendario A'!Y78</f>
        <v>52</v>
      </c>
      <c r="N22" s="68">
        <f>'Calendario A'!Z78</f>
        <v>-2</v>
      </c>
    </row>
    <row r="23">
      <c r="A23" s="68" t="str">
        <f>'Calendario A'!M81</f>
        <v>Ermellini Eleganti</v>
      </c>
      <c r="B23" s="68">
        <f>'Calendario A'!N81</f>
        <v>1</v>
      </c>
      <c r="C23" s="68">
        <f>'Calendario A'!O81</f>
        <v>0</v>
      </c>
      <c r="D23" s="68">
        <f>'Calendario A'!P81</f>
        <v>0</v>
      </c>
      <c r="E23" s="68">
        <f>'Calendario A'!Q81</f>
        <v>50</v>
      </c>
      <c r="F23" s="68">
        <f>'Calendario A'!R81</f>
        <v>40</v>
      </c>
      <c r="G23" s="68">
        <f>'Calendario A'!S81</f>
        <v>10</v>
      </c>
      <c r="H23" s="68" t="str">
        <f>'Calendario A'!T81</f>
        <v>Marmotte Mobili</v>
      </c>
      <c r="I23" s="68">
        <f>'Calendario A'!U81</f>
        <v>0</v>
      </c>
      <c r="J23" s="68">
        <f>'Calendario A'!V81</f>
        <v>0</v>
      </c>
      <c r="K23" s="68">
        <f>'Calendario A'!W81</f>
        <v>1</v>
      </c>
      <c r="L23" s="68">
        <f>'Calendario A'!X81</f>
        <v>40</v>
      </c>
      <c r="M23" s="68">
        <f>'Calendario A'!Y81</f>
        <v>50</v>
      </c>
      <c r="N23" s="68">
        <f>'Calendario A'!Z81</f>
        <v>-10</v>
      </c>
    </row>
    <row r="24">
      <c r="A24" s="68" t="str">
        <f>'Calendario A'!M84</f>
        <v>Dingo Docili</v>
      </c>
      <c r="B24" s="68">
        <f>'Calendario A'!N84</f>
        <v>1</v>
      </c>
      <c r="C24" s="68">
        <f>'Calendario A'!O84</f>
        <v>0</v>
      </c>
      <c r="D24" s="68">
        <f>'Calendario A'!P84</f>
        <v>0</v>
      </c>
      <c r="E24" s="68">
        <f>'Calendario A'!Q84</f>
        <v>45</v>
      </c>
      <c r="F24" s="68">
        <f>'Calendario A'!R84</f>
        <v>41</v>
      </c>
      <c r="G24" s="68">
        <f>'Calendario A'!S84</f>
        <v>4</v>
      </c>
      <c r="H24" s="68" t="str">
        <f>'Calendario A'!T84</f>
        <v>Falchi Feroci</v>
      </c>
      <c r="I24" s="68">
        <f>'Calendario A'!U84</f>
        <v>0</v>
      </c>
      <c r="J24" s="68">
        <f>'Calendario A'!V84</f>
        <v>0</v>
      </c>
      <c r="K24" s="68">
        <f>'Calendario A'!W84</f>
        <v>1</v>
      </c>
      <c r="L24" s="68">
        <f>'Calendario A'!X84</f>
        <v>41</v>
      </c>
      <c r="M24" s="68">
        <f>'Calendario A'!Y84</f>
        <v>45</v>
      </c>
      <c r="N24" s="68">
        <f>'Calendario A'!Z84</f>
        <v>-4</v>
      </c>
    </row>
    <row r="25">
      <c r="A25" s="68" t="str">
        <f>'Calendario A'!M87</f>
        <v>Gazzelle Gentili</v>
      </c>
      <c r="B25" s="68">
        <f>'Calendario A'!N87</f>
        <v>0</v>
      </c>
      <c r="C25" s="68">
        <f>'Calendario A'!O87</f>
        <v>0</v>
      </c>
      <c r="D25" s="68">
        <f>'Calendario A'!P87</f>
        <v>1</v>
      </c>
      <c r="E25" s="68">
        <f>'Calendario A'!Q87</f>
        <v>39</v>
      </c>
      <c r="F25" s="68">
        <f>'Calendario A'!R87</f>
        <v>58</v>
      </c>
      <c r="G25" s="68">
        <f>'Calendario A'!S87</f>
        <v>-19</v>
      </c>
      <c r="H25" s="68" t="str">
        <f>'Calendario A'!T87</f>
        <v>Cobra Celeri</v>
      </c>
      <c r="I25" s="68">
        <f>'Calendario A'!U87</f>
        <v>1</v>
      </c>
      <c r="J25" s="68">
        <f>'Calendario A'!V87</f>
        <v>0</v>
      </c>
      <c r="K25" s="68">
        <f>'Calendario A'!W87</f>
        <v>0</v>
      </c>
      <c r="L25" s="68">
        <f>'Calendario A'!X87</f>
        <v>58</v>
      </c>
      <c r="M25" s="68">
        <f>'Calendario A'!Y87</f>
        <v>39</v>
      </c>
      <c r="N25" s="68">
        <f>'Calendario A'!Z87</f>
        <v>19</v>
      </c>
    </row>
    <row r="26">
      <c r="A26" s="68" t="str">
        <f>'Calendario A'!M90</f>
        <v>Bufali Belligeranti</v>
      </c>
      <c r="B26" s="68">
        <f>'Calendario A'!N90</f>
        <v>0</v>
      </c>
      <c r="C26" s="68">
        <f>'Calendario A'!O90</f>
        <v>0</v>
      </c>
      <c r="D26" s="68">
        <f>'Calendario A'!P90</f>
        <v>1</v>
      </c>
      <c r="E26" s="68">
        <f>'Calendario A'!Q90</f>
        <v>26</v>
      </c>
      <c r="F26" s="68">
        <f>'Calendario A'!R90</f>
        <v>49</v>
      </c>
      <c r="G26" s="68">
        <f>'Calendario A'!S90</f>
        <v>-23</v>
      </c>
      <c r="H26" s="68" t="str">
        <f>'Calendario A'!T90</f>
        <v>Ibis Instancabili</v>
      </c>
      <c r="I26" s="68">
        <f>'Calendario A'!U90</f>
        <v>1</v>
      </c>
      <c r="J26" s="68">
        <f>'Calendario A'!V90</f>
        <v>0</v>
      </c>
      <c r="K26" s="68">
        <f>'Calendario A'!W90</f>
        <v>0</v>
      </c>
      <c r="L26" s="68">
        <f>'Calendario A'!X90</f>
        <v>49</v>
      </c>
      <c r="M26" s="68">
        <f>'Calendario A'!Y90</f>
        <v>26</v>
      </c>
      <c r="N26" s="68">
        <f>'Calendario A'!Z90</f>
        <v>23</v>
      </c>
    </row>
    <row r="27">
      <c r="A27" s="68" t="str">
        <f>'Calendario A'!M95</f>
        <v>Bufali Belligeranti</v>
      </c>
      <c r="B27" s="68">
        <f>'Calendario A'!N95</f>
        <v>0</v>
      </c>
      <c r="C27" s="68">
        <f>'Calendario A'!O95</f>
        <v>0</v>
      </c>
      <c r="D27" s="68">
        <f>'Calendario A'!P95</f>
        <v>1</v>
      </c>
      <c r="E27" s="68">
        <f>'Calendario A'!Q95</f>
        <v>54</v>
      </c>
      <c r="F27" s="68">
        <f>'Calendario A'!R95</f>
        <v>69</v>
      </c>
      <c r="G27" s="68">
        <f>'Calendario A'!S95</f>
        <v>-15</v>
      </c>
      <c r="H27" s="68" t="str">
        <f>'Calendario A'!T95</f>
        <v>Anaconde Audaci</v>
      </c>
      <c r="I27" s="68">
        <f>'Calendario A'!U95</f>
        <v>1</v>
      </c>
      <c r="J27" s="68">
        <f>'Calendario A'!V95</f>
        <v>0</v>
      </c>
      <c r="K27" s="68">
        <f>'Calendario A'!W95</f>
        <v>0</v>
      </c>
      <c r="L27" s="68">
        <f>'Calendario A'!X95</f>
        <v>69</v>
      </c>
      <c r="M27" s="68">
        <f>'Calendario A'!Y95</f>
        <v>54</v>
      </c>
      <c r="N27" s="68">
        <f>'Calendario A'!Z95</f>
        <v>15</v>
      </c>
    </row>
    <row r="28">
      <c r="A28" s="68" t="str">
        <f>'Calendario A'!M98</f>
        <v>Marmotte Mobili</v>
      </c>
      <c r="B28" s="68">
        <f>'Calendario A'!N98</f>
        <v>0</v>
      </c>
      <c r="C28" s="68">
        <f>'Calendario A'!O98</f>
        <v>0</v>
      </c>
      <c r="D28" s="68">
        <f>'Calendario A'!P98</f>
        <v>1</v>
      </c>
      <c r="E28" s="68">
        <f>'Calendario A'!Q98</f>
        <v>60</v>
      </c>
      <c r="F28" s="68">
        <f>'Calendario A'!R98</f>
        <v>77</v>
      </c>
      <c r="G28" s="68">
        <f>'Calendario A'!S98</f>
        <v>-17</v>
      </c>
      <c r="H28" s="68" t="str">
        <f>'Calendario A'!T98</f>
        <v>Falchi Feroci</v>
      </c>
      <c r="I28" s="68">
        <f>'Calendario A'!U98</f>
        <v>1</v>
      </c>
      <c r="J28" s="68">
        <f>'Calendario A'!V98</f>
        <v>0</v>
      </c>
      <c r="K28" s="68">
        <f>'Calendario A'!W98</f>
        <v>0</v>
      </c>
      <c r="L28" s="68">
        <f>'Calendario A'!X98</f>
        <v>77</v>
      </c>
      <c r="M28" s="68">
        <f>'Calendario A'!Y98</f>
        <v>60</v>
      </c>
      <c r="N28" s="68">
        <f>'Calendario A'!Z98</f>
        <v>17</v>
      </c>
    </row>
    <row r="29">
      <c r="A29" s="68" t="str">
        <f>'Calendario A'!M101</f>
        <v>Gazzelle Gentili</v>
      </c>
      <c r="B29" s="68">
        <f>'Calendario A'!N101</f>
        <v>0</v>
      </c>
      <c r="C29" s="68">
        <f>'Calendario A'!O101</f>
        <v>0</v>
      </c>
      <c r="D29" s="68">
        <f>'Calendario A'!P101</f>
        <v>1</v>
      </c>
      <c r="E29" s="68">
        <f>'Calendario A'!Q101</f>
        <v>41</v>
      </c>
      <c r="F29" s="68">
        <f>'Calendario A'!R101</f>
        <v>49</v>
      </c>
      <c r="G29" s="68">
        <f>'Calendario A'!S101</f>
        <v>-8</v>
      </c>
      <c r="H29" s="68" t="str">
        <f>'Calendario A'!T101</f>
        <v>Ermellini Eleganti</v>
      </c>
      <c r="I29" s="68">
        <f>'Calendario A'!U101</f>
        <v>1</v>
      </c>
      <c r="J29" s="68">
        <f>'Calendario A'!V101</f>
        <v>0</v>
      </c>
      <c r="K29" s="68">
        <f>'Calendario A'!W101</f>
        <v>0</v>
      </c>
      <c r="L29" s="68">
        <f>'Calendario A'!X101</f>
        <v>49</v>
      </c>
      <c r="M29" s="68">
        <f>'Calendario A'!Y101</f>
        <v>41</v>
      </c>
      <c r="N29" s="68">
        <f>'Calendario A'!Z101</f>
        <v>8</v>
      </c>
    </row>
    <row r="30">
      <c r="A30" s="68" t="str">
        <f>'Calendario A'!M104</f>
        <v>Dingo Docili</v>
      </c>
      <c r="B30" s="68">
        <f>'Calendario A'!N104</f>
        <v>1</v>
      </c>
      <c r="C30" s="68">
        <f>'Calendario A'!O104</f>
        <v>0</v>
      </c>
      <c r="D30" s="68">
        <f>'Calendario A'!P104</f>
        <v>0</v>
      </c>
      <c r="E30" s="68">
        <f>'Calendario A'!Q104</f>
        <v>45</v>
      </c>
      <c r="F30" s="68">
        <f>'Calendario A'!R104</f>
        <v>24</v>
      </c>
      <c r="G30" s="68">
        <f>'Calendario A'!S104</f>
        <v>21</v>
      </c>
      <c r="H30" s="68" t="str">
        <f>'Calendario A'!T104</f>
        <v>Ibis Instancabili</v>
      </c>
      <c r="I30" s="68">
        <f>'Calendario A'!U104</f>
        <v>0</v>
      </c>
      <c r="J30" s="68">
        <f>'Calendario A'!V104</f>
        <v>0</v>
      </c>
      <c r="K30" s="68">
        <f>'Calendario A'!W104</f>
        <v>1</v>
      </c>
      <c r="L30" s="68">
        <f>'Calendario A'!X104</f>
        <v>24</v>
      </c>
      <c r="M30" s="68">
        <f>'Calendario A'!Y104</f>
        <v>45</v>
      </c>
      <c r="N30" s="68">
        <f>'Calendario A'!Z104</f>
        <v>-21</v>
      </c>
    </row>
    <row r="31">
      <c r="A31" s="68" t="str">
        <f>'Calendario A'!M107</f>
        <v>Lupi Leali</v>
      </c>
      <c r="B31" s="68">
        <f>'Calendario A'!N107</f>
        <v>1</v>
      </c>
      <c r="C31" s="68">
        <f>'Calendario A'!O107</f>
        <v>0</v>
      </c>
      <c r="D31" s="68">
        <f>'Calendario A'!P107</f>
        <v>0</v>
      </c>
      <c r="E31" s="68">
        <f>'Calendario A'!Q107</f>
        <v>75</v>
      </c>
      <c r="F31" s="68">
        <f>'Calendario A'!R107</f>
        <v>59</v>
      </c>
      <c r="G31" s="68">
        <f>'Calendario A'!S107</f>
        <v>16</v>
      </c>
      <c r="H31" s="68" t="str">
        <f>'Calendario A'!T107</f>
        <v>Cobra Celeri</v>
      </c>
      <c r="I31" s="68">
        <f>'Calendario A'!U107</f>
        <v>0</v>
      </c>
      <c r="J31" s="68">
        <f>'Calendario A'!V107</f>
        <v>0</v>
      </c>
      <c r="K31" s="68">
        <f>'Calendario A'!W107</f>
        <v>1</v>
      </c>
      <c r="L31" s="68">
        <f>'Calendario A'!X107</f>
        <v>59</v>
      </c>
      <c r="M31" s="68">
        <f>'Calendario A'!Y107</f>
        <v>75</v>
      </c>
      <c r="N31" s="68">
        <f>'Calendario A'!Z107</f>
        <v>-16</v>
      </c>
    </row>
    <row r="32">
      <c r="A32" s="68" t="str">
        <f>'Calendario A'!M112</f>
        <v>Bufali Belligeranti</v>
      </c>
      <c r="B32" s="68">
        <f>'Calendario A'!N112</f>
        <v>1</v>
      </c>
      <c r="C32" s="68">
        <f>'Calendario A'!O112</f>
        <v>0</v>
      </c>
      <c r="D32" s="68">
        <f>'Calendario A'!P112</f>
        <v>0</v>
      </c>
      <c r="E32" s="68">
        <f>'Calendario A'!Q112</f>
        <v>53</v>
      </c>
      <c r="F32" s="68">
        <f>'Calendario A'!R112</f>
        <v>48</v>
      </c>
      <c r="G32" s="68">
        <f>'Calendario A'!S112</f>
        <v>5</v>
      </c>
      <c r="H32" s="68" t="str">
        <f>'Calendario A'!T112</f>
        <v>Cobra Celeri</v>
      </c>
      <c r="I32" s="68">
        <f>'Calendario A'!U112</f>
        <v>0</v>
      </c>
      <c r="J32" s="68">
        <f>'Calendario A'!V112</f>
        <v>0</v>
      </c>
      <c r="K32" s="68">
        <f>'Calendario A'!W112</f>
        <v>1</v>
      </c>
      <c r="L32" s="68">
        <f>'Calendario A'!X112</f>
        <v>48</v>
      </c>
      <c r="M32" s="68">
        <f>'Calendario A'!Y112</f>
        <v>53</v>
      </c>
      <c r="N32" s="68">
        <f>'Calendario A'!Z112</f>
        <v>-5</v>
      </c>
    </row>
    <row r="33">
      <c r="A33" s="68" t="str">
        <f>'Calendario A'!M115</f>
        <v>Gazzelle Gentili</v>
      </c>
      <c r="B33" s="68">
        <f>'Calendario A'!N115</f>
        <v>0</v>
      </c>
      <c r="C33" s="68">
        <f>'Calendario A'!O115</f>
        <v>0</v>
      </c>
      <c r="D33" s="68">
        <f>'Calendario A'!P115</f>
        <v>1</v>
      </c>
      <c r="E33" s="68">
        <f>'Calendario A'!Q115</f>
        <v>33</v>
      </c>
      <c r="F33" s="68">
        <f>'Calendario A'!R115</f>
        <v>52</v>
      </c>
      <c r="G33" s="68">
        <f>'Calendario A'!S115</f>
        <v>-19</v>
      </c>
      <c r="H33" s="68" t="str">
        <f>'Calendario A'!T115</f>
        <v>Marmotte Mobili</v>
      </c>
      <c r="I33" s="68">
        <f>'Calendario A'!U115</f>
        <v>1</v>
      </c>
      <c r="J33" s="68">
        <f>'Calendario A'!V115</f>
        <v>0</v>
      </c>
      <c r="K33" s="68">
        <f>'Calendario A'!W115</f>
        <v>0</v>
      </c>
      <c r="L33" s="68">
        <f>'Calendario A'!X115</f>
        <v>52</v>
      </c>
      <c r="M33" s="68">
        <f>'Calendario A'!Y115</f>
        <v>33</v>
      </c>
      <c r="N33" s="68">
        <f>'Calendario A'!Z115</f>
        <v>19</v>
      </c>
    </row>
    <row r="34">
      <c r="A34" s="68" t="str">
        <f>'Calendario A'!M118</f>
        <v>Falchi Feroci</v>
      </c>
      <c r="B34" s="68">
        <f>'Calendario A'!N118</f>
        <v>1</v>
      </c>
      <c r="C34" s="68">
        <f>'Calendario A'!O118</f>
        <v>0</v>
      </c>
      <c r="D34" s="68">
        <f>'Calendario A'!P118</f>
        <v>0</v>
      </c>
      <c r="E34" s="68">
        <f>'Calendario A'!Q118</f>
        <v>50</v>
      </c>
      <c r="F34" s="68">
        <f>'Calendario A'!R118</f>
        <v>38</v>
      </c>
      <c r="G34" s="68">
        <f>'Calendario A'!S118</f>
        <v>12</v>
      </c>
      <c r="H34" s="68" t="str">
        <f>'Calendario A'!T118</f>
        <v>Ibis Instancabili</v>
      </c>
      <c r="I34" s="68">
        <f>'Calendario A'!U118</f>
        <v>0</v>
      </c>
      <c r="J34" s="68">
        <f>'Calendario A'!V118</f>
        <v>0</v>
      </c>
      <c r="K34" s="68">
        <f>'Calendario A'!W118</f>
        <v>1</v>
      </c>
      <c r="L34" s="68">
        <f>'Calendario A'!X118</f>
        <v>38</v>
      </c>
      <c r="M34" s="68">
        <f>'Calendario A'!Y118</f>
        <v>50</v>
      </c>
      <c r="N34" s="68">
        <f>'Calendario A'!Z118</f>
        <v>-12</v>
      </c>
    </row>
    <row r="35">
      <c r="A35" s="68" t="str">
        <f>'Calendario A'!M121</f>
        <v>Lupi Leali</v>
      </c>
      <c r="B35" s="68">
        <f>'Calendario A'!N121</f>
        <v>1</v>
      </c>
      <c r="C35" s="68">
        <f>'Calendario A'!O121</f>
        <v>0</v>
      </c>
      <c r="D35" s="68">
        <f>'Calendario A'!P121</f>
        <v>0</v>
      </c>
      <c r="E35" s="68">
        <f>'Calendario A'!Q121</f>
        <v>54</v>
      </c>
      <c r="F35" s="68">
        <f>'Calendario A'!R121</f>
        <v>35</v>
      </c>
      <c r="G35" s="68">
        <f>'Calendario A'!S121</f>
        <v>19</v>
      </c>
      <c r="H35" s="68" t="str">
        <f>'Calendario A'!T121</f>
        <v>Ermellini Eleganti</v>
      </c>
      <c r="I35" s="68">
        <f>'Calendario A'!U121</f>
        <v>0</v>
      </c>
      <c r="J35" s="68">
        <f>'Calendario A'!V121</f>
        <v>0</v>
      </c>
      <c r="K35" s="68">
        <f>'Calendario A'!W121</f>
        <v>1</v>
      </c>
      <c r="L35" s="68">
        <f>'Calendario A'!X121</f>
        <v>35</v>
      </c>
      <c r="M35" s="68">
        <f>'Calendario A'!Y121</f>
        <v>54</v>
      </c>
      <c r="N35" s="68">
        <f>'Calendario A'!Z121</f>
        <v>-19</v>
      </c>
    </row>
    <row r="36">
      <c r="A36" s="68" t="str">
        <f>'Calendario A'!M124</f>
        <v>Dingo Docili</v>
      </c>
      <c r="B36" s="68">
        <f>'Calendario A'!N124</f>
        <v>0</v>
      </c>
      <c r="C36" s="68">
        <f>'Calendario A'!O124</f>
        <v>0</v>
      </c>
      <c r="D36" s="68">
        <f>'Calendario A'!P124</f>
        <v>1</v>
      </c>
      <c r="E36" s="68">
        <f>'Calendario A'!Q124</f>
        <v>60</v>
      </c>
      <c r="F36" s="68">
        <f>'Calendario A'!R124</f>
        <v>77</v>
      </c>
      <c r="G36" s="68">
        <f>'Calendario A'!S124</f>
        <v>-17</v>
      </c>
      <c r="H36" s="68" t="str">
        <f>'Calendario A'!T124</f>
        <v>Anaconde Audaci</v>
      </c>
      <c r="I36" s="68">
        <f>'Calendario A'!U124</f>
        <v>1</v>
      </c>
      <c r="J36" s="68">
        <f>'Calendario A'!V124</f>
        <v>0</v>
      </c>
      <c r="K36" s="68">
        <f>'Calendario A'!W124</f>
        <v>0</v>
      </c>
      <c r="L36" s="68">
        <f>'Calendario A'!X124</f>
        <v>77</v>
      </c>
      <c r="M36" s="68">
        <f>'Calendario A'!Y124</f>
        <v>60</v>
      </c>
      <c r="N36" s="68">
        <f>'Calendario A'!Z124</f>
        <v>17</v>
      </c>
    </row>
    <row r="37">
      <c r="A37" s="68" t="str">
        <f>'Calendario A'!M129</f>
        <v>Bufali Belligeranti</v>
      </c>
      <c r="B37" s="68">
        <f>'Calendario A'!N129</f>
        <v>1</v>
      </c>
      <c r="C37" s="68">
        <f>'Calendario A'!O129</f>
        <v>0</v>
      </c>
      <c r="D37" s="68">
        <f>'Calendario A'!P129</f>
        <v>0</v>
      </c>
      <c r="E37" s="68">
        <f>'Calendario A'!Q129</f>
        <v>50</v>
      </c>
      <c r="F37" s="68">
        <f>'Calendario A'!R129</f>
        <v>40</v>
      </c>
      <c r="G37" s="68">
        <f>'Calendario A'!S129</f>
        <v>10</v>
      </c>
      <c r="H37" s="68" t="str">
        <f>'Calendario A'!T129</f>
        <v>Ermellini Eleganti</v>
      </c>
      <c r="I37" s="68">
        <f>'Calendario A'!U129</f>
        <v>0</v>
      </c>
      <c r="J37" s="68">
        <f>'Calendario A'!V129</f>
        <v>0</v>
      </c>
      <c r="K37" s="68">
        <f>'Calendario A'!W129</f>
        <v>1</v>
      </c>
      <c r="L37" s="68">
        <f>'Calendario A'!X129</f>
        <v>40</v>
      </c>
      <c r="M37" s="68">
        <f>'Calendario A'!Y129</f>
        <v>50</v>
      </c>
      <c r="N37" s="68">
        <f>'Calendario A'!Z129</f>
        <v>-10</v>
      </c>
    </row>
    <row r="38">
      <c r="A38" s="68" t="str">
        <f>'Calendario A'!M132</f>
        <v>Marmotte Mobili</v>
      </c>
      <c r="B38" s="68">
        <f>'Calendario A'!N132</f>
        <v>0</v>
      </c>
      <c r="C38" s="68">
        <f>'Calendario A'!O132</f>
        <v>0</v>
      </c>
      <c r="D38" s="68">
        <f>'Calendario A'!P132</f>
        <v>1</v>
      </c>
      <c r="E38" s="68">
        <f>'Calendario A'!Q132</f>
        <v>37</v>
      </c>
      <c r="F38" s="68">
        <f>'Calendario A'!R132</f>
        <v>58</v>
      </c>
      <c r="G38" s="68">
        <f>'Calendario A'!S132</f>
        <v>-21</v>
      </c>
      <c r="H38" s="68" t="str">
        <f>'Calendario A'!T132</f>
        <v>Ibis Instancabili</v>
      </c>
      <c r="I38" s="68">
        <f>'Calendario A'!U132</f>
        <v>1</v>
      </c>
      <c r="J38" s="68">
        <f>'Calendario A'!V132</f>
        <v>0</v>
      </c>
      <c r="K38" s="68">
        <f>'Calendario A'!W132</f>
        <v>0</v>
      </c>
      <c r="L38" s="68">
        <f>'Calendario A'!X132</f>
        <v>58</v>
      </c>
      <c r="M38" s="68">
        <f>'Calendario A'!Y132</f>
        <v>37</v>
      </c>
      <c r="N38" s="68">
        <f>'Calendario A'!Z132</f>
        <v>21</v>
      </c>
    </row>
    <row r="39">
      <c r="A39" s="68" t="str">
        <f>'Calendario A'!M135</f>
        <v>Lupi Leali</v>
      </c>
      <c r="B39" s="68">
        <f>'Calendario A'!N135</f>
        <v>1</v>
      </c>
      <c r="C39" s="68">
        <f>'Calendario A'!O135</f>
        <v>0</v>
      </c>
      <c r="D39" s="68">
        <f>'Calendario A'!P135</f>
        <v>0</v>
      </c>
      <c r="E39" s="68">
        <f>'Calendario A'!Q135</f>
        <v>80</v>
      </c>
      <c r="F39" s="68">
        <f>'Calendario A'!R135</f>
        <v>69</v>
      </c>
      <c r="G39" s="68">
        <f>'Calendario A'!S135</f>
        <v>11</v>
      </c>
      <c r="H39" s="68" t="str">
        <f>'Calendario A'!T135</f>
        <v>Gazzelle Gentili</v>
      </c>
      <c r="I39" s="68">
        <f>'Calendario A'!U135</f>
        <v>0</v>
      </c>
      <c r="J39" s="68">
        <f>'Calendario A'!V135</f>
        <v>0</v>
      </c>
      <c r="K39" s="68">
        <f>'Calendario A'!W135</f>
        <v>1</v>
      </c>
      <c r="L39" s="68">
        <f>'Calendario A'!X135</f>
        <v>69</v>
      </c>
      <c r="M39" s="68">
        <f>'Calendario A'!Y135</f>
        <v>80</v>
      </c>
      <c r="N39" s="68">
        <f>'Calendario A'!Z135</f>
        <v>-11</v>
      </c>
    </row>
    <row r="40">
      <c r="A40" s="68" t="str">
        <f>'Calendario A'!M138</f>
        <v>Falchi Feroci</v>
      </c>
      <c r="B40" s="68">
        <f>'Calendario A'!N138</f>
        <v>0</v>
      </c>
      <c r="C40" s="68">
        <f>'Calendario A'!O138</f>
        <v>0</v>
      </c>
      <c r="D40" s="68">
        <f>'Calendario A'!P138</f>
        <v>1</v>
      </c>
      <c r="E40" s="68">
        <f>'Calendario A'!Q138</f>
        <v>40</v>
      </c>
      <c r="F40" s="68">
        <f>'Calendario A'!R138</f>
        <v>60</v>
      </c>
      <c r="G40" s="68">
        <f>'Calendario A'!S138</f>
        <v>-20</v>
      </c>
      <c r="H40" s="68" t="str">
        <f>'Calendario A'!T138</f>
        <v>Anaconde Audaci</v>
      </c>
      <c r="I40" s="68">
        <f>'Calendario A'!U138</f>
        <v>1</v>
      </c>
      <c r="J40" s="68">
        <f>'Calendario A'!V138</f>
        <v>0</v>
      </c>
      <c r="K40" s="68">
        <f>'Calendario A'!W138</f>
        <v>0</v>
      </c>
      <c r="L40" s="68">
        <f>'Calendario A'!X138</f>
        <v>60</v>
      </c>
      <c r="M40" s="68">
        <f>'Calendario A'!Y138</f>
        <v>40</v>
      </c>
      <c r="N40" s="68">
        <f>'Calendario A'!Z138</f>
        <v>20</v>
      </c>
    </row>
    <row r="41">
      <c r="A41" s="68" t="str">
        <f>'Calendario A'!M141</f>
        <v>Dingo Docili</v>
      </c>
      <c r="B41" s="68">
        <f>'Calendario A'!N141</f>
        <v>1</v>
      </c>
      <c r="C41" s="68">
        <f>'Calendario A'!O141</f>
        <v>0</v>
      </c>
      <c r="D41" s="68">
        <f>'Calendario A'!P141</f>
        <v>0</v>
      </c>
      <c r="E41" s="68">
        <f>'Calendario A'!Q141</f>
        <v>80</v>
      </c>
      <c r="F41" s="68">
        <f>'Calendario A'!R141</f>
        <v>75</v>
      </c>
      <c r="G41" s="68">
        <f>'Calendario A'!S141</f>
        <v>5</v>
      </c>
      <c r="H41" s="68" t="str">
        <f>'Calendario A'!T141</f>
        <v>Cobra Celeri</v>
      </c>
      <c r="I41" s="68">
        <f>'Calendario A'!U141</f>
        <v>0</v>
      </c>
      <c r="J41" s="68">
        <f>'Calendario A'!V141</f>
        <v>0</v>
      </c>
      <c r="K41" s="68">
        <f>'Calendario A'!W141</f>
        <v>1</v>
      </c>
      <c r="L41" s="68">
        <f>'Calendario A'!X141</f>
        <v>75</v>
      </c>
      <c r="M41" s="68">
        <f>'Calendario A'!Y141</f>
        <v>80</v>
      </c>
      <c r="N41" s="68">
        <f>'Calendario A'!Z141</f>
        <v>-5</v>
      </c>
    </row>
    <row r="42">
      <c r="A42" s="68" t="str">
        <f>'Calendario A'!M146</f>
        <v>Bufali Belligeranti</v>
      </c>
      <c r="B42" s="68">
        <f>'Calendario A'!N146</f>
        <v>1</v>
      </c>
      <c r="C42" s="68">
        <f>'Calendario A'!O146</f>
        <v>0</v>
      </c>
      <c r="D42" s="68">
        <f>'Calendario A'!P146</f>
        <v>0</v>
      </c>
      <c r="E42" s="68">
        <f>'Calendario A'!Q146</f>
        <v>51</v>
      </c>
      <c r="F42" s="68">
        <f>'Calendario A'!R146</f>
        <v>26</v>
      </c>
      <c r="G42" s="68">
        <f>'Calendario A'!S146</f>
        <v>25</v>
      </c>
      <c r="H42" s="68" t="str">
        <f>'Calendario A'!T146</f>
        <v>Gazzelle Gentili</v>
      </c>
      <c r="I42" s="68">
        <f>'Calendario A'!U146</f>
        <v>0</v>
      </c>
      <c r="J42" s="68">
        <f>'Calendario A'!V146</f>
        <v>0</v>
      </c>
      <c r="K42" s="68">
        <f>'Calendario A'!W146</f>
        <v>1</v>
      </c>
      <c r="L42" s="68">
        <f>'Calendario A'!X146</f>
        <v>26</v>
      </c>
      <c r="M42" s="68">
        <f>'Calendario A'!Y146</f>
        <v>51</v>
      </c>
      <c r="N42" s="68">
        <f>'Calendario A'!Z146</f>
        <v>-25</v>
      </c>
    </row>
    <row r="43">
      <c r="A43" s="68" t="str">
        <f>'Calendario A'!M149</f>
        <v>Lupi Leali</v>
      </c>
      <c r="B43" s="68">
        <f>'Calendario A'!N149</f>
        <v>1</v>
      </c>
      <c r="C43" s="68">
        <f>'Calendario A'!O149</f>
        <v>0</v>
      </c>
      <c r="D43" s="68">
        <f>'Calendario A'!P149</f>
        <v>0</v>
      </c>
      <c r="E43" s="68">
        <f>'Calendario A'!Q149</f>
        <v>80</v>
      </c>
      <c r="F43" s="68">
        <f>'Calendario A'!R149</f>
        <v>60</v>
      </c>
      <c r="G43" s="68">
        <f>'Calendario A'!S149</f>
        <v>20</v>
      </c>
      <c r="H43" s="68" t="str">
        <f>'Calendario A'!T149</f>
        <v>Marmotte Mobili</v>
      </c>
      <c r="I43" s="68">
        <f>'Calendario A'!U149</f>
        <v>0</v>
      </c>
      <c r="J43" s="68">
        <f>'Calendario A'!V149</f>
        <v>0</v>
      </c>
      <c r="K43" s="68">
        <f>'Calendario A'!W149</f>
        <v>1</v>
      </c>
      <c r="L43" s="68">
        <f>'Calendario A'!X149</f>
        <v>60</v>
      </c>
      <c r="M43" s="68">
        <f>'Calendario A'!Y149</f>
        <v>80</v>
      </c>
      <c r="N43" s="68">
        <f>'Calendario A'!Z149</f>
        <v>-20</v>
      </c>
    </row>
    <row r="44">
      <c r="A44" s="68" t="str">
        <f>'Calendario A'!M152</f>
        <v>Ibis Instancabili</v>
      </c>
      <c r="B44" s="68">
        <f>'Calendario A'!N152</f>
        <v>1</v>
      </c>
      <c r="C44" s="68">
        <f>'Calendario A'!O152</f>
        <v>0</v>
      </c>
      <c r="D44" s="68">
        <f>'Calendario A'!P152</f>
        <v>0</v>
      </c>
      <c r="E44" s="68">
        <f>'Calendario A'!Q152</f>
        <v>58</v>
      </c>
      <c r="F44" s="68">
        <f>'Calendario A'!R152</f>
        <v>40</v>
      </c>
      <c r="G44" s="68">
        <f>'Calendario A'!S152</f>
        <v>18</v>
      </c>
      <c r="H44" s="68" t="str">
        <f>'Calendario A'!T152</f>
        <v>Anaconde Audaci</v>
      </c>
      <c r="I44" s="68">
        <f>'Calendario A'!U152</f>
        <v>0</v>
      </c>
      <c r="J44" s="68">
        <f>'Calendario A'!V152</f>
        <v>0</v>
      </c>
      <c r="K44" s="68">
        <f>'Calendario A'!W152</f>
        <v>1</v>
      </c>
      <c r="L44" s="68">
        <f>'Calendario A'!X152</f>
        <v>40</v>
      </c>
      <c r="M44" s="68">
        <f>'Calendario A'!Y152</f>
        <v>58</v>
      </c>
      <c r="N44" s="68">
        <f>'Calendario A'!Z152</f>
        <v>-18</v>
      </c>
    </row>
    <row r="45">
      <c r="A45" s="68" t="str">
        <f>'Calendario A'!M155</f>
        <v>Falchi Feroci</v>
      </c>
      <c r="B45" s="68">
        <f>'Calendario A'!N155</f>
        <v>0</v>
      </c>
      <c r="C45" s="68">
        <f>'Calendario A'!O155</f>
        <v>0</v>
      </c>
      <c r="D45" s="68">
        <f>'Calendario A'!P155</f>
        <v>1</v>
      </c>
      <c r="E45" s="68">
        <f>'Calendario A'!Q155</f>
        <v>44</v>
      </c>
      <c r="F45" s="68">
        <f>'Calendario A'!R155</f>
        <v>65</v>
      </c>
      <c r="G45" s="68">
        <f>'Calendario A'!S155</f>
        <v>-21</v>
      </c>
      <c r="H45" s="68" t="str">
        <f>'Calendario A'!T155</f>
        <v>Cobra Celeri</v>
      </c>
      <c r="I45" s="68">
        <f>'Calendario A'!U155</f>
        <v>1</v>
      </c>
      <c r="J45" s="68">
        <f>'Calendario A'!V155</f>
        <v>0</v>
      </c>
      <c r="K45" s="68">
        <f>'Calendario A'!W155</f>
        <v>0</v>
      </c>
      <c r="L45" s="68">
        <f>'Calendario A'!X155</f>
        <v>65</v>
      </c>
      <c r="M45" s="68">
        <f>'Calendario A'!Y155</f>
        <v>44</v>
      </c>
      <c r="N45" s="68">
        <f>'Calendario A'!Z155</f>
        <v>21</v>
      </c>
    </row>
    <row r="46">
      <c r="A46" s="68" t="str">
        <f>'Calendario A'!M158</f>
        <v>Dingo Docili</v>
      </c>
      <c r="B46" s="68">
        <f>'Calendario A'!N158</f>
        <v>1</v>
      </c>
      <c r="C46" s="68">
        <f>'Calendario A'!O158</f>
        <v>0</v>
      </c>
      <c r="D46" s="68">
        <f>'Calendario A'!P158</f>
        <v>0</v>
      </c>
      <c r="E46" s="68">
        <f>'Calendario A'!Q158</f>
        <v>48</v>
      </c>
      <c r="F46" s="68">
        <f>'Calendario A'!R158</f>
        <v>29</v>
      </c>
      <c r="G46" s="68">
        <f>'Calendario A'!S158</f>
        <v>19</v>
      </c>
      <c r="H46" s="68" t="str">
        <f>'Calendario A'!T158</f>
        <v>Ermellini Eleganti</v>
      </c>
      <c r="I46" s="68">
        <f>'Calendario A'!U158</f>
        <v>0</v>
      </c>
      <c r="J46" s="68">
        <f>'Calendario A'!V158</f>
        <v>0</v>
      </c>
      <c r="K46" s="68">
        <f>'Calendario A'!W158</f>
        <v>1</v>
      </c>
      <c r="L46" s="68">
        <f>'Calendario A'!X158</f>
        <v>29</v>
      </c>
      <c r="M46" s="68">
        <f>'Calendario A'!Y158</f>
        <v>48</v>
      </c>
      <c r="N46" s="68">
        <f>'Calendario A'!Z158</f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2026-10-18T05:33:34Z</dcterms:modified>
</cp:coreProperties>
</file>